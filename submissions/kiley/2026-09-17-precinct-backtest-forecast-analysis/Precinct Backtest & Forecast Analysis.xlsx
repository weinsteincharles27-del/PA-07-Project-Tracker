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Precinct Vote Data" sheetId="2" r:id="rId5"/>
    <sheet state="visible" name="Predictability Ranking" sheetId="3" r:id="rId6"/>
    <sheet state="visible" name="Magic Precinct" sheetId="4" r:id="rId7"/>
    <sheet state="visible" name="Beta Coefficients" sheetId="5" r:id="rId8"/>
    <sheet state="visible" name="2024 Backtest" sheetId="6" r:id="rId9"/>
    <sheet state="visible" name="2026 Trend Forecast" sheetId="7" r:id="rId10"/>
    <sheet state="visible" name="2026 Beta-Adjusted Forecast" sheetId="8" r:id="rId11"/>
    <sheet state="visible" name="2026 Regression Forecast" sheetId="9" r:id="rId12"/>
    <sheet state="visible" name="Model Comparison" sheetId="10" r:id="rId13"/>
    <sheet state="visible" name="Methodology" sheetId="11" r:id="rId14"/>
  </sheets>
  <definedNames>
    <definedName hidden="1" localSheetId="2" name="_xlnm._FilterDatabase">'Predictability Ranking'!$A$1:$H$409</definedName>
  </definedNames>
  <calcPr/>
  <extLst>
    <ext uri="GoogleSheetsCustomDataVersion2">
      <go:sheetsCustomData xmlns:go="http://customooxmlschemas.google.com/" r:id="rId15" roundtripDataChecksum="OtBssdRhtcd+fCe4SOvSlPSWaka6L3txRxOnYJ7xBMI="/>
    </ext>
  </extLst>
</workbook>
</file>

<file path=xl/sharedStrings.xml><?xml version="1.0" encoding="utf-8"?>
<sst xmlns="http://schemas.openxmlformats.org/spreadsheetml/2006/main" count="13632" uniqueCount="444">
  <si>
    <t>PA-07 Precinct-Level Forecast Analysis</t>
  </si>
  <si>
    <t>Year</t>
  </si>
  <si>
    <t>Same backtesting and forecasting pipeline as the municipality-level Analysis workbook, run at 408-precinct resolution.</t>
  </si>
  <si>
    <t>County</t>
  </si>
  <si>
    <t>Municipality</t>
  </si>
  <si>
    <t>Precinct Code</t>
  </si>
  <si>
    <t>Dem Votes</t>
  </si>
  <si>
    <t>Rep Votes</t>
  </si>
  <si>
    <t>Total Votes</t>
  </si>
  <si>
    <t>Sheet</t>
  </si>
  <si>
    <t>Dem Share %</t>
  </si>
  <si>
    <t>Reg Margin</t>
  </si>
  <si>
    <t>Turnout</t>
  </si>
  <si>
    <t>Presidential Year (dummy)</t>
  </si>
  <si>
    <t>What it does</t>
  </si>
  <si>
    <t>What it tells us</t>
  </si>
  <si>
    <t>Carbon</t>
  </si>
  <si>
    <t>BANKS</t>
  </si>
  <si>
    <t>10</t>
  </si>
  <si>
    <t>Precinct Vote Data</t>
  </si>
  <si>
    <t>Real House votes, registration margin, and turnout for 408 precincts, 2018-2024.</t>
  </si>
  <si>
    <t>The complete precinct-level foundation.</t>
  </si>
  <si>
    <t>Predictability Ranking</t>
  </si>
  <si>
    <t>Classifies all 408 precincts Easy/Medium/Hard to predict.</t>
  </si>
  <si>
    <t>Finer-grained than the municipality version -- individual precincts within the same town can differ sharply.</t>
  </si>
  <si>
    <t>Bellwether Search (408 Precincts)</t>
  </si>
  <si>
    <t>Magic Precinct</t>
  </si>
  <si>
    <t>Bellwether search across all 408 precincts.</t>
  </si>
  <si>
    <t>Lower Saucon precinct 830 (Northampton) is the closest-tracking bellwether.</t>
  </si>
  <si>
    <t>Beta Coefficients</t>
  </si>
  <si>
    <t>Each precinct's beta and R-squared against the district index.</t>
  </si>
  <si>
    <t>Identifies the most reliable precinct-level predictors of the district.</t>
  </si>
  <si>
    <t>2024 Backtest</t>
  </si>
  <si>
    <t>All four methods (naive, trend, beta-adjusted, regression) tested against real 2024 results.</t>
  </si>
  <si>
    <t>Beta-Adjusted wins again (2.09 pt MAE) -- same ranking as at municipality level.</t>
  </si>
  <si>
    <t>Avg Dem Share</t>
  </si>
  <si>
    <t>Avg Margin from 50pt</t>
  </si>
  <si>
    <t>2026 Trend / Beta-Adjusted / Regression Forecast</t>
  </si>
  <si>
    <t>Stdev Dem Share</t>
  </si>
  <si>
    <t>Three independent live 2026 forecasts at precinct resolution.</t>
  </si>
  <si>
    <t>Party Flips</t>
  </si>
  <si>
    <t>48.3% Dem (R), 47.3% Dem (R), 50.9% Dem (D) -- same 2-1 split as municipality level.</t>
  </si>
  <si>
    <t>Predictability</t>
  </si>
  <si>
    <t>Model Comparison</t>
  </si>
  <si>
    <t>All three forecasts side by side.</t>
  </si>
  <si>
    <t>Cross-validates the municipality-level conclusion: a Republican-leaning toss-up.</t>
  </si>
  <si>
    <t>Methodology</t>
  </si>
  <si>
    <t>Data source, precinct-matching approach, and what's different from the municipality version.</t>
  </si>
  <si>
    <t>Read this first if you're comparing the two workbooks.</t>
  </si>
  <si>
    <t>District-wide result by year</t>
  </si>
  <si>
    <t>District Dem Votes</t>
  </si>
  <si>
    <t>District Rep Votes</t>
  </si>
  <si>
    <t>District Dem Share</t>
  </si>
  <si>
    <t>District Winner</t>
  </si>
  <si>
    <t>BEAVER MEADOWS</t>
  </si>
  <si>
    <t>40</t>
  </si>
  <si>
    <t>BOWMANSTOWN</t>
  </si>
  <si>
    <t>50</t>
  </si>
  <si>
    <t>EAST PENN</t>
  </si>
  <si>
    <t>60</t>
  </si>
  <si>
    <t>65</t>
  </si>
  <si>
    <t>Per-precinct bellwether test</t>
  </si>
  <si>
    <t>EAST SIDE</t>
  </si>
  <si>
    <t>70</t>
  </si>
  <si>
    <t>Match 2018</t>
  </si>
  <si>
    <t>Match 2020</t>
  </si>
  <si>
    <t>Match 2022</t>
  </si>
  <si>
    <t>Match 2024</t>
  </si>
  <si>
    <t>Total Matches (/4)</t>
  </si>
  <si>
    <t>Avg Point Gap vs District</t>
  </si>
  <si>
    <t>Magic Precinct?</t>
  </si>
  <si>
    <t>(h)</t>
  </si>
  <si>
    <t>FRANKLIN</t>
  </si>
  <si>
    <t>80</t>
  </si>
  <si>
    <t>90</t>
  </si>
  <si>
    <t>Precinct Beta vs. the Combined District (408 Precincts)</t>
  </si>
  <si>
    <t>100</t>
  </si>
  <si>
    <t>JIM THORPE</t>
  </si>
  <si>
    <t>110</t>
  </si>
  <si>
    <t>120</t>
  </si>
  <si>
    <t>Beta</t>
  </si>
  <si>
    <t>R-squared</t>
  </si>
  <si>
    <t>Deviation from 1.0</t>
  </si>
  <si>
    <t>Selected (Top 30 fit)</t>
  </si>
  <si>
    <t>(h) score</t>
  </si>
  <si>
    <t>(h) rank</t>
  </si>
  <si>
    <t>(h) key</t>
  </si>
  <si>
    <t>130</t>
  </si>
  <si>
    <t>140</t>
  </si>
  <si>
    <t>150</t>
  </si>
  <si>
    <t>KIDDER</t>
  </si>
  <si>
    <t>160</t>
  </si>
  <si>
    <t>170</t>
  </si>
  <si>
    <t>LANSFORD</t>
  </si>
  <si>
    <t>180</t>
  </si>
  <si>
    <t>190</t>
  </si>
  <si>
    <t>200</t>
  </si>
  <si>
    <t>LAUSANNE</t>
  </si>
  <si>
    <t>210</t>
  </si>
  <si>
    <t>LEHIGH</t>
  </si>
  <si>
    <t>220</t>
  </si>
  <si>
    <t>LEHIGHTON</t>
  </si>
  <si>
    <t>230</t>
  </si>
  <si>
    <t>240</t>
  </si>
  <si>
    <t>250</t>
  </si>
  <si>
    <t>LOWER TOWAMENSING</t>
  </si>
  <si>
    <t>260</t>
  </si>
  <si>
    <t>265</t>
  </si>
  <si>
    <t>MAHONING</t>
  </si>
  <si>
    <t>270</t>
  </si>
  <si>
    <t>280</t>
  </si>
  <si>
    <t>290</t>
  </si>
  <si>
    <t>NESQUEHONING</t>
  </si>
  <si>
    <t>300</t>
  </si>
  <si>
    <t>310</t>
  </si>
  <si>
    <t>PACKER</t>
  </si>
  <si>
    <t>320</t>
  </si>
  <si>
    <t>PALMERTON</t>
  </si>
  <si>
    <t>330</t>
  </si>
  <si>
    <t>340</t>
  </si>
  <si>
    <t>350</t>
  </si>
  <si>
    <t>PARRYVILLE</t>
  </si>
  <si>
    <t>360</t>
  </si>
  <si>
    <t>PENN FOREST</t>
  </si>
  <si>
    <t>370</t>
  </si>
  <si>
    <t>373</t>
  </si>
  <si>
    <t>375</t>
  </si>
  <si>
    <t>377</t>
  </si>
  <si>
    <t>379</t>
  </si>
  <si>
    <t>SUMMIT HILL</t>
  </si>
  <si>
    <t>380</t>
  </si>
  <si>
    <t>390</t>
  </si>
  <si>
    <t>400</t>
  </si>
  <si>
    <t>410</t>
  </si>
  <si>
    <t>TOWAMENSING</t>
  </si>
  <si>
    <t>420</t>
  </si>
  <si>
    <t>430</t>
  </si>
  <si>
    <t>435</t>
  </si>
  <si>
    <t>WEATHERLY</t>
  </si>
  <si>
    <t>440</t>
  </si>
  <si>
    <t>450</t>
  </si>
  <si>
    <t>WEISSPORT</t>
  </si>
  <si>
    <t>460</t>
  </si>
  <si>
    <t>Lehigh</t>
  </si>
  <si>
    <t>ALBURTIS</t>
  </si>
  <si>
    <t>ALLENTOWN</t>
  </si>
  <si>
    <t>20</t>
  </si>
  <si>
    <t>30</t>
  </si>
  <si>
    <t>470</t>
  </si>
  <si>
    <t>480</t>
  </si>
  <si>
    <t>500</t>
  </si>
  <si>
    <t>520</t>
  </si>
  <si>
    <t>530</t>
  </si>
  <si>
    <t>540</t>
  </si>
  <si>
    <t>550</t>
  </si>
  <si>
    <t>560</t>
  </si>
  <si>
    <t>570</t>
  </si>
  <si>
    <t>BETHLEHEM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</si>
  <si>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</si>
  <si>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</si>
  <si>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</si>
  <si>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</si>
  <si>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</si>
  <si>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</si>
  <si>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</si>
  <si>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</si>
  <si>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</si>
  <si>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</si>
  <si>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</si>
  <si>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</si>
  <si>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CATASAUQUA</t>
  </si>
  <si>
    <t>700</t>
  </si>
  <si>
    <t>710</t>
  </si>
  <si>
    <t>720</t>
  </si>
  <si>
    <t>COOPERSBURG</t>
  </si>
  <si>
    <t>730</t>
  </si>
  <si>
    <t>COPLAY</t>
  </si>
  <si>
    <t>740</t>
  </si>
  <si>
    <t>750</t>
  </si>
  <si>
    <t>EMMAUS</t>
  </si>
  <si>
    <t>760</t>
  </si>
  <si>
    <t>770</t>
  </si>
  <si>
    <t>780</t>
  </si>
  <si>
    <t>790</t>
  </si>
  <si>
    <t>800</t>
  </si>
  <si>
    <t>810</t>
  </si>
  <si>
    <t>FOUNTAIN HILL</t>
  </si>
  <si>
    <t>820</t>
  </si>
  <si>
    <t>830</t>
  </si>
  <si>
    <t>840</t>
  </si>
  <si>
    <t>HANOVER</t>
  </si>
  <si>
    <t>850</t>
  </si>
  <si>
    <t>HEIDELBERG</t>
  </si>
  <si>
    <t>860</t>
  </si>
  <si>
    <t>LOWER MACUNGIE</t>
  </si>
  <si>
    <t>870</t>
  </si>
  <si>
    <t>880</t>
  </si>
  <si>
    <t>890</t>
  </si>
  <si>
    <t>900</t>
  </si>
  <si>
    <t>910</t>
  </si>
  <si>
    <t>920</t>
  </si>
  <si>
    <t>922</t>
  </si>
  <si>
    <t>924</t>
  </si>
  <si>
    <t>926</t>
  </si>
  <si>
    <t>928</t>
  </si>
  <si>
    <t>LOWER MILFORD</t>
  </si>
  <si>
    <t>930</t>
  </si>
  <si>
    <t>LOWHILL</t>
  </si>
  <si>
    <t>940</t>
  </si>
  <si>
    <t>LYNN</t>
  </si>
  <si>
    <t>950</t>
  </si>
  <si>
    <t>960</t>
  </si>
  <si>
    <t>970</t>
  </si>
  <si>
    <t>MACUNGIE</t>
  </si>
  <si>
    <t>980</t>
  </si>
  <si>
    <t>NORTH WHITEHALL</t>
  </si>
  <si>
    <t>990</t>
  </si>
  <si>
    <t>1000</t>
  </si>
  <si>
    <t>1010</t>
  </si>
  <si>
    <t>1020</t>
  </si>
  <si>
    <t>1022</t>
  </si>
  <si>
    <t>1025</t>
  </si>
  <si>
    <t>SALISBURY</t>
  </si>
  <si>
    <t>1030</t>
  </si>
  <si>
    <t>1040</t>
  </si>
  <si>
    <t>1050</t>
  </si>
  <si>
    <t>1055</t>
  </si>
  <si>
    <t>1060</t>
  </si>
  <si>
    <t>1070</t>
  </si>
  <si>
    <t>1085</t>
  </si>
  <si>
    <t>1090</t>
  </si>
  <si>
    <t>SLATINGTON</t>
  </si>
  <si>
    <t>1100</t>
  </si>
  <si>
    <t>1110</t>
  </si>
  <si>
    <t>1120</t>
  </si>
  <si>
    <t>SOUTH WHITEHALL</t>
  </si>
  <si>
    <t>1130</t>
  </si>
  <si>
    <t>1140</t>
  </si>
  <si>
    <t>1150</t>
  </si>
  <si>
    <t>1160</t>
  </si>
  <si>
    <t>1170</t>
  </si>
  <si>
    <t>1180</t>
  </si>
  <si>
    <t>1190</t>
  </si>
  <si>
    <t>1200</t>
  </si>
  <si>
    <t>UPPER MACUNGIE</t>
  </si>
  <si>
    <t>1210</t>
  </si>
  <si>
    <t>1220</t>
  </si>
  <si>
    <t>1230</t>
  </si>
  <si>
    <t>1240</t>
  </si>
  <si>
    <t>1245</t>
  </si>
  <si>
    <t>1246</t>
  </si>
  <si>
    <t>1247</t>
  </si>
  <si>
    <t>1248</t>
  </si>
  <si>
    <t>UPPER MILFORD</t>
  </si>
  <si>
    <t>1250</t>
  </si>
  <si>
    <t>1260</t>
  </si>
  <si>
    <t>UPPER SAUCON</t>
  </si>
  <si>
    <t>1270</t>
  </si>
  <si>
    <t>1280</t>
  </si>
  <si>
    <t>1290</t>
  </si>
  <si>
    <t>1300</t>
  </si>
  <si>
    <t>1302</t>
  </si>
  <si>
    <t>1305</t>
  </si>
  <si>
    <t>WASHINGTON</t>
  </si>
  <si>
    <t>1310</t>
  </si>
  <si>
    <t>1320</t>
  </si>
  <si>
    <t>1330</t>
  </si>
  <si>
    <t>WEISENBERG</t>
  </si>
  <si>
    <t>1340</t>
  </si>
  <si>
    <t>WHITEHALL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</si>
  <si>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</si>
  <si>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</si>
  <si>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</si>
  <si>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</si>
  <si>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</si>
  <si>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</si>
  <si>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</si>
  <si>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</si>
  <si>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</si>
  <si>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</si>
  <si>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</si>
  <si>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</si>
  <si>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Monroe</t>
  </si>
  <si>
    <t>BARRETT</t>
  </si>
  <si>
    <t>5</t>
  </si>
  <si>
    <t>15</t>
  </si>
  <si>
    <t>CHESTNUTHILL</t>
  </si>
  <si>
    <t>23</t>
  </si>
  <si>
    <t>26</t>
  </si>
  <si>
    <t>33</t>
  </si>
  <si>
    <t>36</t>
  </si>
  <si>
    <t>COOLBAUGH</t>
  </si>
  <si>
    <t>43</t>
  </si>
  <si>
    <t>46</t>
  </si>
  <si>
    <t>53</t>
  </si>
  <si>
    <t>56</t>
  </si>
  <si>
    <t>DELAWARE WATER GAP</t>
  </si>
  <si>
    <t>EAST STROUDSBURG</t>
  </si>
  <si>
    <t>ELDRED</t>
  </si>
  <si>
    <t>HAMILTON</t>
  </si>
  <si>
    <t>JACKSON</t>
  </si>
  <si>
    <t>MIDDLE SMITHFIELD</t>
  </si>
  <si>
    <t>173</t>
  </si>
  <si>
    <t>MT POCONO</t>
  </si>
  <si>
    <t>PARADISE</t>
  </si>
  <si>
    <t>POCONO</t>
  </si>
  <si>
    <t>197</t>
  </si>
  <si>
    <t>204</t>
  </si>
  <si>
    <t>211</t>
  </si>
  <si>
    <t>218</t>
  </si>
  <si>
    <t>POLK</t>
  </si>
  <si>
    <t>PRICE</t>
  </si>
  <si>
    <t>SMITHFIELD</t>
  </si>
  <si>
    <t>253</t>
  </si>
  <si>
    <t>254</t>
  </si>
  <si>
    <t>256</t>
  </si>
  <si>
    <t>STROUD</t>
  </si>
  <si>
    <t>261</t>
  </si>
  <si>
    <t>267</t>
  </si>
  <si>
    <t>273</t>
  </si>
  <si>
    <t>279</t>
  </si>
  <si>
    <t>285</t>
  </si>
  <si>
    <t>291</t>
  </si>
  <si>
    <t>297</t>
  </si>
  <si>
    <t>STROUDSBURG</t>
  </si>
  <si>
    <t>TOBYHANNA</t>
  </si>
  <si>
    <t>TUNKHANNOCK</t>
  </si>
  <si>
    <t>Northampton</t>
  </si>
  <si>
    <t>ALLEN</t>
  </si>
  <si>
    <t>BANGOR</t>
  </si>
  <si>
    <t>BATH</t>
  </si>
  <si>
    <t>83</t>
  </si>
  <si>
    <t>115</t>
  </si>
  <si>
    <t>255</t>
  </si>
  <si>
    <t>336</t>
  </si>
  <si>
    <t>338</t>
  </si>
  <si>
    <t>346</t>
  </si>
  <si>
    <t>348</t>
  </si>
  <si>
    <t>349</t>
  </si>
  <si>
    <t>363</t>
  </si>
  <si>
    <t>366</t>
  </si>
  <si>
    <t>368</t>
  </si>
  <si>
    <t>378</t>
  </si>
  <si>
    <t>BUSHKILL</t>
  </si>
  <si>
    <t>CHAPMAN</t>
  </si>
  <si>
    <t>EAST ALLEN</t>
  </si>
  <si>
    <t>EAST BANGOR</t>
  </si>
  <si>
    <t>EASTON</t>
  </si>
  <si>
    <t>490</t>
  </si>
  <si>
    <t>510</t>
  </si>
  <si>
    <t>FORKS</t>
  </si>
  <si>
    <t>594</t>
  </si>
  <si>
    <t>601</t>
  </si>
  <si>
    <t>608</t>
  </si>
  <si>
    <t>615</t>
  </si>
  <si>
    <t>FREEMANSBURG</t>
  </si>
  <si>
    <t>GLENDON</t>
  </si>
  <si>
    <t>673</t>
  </si>
  <si>
    <t>677</t>
  </si>
  <si>
    <t>HELLERTOWN</t>
  </si>
  <si>
    <t>LOWER MT BETHEL</t>
  </si>
  <si>
    <t>LOWER NAZARETH</t>
  </si>
  <si>
    <t>LOWER SAUCON</t>
  </si>
  <si>
    <t>833</t>
  </si>
  <si>
    <t>837</t>
  </si>
  <si>
    <t>MOORE</t>
  </si>
  <si>
    <t>NAZARETH</t>
  </si>
  <si>
    <t>NORTH CATASAUQUA</t>
  </si>
  <si>
    <t>NORTHAMPTON</t>
  </si>
  <si>
    <t>PALMER</t>
  </si>
  <si>
    <t>PEN ARGYL</t>
  </si>
  <si>
    <t>1080</t>
  </si>
  <si>
    <t>PLAINFIELD</t>
  </si>
  <si>
    <t>PORTLAND</t>
  </si>
  <si>
    <t>ROSETO</t>
  </si>
  <si>
    <t>STOCKERTOWN</t>
  </si>
  <si>
    <t>TATAMY</t>
  </si>
  <si>
    <t>UPPER MT BETHEL</t>
  </si>
  <si>
    <t>UPPER NAZARETH</t>
  </si>
  <si>
    <t>WALNUTPORT</t>
  </si>
  <si>
    <t>WEST EASTON</t>
  </si>
  <si>
    <t>WILLIAMS</t>
  </si>
  <si>
    <t>WILSON</t>
  </si>
  <si>
    <t>WIND GAP</t>
  </si>
  <si>
    <t>Backtest: All Methods, Checked Against Real 2024 (408 Precincts)</t>
  </si>
  <si>
    <t>Precinct</t>
  </si>
  <si>
    <t>Trend Predicted</t>
  </si>
  <si>
    <t>Actual Dem Share</t>
  </si>
  <si>
    <t>Trend Error</t>
  </si>
  <si>
    <t>Naive (=2022)</t>
  </si>
  <si>
    <t>Naive Error</t>
  </si>
  <si>
    <t>Trend Correct?</t>
  </si>
  <si>
    <t>Naive Correct?</t>
  </si>
  <si>
    <t>Beta-Adj Predicted</t>
  </si>
  <si>
    <t>Beta-Adj Error</t>
  </si>
  <si>
    <t>Beta-Adj Correct?</t>
  </si>
  <si>
    <t>(h) trend abs</t>
  </si>
  <si>
    <t>(h) naive abs</t>
  </si>
  <si>
    <t>(h) beta abs</t>
  </si>
  <si>
    <t>Reg. Predicted</t>
  </si>
  <si>
    <t>Reg. Error</t>
  </si>
  <si>
    <t>Reg. Correct?</t>
  </si>
  <si>
    <t>(h) reg abs</t>
  </si>
  <si>
    <t>2026 Forecast: Simple Trend Method (Precinct Level)</t>
  </si>
  <si>
    <t>Projected Total Votes</t>
  </si>
  <si>
    <t>Projected Dem Share</t>
  </si>
  <si>
    <t>Projected Dem Votes</t>
  </si>
  <si>
    <t>Projected Rep Votes</t>
  </si>
  <si>
    <t>Projected Winner</t>
  </si>
  <si>
    <t>2026 Forecast: Beta-Adjusted Method (Precinct Level)</t>
  </si>
  <si>
    <t>2026 Forecast: Multi-Variable Regression (Precinct Level)</t>
  </si>
  <si>
    <t>Dem Share = 5.39 + 0.0211(Reg Margin, pts) - 5.726(Presidential Year) + 0.927(Lagged Dem Share). No ACS/education variable at precinct level (census tracts don't align with precincts).</t>
  </si>
  <si>
    <t>DISTRICT TOTAL</t>
  </si>
  <si>
    <t>District-wide projected Dem share</t>
  </si>
  <si>
    <t>District-wide projected winner</t>
  </si>
  <si>
    <t>2026 Forecast: All Three Methods (Precinct Level)</t>
  </si>
  <si>
    <t>Same 2-1 split found at municipality level: Trend and Beta-Adjusted lean Republican; Regression leans Democrat. Beta-Adjusted again has the best backtest track record.</t>
  </si>
  <si>
    <t>Method</t>
  </si>
  <si>
    <t>2026 Dem Share</t>
  </si>
  <si>
    <t>Backtest MAE (2024 holdout)</t>
  </si>
  <si>
    <t>Backtest Winner Accuracy</t>
  </si>
  <si>
    <t>Simple Trend</t>
  </si>
  <si>
    <t>Beta-Adjusted</t>
  </si>
  <si>
    <t>Multi-Variable Regression</t>
  </si>
  <si>
    <t>Recommended point estimate (best-backtested)</t>
  </si>
  <si>
    <t>Consistent with the municipality-level analysis: this is a Republican-leaning toss-up. Precinct-level granularity confirms rather than overturns the district-level conclusion, and Beta-Adjusted again wins the backtest, giving confidence the method choice itself is robust across geographic scale.</t>
  </si>
  <si>
    <t>Naive MAE (pts)</t>
  </si>
  <si>
    <t>Naive Winner Accuracy</t>
  </si>
  <si>
    <t>Trend MAE (pts)</t>
  </si>
  <si>
    <t>Trend Winner Accuracy</t>
  </si>
  <si>
    <t>Beta-Adjusted MAE (pts)</t>
  </si>
  <si>
    <t>Data source</t>
  </si>
  <si>
    <t>Beta-Adjusted Winner Accuracy</t>
  </si>
  <si>
    <t>PA_07_Precinct_Data.xlsx, 'Precinct Summary' tab -- certified U.S. House votes and registration by precinct, one row per precinct per election.</t>
  </si>
  <si>
    <t>Why not the 'Results' tabs</t>
  </si>
  <si>
    <t>Results 2018/2020/2022/2024 tabs have real votes too, but precinct names/codes are inconsistent year to year (e.g. numeric codes in 2022, ward names in 2024), making them unreliable for tracking the same precinct over time. Precinct Summary uses a stable (County, Municipality, Precinct Code) key across all 5 elections, which is what this workbook uses instead.</t>
  </si>
  <si>
    <t>Regression MAE (pts)</t>
  </si>
  <si>
    <t>Coverage</t>
  </si>
  <si>
    <t>408 precincts with complete, real 4-cycle vote history (2018-2024) out of ~367-370 current precincts -- the total is higher because, as with the municipality analysis, some geography's PA-07 membership changed over time (Carbon pre-2022, broader Monroe pre-remap).</t>
  </si>
  <si>
    <t>No education variable</t>
  </si>
  <si>
    <t>Unlike the municipality-level regression, this precinct-level version drops % Bachelor's Degree, since ACS census data doesn't align with precinct boundaries. The regression here uses only Registration Margin, Presidential Year, and Lagged Dem Share.</t>
  </si>
  <si>
    <t>Consistency check</t>
  </si>
  <si>
    <t>Every finding here matches the municipality-level analysis in direction: Beta-Adjusted wins the backtest, Regression is not the best-performing method, and the 2026 forecast is a Republican-leaning toss-up with the same 2-1 method split. This cross-validates the municipality-level conclusions at a finer resolution.</t>
  </si>
  <si>
    <t>Regression Winner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</si>
</sst>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4">
    <font>
      <sz val="11.0"/>
      <color theme="1"/>
      <name val="Calibri"/>
      <scheme val="minor"/>
    </font>
    <font>
      <b/>
      <sz val="15.0"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3.0"/>
      <color theme="1"/>
      <name val="Arial"/>
    </font>
    <font>
      <sz val="11.0"/>
      <color theme="1"/>
      <name val="Calibri"/>
    </font>
    <font>
      <i/>
      <sz val="8.0"/>
      <color theme="1"/>
      <name val="Cambria"/>
    </font>
    <font>
      <b/>
      <sz val="11.0"/>
      <color rgb="FF006100"/>
      <name val="Arial"/>
    </font>
    <font>
      <i/>
      <sz val="9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10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2" fillId="3" fontId="2" numFmtId="164" xfId="0" applyAlignment="1" applyBorder="1" applyFill="1" applyFont="1" applyNumberFormat="1">
      <alignment shrinkToFit="0" vertical="bottom" wrapText="0"/>
    </xf>
    <xf borderId="2" fillId="3" fontId="2" numFmtId="2" xfId="0" applyAlignment="1" applyBorder="1" applyFill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59.71"/>
    <col customWidth="1" min="3" max="3" width="69.29"/>
    <col customWidth="1" min="4" max="26" width="8.71"/>
  </cols>
  <sheetData>
    <row r="1">
      <c r="A1" s="1" t="s">
        <v>0</v>
      </c>
    </row>
    <row r="2">
      <c r="A2" s="3" t="s">
        <v>2</v>
      </c>
    </row>
    <row r="4">
      <c r="A4" s="4" t="s">
        <v>9</v>
      </c>
      <c r="B4" s="4" t="s">
        <v>14</v>
      </c>
      <c r="C4" s="4" t="s">
        <v>15</v>
      </c>
    </row>
    <row r="5" ht="38.25" customHeight="1">
      <c r="A5" s="6" t="s">
        <v>19</v>
      </c>
      <c r="B5" s="7" t="s">
        <v>20</v>
      </c>
      <c r="C5" s="7" t="s">
        <v>21</v>
      </c>
    </row>
    <row r="6" ht="34.5" customHeight="1">
      <c r="A6" s="6" t="s">
        <v>22</v>
      </c>
      <c r="B6" s="7" t="s">
        <v>23</v>
      </c>
      <c r="C6" s="7" t="s">
        <v>24</v>
      </c>
    </row>
    <row r="7" ht="33.75" customHeight="1">
      <c r="A7" s="6" t="s">
        <v>26</v>
      </c>
      <c r="B7" s="7" t="s">
        <v>27</v>
      </c>
      <c r="C7" s="7" t="s">
        <v>28</v>
      </c>
    </row>
    <row r="8" ht="32.25" customHeight="1">
      <c r="A8" s="6" t="s">
        <v>29</v>
      </c>
      <c r="B8" s="7" t="s">
        <v>30</v>
      </c>
      <c r="C8" s="7" t="s">
        <v>31</v>
      </c>
    </row>
    <row r="9" ht="37.5" customHeight="1">
      <c r="A9" s="6" t="s">
        <v>32</v>
      </c>
      <c r="B9" s="7" t="s">
        <v>33</v>
      </c>
      <c r="C9" s="7" t="s">
        <v>34</v>
      </c>
    </row>
    <row r="10" ht="38.25" customHeight="1">
      <c r="A10" s="6" t="s">
        <v>37</v>
      </c>
      <c r="B10" s="7" t="s">
        <v>39</v>
      </c>
      <c r="C10" s="7" t="s">
        <v>41</v>
      </c>
    </row>
    <row r="11" ht="39.75" customHeight="1">
      <c r="A11" s="6" t="s">
        <v>43</v>
      </c>
      <c r="B11" s="7" t="s">
        <v>44</v>
      </c>
      <c r="C11" s="7" t="s">
        <v>45</v>
      </c>
    </row>
    <row r="12" ht="38.25" customHeight="1">
      <c r="A12" s="6" t="s">
        <v>46</v>
      </c>
      <c r="B12" s="7" t="s">
        <v>47</v>
      </c>
      <c r="C12" s="7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3.29"/>
    <col customWidth="1" min="3" max="3" width="25.71"/>
    <col customWidth="1" min="4" max="4" width="15.29"/>
    <col customWidth="1" min="5" max="5" width="11.86"/>
    <col customWidth="1" min="6" max="6" width="11.29"/>
    <col customWidth="1" min="7" max="7" width="12.14"/>
    <col customWidth="1" min="8" max="8" width="14.57"/>
    <col customWidth="1" min="9" max="9" width="12.57"/>
    <col customWidth="1" min="10" max="10" width="8.86"/>
    <col customWidth="1" min="11" max="11" width="27.43"/>
    <col customWidth="1" min="12" max="26" width="8.71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13</v>
      </c>
    </row>
    <row r="2" ht="15.0" customHeight="1">
      <c r="A2" s="5">
        <v>2018.0</v>
      </c>
      <c r="B2" s="5" t="s">
        <v>16</v>
      </c>
      <c r="C2" s="5" t="s">
        <v>17</v>
      </c>
      <c r="D2" s="5" t="s">
        <v>18</v>
      </c>
      <c r="E2" s="5">
        <v>160.0</v>
      </c>
      <c r="F2" s="5">
        <v>221.0</v>
      </c>
      <c r="G2" s="5">
        <f t="shared" ref="G2:G1633" si="1">E2+F2</f>
        <v>381</v>
      </c>
      <c r="H2" s="10">
        <f t="shared" ref="H2:H1633" si="2">E2/G2</f>
        <v>0.4199475066</v>
      </c>
      <c r="I2" s="10">
        <v>0.2701</v>
      </c>
      <c r="J2" s="10">
        <v>0.5198</v>
      </c>
      <c r="K2" s="5">
        <f t="shared" ref="K2:K1633" si="3">IF(OR(A2=2020,A2=2024),1,0)</f>
        <v>0</v>
      </c>
    </row>
    <row r="3" ht="15.0" customHeight="1">
      <c r="A3" s="5">
        <v>2020.0</v>
      </c>
      <c r="B3" s="5" t="s">
        <v>16</v>
      </c>
      <c r="C3" s="5" t="s">
        <v>17</v>
      </c>
      <c r="D3" s="5" t="s">
        <v>18</v>
      </c>
      <c r="E3" s="5">
        <v>171.0</v>
      </c>
      <c r="F3" s="5">
        <v>332.0</v>
      </c>
      <c r="G3" s="5">
        <f t="shared" si="1"/>
        <v>503</v>
      </c>
      <c r="H3" s="10">
        <f t="shared" si="2"/>
        <v>0.3399602386</v>
      </c>
      <c r="I3" s="10">
        <v>0.1914</v>
      </c>
      <c r="J3" s="10">
        <v>0.6734</v>
      </c>
      <c r="K3" s="5">
        <f t="shared" si="3"/>
        <v>1</v>
      </c>
    </row>
    <row r="4" ht="15.0" customHeight="1">
      <c r="A4" s="5">
        <v>2022.0</v>
      </c>
      <c r="B4" s="5" t="s">
        <v>16</v>
      </c>
      <c r="C4" s="5" t="s">
        <v>17</v>
      </c>
      <c r="D4" s="5" t="s">
        <v>18</v>
      </c>
      <c r="E4" s="5">
        <v>137.0</v>
      </c>
      <c r="F4" s="5">
        <v>249.0</v>
      </c>
      <c r="G4" s="5">
        <f t="shared" si="1"/>
        <v>386</v>
      </c>
      <c r="H4" s="10">
        <f t="shared" si="2"/>
        <v>0.3549222798</v>
      </c>
      <c r="I4" s="10">
        <v>0.1235</v>
      </c>
      <c r="J4" s="10">
        <v>0.5813</v>
      </c>
      <c r="K4" s="5">
        <f t="shared" si="3"/>
        <v>0</v>
      </c>
    </row>
    <row r="5" ht="15.0" customHeight="1">
      <c r="A5" s="5">
        <v>2024.0</v>
      </c>
      <c r="B5" s="5" t="s">
        <v>16</v>
      </c>
      <c r="C5" s="5" t="s">
        <v>17</v>
      </c>
      <c r="D5" s="5" t="s">
        <v>18</v>
      </c>
      <c r="E5" s="5">
        <v>181.0</v>
      </c>
      <c r="F5" s="5">
        <v>285.0</v>
      </c>
      <c r="G5" s="5">
        <f t="shared" si="1"/>
        <v>466</v>
      </c>
      <c r="H5" s="10">
        <f t="shared" si="2"/>
        <v>0.3884120172</v>
      </c>
      <c r="I5" s="10">
        <v>0.0554</v>
      </c>
      <c r="J5" s="10">
        <v>0.7169</v>
      </c>
      <c r="K5" s="5">
        <f t="shared" si="3"/>
        <v>1</v>
      </c>
    </row>
    <row r="6" ht="15.0" customHeight="1">
      <c r="A6" s="5">
        <v>2018.0</v>
      </c>
      <c r="B6" s="5" t="s">
        <v>16</v>
      </c>
      <c r="C6" s="5" t="s">
        <v>54</v>
      </c>
      <c r="D6" s="5" t="s">
        <v>55</v>
      </c>
      <c r="E6" s="5">
        <v>95.0</v>
      </c>
      <c r="F6" s="5">
        <v>192.0</v>
      </c>
      <c r="G6" s="5">
        <f t="shared" si="1"/>
        <v>287</v>
      </c>
      <c r="H6" s="10">
        <f t="shared" si="2"/>
        <v>0.331010453</v>
      </c>
      <c r="I6" s="10">
        <v>0.0963</v>
      </c>
      <c r="J6" s="10">
        <v>0.4767</v>
      </c>
      <c r="K6" s="5">
        <f t="shared" si="3"/>
        <v>0</v>
      </c>
    </row>
    <row r="7" ht="15.0" customHeight="1">
      <c r="A7" s="5">
        <v>2020.0</v>
      </c>
      <c r="B7" s="5" t="s">
        <v>16</v>
      </c>
      <c r="C7" s="5" t="s">
        <v>54</v>
      </c>
      <c r="D7" s="5" t="s">
        <v>55</v>
      </c>
      <c r="E7" s="5">
        <v>100.0</v>
      </c>
      <c r="F7" s="5">
        <v>303.0</v>
      </c>
      <c r="G7" s="5">
        <f t="shared" si="1"/>
        <v>403</v>
      </c>
      <c r="H7" s="10">
        <f t="shared" si="2"/>
        <v>0.2481389578</v>
      </c>
      <c r="I7" s="10">
        <v>-0.0357</v>
      </c>
      <c r="J7" s="10">
        <v>0.6542</v>
      </c>
      <c r="K7" s="5">
        <f t="shared" si="3"/>
        <v>1</v>
      </c>
    </row>
    <row r="8" ht="15.0" customHeight="1">
      <c r="A8" s="5">
        <v>2022.0</v>
      </c>
      <c r="B8" s="5" t="s">
        <v>16</v>
      </c>
      <c r="C8" s="5" t="s">
        <v>54</v>
      </c>
      <c r="D8" s="5" t="s">
        <v>55</v>
      </c>
      <c r="E8" s="5">
        <v>84.0</v>
      </c>
      <c r="F8" s="5">
        <v>230.0</v>
      </c>
      <c r="G8" s="5">
        <f t="shared" si="1"/>
        <v>314</v>
      </c>
      <c r="H8" s="10">
        <f t="shared" si="2"/>
        <v>0.2675159236</v>
      </c>
      <c r="I8" s="10">
        <v>-0.1336</v>
      </c>
      <c r="J8" s="10">
        <v>0.5377</v>
      </c>
      <c r="K8" s="5">
        <f t="shared" si="3"/>
        <v>0</v>
      </c>
    </row>
    <row r="9" ht="15.0" customHeight="1">
      <c r="A9" s="5">
        <v>2024.0</v>
      </c>
      <c r="B9" s="5" t="s">
        <v>16</v>
      </c>
      <c r="C9" s="5" t="s">
        <v>54</v>
      </c>
      <c r="D9" s="5" t="s">
        <v>55</v>
      </c>
      <c r="E9" s="5">
        <v>118.0</v>
      </c>
      <c r="F9" s="5">
        <v>300.0</v>
      </c>
      <c r="G9" s="5">
        <f t="shared" si="1"/>
        <v>418</v>
      </c>
      <c r="H9" s="10">
        <f t="shared" si="2"/>
        <v>0.2822966507</v>
      </c>
      <c r="I9" s="10">
        <v>-0.2282</v>
      </c>
      <c r="J9" s="10">
        <v>0.6764</v>
      </c>
      <c r="K9" s="5">
        <f t="shared" si="3"/>
        <v>1</v>
      </c>
    </row>
    <row r="10" ht="15.0" customHeight="1">
      <c r="A10" s="5">
        <v>2018.0</v>
      </c>
      <c r="B10" s="5" t="s">
        <v>16</v>
      </c>
      <c r="C10" s="5" t="s">
        <v>56</v>
      </c>
      <c r="D10" s="5" t="s">
        <v>57</v>
      </c>
      <c r="E10" s="5">
        <v>110.0</v>
      </c>
      <c r="F10" s="5">
        <v>175.0</v>
      </c>
      <c r="G10" s="5">
        <f t="shared" si="1"/>
        <v>285</v>
      </c>
      <c r="H10" s="10">
        <f t="shared" si="2"/>
        <v>0.3859649123</v>
      </c>
      <c r="I10" s="10">
        <v>-0.0055</v>
      </c>
      <c r="J10" s="10">
        <v>0.5258</v>
      </c>
      <c r="K10" s="5">
        <f t="shared" si="3"/>
        <v>0</v>
      </c>
    </row>
    <row r="11" ht="15.0" customHeight="1">
      <c r="A11" s="5">
        <v>2020.0</v>
      </c>
      <c r="B11" s="5" t="s">
        <v>16</v>
      </c>
      <c r="C11" s="5" t="s">
        <v>56</v>
      </c>
      <c r="D11" s="5" t="s">
        <v>57</v>
      </c>
      <c r="E11" s="5">
        <v>111.0</v>
      </c>
      <c r="F11" s="5">
        <v>317.0</v>
      </c>
      <c r="G11" s="5">
        <f t="shared" si="1"/>
        <v>428</v>
      </c>
      <c r="H11" s="10">
        <f t="shared" si="2"/>
        <v>0.2593457944</v>
      </c>
      <c r="I11" s="10">
        <v>-0.1522</v>
      </c>
      <c r="J11" s="10">
        <v>0.7157</v>
      </c>
      <c r="K11" s="5">
        <f t="shared" si="3"/>
        <v>1</v>
      </c>
    </row>
    <row r="12" ht="15.0" customHeight="1">
      <c r="A12" s="5">
        <v>2022.0</v>
      </c>
      <c r="B12" s="5" t="s">
        <v>16</v>
      </c>
      <c r="C12" s="5" t="s">
        <v>56</v>
      </c>
      <c r="D12" s="5" t="s">
        <v>57</v>
      </c>
      <c r="E12" s="5">
        <v>125.0</v>
      </c>
      <c r="F12" s="5">
        <v>223.0</v>
      </c>
      <c r="G12" s="5">
        <f t="shared" si="1"/>
        <v>348</v>
      </c>
      <c r="H12" s="10">
        <f t="shared" si="2"/>
        <v>0.3591954023</v>
      </c>
      <c r="I12" s="10">
        <v>-0.1956</v>
      </c>
      <c r="J12" s="10">
        <v>0.6362</v>
      </c>
      <c r="K12" s="5">
        <f t="shared" si="3"/>
        <v>0</v>
      </c>
    </row>
    <row r="13" ht="15.0" customHeight="1">
      <c r="A13" s="5">
        <v>2024.0</v>
      </c>
      <c r="B13" s="5" t="s">
        <v>16</v>
      </c>
      <c r="C13" s="5" t="s">
        <v>56</v>
      </c>
      <c r="D13" s="5" t="s">
        <v>57</v>
      </c>
      <c r="E13" s="5">
        <v>144.0</v>
      </c>
      <c r="F13" s="5">
        <v>310.0</v>
      </c>
      <c r="G13" s="5">
        <f t="shared" si="1"/>
        <v>454</v>
      </c>
      <c r="H13" s="10">
        <f t="shared" si="2"/>
        <v>0.3171806167</v>
      </c>
      <c r="I13" s="10">
        <v>-0.1989</v>
      </c>
      <c r="J13" s="10">
        <v>0.8064</v>
      </c>
      <c r="K13" s="5">
        <f t="shared" si="3"/>
        <v>1</v>
      </c>
    </row>
    <row r="14" ht="15.0" customHeight="1">
      <c r="A14" s="5">
        <v>2018.0</v>
      </c>
      <c r="B14" s="5" t="s">
        <v>16</v>
      </c>
      <c r="C14" s="5" t="s">
        <v>58</v>
      </c>
      <c r="D14" s="5" t="s">
        <v>59</v>
      </c>
      <c r="E14" s="5">
        <v>201.0</v>
      </c>
      <c r="F14" s="5">
        <v>409.0</v>
      </c>
      <c r="G14" s="5">
        <f t="shared" si="1"/>
        <v>610</v>
      </c>
      <c r="H14" s="10">
        <f t="shared" si="2"/>
        <v>0.3295081967</v>
      </c>
      <c r="I14" s="10">
        <v>-0.1844</v>
      </c>
      <c r="J14" s="10">
        <v>0.6016</v>
      </c>
      <c r="K14" s="5">
        <f t="shared" si="3"/>
        <v>0</v>
      </c>
    </row>
    <row r="15" ht="15.0" customHeight="1">
      <c r="A15" s="5">
        <v>2020.0</v>
      </c>
      <c r="B15" s="5" t="s">
        <v>16</v>
      </c>
      <c r="C15" s="5" t="s">
        <v>58</v>
      </c>
      <c r="D15" s="5" t="s">
        <v>59</v>
      </c>
      <c r="E15" s="5">
        <v>196.0</v>
      </c>
      <c r="F15" s="5">
        <v>587.0</v>
      </c>
      <c r="G15" s="5">
        <f t="shared" si="1"/>
        <v>783</v>
      </c>
      <c r="H15" s="10">
        <f t="shared" si="2"/>
        <v>0.2503192848</v>
      </c>
      <c r="I15" s="10">
        <v>-0.2544</v>
      </c>
      <c r="J15" s="10">
        <v>0.7297</v>
      </c>
      <c r="K15" s="5">
        <f t="shared" si="3"/>
        <v>1</v>
      </c>
    </row>
    <row r="16" ht="15.0" customHeight="1">
      <c r="A16" s="5">
        <v>2022.0</v>
      </c>
      <c r="B16" s="5" t="s">
        <v>16</v>
      </c>
      <c r="C16" s="5" t="s">
        <v>58</v>
      </c>
      <c r="D16" s="5" t="s">
        <v>59</v>
      </c>
      <c r="E16" s="5">
        <v>195.0</v>
      </c>
      <c r="F16" s="5">
        <v>503.0</v>
      </c>
      <c r="G16" s="5">
        <f t="shared" si="1"/>
        <v>698</v>
      </c>
      <c r="H16" s="10">
        <f t="shared" si="2"/>
        <v>0.2793696275</v>
      </c>
      <c r="I16" s="10">
        <v>-0.2936</v>
      </c>
      <c r="J16" s="10">
        <v>0.6764</v>
      </c>
      <c r="K16" s="5">
        <f t="shared" si="3"/>
        <v>0</v>
      </c>
    </row>
    <row r="17" ht="15.0" customHeight="1">
      <c r="A17" s="5">
        <v>2024.0</v>
      </c>
      <c r="B17" s="5" t="s">
        <v>16</v>
      </c>
      <c r="C17" s="5" t="s">
        <v>58</v>
      </c>
      <c r="D17" s="5" t="s">
        <v>59</v>
      </c>
      <c r="E17" s="5">
        <v>204.0</v>
      </c>
      <c r="F17" s="5">
        <v>643.0</v>
      </c>
      <c r="G17" s="5">
        <f t="shared" si="1"/>
        <v>847</v>
      </c>
      <c r="H17" s="10">
        <f t="shared" si="2"/>
        <v>0.240850059</v>
      </c>
      <c r="I17" s="10">
        <v>-0.3556</v>
      </c>
      <c r="J17" s="10">
        <v>0.7843</v>
      </c>
      <c r="K17" s="5">
        <f t="shared" si="3"/>
        <v>1</v>
      </c>
    </row>
    <row r="18" ht="15.0" customHeight="1">
      <c r="A18" s="5">
        <v>2018.0</v>
      </c>
      <c r="B18" s="5" t="s">
        <v>16</v>
      </c>
      <c r="C18" s="5" t="s">
        <v>58</v>
      </c>
      <c r="D18" s="5" t="s">
        <v>60</v>
      </c>
      <c r="E18" s="5">
        <v>168.0</v>
      </c>
      <c r="F18" s="5">
        <v>333.0</v>
      </c>
      <c r="G18" s="5">
        <f t="shared" si="1"/>
        <v>501</v>
      </c>
      <c r="H18" s="10">
        <f t="shared" si="2"/>
        <v>0.3353293413</v>
      </c>
      <c r="I18" s="10">
        <v>-0.082</v>
      </c>
      <c r="J18" s="10">
        <v>0.5335</v>
      </c>
      <c r="K18" s="5">
        <f t="shared" si="3"/>
        <v>0</v>
      </c>
    </row>
    <row r="19" ht="15.0" customHeight="1">
      <c r="A19" s="5">
        <v>2020.0</v>
      </c>
      <c r="B19" s="5" t="s">
        <v>16</v>
      </c>
      <c r="C19" s="5" t="s">
        <v>58</v>
      </c>
      <c r="D19" s="5" t="s">
        <v>60</v>
      </c>
      <c r="E19" s="5">
        <v>194.0</v>
      </c>
      <c r="F19" s="5">
        <v>593.0</v>
      </c>
      <c r="G19" s="5">
        <f t="shared" si="1"/>
        <v>787</v>
      </c>
      <c r="H19" s="10">
        <f t="shared" si="2"/>
        <v>0.2465057179</v>
      </c>
      <c r="I19" s="10">
        <v>-0.1735</v>
      </c>
      <c r="J19" s="10">
        <v>0.7671</v>
      </c>
      <c r="K19" s="5">
        <f t="shared" si="3"/>
        <v>1</v>
      </c>
    </row>
    <row r="20" ht="15.0" customHeight="1">
      <c r="A20" s="5">
        <v>2022.0</v>
      </c>
      <c r="B20" s="5" t="s">
        <v>16</v>
      </c>
      <c r="C20" s="5" t="s">
        <v>58</v>
      </c>
      <c r="D20" s="5" t="s">
        <v>60</v>
      </c>
      <c r="E20" s="5">
        <v>177.0</v>
      </c>
      <c r="F20" s="5">
        <v>422.0</v>
      </c>
      <c r="G20" s="5">
        <f t="shared" si="1"/>
        <v>599</v>
      </c>
      <c r="H20" s="10">
        <f t="shared" si="2"/>
        <v>0.2954924875</v>
      </c>
      <c r="I20" s="10">
        <v>-0.256</v>
      </c>
      <c r="J20" s="10">
        <v>0.6259</v>
      </c>
      <c r="K20" s="5">
        <f t="shared" si="3"/>
        <v>0</v>
      </c>
    </row>
    <row r="21" ht="15.0" customHeight="1">
      <c r="A21" s="5">
        <v>2024.0</v>
      </c>
      <c r="B21" s="5" t="s">
        <v>16</v>
      </c>
      <c r="C21" s="5" t="s">
        <v>58</v>
      </c>
      <c r="D21" s="5" t="s">
        <v>60</v>
      </c>
      <c r="E21" s="5">
        <v>234.0</v>
      </c>
      <c r="F21" s="5">
        <v>610.0</v>
      </c>
      <c r="G21" s="5">
        <f t="shared" si="1"/>
        <v>844</v>
      </c>
      <c r="H21" s="10">
        <f t="shared" si="2"/>
        <v>0.2772511848</v>
      </c>
      <c r="I21" s="10">
        <v>-0.3226</v>
      </c>
      <c r="J21" s="10">
        <v>0.8226</v>
      </c>
      <c r="K21" s="5">
        <f t="shared" si="3"/>
        <v>1</v>
      </c>
    </row>
    <row r="22" ht="15.0" customHeight="1">
      <c r="A22" s="5">
        <v>2018.0</v>
      </c>
      <c r="B22" s="5" t="s">
        <v>16</v>
      </c>
      <c r="C22" s="5" t="s">
        <v>62</v>
      </c>
      <c r="D22" s="5" t="s">
        <v>63</v>
      </c>
      <c r="E22" s="5">
        <v>34.0</v>
      </c>
      <c r="F22" s="5">
        <v>43.0</v>
      </c>
      <c r="G22" s="5">
        <f t="shared" si="1"/>
        <v>77</v>
      </c>
      <c r="H22" s="10">
        <f t="shared" si="2"/>
        <v>0.4415584416</v>
      </c>
      <c r="I22" s="10">
        <v>-0.018</v>
      </c>
      <c r="J22" s="10">
        <v>0.4611</v>
      </c>
      <c r="K22" s="5">
        <f t="shared" si="3"/>
        <v>0</v>
      </c>
    </row>
    <row r="23" ht="15.0" customHeight="1">
      <c r="A23" s="5">
        <v>2020.0</v>
      </c>
      <c r="B23" s="5" t="s">
        <v>16</v>
      </c>
      <c r="C23" s="5" t="s">
        <v>62</v>
      </c>
      <c r="D23" s="5" t="s">
        <v>63</v>
      </c>
      <c r="E23" s="5">
        <v>47.0</v>
      </c>
      <c r="F23" s="5">
        <v>74.0</v>
      </c>
      <c r="G23" s="5">
        <f t="shared" si="1"/>
        <v>121</v>
      </c>
      <c r="H23" s="10">
        <f t="shared" si="2"/>
        <v>0.3884297521</v>
      </c>
      <c r="I23" s="10">
        <v>0.0054</v>
      </c>
      <c r="J23" s="10">
        <v>0.6576</v>
      </c>
      <c r="K23" s="5">
        <f t="shared" si="3"/>
        <v>1</v>
      </c>
    </row>
    <row r="24" ht="15.0" customHeight="1">
      <c r="A24" s="5">
        <v>2022.0</v>
      </c>
      <c r="B24" s="5" t="s">
        <v>16</v>
      </c>
      <c r="C24" s="5" t="s">
        <v>62</v>
      </c>
      <c r="D24" s="5" t="s">
        <v>63</v>
      </c>
      <c r="E24" s="5">
        <v>33.0</v>
      </c>
      <c r="F24" s="5">
        <v>61.0</v>
      </c>
      <c r="G24" s="5">
        <f t="shared" si="1"/>
        <v>94</v>
      </c>
      <c r="H24" s="10">
        <f t="shared" si="2"/>
        <v>0.3510638298</v>
      </c>
      <c r="I24" s="10">
        <v>-0.061</v>
      </c>
      <c r="J24" s="10">
        <v>0.5732</v>
      </c>
      <c r="K24" s="5">
        <f t="shared" si="3"/>
        <v>0</v>
      </c>
    </row>
    <row r="25" ht="15.0" customHeight="1">
      <c r="A25" s="5">
        <v>2024.0</v>
      </c>
      <c r="B25" s="5" t="s">
        <v>16</v>
      </c>
      <c r="C25" s="5" t="s">
        <v>62</v>
      </c>
      <c r="D25" s="5" t="s">
        <v>63</v>
      </c>
      <c r="E25" s="5">
        <v>38.0</v>
      </c>
      <c r="F25" s="5">
        <v>78.0</v>
      </c>
      <c r="G25" s="5">
        <f t="shared" si="1"/>
        <v>116</v>
      </c>
      <c r="H25" s="10">
        <f t="shared" si="2"/>
        <v>0.3275862069</v>
      </c>
      <c r="I25" s="10">
        <v>-0.1118</v>
      </c>
      <c r="J25" s="10">
        <v>0.6824</v>
      </c>
      <c r="K25" s="5">
        <f t="shared" si="3"/>
        <v>1</v>
      </c>
    </row>
    <row r="26" ht="15.0" customHeight="1">
      <c r="A26" s="5">
        <v>2018.0</v>
      </c>
      <c r="B26" s="5" t="s">
        <v>16</v>
      </c>
      <c r="C26" s="5" t="s">
        <v>72</v>
      </c>
      <c r="D26" s="5" t="s">
        <v>73</v>
      </c>
      <c r="E26" s="5">
        <v>132.0</v>
      </c>
      <c r="F26" s="5">
        <v>254.0</v>
      </c>
      <c r="G26" s="5">
        <f t="shared" si="1"/>
        <v>386</v>
      </c>
      <c r="H26" s="10">
        <f t="shared" si="2"/>
        <v>0.3419689119</v>
      </c>
      <c r="I26" s="10">
        <v>-0.1352</v>
      </c>
      <c r="J26" s="10">
        <v>0.4831</v>
      </c>
      <c r="K26" s="5">
        <f t="shared" si="3"/>
        <v>0</v>
      </c>
    </row>
    <row r="27" ht="15.0" customHeight="1">
      <c r="A27" s="5">
        <v>2020.0</v>
      </c>
      <c r="B27" s="5" t="s">
        <v>16</v>
      </c>
      <c r="C27" s="5" t="s">
        <v>72</v>
      </c>
      <c r="D27" s="5" t="s">
        <v>73</v>
      </c>
      <c r="E27" s="5">
        <v>163.0</v>
      </c>
      <c r="F27" s="5">
        <v>443.0</v>
      </c>
      <c r="G27" s="5">
        <f t="shared" si="1"/>
        <v>606</v>
      </c>
      <c r="H27" s="10">
        <f t="shared" si="2"/>
        <v>0.2689768977</v>
      </c>
      <c r="I27" s="10">
        <v>-0.2301</v>
      </c>
      <c r="J27" s="10">
        <v>0.6902</v>
      </c>
      <c r="K27" s="5">
        <f t="shared" si="3"/>
        <v>1</v>
      </c>
    </row>
    <row r="28" ht="15.0" customHeight="1">
      <c r="A28" s="5">
        <v>2022.0</v>
      </c>
      <c r="B28" s="5" t="s">
        <v>16</v>
      </c>
      <c r="C28" s="5" t="s">
        <v>72</v>
      </c>
      <c r="D28" s="5" t="s">
        <v>73</v>
      </c>
      <c r="E28" s="5">
        <v>133.0</v>
      </c>
      <c r="F28" s="5">
        <v>321.0</v>
      </c>
      <c r="G28" s="5">
        <f t="shared" si="1"/>
        <v>454</v>
      </c>
      <c r="H28" s="10">
        <f t="shared" si="2"/>
        <v>0.2929515419</v>
      </c>
      <c r="I28" s="10">
        <v>-0.2755</v>
      </c>
      <c r="J28" s="10">
        <v>0.551</v>
      </c>
      <c r="K28" s="5">
        <f t="shared" si="3"/>
        <v>0</v>
      </c>
    </row>
    <row r="29" ht="15.0" customHeight="1">
      <c r="A29" s="5">
        <v>2024.0</v>
      </c>
      <c r="B29" s="5" t="s">
        <v>16</v>
      </c>
      <c r="C29" s="5" t="s">
        <v>72</v>
      </c>
      <c r="D29" s="5" t="s">
        <v>73</v>
      </c>
      <c r="E29" s="5">
        <v>164.0</v>
      </c>
      <c r="F29" s="5">
        <v>451.0</v>
      </c>
      <c r="G29" s="5">
        <f t="shared" si="1"/>
        <v>615</v>
      </c>
      <c r="H29" s="10">
        <f t="shared" si="2"/>
        <v>0.2666666667</v>
      </c>
      <c r="I29" s="10">
        <v>-0.3087</v>
      </c>
      <c r="J29" s="10">
        <v>0.7218</v>
      </c>
      <c r="K29" s="5">
        <f t="shared" si="3"/>
        <v>1</v>
      </c>
    </row>
    <row r="30" ht="15.0" customHeight="1">
      <c r="A30" s="5">
        <v>2018.0</v>
      </c>
      <c r="B30" s="5" t="s">
        <v>16</v>
      </c>
      <c r="C30" s="5" t="s">
        <v>72</v>
      </c>
      <c r="D30" s="5" t="s">
        <v>74</v>
      </c>
      <c r="E30" s="5">
        <v>245.0</v>
      </c>
      <c r="F30" s="5">
        <v>473.0</v>
      </c>
      <c r="G30" s="5">
        <f t="shared" si="1"/>
        <v>718</v>
      </c>
      <c r="H30" s="10">
        <f t="shared" si="2"/>
        <v>0.3412256267</v>
      </c>
      <c r="I30" s="10">
        <v>-0.1623</v>
      </c>
      <c r="J30" s="10">
        <v>0.5944</v>
      </c>
      <c r="K30" s="5">
        <f t="shared" si="3"/>
        <v>0</v>
      </c>
    </row>
    <row r="31" ht="15.0" customHeight="1">
      <c r="A31" s="5">
        <v>2020.0</v>
      </c>
      <c r="B31" s="5" t="s">
        <v>16</v>
      </c>
      <c r="C31" s="5" t="s">
        <v>72</v>
      </c>
      <c r="D31" s="5" t="s">
        <v>74</v>
      </c>
      <c r="E31" s="5">
        <v>268.0</v>
      </c>
      <c r="F31" s="5">
        <v>753.0</v>
      </c>
      <c r="G31" s="5">
        <f t="shared" si="1"/>
        <v>1021</v>
      </c>
      <c r="H31" s="10">
        <f t="shared" si="2"/>
        <v>0.2624877571</v>
      </c>
      <c r="I31" s="10">
        <v>-0.2389</v>
      </c>
      <c r="J31" s="10">
        <v>0.7717</v>
      </c>
      <c r="K31" s="5">
        <f t="shared" si="3"/>
        <v>1</v>
      </c>
    </row>
    <row r="32" ht="15.0" customHeight="1">
      <c r="A32" s="5">
        <v>2022.0</v>
      </c>
      <c r="B32" s="5" t="s">
        <v>16</v>
      </c>
      <c r="C32" s="5" t="s">
        <v>72</v>
      </c>
      <c r="D32" s="5" t="s">
        <v>74</v>
      </c>
      <c r="E32" s="5">
        <v>250.0</v>
      </c>
      <c r="F32" s="5">
        <v>589.0</v>
      </c>
      <c r="G32" s="5">
        <f t="shared" si="1"/>
        <v>839</v>
      </c>
      <c r="H32" s="10">
        <f t="shared" si="2"/>
        <v>0.2979737783</v>
      </c>
      <c r="I32" s="10">
        <v>-0.2732</v>
      </c>
      <c r="J32" s="10">
        <v>0.6664</v>
      </c>
      <c r="K32" s="5">
        <f t="shared" si="3"/>
        <v>0</v>
      </c>
    </row>
    <row r="33" ht="15.0" customHeight="1">
      <c r="A33" s="5">
        <v>2024.0</v>
      </c>
      <c r="B33" s="5" t="s">
        <v>16</v>
      </c>
      <c r="C33" s="5" t="s">
        <v>72</v>
      </c>
      <c r="D33" s="5" t="s">
        <v>74</v>
      </c>
      <c r="E33" s="5">
        <v>309.0</v>
      </c>
      <c r="F33" s="5">
        <v>765.0</v>
      </c>
      <c r="G33" s="5">
        <f t="shared" si="1"/>
        <v>1074</v>
      </c>
      <c r="H33" s="10">
        <f t="shared" si="2"/>
        <v>0.2877094972</v>
      </c>
      <c r="I33" s="10">
        <v>-0.3213</v>
      </c>
      <c r="J33" s="10">
        <v>0.8217</v>
      </c>
      <c r="K33" s="5">
        <f t="shared" si="3"/>
        <v>1</v>
      </c>
    </row>
    <row r="34" ht="15.0" customHeight="1">
      <c r="A34" s="5">
        <v>2018.0</v>
      </c>
      <c r="B34" s="5" t="s">
        <v>16</v>
      </c>
      <c r="C34" s="5" t="s">
        <v>72</v>
      </c>
      <c r="D34" s="5" t="s">
        <v>76</v>
      </c>
      <c r="E34" s="5">
        <v>159.0</v>
      </c>
      <c r="F34" s="5">
        <v>395.0</v>
      </c>
      <c r="G34" s="5">
        <f t="shared" si="1"/>
        <v>554</v>
      </c>
      <c r="H34" s="10">
        <f t="shared" si="2"/>
        <v>0.2870036101</v>
      </c>
      <c r="I34" s="10">
        <v>-0.2383</v>
      </c>
      <c r="J34" s="10">
        <v>0.5741</v>
      </c>
      <c r="K34" s="5">
        <f t="shared" si="3"/>
        <v>0</v>
      </c>
    </row>
    <row r="35" ht="15.0" customHeight="1">
      <c r="A35" s="5">
        <v>2020.0</v>
      </c>
      <c r="B35" s="5" t="s">
        <v>16</v>
      </c>
      <c r="C35" s="5" t="s">
        <v>72</v>
      </c>
      <c r="D35" s="5" t="s">
        <v>76</v>
      </c>
      <c r="E35" s="5">
        <v>200.0</v>
      </c>
      <c r="F35" s="5">
        <v>632.0</v>
      </c>
      <c r="G35" s="5">
        <f t="shared" si="1"/>
        <v>832</v>
      </c>
      <c r="H35" s="10">
        <f t="shared" si="2"/>
        <v>0.2403846154</v>
      </c>
      <c r="I35" s="10">
        <v>-0.2878</v>
      </c>
      <c r="J35" s="10">
        <v>0.7954</v>
      </c>
      <c r="K35" s="5">
        <f t="shared" si="3"/>
        <v>1</v>
      </c>
    </row>
    <row r="36" ht="15.0" customHeight="1">
      <c r="A36" s="5">
        <v>2022.0</v>
      </c>
      <c r="B36" s="5" t="s">
        <v>16</v>
      </c>
      <c r="C36" s="5" t="s">
        <v>72</v>
      </c>
      <c r="D36" s="5" t="s">
        <v>76</v>
      </c>
      <c r="E36" s="5">
        <v>177.0</v>
      </c>
      <c r="F36" s="5">
        <v>488.0</v>
      </c>
      <c r="G36" s="5">
        <f t="shared" si="1"/>
        <v>665</v>
      </c>
      <c r="H36" s="10">
        <f t="shared" si="2"/>
        <v>0.2661654135</v>
      </c>
      <c r="I36" s="10">
        <v>-0.31</v>
      </c>
      <c r="J36" s="10">
        <v>0.6545</v>
      </c>
      <c r="K36" s="5">
        <f t="shared" si="3"/>
        <v>0</v>
      </c>
    </row>
    <row r="37" ht="15.0" customHeight="1">
      <c r="A37" s="5">
        <v>2024.0</v>
      </c>
      <c r="B37" s="5" t="s">
        <v>16</v>
      </c>
      <c r="C37" s="5" t="s">
        <v>72</v>
      </c>
      <c r="D37" s="5" t="s">
        <v>76</v>
      </c>
      <c r="E37" s="5">
        <v>235.0</v>
      </c>
      <c r="F37" s="5">
        <v>630.0</v>
      </c>
      <c r="G37" s="5">
        <f t="shared" si="1"/>
        <v>865</v>
      </c>
      <c r="H37" s="10">
        <f t="shared" si="2"/>
        <v>0.2716763006</v>
      </c>
      <c r="I37" s="10">
        <v>-0.3419</v>
      </c>
      <c r="J37" s="10">
        <v>0.8215</v>
      </c>
      <c r="K37" s="5">
        <f t="shared" si="3"/>
        <v>1</v>
      </c>
    </row>
    <row r="38" ht="15.0" customHeight="1">
      <c r="A38" s="5">
        <v>2018.0</v>
      </c>
      <c r="B38" s="5" t="s">
        <v>16</v>
      </c>
      <c r="C38" s="5" t="s">
        <v>77</v>
      </c>
      <c r="D38" s="5" t="s">
        <v>78</v>
      </c>
      <c r="E38" s="5">
        <v>218.0</v>
      </c>
      <c r="F38" s="5">
        <v>182.0</v>
      </c>
      <c r="G38" s="5">
        <f t="shared" si="1"/>
        <v>400</v>
      </c>
      <c r="H38" s="10">
        <f t="shared" si="2"/>
        <v>0.545</v>
      </c>
      <c r="I38" s="10">
        <v>0.2182</v>
      </c>
      <c r="J38" s="10">
        <v>0.5594</v>
      </c>
      <c r="K38" s="5">
        <f t="shared" si="3"/>
        <v>0</v>
      </c>
    </row>
    <row r="39" ht="15.0" customHeight="1">
      <c r="A39" s="5">
        <v>2020.0</v>
      </c>
      <c r="B39" s="5" t="s">
        <v>16</v>
      </c>
      <c r="C39" s="5" t="s">
        <v>77</v>
      </c>
      <c r="D39" s="5" t="s">
        <v>78</v>
      </c>
      <c r="E39" s="5">
        <v>231.0</v>
      </c>
      <c r="F39" s="5">
        <v>313.0</v>
      </c>
      <c r="G39" s="5">
        <f t="shared" si="1"/>
        <v>544</v>
      </c>
      <c r="H39" s="10">
        <f t="shared" si="2"/>
        <v>0.4246323529</v>
      </c>
      <c r="I39" s="10">
        <v>0.1202</v>
      </c>
      <c r="J39" s="10">
        <v>0.7028</v>
      </c>
      <c r="K39" s="5">
        <f t="shared" si="3"/>
        <v>1</v>
      </c>
    </row>
    <row r="40" ht="15.0" customHeight="1">
      <c r="A40" s="5">
        <v>2022.0</v>
      </c>
      <c r="B40" s="5" t="s">
        <v>16</v>
      </c>
      <c r="C40" s="5" t="s">
        <v>77</v>
      </c>
      <c r="D40" s="5" t="s">
        <v>78</v>
      </c>
      <c r="E40" s="5">
        <v>200.0</v>
      </c>
      <c r="F40" s="5">
        <v>240.0</v>
      </c>
      <c r="G40" s="5">
        <f t="shared" si="1"/>
        <v>440</v>
      </c>
      <c r="H40" s="10">
        <f t="shared" si="2"/>
        <v>0.4545454545</v>
      </c>
      <c r="I40" s="10">
        <v>0.0697</v>
      </c>
      <c r="J40" s="10">
        <v>0.6259</v>
      </c>
      <c r="K40" s="5">
        <f t="shared" si="3"/>
        <v>0</v>
      </c>
    </row>
    <row r="41" ht="15.0" customHeight="1">
      <c r="A41" s="5">
        <v>2024.0</v>
      </c>
      <c r="B41" s="5" t="s">
        <v>16</v>
      </c>
      <c r="C41" s="5" t="s">
        <v>77</v>
      </c>
      <c r="D41" s="5" t="s">
        <v>78</v>
      </c>
      <c r="E41" s="5">
        <v>234.0</v>
      </c>
      <c r="F41" s="5">
        <v>298.0</v>
      </c>
      <c r="G41" s="5">
        <f t="shared" si="1"/>
        <v>532</v>
      </c>
      <c r="H41" s="10">
        <f t="shared" si="2"/>
        <v>0.4398496241</v>
      </c>
      <c r="I41" s="10">
        <v>0.0568</v>
      </c>
      <c r="J41" s="10">
        <v>0.7557</v>
      </c>
      <c r="K41" s="5">
        <f t="shared" si="3"/>
        <v>1</v>
      </c>
    </row>
    <row r="42" ht="15.0" customHeight="1">
      <c r="A42" s="5">
        <v>2018.0</v>
      </c>
      <c r="B42" s="5" t="s">
        <v>16</v>
      </c>
      <c r="C42" s="5" t="s">
        <v>77</v>
      </c>
      <c r="D42" s="5" t="s">
        <v>79</v>
      </c>
      <c r="E42" s="5">
        <v>110.0</v>
      </c>
      <c r="F42" s="5">
        <v>146.0</v>
      </c>
      <c r="G42" s="5">
        <f t="shared" si="1"/>
        <v>256</v>
      </c>
      <c r="H42" s="10">
        <f t="shared" si="2"/>
        <v>0.4296875</v>
      </c>
      <c r="I42" s="10">
        <v>0.2046</v>
      </c>
      <c r="J42" s="10">
        <v>0.4942</v>
      </c>
      <c r="K42" s="5">
        <f t="shared" si="3"/>
        <v>0</v>
      </c>
    </row>
    <row r="43" ht="15.0" customHeight="1">
      <c r="A43" s="5">
        <v>2020.0</v>
      </c>
      <c r="B43" s="5" t="s">
        <v>16</v>
      </c>
      <c r="C43" s="5" t="s">
        <v>77</v>
      </c>
      <c r="D43" s="5" t="s">
        <v>79</v>
      </c>
      <c r="E43" s="5">
        <v>147.0</v>
      </c>
      <c r="F43" s="5">
        <v>243.0</v>
      </c>
      <c r="G43" s="5">
        <f t="shared" si="1"/>
        <v>390</v>
      </c>
      <c r="H43" s="10">
        <f t="shared" si="2"/>
        <v>0.3769230769</v>
      </c>
      <c r="I43" s="10">
        <v>0.1301</v>
      </c>
      <c r="J43" s="10">
        <v>0.6952</v>
      </c>
      <c r="K43" s="5">
        <f t="shared" si="3"/>
        <v>1</v>
      </c>
    </row>
    <row r="44" ht="15.0" customHeight="1">
      <c r="A44" s="5">
        <v>2022.0</v>
      </c>
      <c r="B44" s="5" t="s">
        <v>16</v>
      </c>
      <c r="C44" s="5" t="s">
        <v>77</v>
      </c>
      <c r="D44" s="5" t="s">
        <v>79</v>
      </c>
      <c r="E44" s="5">
        <v>136.0</v>
      </c>
      <c r="F44" s="5">
        <v>161.0</v>
      </c>
      <c r="G44" s="5">
        <f t="shared" si="1"/>
        <v>297</v>
      </c>
      <c r="H44" s="10">
        <f t="shared" si="2"/>
        <v>0.4579124579</v>
      </c>
      <c r="I44" s="10">
        <v>0.0881</v>
      </c>
      <c r="J44" s="10">
        <v>0.569</v>
      </c>
      <c r="K44" s="5">
        <f t="shared" si="3"/>
        <v>0</v>
      </c>
    </row>
    <row r="45" ht="15.0" customHeight="1">
      <c r="A45" s="5">
        <v>2024.0</v>
      </c>
      <c r="B45" s="5" t="s">
        <v>16</v>
      </c>
      <c r="C45" s="5" t="s">
        <v>77</v>
      </c>
      <c r="D45" s="5" t="s">
        <v>79</v>
      </c>
      <c r="E45" s="5">
        <v>164.0</v>
      </c>
      <c r="F45" s="5">
        <v>227.0</v>
      </c>
      <c r="G45" s="5">
        <f t="shared" si="1"/>
        <v>391</v>
      </c>
      <c r="H45" s="10">
        <f t="shared" si="2"/>
        <v>0.4194373402</v>
      </c>
      <c r="I45" s="10">
        <v>0.0188</v>
      </c>
      <c r="J45" s="10">
        <v>0.735</v>
      </c>
      <c r="K45" s="5">
        <f t="shared" si="3"/>
        <v>1</v>
      </c>
    </row>
    <row r="46" ht="15.0" customHeight="1">
      <c r="A46" s="5">
        <v>2018.0</v>
      </c>
      <c r="B46" s="5" t="s">
        <v>16</v>
      </c>
      <c r="C46" s="5" t="s">
        <v>77</v>
      </c>
      <c r="D46" s="5" t="s">
        <v>87</v>
      </c>
      <c r="E46" s="5">
        <v>258.0</v>
      </c>
      <c r="F46" s="5">
        <v>302.0</v>
      </c>
      <c r="G46" s="5">
        <f t="shared" si="1"/>
        <v>560</v>
      </c>
      <c r="H46" s="10">
        <f t="shared" si="2"/>
        <v>0.4607142857</v>
      </c>
      <c r="I46" s="10">
        <v>0.1352</v>
      </c>
      <c r="J46" s="10">
        <v>0.6364</v>
      </c>
      <c r="K46" s="5">
        <f t="shared" si="3"/>
        <v>0</v>
      </c>
    </row>
    <row r="47" ht="15.0" customHeight="1">
      <c r="A47" s="5">
        <v>2020.0</v>
      </c>
      <c r="B47" s="5" t="s">
        <v>16</v>
      </c>
      <c r="C47" s="5" t="s">
        <v>77</v>
      </c>
      <c r="D47" s="5" t="s">
        <v>87</v>
      </c>
      <c r="E47" s="5">
        <v>276.0</v>
      </c>
      <c r="F47" s="5">
        <v>451.0</v>
      </c>
      <c r="G47" s="5">
        <f t="shared" si="1"/>
        <v>727</v>
      </c>
      <c r="H47" s="10">
        <f t="shared" si="2"/>
        <v>0.3796423659</v>
      </c>
      <c r="I47" s="10">
        <v>0.0407</v>
      </c>
      <c r="J47" s="10">
        <v>0.7784</v>
      </c>
      <c r="K47" s="5">
        <f t="shared" si="3"/>
        <v>1</v>
      </c>
    </row>
    <row r="48" ht="15.0" customHeight="1">
      <c r="A48" s="5">
        <v>2022.0</v>
      </c>
      <c r="B48" s="5" t="s">
        <v>16</v>
      </c>
      <c r="C48" s="5" t="s">
        <v>77</v>
      </c>
      <c r="D48" s="5" t="s">
        <v>87</v>
      </c>
      <c r="E48" s="5">
        <v>244.0</v>
      </c>
      <c r="F48" s="5">
        <v>381.0</v>
      </c>
      <c r="G48" s="5">
        <f t="shared" si="1"/>
        <v>625</v>
      </c>
      <c r="H48" s="10">
        <f t="shared" si="2"/>
        <v>0.3904</v>
      </c>
      <c r="I48" s="10">
        <v>-0.0099</v>
      </c>
      <c r="J48" s="10">
        <v>0.6898</v>
      </c>
      <c r="K48" s="5">
        <f t="shared" si="3"/>
        <v>0</v>
      </c>
    </row>
    <row r="49" ht="15.0" customHeight="1">
      <c r="A49" s="5">
        <v>2024.0</v>
      </c>
      <c r="B49" s="5" t="s">
        <v>16</v>
      </c>
      <c r="C49" s="5" t="s">
        <v>77</v>
      </c>
      <c r="D49" s="5" t="s">
        <v>87</v>
      </c>
      <c r="E49" s="5">
        <v>289.0</v>
      </c>
      <c r="F49" s="5">
        <v>466.0</v>
      </c>
      <c r="G49" s="5">
        <f t="shared" si="1"/>
        <v>755</v>
      </c>
      <c r="H49" s="10">
        <f t="shared" si="2"/>
        <v>0.382781457</v>
      </c>
      <c r="I49" s="10">
        <v>-0.1234</v>
      </c>
      <c r="J49" s="10">
        <v>0.8101</v>
      </c>
      <c r="K49" s="5">
        <f t="shared" si="3"/>
        <v>1</v>
      </c>
    </row>
    <row r="50" ht="15.0" customHeight="1">
      <c r="A50" s="5">
        <v>2018.0</v>
      </c>
      <c r="B50" s="5" t="s">
        <v>16</v>
      </c>
      <c r="C50" s="5" t="s">
        <v>77</v>
      </c>
      <c r="D50" s="5" t="s">
        <v>88</v>
      </c>
      <c r="E50" s="5">
        <v>133.0</v>
      </c>
      <c r="F50" s="5">
        <v>94.0</v>
      </c>
      <c r="G50" s="5">
        <f t="shared" si="1"/>
        <v>227</v>
      </c>
      <c r="H50" s="10">
        <f t="shared" si="2"/>
        <v>0.5859030837</v>
      </c>
      <c r="I50" s="10">
        <v>0.2923</v>
      </c>
      <c r="J50" s="10">
        <v>0.5267</v>
      </c>
      <c r="K50" s="5">
        <f t="shared" si="3"/>
        <v>0</v>
      </c>
    </row>
    <row r="51" ht="15.0" customHeight="1">
      <c r="A51" s="5">
        <v>2020.0</v>
      </c>
      <c r="B51" s="5" t="s">
        <v>16</v>
      </c>
      <c r="C51" s="5" t="s">
        <v>77</v>
      </c>
      <c r="D51" s="5" t="s">
        <v>88</v>
      </c>
      <c r="E51" s="5">
        <v>158.0</v>
      </c>
      <c r="F51" s="5">
        <v>142.0</v>
      </c>
      <c r="G51" s="5">
        <f t="shared" si="1"/>
        <v>300</v>
      </c>
      <c r="H51" s="10">
        <f t="shared" si="2"/>
        <v>0.5266666667</v>
      </c>
      <c r="I51" s="10">
        <v>0.2393</v>
      </c>
      <c r="J51" s="10">
        <v>0.6772</v>
      </c>
      <c r="K51" s="5">
        <f t="shared" si="3"/>
        <v>1</v>
      </c>
    </row>
    <row r="52" ht="15.0" customHeight="1">
      <c r="A52" s="5">
        <v>2022.0</v>
      </c>
      <c r="B52" s="5" t="s">
        <v>16</v>
      </c>
      <c r="C52" s="5" t="s">
        <v>77</v>
      </c>
      <c r="D52" s="5" t="s">
        <v>88</v>
      </c>
      <c r="E52" s="5">
        <v>141.0</v>
      </c>
      <c r="F52" s="5">
        <v>108.0</v>
      </c>
      <c r="G52" s="5">
        <f t="shared" si="1"/>
        <v>249</v>
      </c>
      <c r="H52" s="10">
        <f t="shared" si="2"/>
        <v>0.5662650602</v>
      </c>
      <c r="I52" s="10">
        <v>0.1802</v>
      </c>
      <c r="J52" s="10">
        <v>0.6501</v>
      </c>
      <c r="K52" s="5">
        <f t="shared" si="3"/>
        <v>0</v>
      </c>
    </row>
    <row r="53" ht="15.0" customHeight="1">
      <c r="A53" s="5">
        <v>2024.0</v>
      </c>
      <c r="B53" s="5" t="s">
        <v>16</v>
      </c>
      <c r="C53" s="5" t="s">
        <v>77</v>
      </c>
      <c r="D53" s="5" t="s">
        <v>88</v>
      </c>
      <c r="E53" s="5">
        <v>139.0</v>
      </c>
      <c r="F53" s="5">
        <v>135.0</v>
      </c>
      <c r="G53" s="5">
        <f t="shared" si="1"/>
        <v>274</v>
      </c>
      <c r="H53" s="10">
        <f t="shared" si="2"/>
        <v>0.5072992701</v>
      </c>
      <c r="I53" s="10">
        <v>0.0926</v>
      </c>
      <c r="J53" s="10">
        <v>0.7466</v>
      </c>
      <c r="K53" s="5">
        <f t="shared" si="3"/>
        <v>1</v>
      </c>
    </row>
    <row r="54" ht="15.0" customHeight="1">
      <c r="A54" s="5">
        <v>2018.0</v>
      </c>
      <c r="B54" s="5" t="s">
        <v>16</v>
      </c>
      <c r="C54" s="5" t="s">
        <v>77</v>
      </c>
      <c r="D54" s="5" t="s">
        <v>89</v>
      </c>
      <c r="E54" s="5">
        <v>193.0</v>
      </c>
      <c r="F54" s="5">
        <v>225.0</v>
      </c>
      <c r="G54" s="5">
        <f t="shared" si="1"/>
        <v>418</v>
      </c>
      <c r="H54" s="10">
        <f t="shared" si="2"/>
        <v>0.461722488</v>
      </c>
      <c r="I54" s="10">
        <v>0.0977</v>
      </c>
      <c r="J54" s="10">
        <v>0.5238</v>
      </c>
      <c r="K54" s="5">
        <f t="shared" si="3"/>
        <v>0</v>
      </c>
    </row>
    <row r="55" ht="15.0" customHeight="1">
      <c r="A55" s="5">
        <v>2020.0</v>
      </c>
      <c r="B55" s="5" t="s">
        <v>16</v>
      </c>
      <c r="C55" s="5" t="s">
        <v>77</v>
      </c>
      <c r="D55" s="5" t="s">
        <v>89</v>
      </c>
      <c r="E55" s="5">
        <v>248.0</v>
      </c>
      <c r="F55" s="5">
        <v>368.0</v>
      </c>
      <c r="G55" s="5">
        <f t="shared" si="1"/>
        <v>616</v>
      </c>
      <c r="H55" s="10">
        <f t="shared" si="2"/>
        <v>0.4025974026</v>
      </c>
      <c r="I55" s="10">
        <v>0.0267</v>
      </c>
      <c r="J55" s="10">
        <v>0.7163</v>
      </c>
      <c r="K55" s="5">
        <f t="shared" si="3"/>
        <v>1</v>
      </c>
    </row>
    <row r="56" ht="15.0" customHeight="1">
      <c r="A56" s="5">
        <v>2022.0</v>
      </c>
      <c r="B56" s="5" t="s">
        <v>16</v>
      </c>
      <c r="C56" s="5" t="s">
        <v>77</v>
      </c>
      <c r="D56" s="5" t="s">
        <v>89</v>
      </c>
      <c r="E56" s="5">
        <v>258.0</v>
      </c>
      <c r="F56" s="5">
        <v>267.0</v>
      </c>
      <c r="G56" s="5">
        <f t="shared" si="1"/>
        <v>525</v>
      </c>
      <c r="H56" s="10">
        <f t="shared" si="2"/>
        <v>0.4914285714</v>
      </c>
      <c r="I56" s="10">
        <v>-0.0111</v>
      </c>
      <c r="J56" s="10">
        <v>0.6481</v>
      </c>
      <c r="K56" s="5">
        <f t="shared" si="3"/>
        <v>0</v>
      </c>
    </row>
    <row r="57" ht="15.0" customHeight="1">
      <c r="A57" s="5">
        <v>2024.0</v>
      </c>
      <c r="B57" s="5" t="s">
        <v>16</v>
      </c>
      <c r="C57" s="5" t="s">
        <v>77</v>
      </c>
      <c r="D57" s="5" t="s">
        <v>89</v>
      </c>
      <c r="E57" s="5">
        <v>278.0</v>
      </c>
      <c r="F57" s="5">
        <v>355.0</v>
      </c>
      <c r="G57" s="5">
        <f t="shared" si="1"/>
        <v>633</v>
      </c>
      <c r="H57" s="10">
        <f t="shared" si="2"/>
        <v>0.439178515</v>
      </c>
      <c r="I57" s="10">
        <v>-0.0436</v>
      </c>
      <c r="J57" s="10">
        <v>0.7663</v>
      </c>
      <c r="K57" s="5">
        <f t="shared" si="3"/>
        <v>1</v>
      </c>
    </row>
    <row r="58" ht="15.0" customHeight="1">
      <c r="A58" s="5">
        <v>2018.0</v>
      </c>
      <c r="B58" s="5" t="s">
        <v>16</v>
      </c>
      <c r="C58" s="5" t="s">
        <v>90</v>
      </c>
      <c r="D58" s="5" t="s">
        <v>91</v>
      </c>
      <c r="E58" s="5">
        <v>82.0</v>
      </c>
      <c r="F58" s="5">
        <v>131.0</v>
      </c>
      <c r="G58" s="5">
        <f t="shared" si="1"/>
        <v>213</v>
      </c>
      <c r="H58" s="10">
        <f t="shared" si="2"/>
        <v>0.3849765258</v>
      </c>
      <c r="I58" s="10">
        <v>-0.1937</v>
      </c>
      <c r="J58" s="10">
        <v>0.6068</v>
      </c>
      <c r="K58" s="5">
        <f t="shared" si="3"/>
        <v>0</v>
      </c>
    </row>
    <row r="59" ht="15.0" customHeight="1">
      <c r="A59" s="5">
        <v>2020.0</v>
      </c>
      <c r="B59" s="5" t="s">
        <v>16</v>
      </c>
      <c r="C59" s="5" t="s">
        <v>90</v>
      </c>
      <c r="D59" s="5" t="s">
        <v>91</v>
      </c>
      <c r="E59" s="5">
        <v>98.0</v>
      </c>
      <c r="F59" s="5">
        <v>208.0</v>
      </c>
      <c r="G59" s="5">
        <f t="shared" si="1"/>
        <v>306</v>
      </c>
      <c r="H59" s="10">
        <f t="shared" si="2"/>
        <v>0.3202614379</v>
      </c>
      <c r="I59" s="10">
        <v>-0.2</v>
      </c>
      <c r="J59" s="10">
        <v>0.765</v>
      </c>
      <c r="K59" s="5">
        <f t="shared" si="3"/>
        <v>1</v>
      </c>
    </row>
    <row r="60" ht="15.0" customHeight="1">
      <c r="A60" s="5">
        <v>2022.0</v>
      </c>
      <c r="B60" s="5" t="s">
        <v>16</v>
      </c>
      <c r="C60" s="5" t="s">
        <v>90</v>
      </c>
      <c r="D60" s="5" t="s">
        <v>91</v>
      </c>
      <c r="E60" s="5">
        <v>89.0</v>
      </c>
      <c r="F60" s="5">
        <v>161.0</v>
      </c>
      <c r="G60" s="5">
        <f t="shared" si="1"/>
        <v>250</v>
      </c>
      <c r="H60" s="10">
        <f t="shared" si="2"/>
        <v>0.356</v>
      </c>
      <c r="I60" s="10">
        <v>-0.2191</v>
      </c>
      <c r="J60" s="10">
        <v>0.6297</v>
      </c>
      <c r="K60" s="5">
        <f t="shared" si="3"/>
        <v>0</v>
      </c>
    </row>
    <row r="61" ht="15.0" customHeight="1">
      <c r="A61" s="5">
        <v>2024.0</v>
      </c>
      <c r="B61" s="5" t="s">
        <v>16</v>
      </c>
      <c r="C61" s="5" t="s">
        <v>90</v>
      </c>
      <c r="D61" s="5" t="s">
        <v>91</v>
      </c>
      <c r="E61" s="5">
        <v>121.0</v>
      </c>
      <c r="F61" s="5">
        <v>204.0</v>
      </c>
      <c r="G61" s="5">
        <f t="shared" si="1"/>
        <v>325</v>
      </c>
      <c r="H61" s="10">
        <f t="shared" si="2"/>
        <v>0.3723076923</v>
      </c>
      <c r="I61" s="10">
        <v>-0.2629</v>
      </c>
      <c r="J61" s="10">
        <v>0.7629</v>
      </c>
      <c r="K61" s="5">
        <f t="shared" si="3"/>
        <v>1</v>
      </c>
    </row>
    <row r="62" ht="15.0" customHeight="1">
      <c r="A62" s="5">
        <v>2018.0</v>
      </c>
      <c r="B62" s="5" t="s">
        <v>16</v>
      </c>
      <c r="C62" s="5" t="s">
        <v>90</v>
      </c>
      <c r="D62" s="5" t="s">
        <v>92</v>
      </c>
      <c r="E62" s="5">
        <v>185.0</v>
      </c>
      <c r="F62" s="5">
        <v>364.0</v>
      </c>
      <c r="G62" s="5">
        <f t="shared" si="1"/>
        <v>549</v>
      </c>
      <c r="H62" s="10">
        <f t="shared" si="2"/>
        <v>0.3369763206</v>
      </c>
      <c r="I62" s="10">
        <v>-0.1521</v>
      </c>
      <c r="J62" s="10">
        <v>0.5121</v>
      </c>
      <c r="K62" s="5">
        <f t="shared" si="3"/>
        <v>0</v>
      </c>
    </row>
    <row r="63" ht="15.0" customHeight="1">
      <c r="A63" s="5">
        <v>2020.0</v>
      </c>
      <c r="B63" s="5" t="s">
        <v>16</v>
      </c>
      <c r="C63" s="5" t="s">
        <v>90</v>
      </c>
      <c r="D63" s="5" t="s">
        <v>92</v>
      </c>
      <c r="E63" s="5">
        <v>237.0</v>
      </c>
      <c r="F63" s="5">
        <v>558.0</v>
      </c>
      <c r="G63" s="5">
        <f t="shared" si="1"/>
        <v>795</v>
      </c>
      <c r="H63" s="10">
        <f t="shared" si="2"/>
        <v>0.2981132075</v>
      </c>
      <c r="I63" s="10">
        <v>-0.1832</v>
      </c>
      <c r="J63" s="10">
        <v>0.6559</v>
      </c>
      <c r="K63" s="5">
        <f t="shared" si="3"/>
        <v>1</v>
      </c>
    </row>
    <row r="64" ht="15.0" customHeight="1">
      <c r="A64" s="5">
        <v>2022.0</v>
      </c>
      <c r="B64" s="5" t="s">
        <v>16</v>
      </c>
      <c r="C64" s="5" t="s">
        <v>90</v>
      </c>
      <c r="D64" s="5" t="s">
        <v>92</v>
      </c>
      <c r="E64" s="5">
        <v>188.0</v>
      </c>
      <c r="F64" s="5">
        <v>399.0</v>
      </c>
      <c r="G64" s="5">
        <f t="shared" si="1"/>
        <v>587</v>
      </c>
      <c r="H64" s="10">
        <f t="shared" si="2"/>
        <v>0.3202725724</v>
      </c>
      <c r="I64" s="10">
        <v>-0.2309</v>
      </c>
      <c r="J64" s="10">
        <v>0.5274</v>
      </c>
      <c r="K64" s="5">
        <f t="shared" si="3"/>
        <v>0</v>
      </c>
    </row>
    <row r="65" ht="15.0" customHeight="1">
      <c r="A65" s="5">
        <v>2024.0</v>
      </c>
      <c r="B65" s="5" t="s">
        <v>16</v>
      </c>
      <c r="C65" s="5" t="s">
        <v>90</v>
      </c>
      <c r="D65" s="5" t="s">
        <v>92</v>
      </c>
      <c r="E65" s="5">
        <v>230.0</v>
      </c>
      <c r="F65" s="5">
        <v>493.0</v>
      </c>
      <c r="G65" s="5">
        <f t="shared" si="1"/>
        <v>723</v>
      </c>
      <c r="H65" s="10">
        <f t="shared" si="2"/>
        <v>0.3181189488</v>
      </c>
      <c r="I65" s="10">
        <v>-0.2631</v>
      </c>
      <c r="J65" s="10">
        <v>0.6627</v>
      </c>
      <c r="K65" s="5">
        <f t="shared" si="3"/>
        <v>1</v>
      </c>
    </row>
    <row r="66" ht="15.0" customHeight="1">
      <c r="A66" s="5">
        <v>2018.0</v>
      </c>
      <c r="B66" s="5" t="s">
        <v>16</v>
      </c>
      <c r="C66" s="5" t="s">
        <v>93</v>
      </c>
      <c r="D66" s="5" t="s">
        <v>94</v>
      </c>
      <c r="E66" s="5">
        <v>209.0</v>
      </c>
      <c r="F66" s="5">
        <v>211.0</v>
      </c>
      <c r="G66" s="5">
        <f t="shared" si="1"/>
        <v>420</v>
      </c>
      <c r="H66" s="10">
        <f t="shared" si="2"/>
        <v>0.4976190476</v>
      </c>
      <c r="I66" s="10">
        <v>0.1689</v>
      </c>
      <c r="J66" s="10">
        <v>0.4102</v>
      </c>
      <c r="K66" s="5">
        <f t="shared" si="3"/>
        <v>0</v>
      </c>
    </row>
    <row r="67" ht="15.0" customHeight="1">
      <c r="A67" s="5">
        <v>2020.0</v>
      </c>
      <c r="B67" s="5" t="s">
        <v>16</v>
      </c>
      <c r="C67" s="5" t="s">
        <v>93</v>
      </c>
      <c r="D67" s="5" t="s">
        <v>94</v>
      </c>
      <c r="E67" s="5">
        <v>286.0</v>
      </c>
      <c r="F67" s="5">
        <v>390.0</v>
      </c>
      <c r="G67" s="5">
        <f t="shared" si="1"/>
        <v>676</v>
      </c>
      <c r="H67" s="10">
        <f t="shared" si="2"/>
        <v>0.4230769231</v>
      </c>
      <c r="I67" s="10">
        <v>0.0855</v>
      </c>
      <c r="J67" s="10">
        <v>0.6151</v>
      </c>
      <c r="K67" s="5">
        <f t="shared" si="3"/>
        <v>1</v>
      </c>
    </row>
    <row r="68" ht="15.0" customHeight="1">
      <c r="A68" s="5">
        <v>2022.0</v>
      </c>
      <c r="B68" s="5" t="s">
        <v>16</v>
      </c>
      <c r="C68" s="5" t="s">
        <v>93</v>
      </c>
      <c r="D68" s="5" t="s">
        <v>94</v>
      </c>
      <c r="E68" s="5">
        <v>190.0</v>
      </c>
      <c r="F68" s="5">
        <v>293.0</v>
      </c>
      <c r="G68" s="5">
        <f t="shared" si="1"/>
        <v>483</v>
      </c>
      <c r="H68" s="10">
        <f t="shared" si="2"/>
        <v>0.3933747412</v>
      </c>
      <c r="I68" s="10">
        <v>0.0763</v>
      </c>
      <c r="J68" s="10">
        <v>0.4726</v>
      </c>
      <c r="K68" s="5">
        <f t="shared" si="3"/>
        <v>0</v>
      </c>
    </row>
    <row r="69" ht="15.0" customHeight="1">
      <c r="A69" s="5">
        <v>2024.0</v>
      </c>
      <c r="B69" s="5" t="s">
        <v>16</v>
      </c>
      <c r="C69" s="5" t="s">
        <v>93</v>
      </c>
      <c r="D69" s="5" t="s">
        <v>94</v>
      </c>
      <c r="E69" s="5">
        <v>250.0</v>
      </c>
      <c r="F69" s="5">
        <v>394.0</v>
      </c>
      <c r="G69" s="5">
        <f t="shared" si="1"/>
        <v>644</v>
      </c>
      <c r="H69" s="10">
        <f t="shared" si="2"/>
        <v>0.3881987578</v>
      </c>
      <c r="I69" s="10">
        <v>0.0047</v>
      </c>
      <c r="J69" s="10">
        <v>0.607</v>
      </c>
      <c r="K69" s="5">
        <f t="shared" si="3"/>
        <v>1</v>
      </c>
    </row>
    <row r="70" ht="15.0" customHeight="1">
      <c r="A70" s="5">
        <v>2018.0</v>
      </c>
      <c r="B70" s="5" t="s">
        <v>16</v>
      </c>
      <c r="C70" s="5" t="s">
        <v>93</v>
      </c>
      <c r="D70" s="5" t="s">
        <v>95</v>
      </c>
      <c r="E70" s="5">
        <v>132.0</v>
      </c>
      <c r="F70" s="5">
        <v>147.0</v>
      </c>
      <c r="G70" s="5">
        <f t="shared" si="1"/>
        <v>279</v>
      </c>
      <c r="H70" s="10">
        <f t="shared" si="2"/>
        <v>0.4731182796</v>
      </c>
      <c r="I70" s="10">
        <v>0.0969</v>
      </c>
      <c r="J70" s="10">
        <v>0.4507</v>
      </c>
      <c r="K70" s="5">
        <f t="shared" si="3"/>
        <v>0</v>
      </c>
    </row>
    <row r="71" ht="15.0" customHeight="1">
      <c r="A71" s="5">
        <v>2020.0</v>
      </c>
      <c r="B71" s="5" t="s">
        <v>16</v>
      </c>
      <c r="C71" s="5" t="s">
        <v>93</v>
      </c>
      <c r="D71" s="5" t="s">
        <v>95</v>
      </c>
      <c r="E71" s="5">
        <v>170.0</v>
      </c>
      <c r="F71" s="5">
        <v>245.0</v>
      </c>
      <c r="G71" s="5">
        <f t="shared" si="1"/>
        <v>415</v>
      </c>
      <c r="H71" s="10">
        <f t="shared" si="2"/>
        <v>0.4096385542</v>
      </c>
      <c r="I71" s="10">
        <v>0.0661</v>
      </c>
      <c r="J71" s="10">
        <v>0.6094</v>
      </c>
      <c r="K71" s="5">
        <f t="shared" si="3"/>
        <v>1</v>
      </c>
    </row>
    <row r="72" ht="15.0" customHeight="1">
      <c r="A72" s="5">
        <v>2022.0</v>
      </c>
      <c r="B72" s="5" t="s">
        <v>16</v>
      </c>
      <c r="C72" s="5" t="s">
        <v>93</v>
      </c>
      <c r="D72" s="5" t="s">
        <v>95</v>
      </c>
      <c r="E72" s="5">
        <v>122.0</v>
      </c>
      <c r="F72" s="5">
        <v>165.0</v>
      </c>
      <c r="G72" s="5">
        <f t="shared" si="1"/>
        <v>287</v>
      </c>
      <c r="H72" s="10">
        <f t="shared" si="2"/>
        <v>0.425087108</v>
      </c>
      <c r="I72" s="10">
        <v>-0.0094</v>
      </c>
      <c r="J72" s="10">
        <v>0.4484</v>
      </c>
      <c r="K72" s="5">
        <f t="shared" si="3"/>
        <v>0</v>
      </c>
    </row>
    <row r="73" ht="15.0" customHeight="1">
      <c r="A73" s="5">
        <v>2024.0</v>
      </c>
      <c r="B73" s="5" t="s">
        <v>16</v>
      </c>
      <c r="C73" s="5" t="s">
        <v>93</v>
      </c>
      <c r="D73" s="5" t="s">
        <v>95</v>
      </c>
      <c r="E73" s="5">
        <v>160.0</v>
      </c>
      <c r="F73" s="5">
        <v>249.0</v>
      </c>
      <c r="G73" s="5">
        <f t="shared" si="1"/>
        <v>409</v>
      </c>
      <c r="H73" s="10">
        <f t="shared" si="2"/>
        <v>0.391198044</v>
      </c>
      <c r="I73" s="10">
        <v>-0.0552</v>
      </c>
      <c r="J73" s="10">
        <v>0.6104</v>
      </c>
      <c r="K73" s="5">
        <f t="shared" si="3"/>
        <v>1</v>
      </c>
    </row>
    <row r="74" ht="15.0" customHeight="1">
      <c r="A74" s="5">
        <v>2018.0</v>
      </c>
      <c r="B74" s="5" t="s">
        <v>16</v>
      </c>
      <c r="C74" s="5" t="s">
        <v>93</v>
      </c>
      <c r="D74" s="5" t="s">
        <v>96</v>
      </c>
      <c r="E74" s="5">
        <v>114.0</v>
      </c>
      <c r="F74" s="5">
        <v>109.0</v>
      </c>
      <c r="G74" s="5">
        <f t="shared" si="1"/>
        <v>223</v>
      </c>
      <c r="H74" s="10">
        <f t="shared" si="2"/>
        <v>0.5112107623</v>
      </c>
      <c r="I74" s="10">
        <v>0.1669</v>
      </c>
      <c r="J74" s="10">
        <v>0.365</v>
      </c>
      <c r="K74" s="5">
        <f t="shared" si="3"/>
        <v>0</v>
      </c>
    </row>
    <row r="75" ht="15.0" customHeight="1">
      <c r="A75" s="5">
        <v>2020.0</v>
      </c>
      <c r="B75" s="5" t="s">
        <v>16</v>
      </c>
      <c r="C75" s="5" t="s">
        <v>93</v>
      </c>
      <c r="D75" s="5" t="s">
        <v>96</v>
      </c>
      <c r="E75" s="5">
        <v>158.0</v>
      </c>
      <c r="F75" s="5">
        <v>211.0</v>
      </c>
      <c r="G75" s="5">
        <f t="shared" si="1"/>
        <v>369</v>
      </c>
      <c r="H75" s="10">
        <f t="shared" si="2"/>
        <v>0.4281842818</v>
      </c>
      <c r="I75" s="10">
        <v>0.1599</v>
      </c>
      <c r="J75" s="10">
        <v>0.5566</v>
      </c>
      <c r="K75" s="5">
        <f t="shared" si="3"/>
        <v>1</v>
      </c>
    </row>
    <row r="76" ht="15.0" customHeight="1">
      <c r="A76" s="5">
        <v>2022.0</v>
      </c>
      <c r="B76" s="5" t="s">
        <v>16</v>
      </c>
      <c r="C76" s="5" t="s">
        <v>93</v>
      </c>
      <c r="D76" s="5" t="s">
        <v>96</v>
      </c>
      <c r="E76" s="5">
        <v>108.0</v>
      </c>
      <c r="F76" s="5">
        <v>122.0</v>
      </c>
      <c r="G76" s="5">
        <f t="shared" si="1"/>
        <v>230</v>
      </c>
      <c r="H76" s="10">
        <f t="shared" si="2"/>
        <v>0.4695652174</v>
      </c>
      <c r="I76" s="10">
        <v>0.0724</v>
      </c>
      <c r="J76" s="10">
        <v>0.4064</v>
      </c>
      <c r="K76" s="5">
        <f t="shared" si="3"/>
        <v>0</v>
      </c>
    </row>
    <row r="77" ht="15.0" customHeight="1">
      <c r="A77" s="5">
        <v>2024.0</v>
      </c>
      <c r="B77" s="5" t="s">
        <v>16</v>
      </c>
      <c r="C77" s="5" t="s">
        <v>93</v>
      </c>
      <c r="D77" s="5" t="s">
        <v>96</v>
      </c>
      <c r="E77" s="5">
        <v>165.0</v>
      </c>
      <c r="F77" s="5">
        <v>237.0</v>
      </c>
      <c r="G77" s="5">
        <f t="shared" si="1"/>
        <v>402</v>
      </c>
      <c r="H77" s="10">
        <f t="shared" si="2"/>
        <v>0.4104477612</v>
      </c>
      <c r="I77" s="10">
        <v>-0.008</v>
      </c>
      <c r="J77" s="10">
        <v>0.6422</v>
      </c>
      <c r="K77" s="5">
        <f t="shared" si="3"/>
        <v>1</v>
      </c>
    </row>
    <row r="78" ht="15.0" customHeight="1">
      <c r="A78" s="5">
        <v>2018.0</v>
      </c>
      <c r="B78" s="5" t="s">
        <v>16</v>
      </c>
      <c r="C78" s="5" t="s">
        <v>97</v>
      </c>
      <c r="D78" s="5" t="s">
        <v>98</v>
      </c>
      <c r="E78" s="5">
        <v>29.0</v>
      </c>
      <c r="F78" s="5">
        <v>59.0</v>
      </c>
      <c r="G78" s="5">
        <f t="shared" si="1"/>
        <v>88</v>
      </c>
      <c r="H78" s="10">
        <f t="shared" si="2"/>
        <v>0.3295454545</v>
      </c>
      <c r="I78" s="10">
        <v>-0.0118</v>
      </c>
      <c r="J78" s="10">
        <v>0.5207</v>
      </c>
      <c r="K78" s="5">
        <f t="shared" si="3"/>
        <v>0</v>
      </c>
    </row>
    <row r="79" ht="15.0" customHeight="1">
      <c r="A79" s="5">
        <v>2020.0</v>
      </c>
      <c r="B79" s="5" t="s">
        <v>16</v>
      </c>
      <c r="C79" s="5" t="s">
        <v>97</v>
      </c>
      <c r="D79" s="5" t="s">
        <v>98</v>
      </c>
      <c r="E79" s="5">
        <v>42.0</v>
      </c>
      <c r="F79" s="5">
        <v>99.0</v>
      </c>
      <c r="G79" s="5">
        <f t="shared" si="1"/>
        <v>141</v>
      </c>
      <c r="H79" s="10">
        <f t="shared" si="2"/>
        <v>0.2978723404</v>
      </c>
      <c r="I79" s="10">
        <v>-0.1304</v>
      </c>
      <c r="J79" s="10">
        <v>0.7663</v>
      </c>
      <c r="K79" s="5">
        <f t="shared" si="3"/>
        <v>1</v>
      </c>
    </row>
    <row r="80" ht="15.0" customHeight="1">
      <c r="A80" s="5">
        <v>2022.0</v>
      </c>
      <c r="B80" s="5" t="s">
        <v>16</v>
      </c>
      <c r="C80" s="5" t="s">
        <v>97</v>
      </c>
      <c r="D80" s="5" t="s">
        <v>98</v>
      </c>
      <c r="E80" s="5">
        <v>36.0</v>
      </c>
      <c r="F80" s="5">
        <v>79.0</v>
      </c>
      <c r="G80" s="5">
        <f t="shared" si="1"/>
        <v>115</v>
      </c>
      <c r="H80" s="10">
        <f t="shared" si="2"/>
        <v>0.3130434783</v>
      </c>
      <c r="I80" s="10">
        <v>-0.2114</v>
      </c>
      <c r="J80" s="10">
        <v>0.6571</v>
      </c>
      <c r="K80" s="5">
        <f t="shared" si="3"/>
        <v>0</v>
      </c>
    </row>
    <row r="81" ht="15.0" customHeight="1">
      <c r="A81" s="5">
        <v>2024.0</v>
      </c>
      <c r="B81" s="5" t="s">
        <v>16</v>
      </c>
      <c r="C81" s="5" t="s">
        <v>97</v>
      </c>
      <c r="D81" s="5" t="s">
        <v>98</v>
      </c>
      <c r="E81" s="5">
        <v>38.0</v>
      </c>
      <c r="F81" s="5">
        <v>107.0</v>
      </c>
      <c r="G81" s="5">
        <f t="shared" si="1"/>
        <v>145</v>
      </c>
      <c r="H81" s="10">
        <f t="shared" si="2"/>
        <v>0.2620689655</v>
      </c>
      <c r="I81" s="10">
        <v>-0.3204</v>
      </c>
      <c r="J81" s="10">
        <v>0.8011</v>
      </c>
      <c r="K81" s="5">
        <f t="shared" si="3"/>
        <v>1</v>
      </c>
    </row>
    <row r="82" ht="15.0" customHeight="1">
      <c r="A82" s="5">
        <v>2018.0</v>
      </c>
      <c r="B82" s="5" t="s">
        <v>16</v>
      </c>
      <c r="C82" s="5" t="s">
        <v>99</v>
      </c>
      <c r="D82" s="5" t="s">
        <v>100</v>
      </c>
      <c r="E82" s="5">
        <v>41.0</v>
      </c>
      <c r="F82" s="5">
        <v>163.0</v>
      </c>
      <c r="G82" s="5">
        <f t="shared" si="1"/>
        <v>204</v>
      </c>
      <c r="H82" s="10">
        <f t="shared" si="2"/>
        <v>0.2009803922</v>
      </c>
      <c r="I82" s="10">
        <v>-0.4242</v>
      </c>
      <c r="J82" s="10">
        <v>0.573</v>
      </c>
      <c r="K82" s="5">
        <f t="shared" si="3"/>
        <v>0</v>
      </c>
    </row>
    <row r="83" ht="15.0" customHeight="1">
      <c r="A83" s="5">
        <v>2020.0</v>
      </c>
      <c r="B83" s="5" t="s">
        <v>16</v>
      </c>
      <c r="C83" s="5" t="s">
        <v>99</v>
      </c>
      <c r="D83" s="5" t="s">
        <v>100</v>
      </c>
      <c r="E83" s="5">
        <v>51.0</v>
      </c>
      <c r="F83" s="5">
        <v>223.0</v>
      </c>
      <c r="G83" s="5">
        <f t="shared" si="1"/>
        <v>274</v>
      </c>
      <c r="H83" s="10">
        <f t="shared" si="2"/>
        <v>0.1861313869</v>
      </c>
      <c r="I83" s="10">
        <v>-0.4808</v>
      </c>
      <c r="J83" s="10">
        <v>0.7527</v>
      </c>
      <c r="K83" s="5">
        <f t="shared" si="3"/>
        <v>1</v>
      </c>
    </row>
    <row r="84" ht="15.0" customHeight="1">
      <c r="A84" s="5">
        <v>2022.0</v>
      </c>
      <c r="B84" s="5" t="s">
        <v>16</v>
      </c>
      <c r="C84" s="5" t="s">
        <v>99</v>
      </c>
      <c r="D84" s="5" t="s">
        <v>100</v>
      </c>
      <c r="E84" s="5">
        <v>52.0</v>
      </c>
      <c r="F84" s="5">
        <v>189.0</v>
      </c>
      <c r="G84" s="5">
        <f t="shared" si="1"/>
        <v>241</v>
      </c>
      <c r="H84" s="10">
        <f t="shared" si="2"/>
        <v>0.2157676349</v>
      </c>
      <c r="I84" s="10">
        <v>-0.5115</v>
      </c>
      <c r="J84" s="10">
        <v>0.6925</v>
      </c>
      <c r="K84" s="5">
        <f t="shared" si="3"/>
        <v>0</v>
      </c>
    </row>
    <row r="85" ht="15.0" customHeight="1">
      <c r="A85" s="5">
        <v>2024.0</v>
      </c>
      <c r="B85" s="5" t="s">
        <v>16</v>
      </c>
      <c r="C85" s="5" t="s">
        <v>99</v>
      </c>
      <c r="D85" s="5" t="s">
        <v>100</v>
      </c>
      <c r="E85" s="5">
        <v>58.0</v>
      </c>
      <c r="F85" s="5">
        <v>216.0</v>
      </c>
      <c r="G85" s="5">
        <f t="shared" si="1"/>
        <v>274</v>
      </c>
      <c r="H85" s="10">
        <f t="shared" si="2"/>
        <v>0.2116788321</v>
      </c>
      <c r="I85" s="10">
        <v>-0.5584</v>
      </c>
      <c r="J85" s="10">
        <v>0.7806</v>
      </c>
      <c r="K85" s="5">
        <f t="shared" si="3"/>
        <v>1</v>
      </c>
    </row>
    <row r="86" ht="15.0" customHeight="1">
      <c r="A86" s="5">
        <v>2018.0</v>
      </c>
      <c r="B86" s="5" t="s">
        <v>16</v>
      </c>
      <c r="C86" s="5" t="s">
        <v>101</v>
      </c>
      <c r="D86" s="5" t="s">
        <v>102</v>
      </c>
      <c r="E86" s="5">
        <v>226.0</v>
      </c>
      <c r="F86" s="5">
        <v>272.0</v>
      </c>
      <c r="G86" s="5">
        <f t="shared" si="1"/>
        <v>498</v>
      </c>
      <c r="H86" s="10">
        <f t="shared" si="2"/>
        <v>0.453815261</v>
      </c>
      <c r="I86" s="10">
        <v>0.0128</v>
      </c>
      <c r="J86" s="10">
        <v>0.4556</v>
      </c>
      <c r="K86" s="5">
        <f t="shared" si="3"/>
        <v>0</v>
      </c>
    </row>
    <row r="87" ht="15.0" customHeight="1">
      <c r="A87" s="5">
        <v>2020.0</v>
      </c>
      <c r="B87" s="5" t="s">
        <v>16</v>
      </c>
      <c r="C87" s="5" t="s">
        <v>101</v>
      </c>
      <c r="D87" s="5" t="s">
        <v>102</v>
      </c>
      <c r="E87" s="5">
        <v>294.0</v>
      </c>
      <c r="F87" s="5">
        <v>502.0</v>
      </c>
      <c r="G87" s="5">
        <f t="shared" si="1"/>
        <v>796</v>
      </c>
      <c r="H87" s="10">
        <f t="shared" si="2"/>
        <v>0.3693467337</v>
      </c>
      <c r="I87" s="10">
        <v>-0.0344</v>
      </c>
      <c r="J87" s="10">
        <v>0.6672</v>
      </c>
      <c r="K87" s="5">
        <f t="shared" si="3"/>
        <v>1</v>
      </c>
    </row>
    <row r="88" ht="15.0" customHeight="1">
      <c r="A88" s="5">
        <v>2022.0</v>
      </c>
      <c r="B88" s="5" t="s">
        <v>16</v>
      </c>
      <c r="C88" s="5" t="s">
        <v>101</v>
      </c>
      <c r="D88" s="5" t="s">
        <v>102</v>
      </c>
      <c r="E88" s="5">
        <v>233.0</v>
      </c>
      <c r="F88" s="5">
        <v>333.0</v>
      </c>
      <c r="G88" s="5">
        <f t="shared" si="1"/>
        <v>566</v>
      </c>
      <c r="H88" s="10">
        <f t="shared" si="2"/>
        <v>0.4116607774</v>
      </c>
      <c r="I88" s="10">
        <v>-0.0753</v>
      </c>
      <c r="J88" s="10">
        <v>0.5076</v>
      </c>
      <c r="K88" s="5">
        <f t="shared" si="3"/>
        <v>0</v>
      </c>
    </row>
    <row r="89" ht="15.0" customHeight="1">
      <c r="A89" s="5">
        <v>2024.0</v>
      </c>
      <c r="B89" s="5" t="s">
        <v>16</v>
      </c>
      <c r="C89" s="5" t="s">
        <v>101</v>
      </c>
      <c r="D89" s="5" t="s">
        <v>102</v>
      </c>
      <c r="E89" s="5">
        <v>328.0</v>
      </c>
      <c r="F89" s="5">
        <v>501.0</v>
      </c>
      <c r="G89" s="5">
        <f t="shared" si="1"/>
        <v>829</v>
      </c>
      <c r="H89" s="10">
        <f t="shared" si="2"/>
        <v>0.3956574186</v>
      </c>
      <c r="I89" s="10">
        <v>-0.1164</v>
      </c>
      <c r="J89" s="10">
        <v>0.7043</v>
      </c>
      <c r="K89" s="5">
        <f t="shared" si="3"/>
        <v>1</v>
      </c>
    </row>
    <row r="90" ht="15.0" customHeight="1">
      <c r="A90" s="5">
        <v>2018.0</v>
      </c>
      <c r="B90" s="5" t="s">
        <v>16</v>
      </c>
      <c r="C90" s="5" t="s">
        <v>101</v>
      </c>
      <c r="D90" s="5" t="s">
        <v>103</v>
      </c>
      <c r="E90" s="5">
        <v>205.0</v>
      </c>
      <c r="F90" s="5">
        <v>252.0</v>
      </c>
      <c r="G90" s="5">
        <f t="shared" si="1"/>
        <v>457</v>
      </c>
      <c r="H90" s="10">
        <f t="shared" si="2"/>
        <v>0.4485776805</v>
      </c>
      <c r="I90" s="10">
        <v>0.0444</v>
      </c>
      <c r="J90" s="10">
        <v>0.4612</v>
      </c>
      <c r="K90" s="5">
        <f t="shared" si="3"/>
        <v>0</v>
      </c>
    </row>
    <row r="91" ht="15.0" customHeight="1">
      <c r="A91" s="5">
        <v>2020.0</v>
      </c>
      <c r="B91" s="5" t="s">
        <v>16</v>
      </c>
      <c r="C91" s="5" t="s">
        <v>101</v>
      </c>
      <c r="D91" s="5" t="s">
        <v>103</v>
      </c>
      <c r="E91" s="5">
        <v>275.0</v>
      </c>
      <c r="F91" s="5">
        <v>430.0</v>
      </c>
      <c r="G91" s="5">
        <f t="shared" si="1"/>
        <v>705</v>
      </c>
      <c r="H91" s="10">
        <f t="shared" si="2"/>
        <v>0.390070922</v>
      </c>
      <c r="I91" s="10">
        <v>-0.0019</v>
      </c>
      <c r="J91" s="10">
        <v>0.6714</v>
      </c>
      <c r="K91" s="5">
        <f t="shared" si="3"/>
        <v>1</v>
      </c>
    </row>
    <row r="92" ht="15.0" customHeight="1">
      <c r="A92" s="5">
        <v>2022.0</v>
      </c>
      <c r="B92" s="5" t="s">
        <v>16</v>
      </c>
      <c r="C92" s="5" t="s">
        <v>101</v>
      </c>
      <c r="D92" s="5" t="s">
        <v>103</v>
      </c>
      <c r="E92" s="5">
        <v>242.0</v>
      </c>
      <c r="F92" s="5">
        <v>285.0</v>
      </c>
      <c r="G92" s="5">
        <f t="shared" si="1"/>
        <v>527</v>
      </c>
      <c r="H92" s="10">
        <f t="shared" si="2"/>
        <v>0.4592030361</v>
      </c>
      <c r="I92" s="10">
        <v>-0.0888</v>
      </c>
      <c r="J92" s="10">
        <v>0.5318</v>
      </c>
      <c r="K92" s="5">
        <f t="shared" si="3"/>
        <v>0</v>
      </c>
    </row>
    <row r="93" ht="15.0" customHeight="1">
      <c r="A93" s="5">
        <v>2024.0</v>
      </c>
      <c r="B93" s="5" t="s">
        <v>16</v>
      </c>
      <c r="C93" s="5" t="s">
        <v>101</v>
      </c>
      <c r="D93" s="5" t="s">
        <v>103</v>
      </c>
      <c r="E93" s="5">
        <v>293.0</v>
      </c>
      <c r="F93" s="5">
        <v>452.0</v>
      </c>
      <c r="G93" s="5">
        <f t="shared" si="1"/>
        <v>745</v>
      </c>
      <c r="H93" s="10">
        <f t="shared" si="2"/>
        <v>0.3932885906</v>
      </c>
      <c r="I93" s="10">
        <v>-0.125</v>
      </c>
      <c r="J93" s="10">
        <v>0.7109</v>
      </c>
      <c r="K93" s="5">
        <f t="shared" si="3"/>
        <v>1</v>
      </c>
    </row>
    <row r="94" ht="15.0" customHeight="1">
      <c r="A94" s="5">
        <v>2018.0</v>
      </c>
      <c r="B94" s="5" t="s">
        <v>16</v>
      </c>
      <c r="C94" s="5" t="s">
        <v>101</v>
      </c>
      <c r="D94" s="5" t="s">
        <v>104</v>
      </c>
      <c r="E94" s="5">
        <v>237.0</v>
      </c>
      <c r="F94" s="5">
        <v>242.0</v>
      </c>
      <c r="G94" s="5">
        <f t="shared" si="1"/>
        <v>479</v>
      </c>
      <c r="H94" s="10">
        <f t="shared" si="2"/>
        <v>0.4947807933</v>
      </c>
      <c r="I94" s="10">
        <v>0.0763</v>
      </c>
      <c r="J94" s="10">
        <v>0.4809</v>
      </c>
      <c r="K94" s="5">
        <f t="shared" si="3"/>
        <v>0</v>
      </c>
    </row>
    <row r="95" ht="15.0" customHeight="1">
      <c r="A95" s="5">
        <v>2020.0</v>
      </c>
      <c r="B95" s="5" t="s">
        <v>16</v>
      </c>
      <c r="C95" s="5" t="s">
        <v>101</v>
      </c>
      <c r="D95" s="5" t="s">
        <v>104</v>
      </c>
      <c r="E95" s="5">
        <v>272.0</v>
      </c>
      <c r="F95" s="5">
        <v>478.0</v>
      </c>
      <c r="G95" s="5">
        <f t="shared" si="1"/>
        <v>750</v>
      </c>
      <c r="H95" s="10">
        <f t="shared" si="2"/>
        <v>0.3626666667</v>
      </c>
      <c r="I95" s="10">
        <v>0.0118</v>
      </c>
      <c r="J95" s="10">
        <v>0.6793</v>
      </c>
      <c r="K95" s="5">
        <f t="shared" si="3"/>
        <v>1</v>
      </c>
    </row>
    <row r="96" ht="15.0" customHeight="1">
      <c r="A96" s="5">
        <v>2022.0</v>
      </c>
      <c r="B96" s="5" t="s">
        <v>16</v>
      </c>
      <c r="C96" s="5" t="s">
        <v>101</v>
      </c>
      <c r="D96" s="5" t="s">
        <v>104</v>
      </c>
      <c r="E96" s="5">
        <v>244.0</v>
      </c>
      <c r="F96" s="5">
        <v>330.0</v>
      </c>
      <c r="G96" s="5">
        <f t="shared" si="1"/>
        <v>574</v>
      </c>
      <c r="H96" s="10">
        <f t="shared" si="2"/>
        <v>0.425087108</v>
      </c>
      <c r="I96" s="10">
        <v>-0.0516</v>
      </c>
      <c r="J96" s="10">
        <v>0.539</v>
      </c>
      <c r="K96" s="5">
        <f t="shared" si="3"/>
        <v>0</v>
      </c>
    </row>
    <row r="97" ht="15.0" customHeight="1">
      <c r="A97" s="5">
        <v>2024.0</v>
      </c>
      <c r="B97" s="5" t="s">
        <v>16</v>
      </c>
      <c r="C97" s="5" t="s">
        <v>101</v>
      </c>
      <c r="D97" s="5" t="s">
        <v>104</v>
      </c>
      <c r="E97" s="5">
        <v>323.0</v>
      </c>
      <c r="F97" s="5">
        <v>533.0</v>
      </c>
      <c r="G97" s="5">
        <f t="shared" si="1"/>
        <v>856</v>
      </c>
      <c r="H97" s="10">
        <f t="shared" si="2"/>
        <v>0.3773364486</v>
      </c>
      <c r="I97" s="10">
        <v>-0.1271</v>
      </c>
      <c r="J97" s="10">
        <v>0.7502</v>
      </c>
      <c r="K97" s="5">
        <f t="shared" si="3"/>
        <v>1</v>
      </c>
    </row>
    <row r="98" ht="15.0" customHeight="1">
      <c r="A98" s="5">
        <v>2018.0</v>
      </c>
      <c r="B98" s="5" t="s">
        <v>16</v>
      </c>
      <c r="C98" s="5" t="s">
        <v>105</v>
      </c>
      <c r="D98" s="5" t="s">
        <v>106</v>
      </c>
      <c r="E98" s="5">
        <v>228.0</v>
      </c>
      <c r="F98" s="5">
        <v>413.0</v>
      </c>
      <c r="G98" s="5">
        <f t="shared" si="1"/>
        <v>641</v>
      </c>
      <c r="H98" s="10">
        <f t="shared" si="2"/>
        <v>0.3556942278</v>
      </c>
      <c r="I98" s="10">
        <v>-0.0362</v>
      </c>
      <c r="J98" s="10">
        <v>0.5526</v>
      </c>
      <c r="K98" s="5">
        <f t="shared" si="3"/>
        <v>0</v>
      </c>
    </row>
    <row r="99" ht="15.0" customHeight="1">
      <c r="A99" s="5">
        <v>2020.0</v>
      </c>
      <c r="B99" s="5" t="s">
        <v>16</v>
      </c>
      <c r="C99" s="5" t="s">
        <v>105</v>
      </c>
      <c r="D99" s="5" t="s">
        <v>106</v>
      </c>
      <c r="E99" s="5">
        <v>283.0</v>
      </c>
      <c r="F99" s="5">
        <v>714.0</v>
      </c>
      <c r="G99" s="5">
        <f t="shared" si="1"/>
        <v>997</v>
      </c>
      <c r="H99" s="10">
        <f t="shared" si="2"/>
        <v>0.2838515547</v>
      </c>
      <c r="I99" s="10">
        <v>-0.1345</v>
      </c>
      <c r="J99" s="10">
        <v>0.7617</v>
      </c>
      <c r="K99" s="5">
        <f t="shared" si="3"/>
        <v>1</v>
      </c>
    </row>
    <row r="100" ht="15.0" customHeight="1">
      <c r="A100" s="5">
        <v>2022.0</v>
      </c>
      <c r="B100" s="5" t="s">
        <v>16</v>
      </c>
      <c r="C100" s="5" t="s">
        <v>105</v>
      </c>
      <c r="D100" s="5" t="s">
        <v>106</v>
      </c>
      <c r="E100" s="5">
        <v>246.0</v>
      </c>
      <c r="F100" s="5">
        <v>553.0</v>
      </c>
      <c r="G100" s="5">
        <f t="shared" si="1"/>
        <v>799</v>
      </c>
      <c r="H100" s="10">
        <f t="shared" si="2"/>
        <v>0.3078848561</v>
      </c>
      <c r="I100" s="10">
        <v>-0.2162</v>
      </c>
      <c r="J100" s="10">
        <v>0.6351</v>
      </c>
      <c r="K100" s="5">
        <f t="shared" si="3"/>
        <v>0</v>
      </c>
    </row>
    <row r="101" ht="15.0" customHeight="1">
      <c r="A101" s="5">
        <v>2024.0</v>
      </c>
      <c r="B101" s="5" t="s">
        <v>16</v>
      </c>
      <c r="C101" s="5" t="s">
        <v>105</v>
      </c>
      <c r="D101" s="5" t="s">
        <v>106</v>
      </c>
      <c r="E101" s="5">
        <v>286.0</v>
      </c>
      <c r="F101" s="5">
        <v>765.0</v>
      </c>
      <c r="G101" s="5">
        <f t="shared" si="1"/>
        <v>1051</v>
      </c>
      <c r="H101" s="10">
        <f t="shared" si="2"/>
        <v>0.2721217888</v>
      </c>
      <c r="I101" s="10">
        <v>-0.2909</v>
      </c>
      <c r="J101" s="10">
        <v>0.7962</v>
      </c>
      <c r="K101" s="5">
        <f t="shared" si="3"/>
        <v>1</v>
      </c>
    </row>
    <row r="102" ht="15.0" customHeight="1">
      <c r="A102" s="5">
        <v>2018.0</v>
      </c>
      <c r="B102" s="5" t="s">
        <v>16</v>
      </c>
      <c r="C102" s="5" t="s">
        <v>105</v>
      </c>
      <c r="D102" s="5" t="s">
        <v>107</v>
      </c>
      <c r="E102" s="5">
        <v>174.0</v>
      </c>
      <c r="F102" s="5">
        <v>273.0</v>
      </c>
      <c r="G102" s="5">
        <f t="shared" si="1"/>
        <v>447</v>
      </c>
      <c r="H102" s="10">
        <f t="shared" si="2"/>
        <v>0.389261745</v>
      </c>
      <c r="I102" s="10">
        <v>-0.0324</v>
      </c>
      <c r="J102" s="10">
        <v>0.518</v>
      </c>
      <c r="K102" s="5">
        <f t="shared" si="3"/>
        <v>0</v>
      </c>
    </row>
    <row r="103" ht="15.0" customHeight="1">
      <c r="A103" s="5">
        <v>2020.0</v>
      </c>
      <c r="B103" s="5" t="s">
        <v>16</v>
      </c>
      <c r="C103" s="5" t="s">
        <v>105</v>
      </c>
      <c r="D103" s="5" t="s">
        <v>107</v>
      </c>
      <c r="E103" s="5">
        <v>206.0</v>
      </c>
      <c r="F103" s="5">
        <v>450.0</v>
      </c>
      <c r="G103" s="5">
        <f t="shared" si="1"/>
        <v>656</v>
      </c>
      <c r="H103" s="10">
        <f t="shared" si="2"/>
        <v>0.3140243902</v>
      </c>
      <c r="I103" s="10">
        <v>-0.1268</v>
      </c>
      <c r="J103" s="10">
        <v>0.7107</v>
      </c>
      <c r="K103" s="5">
        <f t="shared" si="3"/>
        <v>1</v>
      </c>
    </row>
    <row r="104" ht="15.0" customHeight="1">
      <c r="A104" s="5">
        <v>2022.0</v>
      </c>
      <c r="B104" s="5" t="s">
        <v>16</v>
      </c>
      <c r="C104" s="5" t="s">
        <v>105</v>
      </c>
      <c r="D104" s="5" t="s">
        <v>107</v>
      </c>
      <c r="E104" s="5">
        <v>184.0</v>
      </c>
      <c r="F104" s="5">
        <v>363.0</v>
      </c>
      <c r="G104" s="5">
        <f t="shared" si="1"/>
        <v>547</v>
      </c>
      <c r="H104" s="10">
        <f t="shared" si="2"/>
        <v>0.3363802559</v>
      </c>
      <c r="I104" s="10">
        <v>-0.2222</v>
      </c>
      <c r="J104" s="10">
        <v>0.6139</v>
      </c>
      <c r="K104" s="5">
        <f t="shared" si="3"/>
        <v>0</v>
      </c>
    </row>
    <row r="105" ht="15.0" customHeight="1">
      <c r="A105" s="5">
        <v>2024.0</v>
      </c>
      <c r="B105" s="5" t="s">
        <v>16</v>
      </c>
      <c r="C105" s="5" t="s">
        <v>105</v>
      </c>
      <c r="D105" s="5" t="s">
        <v>107</v>
      </c>
      <c r="E105" s="5">
        <v>229.0</v>
      </c>
      <c r="F105" s="5">
        <v>528.0</v>
      </c>
      <c r="G105" s="5">
        <f t="shared" si="1"/>
        <v>757</v>
      </c>
      <c r="H105" s="10">
        <f t="shared" si="2"/>
        <v>0.3025099075</v>
      </c>
      <c r="I105" s="10">
        <v>-0.3147</v>
      </c>
      <c r="J105" s="10">
        <v>0.7968</v>
      </c>
      <c r="K105" s="5">
        <f t="shared" si="3"/>
        <v>1</v>
      </c>
    </row>
    <row r="106" ht="15.0" customHeight="1">
      <c r="A106" s="5">
        <v>2018.0</v>
      </c>
      <c r="B106" s="5" t="s">
        <v>16</v>
      </c>
      <c r="C106" s="5" t="s">
        <v>108</v>
      </c>
      <c r="D106" s="5" t="s">
        <v>109</v>
      </c>
      <c r="E106" s="5">
        <v>327.0</v>
      </c>
      <c r="F106" s="5">
        <v>587.0</v>
      </c>
      <c r="G106" s="5">
        <f t="shared" si="1"/>
        <v>914</v>
      </c>
      <c r="H106" s="10">
        <f t="shared" si="2"/>
        <v>0.3577680525</v>
      </c>
      <c r="I106" s="10">
        <v>-0.1707</v>
      </c>
      <c r="J106" s="10">
        <v>0.5573</v>
      </c>
      <c r="K106" s="5">
        <f t="shared" si="3"/>
        <v>0</v>
      </c>
    </row>
    <row r="107" ht="15.0" customHeight="1">
      <c r="A107" s="5">
        <v>2020.0</v>
      </c>
      <c r="B107" s="5" t="s">
        <v>16</v>
      </c>
      <c r="C107" s="5" t="s">
        <v>108</v>
      </c>
      <c r="D107" s="5" t="s">
        <v>109</v>
      </c>
      <c r="E107" s="5">
        <v>347.0</v>
      </c>
      <c r="F107" s="5">
        <v>913.0</v>
      </c>
      <c r="G107" s="5">
        <f t="shared" si="1"/>
        <v>1260</v>
      </c>
      <c r="H107" s="10">
        <f t="shared" si="2"/>
        <v>0.2753968254</v>
      </c>
      <c r="I107" s="10">
        <v>-0.2285</v>
      </c>
      <c r="J107" s="10">
        <v>0.7163</v>
      </c>
      <c r="K107" s="5">
        <f t="shared" si="3"/>
        <v>1</v>
      </c>
    </row>
    <row r="108" ht="15.0" customHeight="1">
      <c r="A108" s="5">
        <v>2022.0</v>
      </c>
      <c r="B108" s="5" t="s">
        <v>16</v>
      </c>
      <c r="C108" s="5" t="s">
        <v>108</v>
      </c>
      <c r="D108" s="5" t="s">
        <v>109</v>
      </c>
      <c r="E108" s="5">
        <v>350.0</v>
      </c>
      <c r="F108" s="5">
        <v>728.0</v>
      </c>
      <c r="G108" s="5">
        <f t="shared" si="1"/>
        <v>1078</v>
      </c>
      <c r="H108" s="10">
        <f t="shared" si="2"/>
        <v>0.3246753247</v>
      </c>
      <c r="I108" s="10">
        <v>-0.255</v>
      </c>
      <c r="J108" s="10">
        <v>0.6334</v>
      </c>
      <c r="K108" s="5">
        <f t="shared" si="3"/>
        <v>0</v>
      </c>
    </row>
    <row r="109" ht="15.0" customHeight="1">
      <c r="A109" s="5">
        <v>2024.0</v>
      </c>
      <c r="B109" s="5" t="s">
        <v>16</v>
      </c>
      <c r="C109" s="5" t="s">
        <v>108</v>
      </c>
      <c r="D109" s="5" t="s">
        <v>109</v>
      </c>
      <c r="E109" s="5">
        <v>430.0</v>
      </c>
      <c r="F109" s="5">
        <v>993.0</v>
      </c>
      <c r="G109" s="5">
        <f t="shared" si="1"/>
        <v>1423</v>
      </c>
      <c r="H109" s="10">
        <f t="shared" si="2"/>
        <v>0.3021784961</v>
      </c>
      <c r="I109" s="10">
        <v>-0.3107</v>
      </c>
      <c r="J109" s="10">
        <v>0.7981</v>
      </c>
      <c r="K109" s="5">
        <f t="shared" si="3"/>
        <v>1</v>
      </c>
    </row>
    <row r="110" ht="15.0" customHeight="1">
      <c r="A110" s="5">
        <v>2018.0</v>
      </c>
      <c r="B110" s="5" t="s">
        <v>16</v>
      </c>
      <c r="C110" s="5" t="s">
        <v>108</v>
      </c>
      <c r="D110" s="5" t="s">
        <v>110</v>
      </c>
      <c r="E110" s="5">
        <v>95.0</v>
      </c>
      <c r="F110" s="5">
        <v>225.0</v>
      </c>
      <c r="G110" s="5">
        <f t="shared" si="1"/>
        <v>320</v>
      </c>
      <c r="H110" s="10">
        <f t="shared" si="2"/>
        <v>0.296875</v>
      </c>
      <c r="I110" s="10">
        <v>-0.2252</v>
      </c>
      <c r="J110" s="10">
        <v>0.5674</v>
      </c>
      <c r="K110" s="5">
        <f t="shared" si="3"/>
        <v>0</v>
      </c>
    </row>
    <row r="111" ht="15.0" customHeight="1">
      <c r="A111" s="5">
        <v>2020.0</v>
      </c>
      <c r="B111" s="5" t="s">
        <v>16</v>
      </c>
      <c r="C111" s="5" t="s">
        <v>108</v>
      </c>
      <c r="D111" s="5" t="s">
        <v>110</v>
      </c>
      <c r="E111" s="5">
        <v>108.0</v>
      </c>
      <c r="F111" s="5">
        <v>379.0</v>
      </c>
      <c r="G111" s="5">
        <f t="shared" si="1"/>
        <v>487</v>
      </c>
      <c r="H111" s="10">
        <f t="shared" si="2"/>
        <v>0.2217659138</v>
      </c>
      <c r="I111" s="10">
        <v>-0.2932</v>
      </c>
      <c r="J111" s="10">
        <v>0.7718</v>
      </c>
      <c r="K111" s="5">
        <f t="shared" si="3"/>
        <v>1</v>
      </c>
    </row>
    <row r="112" ht="15.0" customHeight="1">
      <c r="A112" s="5">
        <v>2022.0</v>
      </c>
      <c r="B112" s="5" t="s">
        <v>16</v>
      </c>
      <c r="C112" s="5" t="s">
        <v>108</v>
      </c>
      <c r="D112" s="5" t="s">
        <v>110</v>
      </c>
      <c r="E112" s="5">
        <v>101.0</v>
      </c>
      <c r="F112" s="5">
        <v>288.0</v>
      </c>
      <c r="G112" s="5">
        <f t="shared" si="1"/>
        <v>389</v>
      </c>
      <c r="H112" s="10">
        <f t="shared" si="2"/>
        <v>0.2596401028</v>
      </c>
      <c r="I112" s="10">
        <v>-0.3696</v>
      </c>
      <c r="J112" s="10">
        <v>0.6419</v>
      </c>
      <c r="K112" s="5">
        <f t="shared" si="3"/>
        <v>0</v>
      </c>
    </row>
    <row r="113" ht="15.0" customHeight="1">
      <c r="A113" s="5">
        <v>2024.0</v>
      </c>
      <c r="B113" s="5" t="s">
        <v>16</v>
      </c>
      <c r="C113" s="5" t="s">
        <v>108</v>
      </c>
      <c r="D113" s="5" t="s">
        <v>110</v>
      </c>
      <c r="E113" s="5">
        <v>139.0</v>
      </c>
      <c r="F113" s="5">
        <v>400.0</v>
      </c>
      <c r="G113" s="5">
        <f t="shared" si="1"/>
        <v>539</v>
      </c>
      <c r="H113" s="10">
        <f t="shared" si="2"/>
        <v>0.2578849722</v>
      </c>
      <c r="I113" s="10">
        <v>-0.3896</v>
      </c>
      <c r="J113" s="10">
        <v>0.8045</v>
      </c>
      <c r="K113" s="5">
        <f t="shared" si="3"/>
        <v>1</v>
      </c>
    </row>
    <row r="114" ht="15.0" customHeight="1">
      <c r="A114" s="5">
        <v>2018.0</v>
      </c>
      <c r="B114" s="5" t="s">
        <v>16</v>
      </c>
      <c r="C114" s="5" t="s">
        <v>108</v>
      </c>
      <c r="D114" s="5" t="s">
        <v>111</v>
      </c>
      <c r="E114" s="5">
        <v>88.0</v>
      </c>
      <c r="F114" s="5">
        <v>148.0</v>
      </c>
      <c r="G114" s="5">
        <f t="shared" si="1"/>
        <v>236</v>
      </c>
      <c r="H114" s="10">
        <f t="shared" si="2"/>
        <v>0.3728813559</v>
      </c>
      <c r="I114" s="10">
        <v>-0.0493</v>
      </c>
      <c r="J114" s="10">
        <v>0.4655</v>
      </c>
      <c r="K114" s="5">
        <f t="shared" si="3"/>
        <v>0</v>
      </c>
    </row>
    <row r="115" ht="15.0" customHeight="1">
      <c r="A115" s="5">
        <v>2020.0</v>
      </c>
      <c r="B115" s="5" t="s">
        <v>16</v>
      </c>
      <c r="C115" s="5" t="s">
        <v>108</v>
      </c>
      <c r="D115" s="5" t="s">
        <v>111</v>
      </c>
      <c r="E115" s="5">
        <v>108.0</v>
      </c>
      <c r="F115" s="5">
        <v>267.0</v>
      </c>
      <c r="G115" s="5">
        <f t="shared" si="1"/>
        <v>375</v>
      </c>
      <c r="H115" s="10">
        <f t="shared" si="2"/>
        <v>0.288</v>
      </c>
      <c r="I115" s="10">
        <v>-0.164</v>
      </c>
      <c r="J115" s="10">
        <v>0.6684</v>
      </c>
      <c r="K115" s="5">
        <f t="shared" si="3"/>
        <v>1</v>
      </c>
    </row>
    <row r="116" ht="15.0" customHeight="1">
      <c r="A116" s="5">
        <v>2022.0</v>
      </c>
      <c r="B116" s="5" t="s">
        <v>16</v>
      </c>
      <c r="C116" s="5" t="s">
        <v>108</v>
      </c>
      <c r="D116" s="5" t="s">
        <v>111</v>
      </c>
      <c r="E116" s="5">
        <v>95.0</v>
      </c>
      <c r="F116" s="5">
        <v>211.0</v>
      </c>
      <c r="G116" s="5">
        <f t="shared" si="1"/>
        <v>306</v>
      </c>
      <c r="H116" s="10">
        <f t="shared" si="2"/>
        <v>0.3104575163</v>
      </c>
      <c r="I116" s="10">
        <v>-0.2553</v>
      </c>
      <c r="J116" s="10">
        <v>0.5387</v>
      </c>
      <c r="K116" s="5">
        <f t="shared" si="3"/>
        <v>0</v>
      </c>
    </row>
    <row r="117" ht="15.0" customHeight="1">
      <c r="A117" s="5">
        <v>2024.0</v>
      </c>
      <c r="B117" s="5" t="s">
        <v>16</v>
      </c>
      <c r="C117" s="5" t="s">
        <v>108</v>
      </c>
      <c r="D117" s="5" t="s">
        <v>111</v>
      </c>
      <c r="E117" s="5">
        <v>125.0</v>
      </c>
      <c r="F117" s="5">
        <v>302.0</v>
      </c>
      <c r="G117" s="5">
        <f t="shared" si="1"/>
        <v>427</v>
      </c>
      <c r="H117" s="10">
        <f t="shared" si="2"/>
        <v>0.2927400468</v>
      </c>
      <c r="I117" s="10">
        <v>-0.2995</v>
      </c>
      <c r="J117" s="10">
        <v>0.7225</v>
      </c>
      <c r="K117" s="5">
        <f t="shared" si="3"/>
        <v>1</v>
      </c>
    </row>
    <row r="118" ht="15.0" customHeight="1">
      <c r="A118" s="5">
        <v>2018.0</v>
      </c>
      <c r="B118" s="5" t="s">
        <v>16</v>
      </c>
      <c r="C118" s="5" t="s">
        <v>112</v>
      </c>
      <c r="D118" s="5" t="s">
        <v>113</v>
      </c>
      <c r="E118" s="5">
        <v>238.0</v>
      </c>
      <c r="F118" s="5">
        <v>261.0</v>
      </c>
      <c r="G118" s="5">
        <f t="shared" si="1"/>
        <v>499</v>
      </c>
      <c r="H118" s="10">
        <f t="shared" si="2"/>
        <v>0.4769539078</v>
      </c>
      <c r="I118" s="10">
        <v>0.234</v>
      </c>
      <c r="J118" s="10">
        <v>0.5236</v>
      </c>
      <c r="K118" s="5">
        <f t="shared" si="3"/>
        <v>0</v>
      </c>
    </row>
    <row r="119" ht="15.0" customHeight="1">
      <c r="A119" s="5">
        <v>2020.0</v>
      </c>
      <c r="B119" s="5" t="s">
        <v>16</v>
      </c>
      <c r="C119" s="5" t="s">
        <v>112</v>
      </c>
      <c r="D119" s="5" t="s">
        <v>113</v>
      </c>
      <c r="E119" s="5">
        <v>275.0</v>
      </c>
      <c r="F119" s="5">
        <v>448.0</v>
      </c>
      <c r="G119" s="5">
        <f t="shared" si="1"/>
        <v>723</v>
      </c>
      <c r="H119" s="10">
        <f t="shared" si="2"/>
        <v>0.3803596127</v>
      </c>
      <c r="I119" s="10">
        <v>0.1036</v>
      </c>
      <c r="J119" s="10">
        <v>0.7274</v>
      </c>
      <c r="K119" s="5">
        <f t="shared" si="3"/>
        <v>1</v>
      </c>
    </row>
    <row r="120" ht="15.0" customHeight="1">
      <c r="A120" s="5">
        <v>2022.0</v>
      </c>
      <c r="B120" s="5" t="s">
        <v>16</v>
      </c>
      <c r="C120" s="5" t="s">
        <v>112</v>
      </c>
      <c r="D120" s="5" t="s">
        <v>113</v>
      </c>
      <c r="E120" s="5">
        <v>245.0</v>
      </c>
      <c r="F120" s="5">
        <v>317.0</v>
      </c>
      <c r="G120" s="5">
        <f t="shared" si="1"/>
        <v>562</v>
      </c>
      <c r="H120" s="10">
        <f t="shared" si="2"/>
        <v>0.4359430605</v>
      </c>
      <c r="I120" s="10">
        <v>0.0415</v>
      </c>
      <c r="J120" s="10">
        <v>0.5985</v>
      </c>
      <c r="K120" s="5">
        <f t="shared" si="3"/>
        <v>0</v>
      </c>
    </row>
    <row r="121" ht="15.0" customHeight="1">
      <c r="A121" s="5">
        <v>2024.0</v>
      </c>
      <c r="B121" s="5" t="s">
        <v>16</v>
      </c>
      <c r="C121" s="5" t="s">
        <v>112</v>
      </c>
      <c r="D121" s="5" t="s">
        <v>113</v>
      </c>
      <c r="E121" s="5">
        <v>281.0</v>
      </c>
      <c r="F121" s="5">
        <v>448.0</v>
      </c>
      <c r="G121" s="5">
        <f t="shared" si="1"/>
        <v>729</v>
      </c>
      <c r="H121" s="10">
        <f t="shared" si="2"/>
        <v>0.3854595336</v>
      </c>
      <c r="I121" s="10">
        <v>-0.0424</v>
      </c>
      <c r="J121" s="10">
        <v>0.7531</v>
      </c>
      <c r="K121" s="5">
        <f t="shared" si="3"/>
        <v>1</v>
      </c>
    </row>
    <row r="122" ht="15.0" customHeight="1">
      <c r="A122" s="5">
        <v>2018.0</v>
      </c>
      <c r="B122" s="5" t="s">
        <v>16</v>
      </c>
      <c r="C122" s="5" t="s">
        <v>112</v>
      </c>
      <c r="D122" s="5" t="s">
        <v>114</v>
      </c>
      <c r="E122" s="5">
        <v>262.0</v>
      </c>
      <c r="F122" s="5">
        <v>285.0</v>
      </c>
      <c r="G122" s="5">
        <f t="shared" si="1"/>
        <v>547</v>
      </c>
      <c r="H122" s="10">
        <f t="shared" si="2"/>
        <v>0.478976234</v>
      </c>
      <c r="I122" s="10">
        <v>0.1451</v>
      </c>
      <c r="J122" s="10">
        <v>0.4695</v>
      </c>
      <c r="K122" s="5">
        <f t="shared" si="3"/>
        <v>0</v>
      </c>
    </row>
    <row r="123" ht="15.0" customHeight="1">
      <c r="A123" s="5">
        <v>2020.0</v>
      </c>
      <c r="B123" s="5" t="s">
        <v>16</v>
      </c>
      <c r="C123" s="5" t="s">
        <v>112</v>
      </c>
      <c r="D123" s="5" t="s">
        <v>114</v>
      </c>
      <c r="E123" s="5">
        <v>299.0</v>
      </c>
      <c r="F123" s="5">
        <v>515.0</v>
      </c>
      <c r="G123" s="5">
        <f t="shared" si="1"/>
        <v>814</v>
      </c>
      <c r="H123" s="10">
        <f t="shared" si="2"/>
        <v>0.3673218673</v>
      </c>
      <c r="I123" s="10">
        <v>0.0814</v>
      </c>
      <c r="J123" s="10">
        <v>0.6694</v>
      </c>
      <c r="K123" s="5">
        <f t="shared" si="3"/>
        <v>1</v>
      </c>
    </row>
    <row r="124" ht="15.0" customHeight="1">
      <c r="A124" s="5">
        <v>2022.0</v>
      </c>
      <c r="B124" s="5" t="s">
        <v>16</v>
      </c>
      <c r="C124" s="5" t="s">
        <v>112</v>
      </c>
      <c r="D124" s="5" t="s">
        <v>114</v>
      </c>
      <c r="E124" s="5">
        <v>243.0</v>
      </c>
      <c r="F124" s="5">
        <v>389.0</v>
      </c>
      <c r="G124" s="5">
        <f t="shared" si="1"/>
        <v>632</v>
      </c>
      <c r="H124" s="10">
        <f t="shared" si="2"/>
        <v>0.3844936709</v>
      </c>
      <c r="I124" s="10">
        <v>-0.0097</v>
      </c>
      <c r="J124" s="10">
        <v>0.5583</v>
      </c>
      <c r="K124" s="5">
        <f t="shared" si="3"/>
        <v>0</v>
      </c>
    </row>
    <row r="125" ht="15.0" customHeight="1">
      <c r="A125" s="5">
        <v>2024.0</v>
      </c>
      <c r="B125" s="5" t="s">
        <v>16</v>
      </c>
      <c r="C125" s="5" t="s">
        <v>112</v>
      </c>
      <c r="D125" s="5" t="s">
        <v>114</v>
      </c>
      <c r="E125" s="5">
        <v>320.0</v>
      </c>
      <c r="F125" s="5">
        <v>507.0</v>
      </c>
      <c r="G125" s="5">
        <f t="shared" si="1"/>
        <v>827</v>
      </c>
      <c r="H125" s="10">
        <f t="shared" si="2"/>
        <v>0.3869407497</v>
      </c>
      <c r="I125" s="10">
        <v>-0.0738</v>
      </c>
      <c r="J125" s="10">
        <v>0.7351</v>
      </c>
      <c r="K125" s="5">
        <f t="shared" si="3"/>
        <v>1</v>
      </c>
    </row>
    <row r="126" ht="15.0" customHeight="1">
      <c r="A126" s="5">
        <v>2018.0</v>
      </c>
      <c r="B126" s="5" t="s">
        <v>16</v>
      </c>
      <c r="C126" s="5" t="s">
        <v>115</v>
      </c>
      <c r="D126" s="5" t="s">
        <v>116</v>
      </c>
      <c r="E126" s="5">
        <v>111.0</v>
      </c>
      <c r="F126" s="5">
        <v>372.0</v>
      </c>
      <c r="G126" s="5">
        <f t="shared" si="1"/>
        <v>483</v>
      </c>
      <c r="H126" s="10">
        <f t="shared" si="2"/>
        <v>0.2298136646</v>
      </c>
      <c r="I126" s="10">
        <v>-0.4048</v>
      </c>
      <c r="J126" s="10">
        <v>0.6431</v>
      </c>
      <c r="K126" s="5">
        <f t="shared" si="3"/>
        <v>0</v>
      </c>
    </row>
    <row r="127" ht="15.0" customHeight="1">
      <c r="A127" s="5">
        <v>2020.0</v>
      </c>
      <c r="B127" s="5" t="s">
        <v>16</v>
      </c>
      <c r="C127" s="5" t="s">
        <v>115</v>
      </c>
      <c r="D127" s="5" t="s">
        <v>116</v>
      </c>
      <c r="E127" s="5">
        <v>109.0</v>
      </c>
      <c r="F127" s="5">
        <v>531.0</v>
      </c>
      <c r="G127" s="5">
        <f t="shared" si="1"/>
        <v>640</v>
      </c>
      <c r="H127" s="10">
        <f t="shared" si="2"/>
        <v>0.1703125</v>
      </c>
      <c r="I127" s="10">
        <v>-0.4663</v>
      </c>
      <c r="J127" s="10">
        <v>0.7834</v>
      </c>
      <c r="K127" s="5">
        <f t="shared" si="3"/>
        <v>1</v>
      </c>
    </row>
    <row r="128" ht="15.0" customHeight="1">
      <c r="A128" s="5">
        <v>2022.0</v>
      </c>
      <c r="B128" s="5" t="s">
        <v>16</v>
      </c>
      <c r="C128" s="5" t="s">
        <v>115</v>
      </c>
      <c r="D128" s="5" t="s">
        <v>116</v>
      </c>
      <c r="E128" s="5">
        <v>96.0</v>
      </c>
      <c r="F128" s="5">
        <v>444.0</v>
      </c>
      <c r="G128" s="5">
        <f t="shared" si="1"/>
        <v>540</v>
      </c>
      <c r="H128" s="10">
        <f t="shared" si="2"/>
        <v>0.1777777778</v>
      </c>
      <c r="I128" s="10">
        <v>-0.5137</v>
      </c>
      <c r="J128" s="10">
        <v>0.7059</v>
      </c>
      <c r="K128" s="5">
        <f t="shared" si="3"/>
        <v>0</v>
      </c>
    </row>
    <row r="129" ht="15.0" customHeight="1">
      <c r="A129" s="5">
        <v>2024.0</v>
      </c>
      <c r="B129" s="5" t="s">
        <v>16</v>
      </c>
      <c r="C129" s="5" t="s">
        <v>115</v>
      </c>
      <c r="D129" s="5" t="s">
        <v>116</v>
      </c>
      <c r="E129" s="5">
        <v>134.0</v>
      </c>
      <c r="F129" s="5">
        <v>505.0</v>
      </c>
      <c r="G129" s="5">
        <f t="shared" si="1"/>
        <v>639</v>
      </c>
      <c r="H129" s="10">
        <f t="shared" si="2"/>
        <v>0.2097026604</v>
      </c>
      <c r="I129" s="10">
        <v>-0.5402</v>
      </c>
      <c r="J129" s="10">
        <v>0.8419</v>
      </c>
      <c r="K129" s="5">
        <f t="shared" si="3"/>
        <v>1</v>
      </c>
    </row>
    <row r="130" ht="15.0" customHeight="1">
      <c r="A130" s="5">
        <v>2018.0</v>
      </c>
      <c r="B130" s="5" t="s">
        <v>16</v>
      </c>
      <c r="C130" s="5" t="s">
        <v>117</v>
      </c>
      <c r="D130" s="5" t="s">
        <v>118</v>
      </c>
      <c r="E130" s="5">
        <v>224.0</v>
      </c>
      <c r="F130" s="5">
        <v>376.0</v>
      </c>
      <c r="G130" s="5">
        <f t="shared" si="1"/>
        <v>600</v>
      </c>
      <c r="H130" s="10">
        <f t="shared" si="2"/>
        <v>0.3733333333</v>
      </c>
      <c r="I130" s="10">
        <v>-0.0529</v>
      </c>
      <c r="J130" s="10">
        <v>0.5469</v>
      </c>
      <c r="K130" s="5">
        <f t="shared" si="3"/>
        <v>0</v>
      </c>
    </row>
    <row r="131" ht="15.0" customHeight="1">
      <c r="A131" s="5">
        <v>2020.0</v>
      </c>
      <c r="B131" s="5" t="s">
        <v>16</v>
      </c>
      <c r="C131" s="5" t="s">
        <v>117</v>
      </c>
      <c r="D131" s="5" t="s">
        <v>118</v>
      </c>
      <c r="E131" s="5">
        <v>279.0</v>
      </c>
      <c r="F131" s="5">
        <v>584.0</v>
      </c>
      <c r="G131" s="5">
        <f t="shared" si="1"/>
        <v>863</v>
      </c>
      <c r="H131" s="10">
        <f t="shared" si="2"/>
        <v>0.3232908459</v>
      </c>
      <c r="I131" s="10">
        <v>-0.0982</v>
      </c>
      <c r="J131" s="10">
        <v>0.737</v>
      </c>
      <c r="K131" s="5">
        <f t="shared" si="3"/>
        <v>1</v>
      </c>
    </row>
    <row r="132" ht="15.0" customHeight="1">
      <c r="A132" s="5">
        <v>2022.0</v>
      </c>
      <c r="B132" s="5" t="s">
        <v>16</v>
      </c>
      <c r="C132" s="5" t="s">
        <v>117</v>
      </c>
      <c r="D132" s="5" t="s">
        <v>118</v>
      </c>
      <c r="E132" s="5">
        <v>241.0</v>
      </c>
      <c r="F132" s="5">
        <v>438.0</v>
      </c>
      <c r="G132" s="5">
        <f t="shared" si="1"/>
        <v>679</v>
      </c>
      <c r="H132" s="10">
        <f t="shared" si="2"/>
        <v>0.3549337261</v>
      </c>
      <c r="I132" s="10">
        <v>-0.1706</v>
      </c>
      <c r="J132" s="10">
        <v>0.6004</v>
      </c>
      <c r="K132" s="5">
        <f t="shared" si="3"/>
        <v>0</v>
      </c>
    </row>
    <row r="133" ht="15.0" customHeight="1">
      <c r="A133" s="5">
        <v>2024.0</v>
      </c>
      <c r="B133" s="5" t="s">
        <v>16</v>
      </c>
      <c r="C133" s="5" t="s">
        <v>117</v>
      </c>
      <c r="D133" s="5" t="s">
        <v>118</v>
      </c>
      <c r="E133" s="5">
        <v>308.0</v>
      </c>
      <c r="F133" s="5">
        <v>622.0</v>
      </c>
      <c r="G133" s="5">
        <f t="shared" si="1"/>
        <v>930</v>
      </c>
      <c r="H133" s="10">
        <f t="shared" si="2"/>
        <v>0.3311827957</v>
      </c>
      <c r="I133" s="10">
        <v>-0.212</v>
      </c>
      <c r="J133" s="10">
        <v>0.7888</v>
      </c>
      <c r="K133" s="5">
        <f t="shared" si="3"/>
        <v>1</v>
      </c>
    </row>
    <row r="134" ht="15.0" customHeight="1">
      <c r="A134" s="5">
        <v>2018.0</v>
      </c>
      <c r="B134" s="5" t="s">
        <v>16</v>
      </c>
      <c r="C134" s="5" t="s">
        <v>117</v>
      </c>
      <c r="D134" s="5" t="s">
        <v>119</v>
      </c>
      <c r="E134" s="5">
        <v>367.0</v>
      </c>
      <c r="F134" s="5">
        <v>452.0</v>
      </c>
      <c r="G134" s="5">
        <f t="shared" si="1"/>
        <v>819</v>
      </c>
      <c r="H134" s="10">
        <f t="shared" si="2"/>
        <v>0.4481074481</v>
      </c>
      <c r="I134" s="10">
        <v>0.0402</v>
      </c>
      <c r="J134" s="10">
        <v>0.4991</v>
      </c>
      <c r="K134" s="5">
        <f t="shared" si="3"/>
        <v>0</v>
      </c>
    </row>
    <row r="135" ht="15.0" customHeight="1">
      <c r="A135" s="5">
        <v>2020.0</v>
      </c>
      <c r="B135" s="5" t="s">
        <v>16</v>
      </c>
      <c r="C135" s="5" t="s">
        <v>117</v>
      </c>
      <c r="D135" s="5" t="s">
        <v>119</v>
      </c>
      <c r="E135" s="5">
        <v>459.0</v>
      </c>
      <c r="F135" s="5">
        <v>811.0</v>
      </c>
      <c r="G135" s="5">
        <f t="shared" si="1"/>
        <v>1270</v>
      </c>
      <c r="H135" s="10">
        <f t="shared" si="2"/>
        <v>0.3614173228</v>
      </c>
      <c r="I135" s="10">
        <v>-0.049</v>
      </c>
      <c r="J135" s="10">
        <v>0.7067</v>
      </c>
      <c r="K135" s="5">
        <f t="shared" si="3"/>
        <v>1</v>
      </c>
    </row>
    <row r="136" ht="15.0" customHeight="1">
      <c r="A136" s="5">
        <v>2022.0</v>
      </c>
      <c r="B136" s="5" t="s">
        <v>16</v>
      </c>
      <c r="C136" s="5" t="s">
        <v>117</v>
      </c>
      <c r="D136" s="5" t="s">
        <v>119</v>
      </c>
      <c r="E136" s="5">
        <v>392.0</v>
      </c>
      <c r="F136" s="5">
        <v>544.0</v>
      </c>
      <c r="G136" s="5">
        <f t="shared" si="1"/>
        <v>936</v>
      </c>
      <c r="H136" s="10">
        <f t="shared" si="2"/>
        <v>0.4188034188</v>
      </c>
      <c r="I136" s="10">
        <v>-0.0741</v>
      </c>
      <c r="J136" s="10">
        <v>0.542</v>
      </c>
      <c r="K136" s="5">
        <f t="shared" si="3"/>
        <v>0</v>
      </c>
    </row>
    <row r="137" ht="15.0" customHeight="1">
      <c r="A137" s="5">
        <v>2024.0</v>
      </c>
      <c r="B137" s="5" t="s">
        <v>16</v>
      </c>
      <c r="C137" s="5" t="s">
        <v>117</v>
      </c>
      <c r="D137" s="5" t="s">
        <v>119</v>
      </c>
      <c r="E137" s="5">
        <v>521.0</v>
      </c>
      <c r="F137" s="5">
        <v>825.0</v>
      </c>
      <c r="G137" s="5">
        <f t="shared" si="1"/>
        <v>1346</v>
      </c>
      <c r="H137" s="10">
        <f t="shared" si="2"/>
        <v>0.3870728083</v>
      </c>
      <c r="I137" s="10">
        <v>-0.1069</v>
      </c>
      <c r="J137" s="10">
        <v>0.7453</v>
      </c>
      <c r="K137" s="5">
        <f t="shared" si="3"/>
        <v>1</v>
      </c>
    </row>
    <row r="138" ht="15.0" customHeight="1">
      <c r="A138" s="5">
        <v>2018.0</v>
      </c>
      <c r="B138" s="5" t="s">
        <v>16</v>
      </c>
      <c r="C138" s="5" t="s">
        <v>117</v>
      </c>
      <c r="D138" s="5" t="s">
        <v>120</v>
      </c>
      <c r="E138" s="5">
        <v>96.0</v>
      </c>
      <c r="F138" s="5">
        <v>150.0</v>
      </c>
      <c r="G138" s="5">
        <f t="shared" si="1"/>
        <v>246</v>
      </c>
      <c r="H138" s="10">
        <f t="shared" si="2"/>
        <v>0.3902439024</v>
      </c>
      <c r="I138" s="10">
        <v>0.0488</v>
      </c>
      <c r="J138" s="10">
        <v>0.4286</v>
      </c>
      <c r="K138" s="5">
        <f t="shared" si="3"/>
        <v>0</v>
      </c>
    </row>
    <row r="139" ht="15.0" customHeight="1">
      <c r="A139" s="5">
        <v>2020.0</v>
      </c>
      <c r="B139" s="5" t="s">
        <v>16</v>
      </c>
      <c r="C139" s="5" t="s">
        <v>117</v>
      </c>
      <c r="D139" s="5" t="s">
        <v>120</v>
      </c>
      <c r="E139" s="5">
        <v>125.0</v>
      </c>
      <c r="F139" s="5">
        <v>281.0</v>
      </c>
      <c r="G139" s="5">
        <f t="shared" si="1"/>
        <v>406</v>
      </c>
      <c r="H139" s="10">
        <f t="shared" si="2"/>
        <v>0.3078817734</v>
      </c>
      <c r="I139" s="10">
        <v>-0.0327</v>
      </c>
      <c r="J139" s="10">
        <v>0.6645</v>
      </c>
      <c r="K139" s="5">
        <f t="shared" si="3"/>
        <v>1</v>
      </c>
    </row>
    <row r="140" ht="15.0" customHeight="1">
      <c r="A140" s="5">
        <v>2022.0</v>
      </c>
      <c r="B140" s="5" t="s">
        <v>16</v>
      </c>
      <c r="C140" s="5" t="s">
        <v>117</v>
      </c>
      <c r="D140" s="5" t="s">
        <v>120</v>
      </c>
      <c r="E140" s="5">
        <v>104.0</v>
      </c>
      <c r="F140" s="5">
        <v>190.0</v>
      </c>
      <c r="G140" s="5">
        <f t="shared" si="1"/>
        <v>294</v>
      </c>
      <c r="H140" s="10">
        <f t="shared" si="2"/>
        <v>0.3537414966</v>
      </c>
      <c r="I140" s="10">
        <v>-0.0812</v>
      </c>
      <c r="J140" s="10">
        <v>0.4975</v>
      </c>
      <c r="K140" s="5">
        <f t="shared" si="3"/>
        <v>0</v>
      </c>
    </row>
    <row r="141" ht="15.0" customHeight="1">
      <c r="A141" s="5">
        <v>2024.0</v>
      </c>
      <c r="B141" s="5" t="s">
        <v>16</v>
      </c>
      <c r="C141" s="5" t="s">
        <v>117</v>
      </c>
      <c r="D141" s="5" t="s">
        <v>120</v>
      </c>
      <c r="E141" s="5">
        <v>152.0</v>
      </c>
      <c r="F141" s="5">
        <v>293.0</v>
      </c>
      <c r="G141" s="5">
        <f t="shared" si="1"/>
        <v>445</v>
      </c>
      <c r="H141" s="10">
        <f t="shared" si="2"/>
        <v>0.3415730337</v>
      </c>
      <c r="I141" s="10">
        <v>-0.101</v>
      </c>
      <c r="J141" s="10">
        <v>0.7131</v>
      </c>
      <c r="K141" s="5">
        <f t="shared" si="3"/>
        <v>1</v>
      </c>
    </row>
    <row r="142" ht="15.0" customHeight="1">
      <c r="A142" s="5">
        <v>2018.0</v>
      </c>
      <c r="B142" s="5" t="s">
        <v>16</v>
      </c>
      <c r="C142" s="5" t="s">
        <v>121</v>
      </c>
      <c r="D142" s="5" t="s">
        <v>122</v>
      </c>
      <c r="E142" s="5">
        <v>53.0</v>
      </c>
      <c r="F142" s="5">
        <v>112.0</v>
      </c>
      <c r="G142" s="5">
        <f t="shared" si="1"/>
        <v>165</v>
      </c>
      <c r="H142" s="10">
        <f t="shared" si="2"/>
        <v>0.3212121212</v>
      </c>
      <c r="I142" s="10">
        <v>-0.0557</v>
      </c>
      <c r="J142" s="10">
        <v>0.5749</v>
      </c>
      <c r="K142" s="5">
        <f t="shared" si="3"/>
        <v>0</v>
      </c>
    </row>
    <row r="143" ht="15.0" customHeight="1">
      <c r="A143" s="5">
        <v>2020.0</v>
      </c>
      <c r="B143" s="5" t="s">
        <v>16</v>
      </c>
      <c r="C143" s="5" t="s">
        <v>121</v>
      </c>
      <c r="D143" s="5" t="s">
        <v>122</v>
      </c>
      <c r="E143" s="5">
        <v>52.0</v>
      </c>
      <c r="F143" s="5">
        <v>167.0</v>
      </c>
      <c r="G143" s="5">
        <f t="shared" si="1"/>
        <v>219</v>
      </c>
      <c r="H143" s="10">
        <f t="shared" si="2"/>
        <v>0.2374429224</v>
      </c>
      <c r="I143" s="10">
        <v>-0.1753</v>
      </c>
      <c r="J143" s="10">
        <v>0.711</v>
      </c>
      <c r="K143" s="5">
        <f t="shared" si="3"/>
        <v>1</v>
      </c>
    </row>
    <row r="144" ht="15.0" customHeight="1">
      <c r="A144" s="5">
        <v>2022.0</v>
      </c>
      <c r="B144" s="5" t="s">
        <v>16</v>
      </c>
      <c r="C144" s="5" t="s">
        <v>121</v>
      </c>
      <c r="D144" s="5" t="s">
        <v>122</v>
      </c>
      <c r="E144" s="5">
        <v>51.0</v>
      </c>
      <c r="F144" s="5">
        <v>136.0</v>
      </c>
      <c r="G144" s="5">
        <f t="shared" si="1"/>
        <v>187</v>
      </c>
      <c r="H144" s="10">
        <f t="shared" si="2"/>
        <v>0.2727272727</v>
      </c>
      <c r="I144" s="10">
        <v>-0.2295</v>
      </c>
      <c r="J144" s="10">
        <v>0.6131</v>
      </c>
      <c r="K144" s="5">
        <f t="shared" si="3"/>
        <v>0</v>
      </c>
    </row>
    <row r="145" ht="15.0" customHeight="1">
      <c r="A145" s="5">
        <v>2024.0</v>
      </c>
      <c r="B145" s="5" t="s">
        <v>16</v>
      </c>
      <c r="C145" s="5" t="s">
        <v>121</v>
      </c>
      <c r="D145" s="5" t="s">
        <v>122</v>
      </c>
      <c r="E145" s="5">
        <v>74.0</v>
      </c>
      <c r="F145" s="5">
        <v>162.0</v>
      </c>
      <c r="G145" s="5">
        <f t="shared" si="1"/>
        <v>236</v>
      </c>
      <c r="H145" s="10">
        <f t="shared" si="2"/>
        <v>0.313559322</v>
      </c>
      <c r="I145" s="10">
        <v>-0.255</v>
      </c>
      <c r="J145" s="10">
        <v>0.7815</v>
      </c>
      <c r="K145" s="5">
        <f t="shared" si="3"/>
        <v>1</v>
      </c>
    </row>
    <row r="146" ht="15.0" customHeight="1">
      <c r="A146" s="5">
        <v>2018.0</v>
      </c>
      <c r="B146" s="5" t="s">
        <v>16</v>
      </c>
      <c r="C146" s="5" t="s">
        <v>123</v>
      </c>
      <c r="D146" s="5" t="s">
        <v>124</v>
      </c>
      <c r="E146" s="5">
        <v>288.0</v>
      </c>
      <c r="F146" s="5">
        <v>454.0</v>
      </c>
      <c r="G146" s="5">
        <f t="shared" si="1"/>
        <v>742</v>
      </c>
      <c r="H146" s="10">
        <f t="shared" si="2"/>
        <v>0.3881401617</v>
      </c>
      <c r="I146" s="10">
        <v>-0.059</v>
      </c>
      <c r="J146" s="10">
        <v>0.5608</v>
      </c>
      <c r="K146" s="5">
        <f t="shared" si="3"/>
        <v>0</v>
      </c>
    </row>
    <row r="147" ht="15.0" customHeight="1">
      <c r="A147" s="5">
        <v>2020.0</v>
      </c>
      <c r="B147" s="5" t="s">
        <v>16</v>
      </c>
      <c r="C147" s="5" t="s">
        <v>123</v>
      </c>
      <c r="D147" s="5" t="s">
        <v>124</v>
      </c>
      <c r="E147" s="5">
        <v>366.0</v>
      </c>
      <c r="F147" s="5">
        <v>705.0</v>
      </c>
      <c r="G147" s="5">
        <f t="shared" si="1"/>
        <v>1071</v>
      </c>
      <c r="H147" s="10">
        <f t="shared" si="2"/>
        <v>0.3417366947</v>
      </c>
      <c r="I147" s="10">
        <v>-0.1221</v>
      </c>
      <c r="J147" s="10">
        <v>0.7427</v>
      </c>
      <c r="K147" s="5">
        <f t="shared" si="3"/>
        <v>1</v>
      </c>
    </row>
    <row r="148" ht="15.0" customHeight="1">
      <c r="A148" s="5">
        <v>2022.0</v>
      </c>
      <c r="B148" s="5" t="s">
        <v>16</v>
      </c>
      <c r="C148" s="5" t="s">
        <v>123</v>
      </c>
      <c r="D148" s="5" t="s">
        <v>124</v>
      </c>
      <c r="E148" s="5">
        <v>316.0</v>
      </c>
      <c r="F148" s="5">
        <v>580.0</v>
      </c>
      <c r="G148" s="5">
        <f t="shared" si="1"/>
        <v>896</v>
      </c>
      <c r="H148" s="10">
        <f t="shared" si="2"/>
        <v>0.3526785714</v>
      </c>
      <c r="I148" s="10">
        <v>-0.1652</v>
      </c>
      <c r="J148" s="10">
        <v>0.6697</v>
      </c>
      <c r="K148" s="5">
        <f t="shared" si="3"/>
        <v>0</v>
      </c>
    </row>
    <row r="149" ht="15.0" customHeight="1">
      <c r="A149" s="5">
        <v>2024.0</v>
      </c>
      <c r="B149" s="5" t="s">
        <v>16</v>
      </c>
      <c r="C149" s="5" t="s">
        <v>123</v>
      </c>
      <c r="D149" s="5" t="s">
        <v>124</v>
      </c>
      <c r="E149" s="5">
        <v>402.0</v>
      </c>
      <c r="F149" s="5">
        <v>703.0</v>
      </c>
      <c r="G149" s="5">
        <f t="shared" si="1"/>
        <v>1105</v>
      </c>
      <c r="H149" s="10">
        <f t="shared" si="2"/>
        <v>0.363800905</v>
      </c>
      <c r="I149" s="10">
        <v>-0.1941</v>
      </c>
      <c r="J149" s="10">
        <v>0.7826</v>
      </c>
      <c r="K149" s="5">
        <f t="shared" si="3"/>
        <v>1</v>
      </c>
    </row>
    <row r="150" ht="15.0" customHeight="1">
      <c r="A150" s="5">
        <v>2018.0</v>
      </c>
      <c r="B150" s="5" t="s">
        <v>16</v>
      </c>
      <c r="C150" s="5" t="s">
        <v>123</v>
      </c>
      <c r="D150" s="5" t="s">
        <v>125</v>
      </c>
      <c r="E150" s="5">
        <v>308.0</v>
      </c>
      <c r="F150" s="5">
        <v>489.0</v>
      </c>
      <c r="G150" s="5">
        <f t="shared" si="1"/>
        <v>797</v>
      </c>
      <c r="H150" s="10">
        <f t="shared" si="2"/>
        <v>0.3864491844</v>
      </c>
      <c r="I150" s="10">
        <v>-0.0496</v>
      </c>
      <c r="J150" s="10">
        <v>0.5064</v>
      </c>
      <c r="K150" s="5">
        <f t="shared" si="3"/>
        <v>0</v>
      </c>
    </row>
    <row r="151" ht="15.0" customHeight="1">
      <c r="A151" s="5">
        <v>2020.0</v>
      </c>
      <c r="B151" s="5" t="s">
        <v>16</v>
      </c>
      <c r="C151" s="5" t="s">
        <v>123</v>
      </c>
      <c r="D151" s="5" t="s">
        <v>125</v>
      </c>
      <c r="E151" s="5">
        <v>380.0</v>
      </c>
      <c r="F151" s="5">
        <v>822.0</v>
      </c>
      <c r="G151" s="5">
        <f t="shared" si="1"/>
        <v>1202</v>
      </c>
      <c r="H151" s="10">
        <f t="shared" si="2"/>
        <v>0.3161397671</v>
      </c>
      <c r="I151" s="10">
        <v>-0.1319</v>
      </c>
      <c r="J151" s="10">
        <v>0.6865</v>
      </c>
      <c r="K151" s="5">
        <f t="shared" si="3"/>
        <v>1</v>
      </c>
    </row>
    <row r="152" ht="15.0" customHeight="1">
      <c r="A152" s="5">
        <v>2022.0</v>
      </c>
      <c r="B152" s="5" t="s">
        <v>16</v>
      </c>
      <c r="C152" s="5" t="s">
        <v>123</v>
      </c>
      <c r="D152" s="5" t="s">
        <v>125</v>
      </c>
      <c r="E152" s="5">
        <v>322.0</v>
      </c>
      <c r="F152" s="5">
        <v>710.0</v>
      </c>
      <c r="G152" s="5">
        <f t="shared" si="1"/>
        <v>1032</v>
      </c>
      <c r="H152" s="10">
        <f t="shared" si="2"/>
        <v>0.3120155039</v>
      </c>
      <c r="I152" s="10">
        <v>-0.2005</v>
      </c>
      <c r="J152" s="10">
        <v>0.6308</v>
      </c>
      <c r="K152" s="5">
        <f t="shared" si="3"/>
        <v>0</v>
      </c>
    </row>
    <row r="153" ht="15.0" customHeight="1">
      <c r="A153" s="5">
        <v>2024.0</v>
      </c>
      <c r="B153" s="5" t="s">
        <v>16</v>
      </c>
      <c r="C153" s="5" t="s">
        <v>123</v>
      </c>
      <c r="D153" s="5" t="s">
        <v>125</v>
      </c>
      <c r="E153" s="5">
        <v>429.0</v>
      </c>
      <c r="F153" s="5">
        <v>926.0</v>
      </c>
      <c r="G153" s="5">
        <f t="shared" si="1"/>
        <v>1355</v>
      </c>
      <c r="H153" s="10">
        <f t="shared" si="2"/>
        <v>0.3166051661</v>
      </c>
      <c r="I153" s="10">
        <v>-0.2705</v>
      </c>
      <c r="J153" s="10">
        <v>0.7783</v>
      </c>
      <c r="K153" s="5">
        <f t="shared" si="3"/>
        <v>1</v>
      </c>
    </row>
    <row r="154" ht="15.0" customHeight="1">
      <c r="A154" s="5">
        <v>2018.0</v>
      </c>
      <c r="B154" s="5" t="s">
        <v>16</v>
      </c>
      <c r="C154" s="5" t="s">
        <v>123</v>
      </c>
      <c r="D154" s="5" t="s">
        <v>126</v>
      </c>
      <c r="E154" s="5">
        <v>299.0</v>
      </c>
      <c r="F154" s="5">
        <v>376.0</v>
      </c>
      <c r="G154" s="5">
        <f t="shared" si="1"/>
        <v>675</v>
      </c>
      <c r="H154" s="10">
        <f t="shared" si="2"/>
        <v>0.442962963</v>
      </c>
      <c r="I154" s="10">
        <v>0.0352</v>
      </c>
      <c r="J154" s="10">
        <v>0.3959</v>
      </c>
      <c r="K154" s="5">
        <f t="shared" si="3"/>
        <v>0</v>
      </c>
    </row>
    <row r="155" ht="15.0" customHeight="1">
      <c r="A155" s="5">
        <v>2020.0</v>
      </c>
      <c r="B155" s="5" t="s">
        <v>16</v>
      </c>
      <c r="C155" s="5" t="s">
        <v>123</v>
      </c>
      <c r="D155" s="5" t="s">
        <v>126</v>
      </c>
      <c r="E155" s="5">
        <v>461.0</v>
      </c>
      <c r="F155" s="5">
        <v>669.0</v>
      </c>
      <c r="G155" s="5">
        <f t="shared" si="1"/>
        <v>1130</v>
      </c>
      <c r="H155" s="10">
        <f t="shared" si="2"/>
        <v>0.4079646018</v>
      </c>
      <c r="I155" s="10">
        <v>-0.0098</v>
      </c>
      <c r="J155" s="10">
        <v>0.5813</v>
      </c>
      <c r="K155" s="5">
        <f t="shared" si="3"/>
        <v>1</v>
      </c>
    </row>
    <row r="156" ht="15.0" customHeight="1">
      <c r="A156" s="5">
        <v>2022.0</v>
      </c>
      <c r="B156" s="5" t="s">
        <v>16</v>
      </c>
      <c r="C156" s="5" t="s">
        <v>123</v>
      </c>
      <c r="D156" s="5" t="s">
        <v>126</v>
      </c>
      <c r="E156" s="5">
        <v>321.0</v>
      </c>
      <c r="F156" s="5">
        <v>505.0</v>
      </c>
      <c r="G156" s="5">
        <f t="shared" si="1"/>
        <v>826</v>
      </c>
      <c r="H156" s="10">
        <f t="shared" si="2"/>
        <v>0.3886198547</v>
      </c>
      <c r="I156" s="10">
        <v>-0.0311</v>
      </c>
      <c r="J156" s="10">
        <v>0.475</v>
      </c>
      <c r="K156" s="5">
        <f t="shared" si="3"/>
        <v>0</v>
      </c>
    </row>
    <row r="157" ht="15.0" customHeight="1">
      <c r="A157" s="5">
        <v>2024.0</v>
      </c>
      <c r="B157" s="5" t="s">
        <v>16</v>
      </c>
      <c r="C157" s="5" t="s">
        <v>123</v>
      </c>
      <c r="D157" s="5" t="s">
        <v>126</v>
      </c>
      <c r="E157" s="5">
        <v>443.0</v>
      </c>
      <c r="F157" s="5">
        <v>722.0</v>
      </c>
      <c r="G157" s="5">
        <f t="shared" si="1"/>
        <v>1165</v>
      </c>
      <c r="H157" s="10">
        <f t="shared" si="2"/>
        <v>0.3802575107</v>
      </c>
      <c r="I157" s="10">
        <v>-0.1116</v>
      </c>
      <c r="J157" s="10">
        <v>0.6534</v>
      </c>
      <c r="K157" s="5">
        <f t="shared" si="3"/>
        <v>1</v>
      </c>
    </row>
    <row r="158" ht="15.0" customHeight="1">
      <c r="A158" s="5">
        <v>2018.0</v>
      </c>
      <c r="B158" s="5" t="s">
        <v>16</v>
      </c>
      <c r="C158" s="5" t="s">
        <v>123</v>
      </c>
      <c r="D158" s="5" t="s">
        <v>127</v>
      </c>
      <c r="E158" s="5">
        <v>206.0</v>
      </c>
      <c r="F158" s="5">
        <v>301.0</v>
      </c>
      <c r="G158" s="5">
        <f t="shared" si="1"/>
        <v>507</v>
      </c>
      <c r="H158" s="10">
        <f t="shared" si="2"/>
        <v>0.4063116371</v>
      </c>
      <c r="I158" s="10">
        <v>0.0108</v>
      </c>
      <c r="J158" s="10">
        <v>0.4555</v>
      </c>
      <c r="K158" s="5">
        <f t="shared" si="3"/>
        <v>0</v>
      </c>
    </row>
    <row r="159" ht="15.0" customHeight="1">
      <c r="A159" s="5">
        <v>2020.0</v>
      </c>
      <c r="B159" s="5" t="s">
        <v>16</v>
      </c>
      <c r="C159" s="5" t="s">
        <v>123</v>
      </c>
      <c r="D159" s="5" t="s">
        <v>127</v>
      </c>
      <c r="E159" s="5">
        <v>312.0</v>
      </c>
      <c r="F159" s="5">
        <v>511.0</v>
      </c>
      <c r="G159" s="5">
        <f t="shared" si="1"/>
        <v>823</v>
      </c>
      <c r="H159" s="10">
        <f t="shared" si="2"/>
        <v>0.3791008505</v>
      </c>
      <c r="I159" s="10">
        <v>-0.0571</v>
      </c>
      <c r="J159" s="10">
        <v>0.6435</v>
      </c>
      <c r="K159" s="5">
        <f t="shared" si="3"/>
        <v>1</v>
      </c>
    </row>
    <row r="160" ht="15.0" customHeight="1">
      <c r="A160" s="5">
        <v>2022.0</v>
      </c>
      <c r="B160" s="5" t="s">
        <v>16</v>
      </c>
      <c r="C160" s="5" t="s">
        <v>123</v>
      </c>
      <c r="D160" s="5" t="s">
        <v>127</v>
      </c>
      <c r="E160" s="5">
        <v>237.0</v>
      </c>
      <c r="F160" s="5">
        <v>381.0</v>
      </c>
      <c r="G160" s="5">
        <f t="shared" si="1"/>
        <v>618</v>
      </c>
      <c r="H160" s="10">
        <f t="shared" si="2"/>
        <v>0.3834951456</v>
      </c>
      <c r="I160" s="10">
        <v>-0.1008</v>
      </c>
      <c r="J160" s="10">
        <v>0.5233</v>
      </c>
      <c r="K160" s="5">
        <f t="shared" si="3"/>
        <v>0</v>
      </c>
    </row>
    <row r="161" ht="15.0" customHeight="1">
      <c r="A161" s="5">
        <v>2024.0</v>
      </c>
      <c r="B161" s="5" t="s">
        <v>16</v>
      </c>
      <c r="C161" s="5" t="s">
        <v>123</v>
      </c>
      <c r="D161" s="5" t="s">
        <v>127</v>
      </c>
      <c r="E161" s="5">
        <v>304.0</v>
      </c>
      <c r="F161" s="5">
        <v>541.0</v>
      </c>
      <c r="G161" s="5">
        <f t="shared" si="1"/>
        <v>845</v>
      </c>
      <c r="H161" s="10">
        <f t="shared" si="2"/>
        <v>0.3597633136</v>
      </c>
      <c r="I161" s="10">
        <v>-0.1711</v>
      </c>
      <c r="J161" s="10">
        <v>0.6755</v>
      </c>
      <c r="K161" s="5">
        <f t="shared" si="3"/>
        <v>1</v>
      </c>
    </row>
    <row r="162" ht="15.0" customHeight="1">
      <c r="A162" s="5">
        <v>2018.0</v>
      </c>
      <c r="B162" s="5" t="s">
        <v>16</v>
      </c>
      <c r="C162" s="5" t="s">
        <v>123</v>
      </c>
      <c r="D162" s="5" t="s">
        <v>128</v>
      </c>
      <c r="E162" s="5">
        <v>352.0</v>
      </c>
      <c r="F162" s="5">
        <v>460.0</v>
      </c>
      <c r="G162" s="5">
        <f t="shared" si="1"/>
        <v>812</v>
      </c>
      <c r="H162" s="10">
        <f t="shared" si="2"/>
        <v>0.4334975369</v>
      </c>
      <c r="I162" s="10">
        <v>0.0113</v>
      </c>
      <c r="J162" s="10">
        <v>0.4593</v>
      </c>
      <c r="K162" s="5">
        <f t="shared" si="3"/>
        <v>0</v>
      </c>
    </row>
    <row r="163" ht="15.0" customHeight="1">
      <c r="A163" s="5">
        <v>2020.0</v>
      </c>
      <c r="B163" s="5" t="s">
        <v>16</v>
      </c>
      <c r="C163" s="5" t="s">
        <v>123</v>
      </c>
      <c r="D163" s="5" t="s">
        <v>128</v>
      </c>
      <c r="E163" s="5">
        <v>478.0</v>
      </c>
      <c r="F163" s="5">
        <v>767.0</v>
      </c>
      <c r="G163" s="5">
        <f t="shared" si="1"/>
        <v>1245</v>
      </c>
      <c r="H163" s="10">
        <f t="shared" si="2"/>
        <v>0.383935743</v>
      </c>
      <c r="I163" s="10">
        <v>-0.0343</v>
      </c>
      <c r="J163" s="10">
        <v>0.6182</v>
      </c>
      <c r="K163" s="5">
        <f t="shared" si="3"/>
        <v>1</v>
      </c>
    </row>
    <row r="164" ht="15.0" customHeight="1">
      <c r="A164" s="5">
        <v>2022.0</v>
      </c>
      <c r="B164" s="5" t="s">
        <v>16</v>
      </c>
      <c r="C164" s="5" t="s">
        <v>123</v>
      </c>
      <c r="D164" s="5" t="s">
        <v>128</v>
      </c>
      <c r="E164" s="5">
        <v>378.0</v>
      </c>
      <c r="F164" s="5">
        <v>574.0</v>
      </c>
      <c r="G164" s="5">
        <f t="shared" si="1"/>
        <v>952</v>
      </c>
      <c r="H164" s="10">
        <f t="shared" si="2"/>
        <v>0.3970588235</v>
      </c>
      <c r="I164" s="10">
        <v>-0.1047</v>
      </c>
      <c r="J164" s="10">
        <v>0.5219</v>
      </c>
      <c r="K164" s="5">
        <f t="shared" si="3"/>
        <v>0</v>
      </c>
    </row>
    <row r="165" ht="15.0" customHeight="1">
      <c r="A165" s="5">
        <v>2024.0</v>
      </c>
      <c r="B165" s="5" t="s">
        <v>16</v>
      </c>
      <c r="C165" s="5" t="s">
        <v>123</v>
      </c>
      <c r="D165" s="5" t="s">
        <v>128</v>
      </c>
      <c r="E165" s="5">
        <v>469.0</v>
      </c>
      <c r="F165" s="5">
        <v>810.0</v>
      </c>
      <c r="G165" s="5">
        <f t="shared" si="1"/>
        <v>1279</v>
      </c>
      <c r="H165" s="10">
        <f t="shared" si="2"/>
        <v>0.3666927287</v>
      </c>
      <c r="I165" s="10">
        <v>-0.1588</v>
      </c>
      <c r="J165" s="10">
        <v>0.6818</v>
      </c>
      <c r="K165" s="5">
        <f t="shared" si="3"/>
        <v>1</v>
      </c>
    </row>
    <row r="166" ht="15.0" customHeight="1">
      <c r="A166" s="5">
        <v>2018.0</v>
      </c>
      <c r="B166" s="5" t="s">
        <v>16</v>
      </c>
      <c r="C166" s="5" t="s">
        <v>129</v>
      </c>
      <c r="D166" s="5" t="s">
        <v>130</v>
      </c>
      <c r="E166" s="5">
        <v>161.0</v>
      </c>
      <c r="F166" s="5">
        <v>120.0</v>
      </c>
      <c r="G166" s="5">
        <f t="shared" si="1"/>
        <v>281</v>
      </c>
      <c r="H166" s="10">
        <f t="shared" si="2"/>
        <v>0.5729537367</v>
      </c>
      <c r="I166" s="10">
        <v>0.3898</v>
      </c>
      <c r="J166" s="10">
        <v>0.5531</v>
      </c>
      <c r="K166" s="5">
        <f t="shared" si="3"/>
        <v>0</v>
      </c>
    </row>
    <row r="167" ht="15.0" customHeight="1">
      <c r="A167" s="5">
        <v>2020.0</v>
      </c>
      <c r="B167" s="5" t="s">
        <v>16</v>
      </c>
      <c r="C167" s="5" t="s">
        <v>129</v>
      </c>
      <c r="D167" s="5" t="s">
        <v>130</v>
      </c>
      <c r="E167" s="5">
        <v>175.0</v>
      </c>
      <c r="F167" s="5">
        <v>208.0</v>
      </c>
      <c r="G167" s="5">
        <f t="shared" si="1"/>
        <v>383</v>
      </c>
      <c r="H167" s="10">
        <f t="shared" si="2"/>
        <v>0.4569190601</v>
      </c>
      <c r="I167" s="10">
        <v>0.2582</v>
      </c>
      <c r="J167" s="10">
        <v>0.7015</v>
      </c>
      <c r="K167" s="5">
        <f t="shared" si="3"/>
        <v>1</v>
      </c>
    </row>
    <row r="168" ht="15.0" customHeight="1">
      <c r="A168" s="5">
        <v>2022.0</v>
      </c>
      <c r="B168" s="5" t="s">
        <v>16</v>
      </c>
      <c r="C168" s="5" t="s">
        <v>129</v>
      </c>
      <c r="D168" s="5" t="s">
        <v>130</v>
      </c>
      <c r="E168" s="5">
        <v>138.0</v>
      </c>
      <c r="F168" s="5">
        <v>150.0</v>
      </c>
      <c r="G168" s="5">
        <f t="shared" si="1"/>
        <v>288</v>
      </c>
      <c r="H168" s="10">
        <f t="shared" si="2"/>
        <v>0.4791666667</v>
      </c>
      <c r="I168" s="10">
        <v>0.2196</v>
      </c>
      <c r="J168" s="10">
        <v>0.5749</v>
      </c>
      <c r="K168" s="5">
        <f t="shared" si="3"/>
        <v>0</v>
      </c>
    </row>
    <row r="169" ht="15.0" customHeight="1">
      <c r="A169" s="5">
        <v>2024.0</v>
      </c>
      <c r="B169" s="5" t="s">
        <v>16</v>
      </c>
      <c r="C169" s="5" t="s">
        <v>129</v>
      </c>
      <c r="D169" s="5" t="s">
        <v>130</v>
      </c>
      <c r="E169" s="5">
        <v>175.0</v>
      </c>
      <c r="F169" s="5">
        <v>212.0</v>
      </c>
      <c r="G169" s="5">
        <f t="shared" si="1"/>
        <v>387</v>
      </c>
      <c r="H169" s="10">
        <f t="shared" si="2"/>
        <v>0.4521963824</v>
      </c>
      <c r="I169" s="10">
        <v>0.0996</v>
      </c>
      <c r="J169" s="10">
        <v>0.714</v>
      </c>
      <c r="K169" s="5">
        <f t="shared" si="3"/>
        <v>1</v>
      </c>
    </row>
    <row r="170" ht="15.0" customHeight="1">
      <c r="A170" s="5">
        <v>2018.0</v>
      </c>
      <c r="B170" s="5" t="s">
        <v>16</v>
      </c>
      <c r="C170" s="5" t="s">
        <v>129</v>
      </c>
      <c r="D170" s="5" t="s">
        <v>131</v>
      </c>
      <c r="E170" s="5">
        <v>169.0</v>
      </c>
      <c r="F170" s="5">
        <v>132.0</v>
      </c>
      <c r="G170" s="5">
        <f t="shared" si="1"/>
        <v>301</v>
      </c>
      <c r="H170" s="10">
        <f t="shared" si="2"/>
        <v>0.561461794</v>
      </c>
      <c r="I170" s="10">
        <v>0.3053</v>
      </c>
      <c r="J170" s="10">
        <v>0.589</v>
      </c>
      <c r="K170" s="5">
        <f t="shared" si="3"/>
        <v>0</v>
      </c>
    </row>
    <row r="171" ht="15.0" customHeight="1">
      <c r="A171" s="5">
        <v>2020.0</v>
      </c>
      <c r="B171" s="5" t="s">
        <v>16</v>
      </c>
      <c r="C171" s="5" t="s">
        <v>129</v>
      </c>
      <c r="D171" s="5" t="s">
        <v>131</v>
      </c>
      <c r="E171" s="5">
        <v>181.0</v>
      </c>
      <c r="F171" s="5">
        <v>205.0</v>
      </c>
      <c r="G171" s="5">
        <f t="shared" si="1"/>
        <v>386</v>
      </c>
      <c r="H171" s="10">
        <f t="shared" si="2"/>
        <v>0.4689119171</v>
      </c>
      <c r="I171" s="10">
        <v>0.2338</v>
      </c>
      <c r="J171" s="10">
        <v>0.7338</v>
      </c>
      <c r="K171" s="5">
        <f t="shared" si="3"/>
        <v>1</v>
      </c>
    </row>
    <row r="172" ht="15.0" customHeight="1">
      <c r="A172" s="5">
        <v>2022.0</v>
      </c>
      <c r="B172" s="5" t="s">
        <v>16</v>
      </c>
      <c r="C172" s="5" t="s">
        <v>129</v>
      </c>
      <c r="D172" s="5" t="s">
        <v>131</v>
      </c>
      <c r="E172" s="5">
        <v>162.0</v>
      </c>
      <c r="F172" s="5">
        <v>150.0</v>
      </c>
      <c r="G172" s="5">
        <f t="shared" si="1"/>
        <v>312</v>
      </c>
      <c r="H172" s="10">
        <f t="shared" si="2"/>
        <v>0.5192307692</v>
      </c>
      <c r="I172" s="10">
        <v>0.2072</v>
      </c>
      <c r="J172" s="10">
        <v>0.6278</v>
      </c>
      <c r="K172" s="5">
        <f t="shared" si="3"/>
        <v>0</v>
      </c>
    </row>
    <row r="173" ht="15.0" customHeight="1">
      <c r="A173" s="5">
        <v>2024.0</v>
      </c>
      <c r="B173" s="5" t="s">
        <v>16</v>
      </c>
      <c r="C173" s="5" t="s">
        <v>129</v>
      </c>
      <c r="D173" s="5" t="s">
        <v>131</v>
      </c>
      <c r="E173" s="5">
        <v>187.0</v>
      </c>
      <c r="F173" s="5">
        <v>210.0</v>
      </c>
      <c r="G173" s="5">
        <f t="shared" si="1"/>
        <v>397</v>
      </c>
      <c r="H173" s="10">
        <f t="shared" si="2"/>
        <v>0.4710327456</v>
      </c>
      <c r="I173" s="10">
        <v>0.1201</v>
      </c>
      <c r="J173" s="10">
        <v>0.7448</v>
      </c>
      <c r="K173" s="5">
        <f t="shared" si="3"/>
        <v>1</v>
      </c>
    </row>
    <row r="174" ht="15.0" customHeight="1">
      <c r="A174" s="5">
        <v>2018.0</v>
      </c>
      <c r="B174" s="5" t="s">
        <v>16</v>
      </c>
      <c r="C174" s="5" t="s">
        <v>129</v>
      </c>
      <c r="D174" s="5" t="s">
        <v>132</v>
      </c>
      <c r="E174" s="5">
        <v>159.0</v>
      </c>
      <c r="F174" s="5">
        <v>163.0</v>
      </c>
      <c r="G174" s="5">
        <f t="shared" si="1"/>
        <v>322</v>
      </c>
      <c r="H174" s="10">
        <f t="shared" si="2"/>
        <v>0.4937888199</v>
      </c>
      <c r="I174" s="10">
        <v>0.1607</v>
      </c>
      <c r="J174" s="10">
        <v>0.4977</v>
      </c>
      <c r="K174" s="5">
        <f t="shared" si="3"/>
        <v>0</v>
      </c>
    </row>
    <row r="175" ht="15.0" customHeight="1">
      <c r="A175" s="5">
        <v>2020.0</v>
      </c>
      <c r="B175" s="5" t="s">
        <v>16</v>
      </c>
      <c r="C175" s="5" t="s">
        <v>129</v>
      </c>
      <c r="D175" s="5" t="s">
        <v>132</v>
      </c>
      <c r="E175" s="5">
        <v>170.0</v>
      </c>
      <c r="F175" s="5">
        <v>298.0</v>
      </c>
      <c r="G175" s="5">
        <f t="shared" si="1"/>
        <v>468</v>
      </c>
      <c r="H175" s="10">
        <f t="shared" si="2"/>
        <v>0.3632478632</v>
      </c>
      <c r="I175" s="10">
        <v>0.0699</v>
      </c>
      <c r="J175" s="10">
        <v>0.6676</v>
      </c>
      <c r="K175" s="5">
        <f t="shared" si="3"/>
        <v>1</v>
      </c>
    </row>
    <row r="176" ht="15.0" customHeight="1">
      <c r="A176" s="5">
        <v>2022.0</v>
      </c>
      <c r="B176" s="5" t="s">
        <v>16</v>
      </c>
      <c r="C176" s="5" t="s">
        <v>129</v>
      </c>
      <c r="D176" s="5" t="s">
        <v>132</v>
      </c>
      <c r="E176" s="5">
        <v>159.0</v>
      </c>
      <c r="F176" s="5">
        <v>225.0</v>
      </c>
      <c r="G176" s="5">
        <f t="shared" si="1"/>
        <v>384</v>
      </c>
      <c r="H176" s="10">
        <f t="shared" si="2"/>
        <v>0.4140625</v>
      </c>
      <c r="I176" s="10">
        <v>0.0241</v>
      </c>
      <c r="J176" s="10">
        <v>0.5774</v>
      </c>
      <c r="K176" s="5">
        <f t="shared" si="3"/>
        <v>0</v>
      </c>
    </row>
    <row r="177" ht="15.0" customHeight="1">
      <c r="A177" s="5">
        <v>2024.0</v>
      </c>
      <c r="B177" s="5" t="s">
        <v>16</v>
      </c>
      <c r="C177" s="5" t="s">
        <v>129</v>
      </c>
      <c r="D177" s="5" t="s">
        <v>132</v>
      </c>
      <c r="E177" s="5">
        <v>195.0</v>
      </c>
      <c r="F177" s="5">
        <v>298.0</v>
      </c>
      <c r="G177" s="5">
        <f t="shared" si="1"/>
        <v>493</v>
      </c>
      <c r="H177" s="10">
        <f t="shared" si="2"/>
        <v>0.3955375254</v>
      </c>
      <c r="I177" s="10">
        <v>-0.0591</v>
      </c>
      <c r="J177" s="10">
        <v>0.7104</v>
      </c>
      <c r="K177" s="5">
        <f t="shared" si="3"/>
        <v>1</v>
      </c>
    </row>
    <row r="178" ht="15.0" customHeight="1">
      <c r="A178" s="5">
        <v>2018.0</v>
      </c>
      <c r="B178" s="5" t="s">
        <v>16</v>
      </c>
      <c r="C178" s="5" t="s">
        <v>129</v>
      </c>
      <c r="D178" s="5" t="s">
        <v>133</v>
      </c>
      <c r="E178" s="5">
        <v>85.0</v>
      </c>
      <c r="F178" s="5">
        <v>147.0</v>
      </c>
      <c r="G178" s="5">
        <f t="shared" si="1"/>
        <v>232</v>
      </c>
      <c r="H178" s="10">
        <f t="shared" si="2"/>
        <v>0.3663793103</v>
      </c>
      <c r="I178" s="10">
        <v>-0.0142</v>
      </c>
      <c r="J178" s="10">
        <v>0.6572</v>
      </c>
      <c r="K178" s="5">
        <f t="shared" si="3"/>
        <v>0</v>
      </c>
    </row>
    <row r="179" ht="15.0" customHeight="1">
      <c r="A179" s="5">
        <v>2020.0</v>
      </c>
      <c r="B179" s="5" t="s">
        <v>16</v>
      </c>
      <c r="C179" s="5" t="s">
        <v>129</v>
      </c>
      <c r="D179" s="5" t="s">
        <v>133</v>
      </c>
      <c r="E179" s="5">
        <v>94.0</v>
      </c>
      <c r="F179" s="5">
        <v>206.0</v>
      </c>
      <c r="G179" s="5">
        <f t="shared" si="1"/>
        <v>300</v>
      </c>
      <c r="H179" s="10">
        <f t="shared" si="2"/>
        <v>0.3133333333</v>
      </c>
      <c r="I179" s="10">
        <v>-0.0786</v>
      </c>
      <c r="J179" s="10">
        <v>0.813</v>
      </c>
      <c r="K179" s="5">
        <f t="shared" si="3"/>
        <v>1</v>
      </c>
    </row>
    <row r="180" ht="15.0" customHeight="1">
      <c r="A180" s="5">
        <v>2022.0</v>
      </c>
      <c r="B180" s="5" t="s">
        <v>16</v>
      </c>
      <c r="C180" s="5" t="s">
        <v>129</v>
      </c>
      <c r="D180" s="5" t="s">
        <v>133</v>
      </c>
      <c r="E180" s="5">
        <v>98.0</v>
      </c>
      <c r="F180" s="5">
        <v>153.0</v>
      </c>
      <c r="G180" s="5">
        <f t="shared" si="1"/>
        <v>251</v>
      </c>
      <c r="H180" s="10">
        <f t="shared" si="2"/>
        <v>0.390438247</v>
      </c>
      <c r="I180" s="10">
        <v>-0.1671</v>
      </c>
      <c r="J180" s="10">
        <v>0.6765</v>
      </c>
      <c r="K180" s="5">
        <f t="shared" si="3"/>
        <v>0</v>
      </c>
    </row>
    <row r="181" ht="15.0" customHeight="1">
      <c r="A181" s="5">
        <v>2024.0</v>
      </c>
      <c r="B181" s="5" t="s">
        <v>16</v>
      </c>
      <c r="C181" s="5" t="s">
        <v>129</v>
      </c>
      <c r="D181" s="5" t="s">
        <v>133</v>
      </c>
      <c r="E181" s="5">
        <v>103.0</v>
      </c>
      <c r="F181" s="5">
        <v>193.0</v>
      </c>
      <c r="G181" s="5">
        <f t="shared" si="1"/>
        <v>296</v>
      </c>
      <c r="H181" s="10">
        <f t="shared" si="2"/>
        <v>0.347972973</v>
      </c>
      <c r="I181" s="10">
        <v>-0.1627</v>
      </c>
      <c r="J181" s="10">
        <v>0.7893</v>
      </c>
      <c r="K181" s="5">
        <f t="shared" si="3"/>
        <v>1</v>
      </c>
    </row>
    <row r="182" ht="15.0" customHeight="1">
      <c r="A182" s="5">
        <v>2018.0</v>
      </c>
      <c r="B182" s="5" t="s">
        <v>16</v>
      </c>
      <c r="C182" s="5" t="s">
        <v>134</v>
      </c>
      <c r="D182" s="5" t="s">
        <v>135</v>
      </c>
      <c r="E182" s="5">
        <v>198.0</v>
      </c>
      <c r="F182" s="5">
        <v>374.0</v>
      </c>
      <c r="G182" s="5">
        <f t="shared" si="1"/>
        <v>572</v>
      </c>
      <c r="H182" s="10">
        <f t="shared" si="2"/>
        <v>0.3461538462</v>
      </c>
      <c r="I182" s="10">
        <v>-0.1774</v>
      </c>
      <c r="J182" s="10">
        <v>0.5516</v>
      </c>
      <c r="K182" s="5">
        <f t="shared" si="3"/>
        <v>0</v>
      </c>
    </row>
    <row r="183" ht="15.0" customHeight="1">
      <c r="A183" s="5">
        <v>2020.0</v>
      </c>
      <c r="B183" s="5" t="s">
        <v>16</v>
      </c>
      <c r="C183" s="5" t="s">
        <v>134</v>
      </c>
      <c r="D183" s="5" t="s">
        <v>135</v>
      </c>
      <c r="E183" s="5">
        <v>255.0</v>
      </c>
      <c r="F183" s="5">
        <v>611.0</v>
      </c>
      <c r="G183" s="5">
        <f t="shared" si="1"/>
        <v>866</v>
      </c>
      <c r="H183" s="10">
        <f t="shared" si="2"/>
        <v>0.2944572748</v>
      </c>
      <c r="I183" s="10">
        <v>-0.2205</v>
      </c>
      <c r="J183" s="10">
        <v>0.7671</v>
      </c>
      <c r="K183" s="5">
        <f t="shared" si="3"/>
        <v>1</v>
      </c>
    </row>
    <row r="184" ht="15.0" customHeight="1">
      <c r="A184" s="5">
        <v>2022.0</v>
      </c>
      <c r="B184" s="5" t="s">
        <v>16</v>
      </c>
      <c r="C184" s="5" t="s">
        <v>134</v>
      </c>
      <c r="D184" s="5" t="s">
        <v>135</v>
      </c>
      <c r="E184" s="5">
        <v>209.0</v>
      </c>
      <c r="F184" s="5">
        <v>498.0</v>
      </c>
      <c r="G184" s="5">
        <f t="shared" si="1"/>
        <v>707</v>
      </c>
      <c r="H184" s="10">
        <f t="shared" si="2"/>
        <v>0.2956152758</v>
      </c>
      <c r="I184" s="10">
        <v>-0.2814</v>
      </c>
      <c r="J184" s="10">
        <v>0.6335</v>
      </c>
      <c r="K184" s="5">
        <f t="shared" si="3"/>
        <v>0</v>
      </c>
    </row>
    <row r="185" ht="15.0" customHeight="1">
      <c r="A185" s="5">
        <v>2024.0</v>
      </c>
      <c r="B185" s="5" t="s">
        <v>16</v>
      </c>
      <c r="C185" s="5" t="s">
        <v>134</v>
      </c>
      <c r="D185" s="5" t="s">
        <v>135</v>
      </c>
      <c r="E185" s="5">
        <v>306.0</v>
      </c>
      <c r="F185" s="5">
        <v>652.0</v>
      </c>
      <c r="G185" s="5">
        <f t="shared" si="1"/>
        <v>958</v>
      </c>
      <c r="H185" s="10">
        <f t="shared" si="2"/>
        <v>0.3194154489</v>
      </c>
      <c r="I185" s="10">
        <v>-0.3037</v>
      </c>
      <c r="J185" s="10">
        <v>0.795</v>
      </c>
      <c r="K185" s="5">
        <f t="shared" si="3"/>
        <v>1</v>
      </c>
    </row>
    <row r="186" ht="15.0" customHeight="1">
      <c r="A186" s="5">
        <v>2018.0</v>
      </c>
      <c r="B186" s="5" t="s">
        <v>16</v>
      </c>
      <c r="C186" s="5" t="s">
        <v>134</v>
      </c>
      <c r="D186" s="5" t="s">
        <v>136</v>
      </c>
      <c r="E186" s="5">
        <v>217.0</v>
      </c>
      <c r="F186" s="5">
        <v>393.0</v>
      </c>
      <c r="G186" s="5">
        <f t="shared" si="1"/>
        <v>610</v>
      </c>
      <c r="H186" s="10">
        <f t="shared" si="2"/>
        <v>0.3557377049</v>
      </c>
      <c r="I186" s="10">
        <v>-0.1636</v>
      </c>
      <c r="J186" s="10">
        <v>0.5545</v>
      </c>
      <c r="K186" s="5">
        <f t="shared" si="3"/>
        <v>0</v>
      </c>
    </row>
    <row r="187" ht="15.0" customHeight="1">
      <c r="A187" s="5">
        <v>2020.0</v>
      </c>
      <c r="B187" s="5" t="s">
        <v>16</v>
      </c>
      <c r="C187" s="5" t="s">
        <v>134</v>
      </c>
      <c r="D187" s="5" t="s">
        <v>136</v>
      </c>
      <c r="E187" s="5">
        <v>229.0</v>
      </c>
      <c r="F187" s="5">
        <v>679.0</v>
      </c>
      <c r="G187" s="5">
        <f t="shared" si="1"/>
        <v>908</v>
      </c>
      <c r="H187" s="10">
        <f t="shared" si="2"/>
        <v>0.2522026432</v>
      </c>
      <c r="I187" s="10">
        <v>-0.2469</v>
      </c>
      <c r="J187" s="10">
        <v>0.7598</v>
      </c>
      <c r="K187" s="5">
        <f t="shared" si="3"/>
        <v>1</v>
      </c>
    </row>
    <row r="188" ht="15.0" customHeight="1">
      <c r="A188" s="5">
        <v>2022.0</v>
      </c>
      <c r="B188" s="5" t="s">
        <v>16</v>
      </c>
      <c r="C188" s="5" t="s">
        <v>134</v>
      </c>
      <c r="D188" s="5" t="s">
        <v>136</v>
      </c>
      <c r="E188" s="5">
        <v>210.0</v>
      </c>
      <c r="F188" s="5">
        <v>536.0</v>
      </c>
      <c r="G188" s="5">
        <f t="shared" si="1"/>
        <v>746</v>
      </c>
      <c r="H188" s="10">
        <f t="shared" si="2"/>
        <v>0.2815013405</v>
      </c>
      <c r="I188" s="10">
        <v>-0.2953</v>
      </c>
      <c r="J188" s="10">
        <v>0.6498</v>
      </c>
      <c r="K188" s="5">
        <f t="shared" si="3"/>
        <v>0</v>
      </c>
    </row>
    <row r="189" ht="15.0" customHeight="1">
      <c r="A189" s="5">
        <v>2024.0</v>
      </c>
      <c r="B189" s="5" t="s">
        <v>16</v>
      </c>
      <c r="C189" s="5" t="s">
        <v>134</v>
      </c>
      <c r="D189" s="5" t="s">
        <v>136</v>
      </c>
      <c r="E189" s="5">
        <v>255.0</v>
      </c>
      <c r="F189" s="5">
        <v>717.0</v>
      </c>
      <c r="G189" s="5">
        <f t="shared" si="1"/>
        <v>972</v>
      </c>
      <c r="H189" s="10">
        <f t="shared" si="2"/>
        <v>0.262345679</v>
      </c>
      <c r="I189" s="10">
        <v>-0.3331</v>
      </c>
      <c r="J189" s="10">
        <v>0.8196</v>
      </c>
      <c r="K189" s="5">
        <f t="shared" si="3"/>
        <v>1</v>
      </c>
    </row>
    <row r="190" ht="15.0" customHeight="1">
      <c r="A190" s="5">
        <v>2018.0</v>
      </c>
      <c r="B190" s="5" t="s">
        <v>16</v>
      </c>
      <c r="C190" s="5" t="s">
        <v>134</v>
      </c>
      <c r="D190" s="5" t="s">
        <v>137</v>
      </c>
      <c r="E190" s="5">
        <v>198.0</v>
      </c>
      <c r="F190" s="5">
        <v>369.0</v>
      </c>
      <c r="G190" s="5">
        <f t="shared" si="1"/>
        <v>567</v>
      </c>
      <c r="H190" s="10">
        <f t="shared" si="2"/>
        <v>0.3492063492</v>
      </c>
      <c r="I190" s="10">
        <v>-0.1502</v>
      </c>
      <c r="J190" s="10">
        <v>0.5912</v>
      </c>
      <c r="K190" s="5">
        <f t="shared" si="3"/>
        <v>0</v>
      </c>
    </row>
    <row r="191" ht="15.0" customHeight="1">
      <c r="A191" s="5">
        <v>2020.0</v>
      </c>
      <c r="B191" s="5" t="s">
        <v>16</v>
      </c>
      <c r="C191" s="5" t="s">
        <v>134</v>
      </c>
      <c r="D191" s="5" t="s">
        <v>137</v>
      </c>
      <c r="E191" s="5">
        <v>239.0</v>
      </c>
      <c r="F191" s="5">
        <v>602.0</v>
      </c>
      <c r="G191" s="5">
        <f t="shared" si="1"/>
        <v>841</v>
      </c>
      <c r="H191" s="10">
        <f t="shared" si="2"/>
        <v>0.2841854935</v>
      </c>
      <c r="I191" s="10">
        <v>-0.1828</v>
      </c>
      <c r="J191" s="10">
        <v>0.7964</v>
      </c>
      <c r="K191" s="5">
        <f t="shared" si="3"/>
        <v>1</v>
      </c>
    </row>
    <row r="192" ht="15.0" customHeight="1">
      <c r="A192" s="5">
        <v>2022.0</v>
      </c>
      <c r="B192" s="5" t="s">
        <v>16</v>
      </c>
      <c r="C192" s="5" t="s">
        <v>134</v>
      </c>
      <c r="D192" s="5" t="s">
        <v>137</v>
      </c>
      <c r="E192" s="5">
        <v>206.0</v>
      </c>
      <c r="F192" s="5">
        <v>472.0</v>
      </c>
      <c r="G192" s="5">
        <f t="shared" si="1"/>
        <v>678</v>
      </c>
      <c r="H192" s="10">
        <f t="shared" si="2"/>
        <v>0.3038348083</v>
      </c>
      <c r="I192" s="10">
        <v>-0.2547</v>
      </c>
      <c r="J192" s="10">
        <v>0.6746</v>
      </c>
      <c r="K192" s="5">
        <f t="shared" si="3"/>
        <v>0</v>
      </c>
    </row>
    <row r="193" ht="15.0" customHeight="1">
      <c r="A193" s="5">
        <v>2024.0</v>
      </c>
      <c r="B193" s="5" t="s">
        <v>16</v>
      </c>
      <c r="C193" s="5" t="s">
        <v>134</v>
      </c>
      <c r="D193" s="5" t="s">
        <v>137</v>
      </c>
      <c r="E193" s="5">
        <v>241.0</v>
      </c>
      <c r="F193" s="5">
        <v>586.0</v>
      </c>
      <c r="G193" s="5">
        <f t="shared" si="1"/>
        <v>827</v>
      </c>
      <c r="H193" s="10">
        <f t="shared" si="2"/>
        <v>0.2914147521</v>
      </c>
      <c r="I193" s="10">
        <v>-0.3135</v>
      </c>
      <c r="J193" s="10">
        <v>0.8053</v>
      </c>
      <c r="K193" s="5">
        <f t="shared" si="3"/>
        <v>1</v>
      </c>
    </row>
    <row r="194" ht="15.0" customHeight="1">
      <c r="A194" s="5">
        <v>2018.0</v>
      </c>
      <c r="B194" s="5" t="s">
        <v>16</v>
      </c>
      <c r="C194" s="5" t="s">
        <v>138</v>
      </c>
      <c r="D194" s="5" t="s">
        <v>139</v>
      </c>
      <c r="E194" s="5">
        <v>183.0</v>
      </c>
      <c r="F194" s="5">
        <v>377.0</v>
      </c>
      <c r="G194" s="5">
        <f t="shared" si="1"/>
        <v>560</v>
      </c>
      <c r="H194" s="10">
        <f t="shared" si="2"/>
        <v>0.3267857143</v>
      </c>
      <c r="I194" s="10">
        <v>-0.1506</v>
      </c>
      <c r="J194" s="10">
        <v>0.5405</v>
      </c>
      <c r="K194" s="5">
        <f t="shared" si="3"/>
        <v>0</v>
      </c>
    </row>
    <row r="195" ht="15.0" customHeight="1">
      <c r="A195" s="5">
        <v>2020.0</v>
      </c>
      <c r="B195" s="5" t="s">
        <v>16</v>
      </c>
      <c r="C195" s="5" t="s">
        <v>138</v>
      </c>
      <c r="D195" s="5" t="s">
        <v>139</v>
      </c>
      <c r="E195" s="5">
        <v>223.0</v>
      </c>
      <c r="F195" s="5">
        <v>610.0</v>
      </c>
      <c r="G195" s="5">
        <f t="shared" si="1"/>
        <v>833</v>
      </c>
      <c r="H195" s="10">
        <f t="shared" si="2"/>
        <v>0.2677070828</v>
      </c>
      <c r="I195" s="10">
        <v>-0.2207</v>
      </c>
      <c r="J195" s="10">
        <v>0.7352</v>
      </c>
      <c r="K195" s="5">
        <f t="shared" si="3"/>
        <v>1</v>
      </c>
    </row>
    <row r="196" ht="15.0" customHeight="1">
      <c r="A196" s="5">
        <v>2022.0</v>
      </c>
      <c r="B196" s="5" t="s">
        <v>16</v>
      </c>
      <c r="C196" s="5" t="s">
        <v>138</v>
      </c>
      <c r="D196" s="5" t="s">
        <v>139</v>
      </c>
      <c r="E196" s="5">
        <v>167.0</v>
      </c>
      <c r="F196" s="5">
        <v>435.0</v>
      </c>
      <c r="G196" s="5">
        <f t="shared" si="1"/>
        <v>602</v>
      </c>
      <c r="H196" s="10">
        <f t="shared" si="2"/>
        <v>0.2774086379</v>
      </c>
      <c r="I196" s="10">
        <v>-0.2721</v>
      </c>
      <c r="J196" s="10">
        <v>0.5788</v>
      </c>
      <c r="K196" s="5">
        <f t="shared" si="3"/>
        <v>0</v>
      </c>
    </row>
    <row r="197" ht="15.0" customHeight="1">
      <c r="A197" s="5">
        <v>2024.0</v>
      </c>
      <c r="B197" s="5" t="s">
        <v>16</v>
      </c>
      <c r="C197" s="5" t="s">
        <v>138</v>
      </c>
      <c r="D197" s="5" t="s">
        <v>139</v>
      </c>
      <c r="E197" s="5">
        <v>242.0</v>
      </c>
      <c r="F197" s="5">
        <v>547.0</v>
      </c>
      <c r="G197" s="5">
        <f t="shared" si="1"/>
        <v>789</v>
      </c>
      <c r="H197" s="10">
        <f t="shared" si="2"/>
        <v>0.3067173638</v>
      </c>
      <c r="I197" s="10">
        <v>-0.295</v>
      </c>
      <c r="J197" s="10">
        <v>0.7319</v>
      </c>
      <c r="K197" s="5">
        <f t="shared" si="3"/>
        <v>1</v>
      </c>
    </row>
    <row r="198" ht="15.0" customHeight="1">
      <c r="A198" s="5">
        <v>2018.0</v>
      </c>
      <c r="B198" s="5" t="s">
        <v>16</v>
      </c>
      <c r="C198" s="5" t="s">
        <v>138</v>
      </c>
      <c r="D198" s="5" t="s">
        <v>140</v>
      </c>
      <c r="E198" s="5">
        <v>90.0</v>
      </c>
      <c r="F198" s="5">
        <v>197.0</v>
      </c>
      <c r="G198" s="5">
        <f t="shared" si="1"/>
        <v>287</v>
      </c>
      <c r="H198" s="10">
        <f t="shared" si="2"/>
        <v>0.3135888502</v>
      </c>
      <c r="I198" s="10">
        <v>-0.1722</v>
      </c>
      <c r="J198" s="10">
        <v>0.5616</v>
      </c>
      <c r="K198" s="5">
        <f t="shared" si="3"/>
        <v>0</v>
      </c>
    </row>
    <row r="199" ht="15.0" customHeight="1">
      <c r="A199" s="5">
        <v>2020.0</v>
      </c>
      <c r="B199" s="5" t="s">
        <v>16</v>
      </c>
      <c r="C199" s="5" t="s">
        <v>138</v>
      </c>
      <c r="D199" s="5" t="s">
        <v>140</v>
      </c>
      <c r="E199" s="5">
        <v>100.0</v>
      </c>
      <c r="F199" s="5">
        <v>288.0</v>
      </c>
      <c r="G199" s="5">
        <f t="shared" si="1"/>
        <v>388</v>
      </c>
      <c r="H199" s="10">
        <f t="shared" si="2"/>
        <v>0.2577319588</v>
      </c>
      <c r="I199" s="10">
        <v>-0.2023</v>
      </c>
      <c r="J199" s="10">
        <v>0.7335</v>
      </c>
      <c r="K199" s="5">
        <f t="shared" si="3"/>
        <v>1</v>
      </c>
    </row>
    <row r="200" ht="15.0" customHeight="1">
      <c r="A200" s="5">
        <v>2022.0</v>
      </c>
      <c r="B200" s="5" t="s">
        <v>16</v>
      </c>
      <c r="C200" s="5" t="s">
        <v>138</v>
      </c>
      <c r="D200" s="5" t="s">
        <v>140</v>
      </c>
      <c r="E200" s="5">
        <v>78.0</v>
      </c>
      <c r="F200" s="5">
        <v>221.0</v>
      </c>
      <c r="G200" s="5">
        <f t="shared" si="1"/>
        <v>299</v>
      </c>
      <c r="H200" s="10">
        <f t="shared" si="2"/>
        <v>0.2608695652</v>
      </c>
      <c r="I200" s="10">
        <v>-0.1992</v>
      </c>
      <c r="J200" s="10">
        <v>0.584</v>
      </c>
      <c r="K200" s="5">
        <f t="shared" si="3"/>
        <v>0</v>
      </c>
    </row>
    <row r="201" ht="15.0" customHeight="1">
      <c r="A201" s="5">
        <v>2024.0</v>
      </c>
      <c r="B201" s="5" t="s">
        <v>16</v>
      </c>
      <c r="C201" s="5" t="s">
        <v>138</v>
      </c>
      <c r="D201" s="5" t="s">
        <v>140</v>
      </c>
      <c r="E201" s="5">
        <v>109.0</v>
      </c>
      <c r="F201" s="5">
        <v>302.0</v>
      </c>
      <c r="G201" s="5">
        <f t="shared" si="1"/>
        <v>411</v>
      </c>
      <c r="H201" s="10">
        <f t="shared" si="2"/>
        <v>0.2652068127</v>
      </c>
      <c r="I201" s="10">
        <v>-0.287</v>
      </c>
      <c r="J201" s="10">
        <v>0.7611</v>
      </c>
      <c r="K201" s="5">
        <f t="shared" si="3"/>
        <v>1</v>
      </c>
    </row>
    <row r="202" ht="15.0" customHeight="1">
      <c r="A202" s="5">
        <v>2018.0</v>
      </c>
      <c r="B202" s="5" t="s">
        <v>16</v>
      </c>
      <c r="C202" s="5" t="s">
        <v>141</v>
      </c>
      <c r="D202" s="5" t="s">
        <v>142</v>
      </c>
      <c r="E202" s="5">
        <v>50.0</v>
      </c>
      <c r="F202" s="5">
        <v>48.0</v>
      </c>
      <c r="G202" s="5">
        <f t="shared" si="1"/>
        <v>98</v>
      </c>
      <c r="H202" s="10">
        <f t="shared" si="2"/>
        <v>0.5102040816</v>
      </c>
      <c r="I202" s="10">
        <v>0.1464</v>
      </c>
      <c r="J202" s="10">
        <v>0.41</v>
      </c>
      <c r="K202" s="5">
        <f t="shared" si="3"/>
        <v>0</v>
      </c>
    </row>
    <row r="203" ht="15.0" customHeight="1">
      <c r="A203" s="5">
        <v>2020.0</v>
      </c>
      <c r="B203" s="5" t="s">
        <v>16</v>
      </c>
      <c r="C203" s="5" t="s">
        <v>141</v>
      </c>
      <c r="D203" s="5" t="s">
        <v>142</v>
      </c>
      <c r="E203" s="5">
        <v>62.0</v>
      </c>
      <c r="F203" s="5">
        <v>91.0</v>
      </c>
      <c r="G203" s="5">
        <f t="shared" si="1"/>
        <v>153</v>
      </c>
      <c r="H203" s="10">
        <f t="shared" si="2"/>
        <v>0.4052287582</v>
      </c>
      <c r="I203" s="10">
        <v>0.0272</v>
      </c>
      <c r="J203" s="10">
        <v>0.5953</v>
      </c>
      <c r="K203" s="5">
        <f t="shared" si="3"/>
        <v>1</v>
      </c>
    </row>
    <row r="204" ht="15.0" customHeight="1">
      <c r="A204" s="5">
        <v>2022.0</v>
      </c>
      <c r="B204" s="5" t="s">
        <v>16</v>
      </c>
      <c r="C204" s="5" t="s">
        <v>141</v>
      </c>
      <c r="D204" s="5" t="s">
        <v>142</v>
      </c>
      <c r="E204" s="5">
        <v>46.0</v>
      </c>
      <c r="F204" s="5">
        <v>54.0</v>
      </c>
      <c r="G204" s="5">
        <f t="shared" si="1"/>
        <v>100</v>
      </c>
      <c r="H204" s="10">
        <f t="shared" si="2"/>
        <v>0.46</v>
      </c>
      <c r="I204" s="10">
        <v>-0.04</v>
      </c>
      <c r="J204" s="10">
        <v>0.4444</v>
      </c>
      <c r="K204" s="5">
        <f t="shared" si="3"/>
        <v>0</v>
      </c>
    </row>
    <row r="205" ht="15.0" customHeight="1">
      <c r="A205" s="5">
        <v>2024.0</v>
      </c>
      <c r="B205" s="5" t="s">
        <v>16</v>
      </c>
      <c r="C205" s="5" t="s">
        <v>141</v>
      </c>
      <c r="D205" s="5" t="s">
        <v>142</v>
      </c>
      <c r="E205" s="5">
        <v>58.0</v>
      </c>
      <c r="F205" s="5">
        <v>105.0</v>
      </c>
      <c r="G205" s="5">
        <f t="shared" si="1"/>
        <v>163</v>
      </c>
      <c r="H205" s="10">
        <f t="shared" si="2"/>
        <v>0.3558282209</v>
      </c>
      <c r="I205" s="10">
        <v>-0.1369</v>
      </c>
      <c r="J205" s="10">
        <v>0.6763</v>
      </c>
      <c r="K205" s="5">
        <f t="shared" si="3"/>
        <v>1</v>
      </c>
    </row>
    <row r="206" ht="15.0" customHeight="1">
      <c r="A206" s="5">
        <v>2018.0</v>
      </c>
      <c r="B206" s="5" t="s">
        <v>143</v>
      </c>
      <c r="C206" s="5" t="s">
        <v>144</v>
      </c>
      <c r="D206" s="5" t="s">
        <v>18</v>
      </c>
      <c r="E206" s="5">
        <v>454.0</v>
      </c>
      <c r="F206" s="5">
        <v>406.0</v>
      </c>
      <c r="G206" s="5">
        <f t="shared" si="1"/>
        <v>860</v>
      </c>
      <c r="H206" s="10">
        <f t="shared" si="2"/>
        <v>0.5279069767</v>
      </c>
      <c r="I206" s="10">
        <v>0.0302</v>
      </c>
      <c r="J206" s="10">
        <v>0.5766</v>
      </c>
      <c r="K206" s="5">
        <f t="shared" si="3"/>
        <v>0</v>
      </c>
    </row>
    <row r="207" ht="15.0" customHeight="1">
      <c r="A207" s="5">
        <v>2020.0</v>
      </c>
      <c r="B207" s="5" t="s">
        <v>143</v>
      </c>
      <c r="C207" s="5" t="s">
        <v>144</v>
      </c>
      <c r="D207" s="5" t="s">
        <v>18</v>
      </c>
      <c r="E207" s="5">
        <v>644.0</v>
      </c>
      <c r="F207" s="5">
        <v>735.0</v>
      </c>
      <c r="G207" s="5">
        <f t="shared" si="1"/>
        <v>1379</v>
      </c>
      <c r="H207" s="10">
        <f t="shared" si="2"/>
        <v>0.4670050761</v>
      </c>
      <c r="I207" s="10">
        <v>0.007</v>
      </c>
      <c r="J207" s="10">
        <v>0.8022</v>
      </c>
      <c r="K207" s="5">
        <f t="shared" si="3"/>
        <v>1</v>
      </c>
    </row>
    <row r="208" ht="15.0" customHeight="1">
      <c r="A208" s="5">
        <v>2022.0</v>
      </c>
      <c r="B208" s="5" t="s">
        <v>143</v>
      </c>
      <c r="C208" s="5" t="s">
        <v>144</v>
      </c>
      <c r="D208" s="5" t="s">
        <v>18</v>
      </c>
      <c r="E208" s="5">
        <v>494.0</v>
      </c>
      <c r="F208" s="5">
        <v>519.0</v>
      </c>
      <c r="G208" s="5">
        <f t="shared" si="1"/>
        <v>1013</v>
      </c>
      <c r="H208" s="10">
        <f t="shared" si="2"/>
        <v>0.4876604146</v>
      </c>
      <c r="I208" s="10">
        <v>0.0018</v>
      </c>
      <c r="J208" s="10">
        <v>0.6051</v>
      </c>
      <c r="K208" s="5">
        <f t="shared" si="3"/>
        <v>0</v>
      </c>
    </row>
    <row r="209" ht="15.0" customHeight="1">
      <c r="A209" s="5">
        <v>2024.0</v>
      </c>
      <c r="B209" s="5" t="s">
        <v>143</v>
      </c>
      <c r="C209" s="5" t="s">
        <v>144</v>
      </c>
      <c r="D209" s="5" t="s">
        <v>18</v>
      </c>
      <c r="E209" s="5">
        <v>601.0</v>
      </c>
      <c r="F209" s="5">
        <v>766.0</v>
      </c>
      <c r="G209" s="5">
        <f t="shared" si="1"/>
        <v>1367</v>
      </c>
      <c r="H209" s="10">
        <f t="shared" si="2"/>
        <v>0.4396488661</v>
      </c>
      <c r="I209" s="10">
        <v>-0.0335</v>
      </c>
      <c r="J209" s="10">
        <v>0.7754</v>
      </c>
      <c r="K209" s="5">
        <f t="shared" si="3"/>
        <v>1</v>
      </c>
    </row>
    <row r="210" ht="15.0" customHeight="1">
      <c r="A210" s="5">
        <v>2018.0</v>
      </c>
      <c r="B210" s="5" t="s">
        <v>143</v>
      </c>
      <c r="C210" s="5" t="s">
        <v>145</v>
      </c>
      <c r="D210" s="5" t="s">
        <v>146</v>
      </c>
      <c r="E210" s="5">
        <v>357.0</v>
      </c>
      <c r="F210" s="5">
        <v>33.0</v>
      </c>
      <c r="G210" s="5">
        <f t="shared" si="1"/>
        <v>390</v>
      </c>
      <c r="H210" s="10">
        <f t="shared" si="2"/>
        <v>0.9153846154</v>
      </c>
      <c r="I210" s="10">
        <v>0.5868</v>
      </c>
      <c r="J210" s="10">
        <v>0.2469</v>
      </c>
      <c r="K210" s="5">
        <f t="shared" si="3"/>
        <v>0</v>
      </c>
    </row>
    <row r="211" ht="15.0" customHeight="1">
      <c r="A211" s="5">
        <v>2020.0</v>
      </c>
      <c r="B211" s="5" t="s">
        <v>143</v>
      </c>
      <c r="C211" s="5" t="s">
        <v>145</v>
      </c>
      <c r="D211" s="5" t="s">
        <v>146</v>
      </c>
      <c r="E211" s="5">
        <v>529.0</v>
      </c>
      <c r="F211" s="5">
        <v>130.0</v>
      </c>
      <c r="G211" s="5">
        <f t="shared" si="1"/>
        <v>659</v>
      </c>
      <c r="H211" s="10">
        <f t="shared" si="2"/>
        <v>0.8027314112</v>
      </c>
      <c r="I211" s="10">
        <v>0.535</v>
      </c>
      <c r="J211" s="10">
        <v>0.3904</v>
      </c>
      <c r="K211" s="5">
        <f t="shared" si="3"/>
        <v>1</v>
      </c>
    </row>
    <row r="212" ht="15.0" customHeight="1">
      <c r="A212" s="5">
        <v>2022.0</v>
      </c>
      <c r="B212" s="5" t="s">
        <v>143</v>
      </c>
      <c r="C212" s="5" t="s">
        <v>145</v>
      </c>
      <c r="D212" s="5" t="s">
        <v>146</v>
      </c>
      <c r="E212" s="5">
        <v>240.0</v>
      </c>
      <c r="F212" s="5">
        <v>63.0</v>
      </c>
      <c r="G212" s="5">
        <f t="shared" si="1"/>
        <v>303</v>
      </c>
      <c r="H212" s="10">
        <f t="shared" si="2"/>
        <v>0.7920792079</v>
      </c>
      <c r="I212" s="10">
        <v>0.5145</v>
      </c>
      <c r="J212" s="10">
        <v>0.1946</v>
      </c>
      <c r="K212" s="5">
        <f t="shared" si="3"/>
        <v>0</v>
      </c>
    </row>
    <row r="213" ht="15.0" customHeight="1">
      <c r="A213" s="5">
        <v>2024.0</v>
      </c>
      <c r="B213" s="5" t="s">
        <v>143</v>
      </c>
      <c r="C213" s="5" t="s">
        <v>145</v>
      </c>
      <c r="D213" s="5" t="s">
        <v>146</v>
      </c>
      <c r="E213" s="5">
        <v>487.0</v>
      </c>
      <c r="F213" s="5">
        <v>191.0</v>
      </c>
      <c r="G213" s="5">
        <f t="shared" si="1"/>
        <v>678</v>
      </c>
      <c r="H213" s="10">
        <f t="shared" si="2"/>
        <v>0.7182890855</v>
      </c>
      <c r="I213" s="10">
        <v>0.4452</v>
      </c>
      <c r="J213" s="10">
        <v>0.3951</v>
      </c>
      <c r="K213" s="5">
        <f t="shared" si="3"/>
        <v>1</v>
      </c>
    </row>
    <row r="214" ht="15.0" customHeight="1">
      <c r="A214" s="5">
        <v>2018.0</v>
      </c>
      <c r="B214" s="5" t="s">
        <v>143</v>
      </c>
      <c r="C214" s="5" t="s">
        <v>145</v>
      </c>
      <c r="D214" s="5" t="s">
        <v>147</v>
      </c>
      <c r="E214" s="5">
        <v>251.0</v>
      </c>
      <c r="F214" s="5">
        <v>40.0</v>
      </c>
      <c r="G214" s="5">
        <f t="shared" si="1"/>
        <v>291</v>
      </c>
      <c r="H214" s="10">
        <f t="shared" si="2"/>
        <v>0.8625429553</v>
      </c>
      <c r="I214" s="10">
        <v>0.55</v>
      </c>
      <c r="J214" s="10">
        <v>0.2631</v>
      </c>
      <c r="K214" s="5">
        <f t="shared" si="3"/>
        <v>0</v>
      </c>
    </row>
    <row r="215" ht="15.0" customHeight="1">
      <c r="A215" s="5">
        <v>2020.0</v>
      </c>
      <c r="B215" s="5" t="s">
        <v>143</v>
      </c>
      <c r="C215" s="5" t="s">
        <v>145</v>
      </c>
      <c r="D215" s="5" t="s">
        <v>147</v>
      </c>
      <c r="E215" s="5">
        <v>456.0</v>
      </c>
      <c r="F215" s="5">
        <v>140.0</v>
      </c>
      <c r="G215" s="5">
        <f t="shared" si="1"/>
        <v>596</v>
      </c>
      <c r="H215" s="10">
        <f t="shared" si="2"/>
        <v>0.7651006711</v>
      </c>
      <c r="I215" s="10">
        <v>0.5103</v>
      </c>
      <c r="J215" s="10">
        <v>0.473</v>
      </c>
      <c r="K215" s="5">
        <f t="shared" si="3"/>
        <v>1</v>
      </c>
    </row>
    <row r="216" ht="15.0" customHeight="1">
      <c r="A216" s="5">
        <v>2022.0</v>
      </c>
      <c r="B216" s="5" t="s">
        <v>143</v>
      </c>
      <c r="C216" s="5" t="s">
        <v>145</v>
      </c>
      <c r="D216" s="5" t="s">
        <v>147</v>
      </c>
      <c r="E216" s="5">
        <v>236.0</v>
      </c>
      <c r="F216" s="5">
        <v>68.0</v>
      </c>
      <c r="G216" s="5">
        <f t="shared" si="1"/>
        <v>304</v>
      </c>
      <c r="H216" s="10">
        <f t="shared" si="2"/>
        <v>0.7763157895</v>
      </c>
      <c r="I216" s="10">
        <v>0.4548</v>
      </c>
      <c r="J216" s="10">
        <v>0.2519</v>
      </c>
      <c r="K216" s="5">
        <f t="shared" si="3"/>
        <v>0</v>
      </c>
    </row>
    <row r="217" ht="15.0" customHeight="1">
      <c r="A217" s="5">
        <v>2024.0</v>
      </c>
      <c r="B217" s="5" t="s">
        <v>143</v>
      </c>
      <c r="C217" s="5" t="s">
        <v>145</v>
      </c>
      <c r="D217" s="5" t="s">
        <v>147</v>
      </c>
      <c r="E217" s="5">
        <v>418.0</v>
      </c>
      <c r="F217" s="5">
        <v>181.0</v>
      </c>
      <c r="G217" s="5">
        <f t="shared" si="1"/>
        <v>599</v>
      </c>
      <c r="H217" s="10">
        <f t="shared" si="2"/>
        <v>0.6978297162</v>
      </c>
      <c r="I217" s="10">
        <v>0.375</v>
      </c>
      <c r="J217" s="10">
        <v>0.4484</v>
      </c>
      <c r="K217" s="5">
        <f t="shared" si="3"/>
        <v>1</v>
      </c>
    </row>
    <row r="218" ht="15.0" customHeight="1">
      <c r="A218" s="5">
        <v>2018.0</v>
      </c>
      <c r="B218" s="5" t="s">
        <v>143</v>
      </c>
      <c r="C218" s="5" t="s">
        <v>145</v>
      </c>
      <c r="D218" s="5" t="s">
        <v>55</v>
      </c>
      <c r="E218" s="5">
        <v>333.0</v>
      </c>
      <c r="F218" s="5">
        <v>49.0</v>
      </c>
      <c r="G218" s="5">
        <f t="shared" si="1"/>
        <v>382</v>
      </c>
      <c r="H218" s="10">
        <f t="shared" si="2"/>
        <v>0.8717277487</v>
      </c>
      <c r="I218" s="10">
        <v>0.5879</v>
      </c>
      <c r="J218" s="10">
        <v>0.265</v>
      </c>
      <c r="K218" s="5">
        <f t="shared" si="3"/>
        <v>0</v>
      </c>
    </row>
    <row r="219" ht="15.0" customHeight="1">
      <c r="A219" s="5">
        <v>2020.0</v>
      </c>
      <c r="B219" s="5" t="s">
        <v>143</v>
      </c>
      <c r="C219" s="5" t="s">
        <v>145</v>
      </c>
      <c r="D219" s="5" t="s">
        <v>55</v>
      </c>
      <c r="E219" s="5">
        <v>531.0</v>
      </c>
      <c r="F219" s="5">
        <v>162.0</v>
      </c>
      <c r="G219" s="5">
        <f t="shared" si="1"/>
        <v>693</v>
      </c>
      <c r="H219" s="10">
        <f t="shared" si="2"/>
        <v>0.7662337662</v>
      </c>
      <c r="I219" s="10">
        <v>0.547</v>
      </c>
      <c r="J219" s="10">
        <v>0.4428</v>
      </c>
      <c r="K219" s="5">
        <f t="shared" si="3"/>
        <v>1</v>
      </c>
    </row>
    <row r="220" ht="15.0" customHeight="1">
      <c r="A220" s="5">
        <v>2022.0</v>
      </c>
      <c r="B220" s="5" t="s">
        <v>143</v>
      </c>
      <c r="C220" s="5" t="s">
        <v>145</v>
      </c>
      <c r="D220" s="5" t="s">
        <v>55</v>
      </c>
      <c r="E220" s="5">
        <v>365.0</v>
      </c>
      <c r="F220" s="5">
        <v>72.0</v>
      </c>
      <c r="G220" s="5">
        <f t="shared" si="1"/>
        <v>437</v>
      </c>
      <c r="H220" s="10">
        <f t="shared" si="2"/>
        <v>0.8352402746</v>
      </c>
      <c r="I220" s="10">
        <v>0.5089</v>
      </c>
      <c r="J220" s="10">
        <v>0.2679</v>
      </c>
      <c r="K220" s="5">
        <f t="shared" si="3"/>
        <v>0</v>
      </c>
    </row>
    <row r="221" ht="15.0" customHeight="1">
      <c r="A221" s="5">
        <v>2024.0</v>
      </c>
      <c r="B221" s="5" t="s">
        <v>143</v>
      </c>
      <c r="C221" s="5" t="s">
        <v>145</v>
      </c>
      <c r="D221" s="5" t="s">
        <v>55</v>
      </c>
      <c r="E221" s="5">
        <v>677.0</v>
      </c>
      <c r="F221" s="5">
        <v>264.0</v>
      </c>
      <c r="G221" s="5">
        <f t="shared" si="1"/>
        <v>941</v>
      </c>
      <c r="H221" s="10">
        <f t="shared" si="2"/>
        <v>0.7194473964</v>
      </c>
      <c r="I221" s="10">
        <v>0.4284</v>
      </c>
      <c r="J221" s="10">
        <v>0.4828</v>
      </c>
      <c r="K221" s="5">
        <f t="shared" si="3"/>
        <v>1</v>
      </c>
    </row>
    <row r="222" ht="15.0" customHeight="1">
      <c r="A222" s="5">
        <v>2018.0</v>
      </c>
      <c r="B222" s="5" t="s">
        <v>143</v>
      </c>
      <c r="C222" s="5" t="s">
        <v>145</v>
      </c>
      <c r="D222" s="5" t="s">
        <v>57</v>
      </c>
      <c r="E222" s="5">
        <v>221.0</v>
      </c>
      <c r="F222" s="5">
        <v>48.0</v>
      </c>
      <c r="G222" s="5">
        <f t="shared" si="1"/>
        <v>269</v>
      </c>
      <c r="H222" s="10">
        <f t="shared" si="2"/>
        <v>0.8215613383</v>
      </c>
      <c r="I222" s="10">
        <v>0.538</v>
      </c>
      <c r="J222" s="10">
        <v>0.2477</v>
      </c>
      <c r="K222" s="5">
        <f t="shared" si="3"/>
        <v>0</v>
      </c>
    </row>
    <row r="223" ht="15.0" customHeight="1">
      <c r="A223" s="5">
        <v>2020.0</v>
      </c>
      <c r="B223" s="5" t="s">
        <v>143</v>
      </c>
      <c r="C223" s="5" t="s">
        <v>145</v>
      </c>
      <c r="D223" s="5" t="s">
        <v>57</v>
      </c>
      <c r="E223" s="5">
        <v>319.0</v>
      </c>
      <c r="F223" s="5">
        <v>98.0</v>
      </c>
      <c r="G223" s="5">
        <f t="shared" si="1"/>
        <v>417</v>
      </c>
      <c r="H223" s="10">
        <f t="shared" si="2"/>
        <v>0.7649880096</v>
      </c>
      <c r="I223" s="10">
        <v>0.4981</v>
      </c>
      <c r="J223" s="10">
        <v>0.3919</v>
      </c>
      <c r="K223" s="5">
        <f t="shared" si="3"/>
        <v>1</v>
      </c>
    </row>
    <row r="224" ht="15.0" customHeight="1">
      <c r="A224" s="5">
        <v>2022.0</v>
      </c>
      <c r="B224" s="5" t="s">
        <v>143</v>
      </c>
      <c r="C224" s="5" t="s">
        <v>145</v>
      </c>
      <c r="D224" s="5" t="s">
        <v>57</v>
      </c>
      <c r="E224" s="5">
        <v>173.0</v>
      </c>
      <c r="F224" s="5">
        <v>59.0</v>
      </c>
      <c r="G224" s="5">
        <f t="shared" si="1"/>
        <v>232</v>
      </c>
      <c r="H224" s="10">
        <f t="shared" si="2"/>
        <v>0.7456896552</v>
      </c>
      <c r="I224" s="10">
        <v>0.4519</v>
      </c>
      <c r="J224" s="10">
        <v>0.2299</v>
      </c>
      <c r="K224" s="5">
        <f t="shared" si="3"/>
        <v>0</v>
      </c>
    </row>
    <row r="225" ht="15.0" customHeight="1">
      <c r="A225" s="5">
        <v>2024.0</v>
      </c>
      <c r="B225" s="5" t="s">
        <v>143</v>
      </c>
      <c r="C225" s="5" t="s">
        <v>145</v>
      </c>
      <c r="D225" s="5" t="s">
        <v>57</v>
      </c>
      <c r="E225" s="5">
        <v>283.0</v>
      </c>
      <c r="F225" s="5">
        <v>138.0</v>
      </c>
      <c r="G225" s="5">
        <f t="shared" si="1"/>
        <v>421</v>
      </c>
      <c r="H225" s="10">
        <f t="shared" si="2"/>
        <v>0.6722090261</v>
      </c>
      <c r="I225" s="10">
        <v>0.4048</v>
      </c>
      <c r="J225" s="10">
        <v>0.401</v>
      </c>
      <c r="K225" s="5">
        <f t="shared" si="3"/>
        <v>1</v>
      </c>
    </row>
    <row r="226" ht="15.0" customHeight="1">
      <c r="A226" s="5">
        <v>2018.0</v>
      </c>
      <c r="B226" s="5" t="s">
        <v>143</v>
      </c>
      <c r="C226" s="5" t="s">
        <v>145</v>
      </c>
      <c r="D226" s="5" t="s">
        <v>59</v>
      </c>
      <c r="E226" s="5">
        <v>283.0</v>
      </c>
      <c r="F226" s="5">
        <v>48.0</v>
      </c>
      <c r="G226" s="5">
        <f t="shared" si="1"/>
        <v>331</v>
      </c>
      <c r="H226" s="10">
        <f t="shared" si="2"/>
        <v>0.8549848943</v>
      </c>
      <c r="I226" s="10">
        <v>0.5351</v>
      </c>
      <c r="J226" s="10">
        <v>0.277</v>
      </c>
      <c r="K226" s="5">
        <f t="shared" si="3"/>
        <v>0</v>
      </c>
    </row>
    <row r="227" ht="15.0" customHeight="1">
      <c r="A227" s="5">
        <v>2020.0</v>
      </c>
      <c r="B227" s="5" t="s">
        <v>143</v>
      </c>
      <c r="C227" s="5" t="s">
        <v>145</v>
      </c>
      <c r="D227" s="5" t="s">
        <v>59</v>
      </c>
      <c r="E227" s="5">
        <v>435.0</v>
      </c>
      <c r="F227" s="5">
        <v>105.0</v>
      </c>
      <c r="G227" s="5">
        <f t="shared" si="1"/>
        <v>540</v>
      </c>
      <c r="H227" s="10">
        <f t="shared" si="2"/>
        <v>0.8055555556</v>
      </c>
      <c r="I227" s="10">
        <v>0.5143</v>
      </c>
      <c r="J227" s="10">
        <v>0.4072</v>
      </c>
      <c r="K227" s="5">
        <f t="shared" si="3"/>
        <v>1</v>
      </c>
    </row>
    <row r="228" ht="15.0" customHeight="1">
      <c r="A228" s="5">
        <v>2022.0</v>
      </c>
      <c r="B228" s="5" t="s">
        <v>143</v>
      </c>
      <c r="C228" s="5" t="s">
        <v>145</v>
      </c>
      <c r="D228" s="5" t="s">
        <v>59</v>
      </c>
      <c r="E228" s="5">
        <v>224.0</v>
      </c>
      <c r="F228" s="5">
        <v>57.0</v>
      </c>
      <c r="G228" s="5">
        <f t="shared" si="1"/>
        <v>281</v>
      </c>
      <c r="H228" s="10">
        <f t="shared" si="2"/>
        <v>0.7971530249</v>
      </c>
      <c r="I228" s="10">
        <v>0.4553</v>
      </c>
      <c r="J228" s="10">
        <v>0.2221</v>
      </c>
      <c r="K228" s="5">
        <f t="shared" si="3"/>
        <v>0</v>
      </c>
    </row>
    <row r="229" ht="15.0" customHeight="1">
      <c r="A229" s="5">
        <v>2024.0</v>
      </c>
      <c r="B229" s="5" t="s">
        <v>143</v>
      </c>
      <c r="C229" s="5" t="s">
        <v>145</v>
      </c>
      <c r="D229" s="5" t="s">
        <v>59</v>
      </c>
      <c r="E229" s="5">
        <v>447.0</v>
      </c>
      <c r="F229" s="5">
        <v>152.0</v>
      </c>
      <c r="G229" s="5">
        <f t="shared" si="1"/>
        <v>599</v>
      </c>
      <c r="H229" s="10">
        <f t="shared" si="2"/>
        <v>0.7462437396</v>
      </c>
      <c r="I229" s="10">
        <v>0.4292</v>
      </c>
      <c r="J229" s="10">
        <v>0.3999</v>
      </c>
      <c r="K229" s="5">
        <f t="shared" si="3"/>
        <v>1</v>
      </c>
    </row>
    <row r="230" ht="15.0" customHeight="1">
      <c r="A230" s="5">
        <v>2018.0</v>
      </c>
      <c r="B230" s="5" t="s">
        <v>143</v>
      </c>
      <c r="C230" s="5" t="s">
        <v>145</v>
      </c>
      <c r="D230" s="5" t="s">
        <v>63</v>
      </c>
      <c r="E230" s="5">
        <v>167.0</v>
      </c>
      <c r="F230" s="5">
        <v>35.0</v>
      </c>
      <c r="G230" s="5">
        <f t="shared" si="1"/>
        <v>202</v>
      </c>
      <c r="H230" s="10">
        <f t="shared" si="2"/>
        <v>0.8267326733</v>
      </c>
      <c r="I230" s="10">
        <v>0.6026</v>
      </c>
      <c r="J230" s="10">
        <v>0.2632</v>
      </c>
      <c r="K230" s="5">
        <f t="shared" si="3"/>
        <v>0</v>
      </c>
    </row>
    <row r="231" ht="15.0" customHeight="1">
      <c r="A231" s="5">
        <v>2020.0</v>
      </c>
      <c r="B231" s="5" t="s">
        <v>143</v>
      </c>
      <c r="C231" s="5" t="s">
        <v>145</v>
      </c>
      <c r="D231" s="5" t="s">
        <v>63</v>
      </c>
      <c r="E231" s="5">
        <v>253.0</v>
      </c>
      <c r="F231" s="5">
        <v>77.0</v>
      </c>
      <c r="G231" s="5">
        <f t="shared" si="1"/>
        <v>330</v>
      </c>
      <c r="H231" s="10">
        <f t="shared" si="2"/>
        <v>0.7666666667</v>
      </c>
      <c r="I231" s="10">
        <v>0.5502</v>
      </c>
      <c r="J231" s="10">
        <v>0.4418</v>
      </c>
      <c r="K231" s="5">
        <f t="shared" si="3"/>
        <v>1</v>
      </c>
    </row>
    <row r="232" ht="15.0" customHeight="1">
      <c r="A232" s="5">
        <v>2022.0</v>
      </c>
      <c r="B232" s="5" t="s">
        <v>143</v>
      </c>
      <c r="C232" s="5" t="s">
        <v>145</v>
      </c>
      <c r="D232" s="5" t="s">
        <v>63</v>
      </c>
      <c r="E232" s="5">
        <v>93.0</v>
      </c>
      <c r="F232" s="5">
        <v>30.0</v>
      </c>
      <c r="G232" s="5">
        <f t="shared" si="1"/>
        <v>123</v>
      </c>
      <c r="H232" s="10">
        <f t="shared" si="2"/>
        <v>0.756097561</v>
      </c>
      <c r="I232" s="10">
        <v>0.4394</v>
      </c>
      <c r="J232" s="10">
        <v>0.1732</v>
      </c>
      <c r="K232" s="5">
        <f t="shared" si="3"/>
        <v>0</v>
      </c>
    </row>
    <row r="233" ht="15.0" customHeight="1">
      <c r="A233" s="5">
        <v>2024.0</v>
      </c>
      <c r="B233" s="5" t="s">
        <v>143</v>
      </c>
      <c r="C233" s="5" t="s">
        <v>145</v>
      </c>
      <c r="D233" s="5" t="s">
        <v>63</v>
      </c>
      <c r="E233" s="5">
        <v>179.0</v>
      </c>
      <c r="F233" s="5">
        <v>112.0</v>
      </c>
      <c r="G233" s="5">
        <f t="shared" si="1"/>
        <v>291</v>
      </c>
      <c r="H233" s="10">
        <f t="shared" si="2"/>
        <v>0.6151202749</v>
      </c>
      <c r="I233" s="10">
        <v>0.3641</v>
      </c>
      <c r="J233" s="10">
        <v>0.3954</v>
      </c>
      <c r="K233" s="5">
        <f t="shared" si="3"/>
        <v>1</v>
      </c>
    </row>
    <row r="234" ht="15.0" customHeight="1">
      <c r="A234" s="5">
        <v>2018.0</v>
      </c>
      <c r="B234" s="5" t="s">
        <v>143</v>
      </c>
      <c r="C234" s="5" t="s">
        <v>145</v>
      </c>
      <c r="D234" s="5" t="s">
        <v>73</v>
      </c>
      <c r="E234" s="5">
        <v>240.0</v>
      </c>
      <c r="F234" s="5">
        <v>71.0</v>
      </c>
      <c r="G234" s="5">
        <f t="shared" si="1"/>
        <v>311</v>
      </c>
      <c r="H234" s="10">
        <f t="shared" si="2"/>
        <v>0.7717041801</v>
      </c>
      <c r="I234" s="10">
        <v>0.4595</v>
      </c>
      <c r="J234" s="10">
        <v>0.2973</v>
      </c>
      <c r="K234" s="5">
        <f t="shared" si="3"/>
        <v>0</v>
      </c>
    </row>
    <row r="235" ht="15.0" customHeight="1">
      <c r="A235" s="5">
        <v>2020.0</v>
      </c>
      <c r="B235" s="5" t="s">
        <v>143</v>
      </c>
      <c r="C235" s="5" t="s">
        <v>145</v>
      </c>
      <c r="D235" s="5" t="s">
        <v>73</v>
      </c>
      <c r="E235" s="5">
        <v>400.0</v>
      </c>
      <c r="F235" s="5">
        <v>151.0</v>
      </c>
      <c r="G235" s="5">
        <f t="shared" si="1"/>
        <v>551</v>
      </c>
      <c r="H235" s="10">
        <f t="shared" si="2"/>
        <v>0.7259528131</v>
      </c>
      <c r="I235" s="10">
        <v>0.4711</v>
      </c>
      <c r="J235" s="10">
        <v>0.4685</v>
      </c>
      <c r="K235" s="5">
        <f t="shared" si="3"/>
        <v>1</v>
      </c>
    </row>
    <row r="236" ht="15.0" customHeight="1">
      <c r="A236" s="5">
        <v>2022.0</v>
      </c>
      <c r="B236" s="5" t="s">
        <v>143</v>
      </c>
      <c r="C236" s="5" t="s">
        <v>145</v>
      </c>
      <c r="D236" s="5" t="s">
        <v>73</v>
      </c>
      <c r="E236" s="5">
        <v>206.0</v>
      </c>
      <c r="F236" s="5">
        <v>84.0</v>
      </c>
      <c r="G236" s="5">
        <f t="shared" si="1"/>
        <v>290</v>
      </c>
      <c r="H236" s="10">
        <f t="shared" si="2"/>
        <v>0.7103448276</v>
      </c>
      <c r="I236" s="10">
        <v>0.441</v>
      </c>
      <c r="J236" s="10">
        <v>0.2498</v>
      </c>
      <c r="K236" s="5">
        <f t="shared" si="3"/>
        <v>0</v>
      </c>
    </row>
    <row r="237" ht="15.0" customHeight="1">
      <c r="A237" s="5">
        <v>2024.0</v>
      </c>
      <c r="B237" s="5" t="s">
        <v>143</v>
      </c>
      <c r="C237" s="5" t="s">
        <v>145</v>
      </c>
      <c r="D237" s="5" t="s">
        <v>73</v>
      </c>
      <c r="E237" s="5">
        <v>357.0</v>
      </c>
      <c r="F237" s="5">
        <v>225.0</v>
      </c>
      <c r="G237" s="5">
        <f t="shared" si="1"/>
        <v>582</v>
      </c>
      <c r="H237" s="10">
        <f t="shared" si="2"/>
        <v>0.6134020619</v>
      </c>
      <c r="I237" s="10">
        <v>0.3577</v>
      </c>
      <c r="J237" s="10">
        <v>0.483</v>
      </c>
      <c r="K237" s="5">
        <f t="shared" si="3"/>
        <v>1</v>
      </c>
    </row>
    <row r="238" ht="15.0" customHeight="1">
      <c r="A238" s="5">
        <v>2018.0</v>
      </c>
      <c r="B238" s="5" t="s">
        <v>143</v>
      </c>
      <c r="C238" s="5" t="s">
        <v>145</v>
      </c>
      <c r="D238" s="5" t="s">
        <v>74</v>
      </c>
      <c r="E238" s="5">
        <v>398.0</v>
      </c>
      <c r="F238" s="5">
        <v>69.0</v>
      </c>
      <c r="G238" s="5">
        <f t="shared" si="1"/>
        <v>467</v>
      </c>
      <c r="H238" s="10">
        <f t="shared" si="2"/>
        <v>0.852248394</v>
      </c>
      <c r="I238" s="10">
        <v>0.5517</v>
      </c>
      <c r="J238" s="10">
        <v>0.2542</v>
      </c>
      <c r="K238" s="5">
        <f t="shared" si="3"/>
        <v>0</v>
      </c>
    </row>
    <row r="239" ht="15.0" customHeight="1">
      <c r="A239" s="5">
        <v>2020.0</v>
      </c>
      <c r="B239" s="5" t="s">
        <v>143</v>
      </c>
      <c r="C239" s="5" t="s">
        <v>145</v>
      </c>
      <c r="D239" s="5" t="s">
        <v>74</v>
      </c>
      <c r="E239" s="5">
        <v>631.0</v>
      </c>
      <c r="F239" s="5">
        <v>181.0</v>
      </c>
      <c r="G239" s="5">
        <f t="shared" si="1"/>
        <v>812</v>
      </c>
      <c r="H239" s="10">
        <f t="shared" si="2"/>
        <v>0.7770935961</v>
      </c>
      <c r="I239" s="10">
        <v>0.5185</v>
      </c>
      <c r="J239" s="10">
        <v>0.4301</v>
      </c>
      <c r="K239" s="5">
        <f t="shared" si="3"/>
        <v>1</v>
      </c>
    </row>
    <row r="240" ht="15.0" customHeight="1">
      <c r="A240" s="5">
        <v>2022.0</v>
      </c>
      <c r="B240" s="5" t="s">
        <v>143</v>
      </c>
      <c r="C240" s="5" t="s">
        <v>145</v>
      </c>
      <c r="D240" s="5" t="s">
        <v>74</v>
      </c>
      <c r="E240" s="5">
        <v>305.0</v>
      </c>
      <c r="F240" s="5">
        <v>94.0</v>
      </c>
      <c r="G240" s="5">
        <f t="shared" si="1"/>
        <v>399</v>
      </c>
      <c r="H240" s="10">
        <f t="shared" si="2"/>
        <v>0.7644110276</v>
      </c>
      <c r="I240" s="10">
        <v>0.4786</v>
      </c>
      <c r="J240" s="10">
        <v>0.2244</v>
      </c>
      <c r="K240" s="5">
        <f t="shared" si="3"/>
        <v>0</v>
      </c>
    </row>
    <row r="241" ht="15.0" customHeight="1">
      <c r="A241" s="5">
        <v>2024.0</v>
      </c>
      <c r="B241" s="5" t="s">
        <v>143</v>
      </c>
      <c r="C241" s="5" t="s">
        <v>145</v>
      </c>
      <c r="D241" s="5" t="s">
        <v>74</v>
      </c>
      <c r="E241" s="5">
        <v>520.0</v>
      </c>
      <c r="F241" s="5">
        <v>193.0</v>
      </c>
      <c r="G241" s="5">
        <f t="shared" si="1"/>
        <v>713</v>
      </c>
      <c r="H241" s="10">
        <f t="shared" si="2"/>
        <v>0.729312763</v>
      </c>
      <c r="I241" s="10">
        <v>0.4119</v>
      </c>
      <c r="J241" s="10">
        <v>0.3915</v>
      </c>
      <c r="K241" s="5">
        <f t="shared" si="3"/>
        <v>1</v>
      </c>
    </row>
    <row r="242" ht="15.0" customHeight="1">
      <c r="A242" s="5">
        <v>2018.0</v>
      </c>
      <c r="B242" s="5" t="s">
        <v>143</v>
      </c>
      <c r="C242" s="5" t="s">
        <v>145</v>
      </c>
      <c r="D242" s="5" t="s">
        <v>78</v>
      </c>
      <c r="E242" s="5">
        <v>160.0</v>
      </c>
      <c r="F242" s="5">
        <v>29.0</v>
      </c>
      <c r="G242" s="5">
        <f t="shared" si="1"/>
        <v>189</v>
      </c>
      <c r="H242" s="10">
        <f t="shared" si="2"/>
        <v>0.8465608466</v>
      </c>
      <c r="I242" s="10">
        <v>0.6091</v>
      </c>
      <c r="J242" s="10">
        <v>0.2767</v>
      </c>
      <c r="K242" s="5">
        <f t="shared" si="3"/>
        <v>0</v>
      </c>
    </row>
    <row r="243" ht="15.0" customHeight="1">
      <c r="A243" s="5">
        <v>2020.0</v>
      </c>
      <c r="B243" s="5" t="s">
        <v>143</v>
      </c>
      <c r="C243" s="5" t="s">
        <v>145</v>
      </c>
      <c r="D243" s="5" t="s">
        <v>78</v>
      </c>
      <c r="E243" s="5">
        <v>225.0</v>
      </c>
      <c r="F243" s="5">
        <v>80.0</v>
      </c>
      <c r="G243" s="5">
        <f t="shared" si="1"/>
        <v>305</v>
      </c>
      <c r="H243" s="10">
        <f t="shared" si="2"/>
        <v>0.737704918</v>
      </c>
      <c r="I243" s="10">
        <v>0.5843</v>
      </c>
      <c r="J243" s="10">
        <v>0.4357</v>
      </c>
      <c r="K243" s="5">
        <f t="shared" si="3"/>
        <v>1</v>
      </c>
    </row>
    <row r="244" ht="15.0" customHeight="1">
      <c r="A244" s="5">
        <v>2022.0</v>
      </c>
      <c r="B244" s="5" t="s">
        <v>143</v>
      </c>
      <c r="C244" s="5" t="s">
        <v>145</v>
      </c>
      <c r="D244" s="5" t="s">
        <v>78</v>
      </c>
      <c r="E244" s="5">
        <v>116.0</v>
      </c>
      <c r="F244" s="5">
        <v>25.0</v>
      </c>
      <c r="G244" s="5">
        <f t="shared" si="1"/>
        <v>141</v>
      </c>
      <c r="H244" s="10">
        <f t="shared" si="2"/>
        <v>0.8226950355</v>
      </c>
      <c r="I244" s="10">
        <v>0.5328</v>
      </c>
      <c r="J244" s="10">
        <v>0.2153</v>
      </c>
      <c r="K244" s="5">
        <f t="shared" si="3"/>
        <v>0</v>
      </c>
    </row>
    <row r="245" ht="15.0" customHeight="1">
      <c r="A245" s="5">
        <v>2024.0</v>
      </c>
      <c r="B245" s="5" t="s">
        <v>143</v>
      </c>
      <c r="C245" s="5" t="s">
        <v>145</v>
      </c>
      <c r="D245" s="5" t="s">
        <v>78</v>
      </c>
      <c r="E245" s="5">
        <v>218.0</v>
      </c>
      <c r="F245" s="5">
        <v>86.0</v>
      </c>
      <c r="G245" s="5">
        <f t="shared" si="1"/>
        <v>304</v>
      </c>
      <c r="H245" s="10">
        <f t="shared" si="2"/>
        <v>0.7171052632</v>
      </c>
      <c r="I245" s="10">
        <v>0.4278</v>
      </c>
      <c r="J245" s="10">
        <v>0.4349</v>
      </c>
      <c r="K245" s="5">
        <f t="shared" si="3"/>
        <v>1</v>
      </c>
    </row>
    <row r="246" ht="15.0" customHeight="1">
      <c r="A246" s="5">
        <v>2018.0</v>
      </c>
      <c r="B246" s="5" t="s">
        <v>143</v>
      </c>
      <c r="C246" s="5" t="s">
        <v>145</v>
      </c>
      <c r="D246" s="5" t="s">
        <v>79</v>
      </c>
      <c r="E246" s="5">
        <v>222.0</v>
      </c>
      <c r="F246" s="5">
        <v>34.0</v>
      </c>
      <c r="G246" s="5">
        <f t="shared" si="1"/>
        <v>256</v>
      </c>
      <c r="H246" s="10">
        <f t="shared" si="2"/>
        <v>0.8671875</v>
      </c>
      <c r="I246" s="10">
        <v>0.6111</v>
      </c>
      <c r="J246" s="10">
        <v>0.2671</v>
      </c>
      <c r="K246" s="5">
        <f t="shared" si="3"/>
        <v>0</v>
      </c>
    </row>
    <row r="247" ht="15.0" customHeight="1">
      <c r="A247" s="5">
        <v>2020.0</v>
      </c>
      <c r="B247" s="5" t="s">
        <v>143</v>
      </c>
      <c r="C247" s="5" t="s">
        <v>145</v>
      </c>
      <c r="D247" s="5" t="s">
        <v>79</v>
      </c>
      <c r="E247" s="5">
        <v>294.0</v>
      </c>
      <c r="F247" s="5">
        <v>80.0</v>
      </c>
      <c r="G247" s="5">
        <f t="shared" si="1"/>
        <v>374</v>
      </c>
      <c r="H247" s="10">
        <f t="shared" si="2"/>
        <v>0.7860962567</v>
      </c>
      <c r="I247" s="10">
        <v>0.5755</v>
      </c>
      <c r="J247" s="10">
        <v>0.4061</v>
      </c>
      <c r="K247" s="5">
        <f t="shared" si="3"/>
        <v>1</v>
      </c>
    </row>
    <row r="248" ht="15.0" customHeight="1">
      <c r="A248" s="5">
        <v>2022.0</v>
      </c>
      <c r="B248" s="5" t="s">
        <v>143</v>
      </c>
      <c r="C248" s="5" t="s">
        <v>145</v>
      </c>
      <c r="D248" s="5" t="s">
        <v>79</v>
      </c>
      <c r="E248" s="5">
        <v>147.0</v>
      </c>
      <c r="F248" s="5">
        <v>26.0</v>
      </c>
      <c r="G248" s="5">
        <f t="shared" si="1"/>
        <v>173</v>
      </c>
      <c r="H248" s="10">
        <f t="shared" si="2"/>
        <v>0.8497109827</v>
      </c>
      <c r="I248" s="10">
        <v>0.53</v>
      </c>
      <c r="J248" s="10">
        <v>0.2118</v>
      </c>
      <c r="K248" s="5">
        <f t="shared" si="3"/>
        <v>0</v>
      </c>
    </row>
    <row r="249" ht="15.0" customHeight="1">
      <c r="A249" s="5">
        <v>2024.0</v>
      </c>
      <c r="B249" s="5" t="s">
        <v>143</v>
      </c>
      <c r="C249" s="5" t="s">
        <v>145</v>
      </c>
      <c r="D249" s="5" t="s">
        <v>79</v>
      </c>
      <c r="E249" s="5">
        <v>262.0</v>
      </c>
      <c r="F249" s="5">
        <v>109.0</v>
      </c>
      <c r="G249" s="5">
        <f t="shared" si="1"/>
        <v>371</v>
      </c>
      <c r="H249" s="10">
        <f t="shared" si="2"/>
        <v>0.7061994609</v>
      </c>
      <c r="I249" s="10">
        <v>0.4522</v>
      </c>
      <c r="J249" s="10">
        <v>0.4438</v>
      </c>
      <c r="K249" s="5">
        <f t="shared" si="3"/>
        <v>1</v>
      </c>
    </row>
    <row r="250" ht="15.0" customHeight="1">
      <c r="A250" s="5">
        <v>2018.0</v>
      </c>
      <c r="B250" s="5" t="s">
        <v>143</v>
      </c>
      <c r="C250" s="5" t="s">
        <v>145</v>
      </c>
      <c r="D250" s="5" t="s">
        <v>87</v>
      </c>
      <c r="E250" s="5">
        <v>290.0</v>
      </c>
      <c r="F250" s="5">
        <v>42.0</v>
      </c>
      <c r="G250" s="5">
        <f t="shared" si="1"/>
        <v>332</v>
      </c>
      <c r="H250" s="10">
        <f t="shared" si="2"/>
        <v>0.8734939759</v>
      </c>
      <c r="I250" s="10">
        <v>0.6232</v>
      </c>
      <c r="J250" s="10">
        <v>0.2415</v>
      </c>
      <c r="K250" s="5">
        <f t="shared" si="3"/>
        <v>0</v>
      </c>
    </row>
    <row r="251" ht="15.0" customHeight="1">
      <c r="A251" s="5">
        <v>2020.0</v>
      </c>
      <c r="B251" s="5" t="s">
        <v>143</v>
      </c>
      <c r="C251" s="5" t="s">
        <v>145</v>
      </c>
      <c r="D251" s="5" t="s">
        <v>87</v>
      </c>
      <c r="E251" s="5">
        <v>482.0</v>
      </c>
      <c r="F251" s="5">
        <v>138.0</v>
      </c>
      <c r="G251" s="5">
        <f t="shared" si="1"/>
        <v>620</v>
      </c>
      <c r="H251" s="10">
        <f t="shared" si="2"/>
        <v>0.7774193548</v>
      </c>
      <c r="I251" s="10">
        <v>0.5926</v>
      </c>
      <c r="J251" s="10">
        <v>0.4385</v>
      </c>
      <c r="K251" s="5">
        <f t="shared" si="3"/>
        <v>1</v>
      </c>
    </row>
    <row r="252" ht="15.0" customHeight="1">
      <c r="A252" s="5">
        <v>2022.0</v>
      </c>
      <c r="B252" s="5" t="s">
        <v>143</v>
      </c>
      <c r="C252" s="5" t="s">
        <v>145</v>
      </c>
      <c r="D252" s="5" t="s">
        <v>87</v>
      </c>
      <c r="E252" s="5">
        <v>220.0</v>
      </c>
      <c r="F252" s="5">
        <v>55.0</v>
      </c>
      <c r="G252" s="5">
        <f t="shared" si="1"/>
        <v>275</v>
      </c>
      <c r="H252" s="10">
        <f t="shared" si="2"/>
        <v>0.8</v>
      </c>
      <c r="I252" s="10">
        <v>0.5512</v>
      </c>
      <c r="J252" s="10">
        <v>0.2102</v>
      </c>
      <c r="K252" s="5">
        <f t="shared" si="3"/>
        <v>0</v>
      </c>
    </row>
    <row r="253" ht="15.0" customHeight="1">
      <c r="A253" s="5">
        <v>2024.0</v>
      </c>
      <c r="B253" s="5" t="s">
        <v>143</v>
      </c>
      <c r="C253" s="5" t="s">
        <v>145</v>
      </c>
      <c r="D253" s="5" t="s">
        <v>87</v>
      </c>
      <c r="E253" s="5">
        <v>424.0</v>
      </c>
      <c r="F253" s="5">
        <v>151.0</v>
      </c>
      <c r="G253" s="5">
        <f t="shared" si="1"/>
        <v>575</v>
      </c>
      <c r="H253" s="10">
        <f t="shared" si="2"/>
        <v>0.7373913043</v>
      </c>
      <c r="I253" s="10">
        <v>0.4485</v>
      </c>
      <c r="J253" s="10">
        <v>0.432</v>
      </c>
      <c r="K253" s="5">
        <f t="shared" si="3"/>
        <v>1</v>
      </c>
    </row>
    <row r="254" ht="15.0" customHeight="1">
      <c r="A254" s="5">
        <v>2018.0</v>
      </c>
      <c r="B254" s="5" t="s">
        <v>143</v>
      </c>
      <c r="C254" s="5" t="s">
        <v>145</v>
      </c>
      <c r="D254" s="5" t="s">
        <v>88</v>
      </c>
      <c r="E254" s="5">
        <v>426.0</v>
      </c>
      <c r="F254" s="5">
        <v>127.0</v>
      </c>
      <c r="G254" s="5">
        <f t="shared" si="1"/>
        <v>553</v>
      </c>
      <c r="H254" s="10">
        <f t="shared" si="2"/>
        <v>0.7703435805</v>
      </c>
      <c r="I254" s="10">
        <v>0.5125</v>
      </c>
      <c r="J254" s="10">
        <v>0.3735</v>
      </c>
      <c r="K254" s="5">
        <f t="shared" si="3"/>
        <v>0</v>
      </c>
    </row>
    <row r="255" ht="15.0" customHeight="1">
      <c r="A255" s="5">
        <v>2020.0</v>
      </c>
      <c r="B255" s="5" t="s">
        <v>143</v>
      </c>
      <c r="C255" s="5" t="s">
        <v>145</v>
      </c>
      <c r="D255" s="5" t="s">
        <v>88</v>
      </c>
      <c r="E255" s="5">
        <v>571.0</v>
      </c>
      <c r="F255" s="5">
        <v>240.0</v>
      </c>
      <c r="G255" s="5">
        <f t="shared" si="1"/>
        <v>811</v>
      </c>
      <c r="H255" s="10">
        <f t="shared" si="2"/>
        <v>0.7040690506</v>
      </c>
      <c r="I255" s="10">
        <v>0.4987</v>
      </c>
      <c r="J255" s="10">
        <v>0.5107</v>
      </c>
      <c r="K255" s="5">
        <f t="shared" si="3"/>
        <v>1</v>
      </c>
    </row>
    <row r="256" ht="15.0" customHeight="1">
      <c r="A256" s="5">
        <v>2022.0</v>
      </c>
      <c r="B256" s="5" t="s">
        <v>143</v>
      </c>
      <c r="C256" s="5" t="s">
        <v>145</v>
      </c>
      <c r="D256" s="5" t="s">
        <v>88</v>
      </c>
      <c r="E256" s="5">
        <v>338.0</v>
      </c>
      <c r="F256" s="5">
        <v>159.0</v>
      </c>
      <c r="G256" s="5">
        <f t="shared" si="1"/>
        <v>497</v>
      </c>
      <c r="H256" s="10">
        <f t="shared" si="2"/>
        <v>0.6800804829</v>
      </c>
      <c r="I256" s="10">
        <v>0.4587</v>
      </c>
      <c r="J256" s="10">
        <v>0.3309</v>
      </c>
      <c r="K256" s="5">
        <f t="shared" si="3"/>
        <v>0</v>
      </c>
    </row>
    <row r="257" ht="15.0" customHeight="1">
      <c r="A257" s="5">
        <v>2024.0</v>
      </c>
      <c r="B257" s="5" t="s">
        <v>143</v>
      </c>
      <c r="C257" s="5" t="s">
        <v>145</v>
      </c>
      <c r="D257" s="5" t="s">
        <v>88</v>
      </c>
      <c r="E257" s="5">
        <v>565.0</v>
      </c>
      <c r="F257" s="5">
        <v>277.0</v>
      </c>
      <c r="G257" s="5">
        <f t="shared" si="1"/>
        <v>842</v>
      </c>
      <c r="H257" s="10">
        <f t="shared" si="2"/>
        <v>0.6710213777</v>
      </c>
      <c r="I257" s="10">
        <v>0.4113</v>
      </c>
      <c r="J257" s="10">
        <v>0.5353</v>
      </c>
      <c r="K257" s="5">
        <f t="shared" si="3"/>
        <v>1</v>
      </c>
    </row>
    <row r="258" ht="15.0" customHeight="1">
      <c r="A258" s="5">
        <v>2018.0</v>
      </c>
      <c r="B258" s="5" t="s">
        <v>143</v>
      </c>
      <c r="C258" s="5" t="s">
        <v>145</v>
      </c>
      <c r="D258" s="5" t="s">
        <v>89</v>
      </c>
      <c r="E258" s="5">
        <v>214.0</v>
      </c>
      <c r="F258" s="5">
        <v>51.0</v>
      </c>
      <c r="G258" s="5">
        <f t="shared" si="1"/>
        <v>265</v>
      </c>
      <c r="H258" s="10">
        <f t="shared" si="2"/>
        <v>0.8075471698</v>
      </c>
      <c r="I258" s="10">
        <v>0.5564</v>
      </c>
      <c r="J258" s="10">
        <v>0.4127</v>
      </c>
      <c r="K258" s="5">
        <f t="shared" si="3"/>
        <v>0</v>
      </c>
    </row>
    <row r="259" ht="15.0" customHeight="1">
      <c r="A259" s="5">
        <v>2020.0</v>
      </c>
      <c r="B259" s="5" t="s">
        <v>143</v>
      </c>
      <c r="C259" s="5" t="s">
        <v>145</v>
      </c>
      <c r="D259" s="5" t="s">
        <v>89</v>
      </c>
      <c r="E259" s="5">
        <v>266.0</v>
      </c>
      <c r="F259" s="5">
        <v>86.0</v>
      </c>
      <c r="G259" s="5">
        <f t="shared" si="1"/>
        <v>352</v>
      </c>
      <c r="H259" s="10">
        <f t="shared" si="2"/>
        <v>0.7556818182</v>
      </c>
      <c r="I259" s="10">
        <v>0.5052</v>
      </c>
      <c r="J259" s="10">
        <v>0.523</v>
      </c>
      <c r="K259" s="5">
        <f t="shared" si="3"/>
        <v>1</v>
      </c>
    </row>
    <row r="260" ht="15.0" customHeight="1">
      <c r="A260" s="5">
        <v>2022.0</v>
      </c>
      <c r="B260" s="5" t="s">
        <v>143</v>
      </c>
      <c r="C260" s="5" t="s">
        <v>145</v>
      </c>
      <c r="D260" s="5" t="s">
        <v>89</v>
      </c>
      <c r="E260" s="5">
        <v>158.0</v>
      </c>
      <c r="F260" s="5">
        <v>60.0</v>
      </c>
      <c r="G260" s="5">
        <f t="shared" si="1"/>
        <v>218</v>
      </c>
      <c r="H260" s="10">
        <f t="shared" si="2"/>
        <v>0.7247706422</v>
      </c>
      <c r="I260" s="10">
        <v>0.4537</v>
      </c>
      <c r="J260" s="10">
        <v>0.3422</v>
      </c>
      <c r="K260" s="5">
        <f t="shared" si="3"/>
        <v>0</v>
      </c>
    </row>
    <row r="261" ht="15.0" customHeight="1">
      <c r="A261" s="5">
        <v>2024.0</v>
      </c>
      <c r="B261" s="5" t="s">
        <v>143</v>
      </c>
      <c r="C261" s="5" t="s">
        <v>145</v>
      </c>
      <c r="D261" s="5" t="s">
        <v>89</v>
      </c>
      <c r="E261" s="5">
        <v>260.0</v>
      </c>
      <c r="F261" s="5">
        <v>121.0</v>
      </c>
      <c r="G261" s="5">
        <f t="shared" si="1"/>
        <v>381</v>
      </c>
      <c r="H261" s="10">
        <f t="shared" si="2"/>
        <v>0.6824146982</v>
      </c>
      <c r="I261" s="10">
        <v>0.359</v>
      </c>
      <c r="J261" s="10">
        <v>0.5538</v>
      </c>
      <c r="K261" s="5">
        <f t="shared" si="3"/>
        <v>1</v>
      </c>
    </row>
    <row r="262" ht="15.0" customHeight="1">
      <c r="A262" s="5">
        <v>2018.0</v>
      </c>
      <c r="B262" s="5" t="s">
        <v>143</v>
      </c>
      <c r="C262" s="5" t="s">
        <v>145</v>
      </c>
      <c r="D262" s="5" t="s">
        <v>91</v>
      </c>
      <c r="E262" s="5">
        <v>296.0</v>
      </c>
      <c r="F262" s="5">
        <v>45.0</v>
      </c>
      <c r="G262" s="5">
        <f t="shared" si="1"/>
        <v>341</v>
      </c>
      <c r="H262" s="10">
        <f t="shared" si="2"/>
        <v>0.8680351906</v>
      </c>
      <c r="I262" s="10">
        <v>0.584</v>
      </c>
      <c r="J262" s="10">
        <v>0.3349</v>
      </c>
      <c r="K262" s="5">
        <f t="shared" si="3"/>
        <v>0</v>
      </c>
    </row>
    <row r="263" ht="15.0" customHeight="1">
      <c r="A263" s="5">
        <v>2020.0</v>
      </c>
      <c r="B263" s="5" t="s">
        <v>143</v>
      </c>
      <c r="C263" s="5" t="s">
        <v>145</v>
      </c>
      <c r="D263" s="5" t="s">
        <v>91</v>
      </c>
      <c r="E263" s="5">
        <v>384.0</v>
      </c>
      <c r="F263" s="5">
        <v>111.0</v>
      </c>
      <c r="G263" s="5">
        <f t="shared" si="1"/>
        <v>495</v>
      </c>
      <c r="H263" s="10">
        <f t="shared" si="2"/>
        <v>0.7757575758</v>
      </c>
      <c r="I263" s="10">
        <v>0.5501</v>
      </c>
      <c r="J263" s="10">
        <v>0.4728</v>
      </c>
      <c r="K263" s="5">
        <f t="shared" si="3"/>
        <v>1</v>
      </c>
    </row>
    <row r="264" ht="15.0" customHeight="1">
      <c r="A264" s="5">
        <v>2022.0</v>
      </c>
      <c r="B264" s="5" t="s">
        <v>143</v>
      </c>
      <c r="C264" s="5" t="s">
        <v>145</v>
      </c>
      <c r="D264" s="5" t="s">
        <v>91</v>
      </c>
      <c r="E264" s="5">
        <v>180.0</v>
      </c>
      <c r="F264" s="5">
        <v>58.0</v>
      </c>
      <c r="G264" s="5">
        <f t="shared" si="1"/>
        <v>238</v>
      </c>
      <c r="H264" s="10">
        <f t="shared" si="2"/>
        <v>0.756302521</v>
      </c>
      <c r="I264" s="10">
        <v>0.5303</v>
      </c>
      <c r="J264" s="10">
        <v>0.249</v>
      </c>
      <c r="K264" s="5">
        <f t="shared" si="3"/>
        <v>0</v>
      </c>
    </row>
    <row r="265" ht="15.0" customHeight="1">
      <c r="A265" s="5">
        <v>2024.0</v>
      </c>
      <c r="B265" s="5" t="s">
        <v>143</v>
      </c>
      <c r="C265" s="5" t="s">
        <v>145</v>
      </c>
      <c r="D265" s="5" t="s">
        <v>91</v>
      </c>
      <c r="E265" s="5">
        <v>317.0</v>
      </c>
      <c r="F265" s="5">
        <v>152.0</v>
      </c>
      <c r="G265" s="5">
        <f t="shared" si="1"/>
        <v>469</v>
      </c>
      <c r="H265" s="10">
        <f t="shared" si="2"/>
        <v>0.6759061834</v>
      </c>
      <c r="I265" s="10">
        <v>0.4377</v>
      </c>
      <c r="J265" s="10">
        <v>0.4676</v>
      </c>
      <c r="K265" s="5">
        <f t="shared" si="3"/>
        <v>1</v>
      </c>
    </row>
    <row r="266" ht="15.0" customHeight="1">
      <c r="A266" s="5">
        <v>2018.0</v>
      </c>
      <c r="B266" s="5" t="s">
        <v>143</v>
      </c>
      <c r="C266" s="5" t="s">
        <v>145</v>
      </c>
      <c r="D266" s="5" t="s">
        <v>92</v>
      </c>
      <c r="E266" s="5">
        <v>329.0</v>
      </c>
      <c r="F266" s="5">
        <v>184.0</v>
      </c>
      <c r="G266" s="5">
        <f t="shared" si="1"/>
        <v>513</v>
      </c>
      <c r="H266" s="10">
        <f t="shared" si="2"/>
        <v>0.6413255361</v>
      </c>
      <c r="I266" s="10">
        <v>0.3118</v>
      </c>
      <c r="J266" s="10">
        <v>0.5168</v>
      </c>
      <c r="K266" s="5">
        <f t="shared" si="3"/>
        <v>0</v>
      </c>
    </row>
    <row r="267" ht="15.0" customHeight="1">
      <c r="A267" s="5">
        <v>2020.0</v>
      </c>
      <c r="B267" s="5" t="s">
        <v>143</v>
      </c>
      <c r="C267" s="5" t="s">
        <v>145</v>
      </c>
      <c r="D267" s="5" t="s">
        <v>92</v>
      </c>
      <c r="E267" s="5">
        <v>434.0</v>
      </c>
      <c r="F267" s="5">
        <v>274.0</v>
      </c>
      <c r="G267" s="5">
        <f t="shared" si="1"/>
        <v>708</v>
      </c>
      <c r="H267" s="10">
        <f t="shared" si="2"/>
        <v>0.6129943503</v>
      </c>
      <c r="I267" s="10">
        <v>0.352</v>
      </c>
      <c r="J267" s="10">
        <v>0.6592</v>
      </c>
      <c r="K267" s="5">
        <f t="shared" si="3"/>
        <v>1</v>
      </c>
    </row>
    <row r="268" ht="15.0" customHeight="1">
      <c r="A268" s="5">
        <v>2022.0</v>
      </c>
      <c r="B268" s="5" t="s">
        <v>143</v>
      </c>
      <c r="C268" s="5" t="s">
        <v>145</v>
      </c>
      <c r="D268" s="5" t="s">
        <v>92</v>
      </c>
      <c r="E268" s="5">
        <v>275.0</v>
      </c>
      <c r="F268" s="5">
        <v>147.0</v>
      </c>
      <c r="G268" s="5">
        <f t="shared" si="1"/>
        <v>422</v>
      </c>
      <c r="H268" s="10">
        <f t="shared" si="2"/>
        <v>0.6516587678</v>
      </c>
      <c r="I268" s="10">
        <v>0.3575</v>
      </c>
      <c r="J268" s="10">
        <v>0.4373</v>
      </c>
      <c r="K268" s="5">
        <f t="shared" si="3"/>
        <v>0</v>
      </c>
    </row>
    <row r="269" ht="15.0" customHeight="1">
      <c r="A269" s="5">
        <v>2024.0</v>
      </c>
      <c r="B269" s="5" t="s">
        <v>143</v>
      </c>
      <c r="C269" s="5" t="s">
        <v>145</v>
      </c>
      <c r="D269" s="5" t="s">
        <v>92</v>
      </c>
      <c r="E269" s="5">
        <v>424.0</v>
      </c>
      <c r="F269" s="5">
        <v>264.0</v>
      </c>
      <c r="G269" s="5">
        <f t="shared" si="1"/>
        <v>688</v>
      </c>
      <c r="H269" s="10">
        <f t="shared" si="2"/>
        <v>0.6162790698</v>
      </c>
      <c r="I269" s="10">
        <v>0.2835</v>
      </c>
      <c r="J269" s="10">
        <v>0.6635</v>
      </c>
      <c r="K269" s="5">
        <f t="shared" si="3"/>
        <v>1</v>
      </c>
    </row>
    <row r="270" ht="15.0" customHeight="1">
      <c r="A270" s="5">
        <v>2018.0</v>
      </c>
      <c r="B270" s="5" t="s">
        <v>143</v>
      </c>
      <c r="C270" s="5" t="s">
        <v>145</v>
      </c>
      <c r="D270" s="5" t="s">
        <v>94</v>
      </c>
      <c r="E270" s="5">
        <v>305.0</v>
      </c>
      <c r="F270" s="5">
        <v>50.0</v>
      </c>
      <c r="G270" s="5">
        <f t="shared" si="1"/>
        <v>355</v>
      </c>
      <c r="H270" s="10">
        <f t="shared" si="2"/>
        <v>0.8591549296</v>
      </c>
      <c r="I270" s="10">
        <v>0.5474</v>
      </c>
      <c r="J270" s="10">
        <v>0.2276</v>
      </c>
      <c r="K270" s="5">
        <f t="shared" si="3"/>
        <v>0</v>
      </c>
    </row>
    <row r="271" ht="15.0" customHeight="1">
      <c r="A271" s="5">
        <v>2020.0</v>
      </c>
      <c r="B271" s="5" t="s">
        <v>143</v>
      </c>
      <c r="C271" s="5" t="s">
        <v>145</v>
      </c>
      <c r="D271" s="5" t="s">
        <v>94</v>
      </c>
      <c r="E271" s="5">
        <v>461.0</v>
      </c>
      <c r="F271" s="5">
        <v>149.0</v>
      </c>
      <c r="G271" s="5">
        <f t="shared" si="1"/>
        <v>610</v>
      </c>
      <c r="H271" s="10">
        <f t="shared" si="2"/>
        <v>0.7557377049</v>
      </c>
      <c r="I271" s="10">
        <v>0.5273</v>
      </c>
      <c r="J271" s="10">
        <v>0.3784</v>
      </c>
      <c r="K271" s="5">
        <f t="shared" si="3"/>
        <v>1</v>
      </c>
    </row>
    <row r="272" ht="15.0" customHeight="1">
      <c r="A272" s="5">
        <v>2022.0</v>
      </c>
      <c r="B272" s="5" t="s">
        <v>143</v>
      </c>
      <c r="C272" s="5" t="s">
        <v>145</v>
      </c>
      <c r="D272" s="5" t="s">
        <v>94</v>
      </c>
      <c r="E272" s="5">
        <v>240.0</v>
      </c>
      <c r="F272" s="5">
        <v>61.0</v>
      </c>
      <c r="G272" s="5">
        <f t="shared" si="1"/>
        <v>301</v>
      </c>
      <c r="H272" s="10">
        <f t="shared" si="2"/>
        <v>0.7973421927</v>
      </c>
      <c r="I272" s="10">
        <v>0.5016</v>
      </c>
      <c r="J272" s="10">
        <v>0.1871</v>
      </c>
      <c r="K272" s="5">
        <f t="shared" si="3"/>
        <v>0</v>
      </c>
    </row>
    <row r="273" ht="15.0" customHeight="1">
      <c r="A273" s="5">
        <v>2024.0</v>
      </c>
      <c r="B273" s="5" t="s">
        <v>143</v>
      </c>
      <c r="C273" s="5" t="s">
        <v>145</v>
      </c>
      <c r="D273" s="5" t="s">
        <v>94</v>
      </c>
      <c r="E273" s="5">
        <v>469.0</v>
      </c>
      <c r="F273" s="5">
        <v>215.0</v>
      </c>
      <c r="G273" s="5">
        <f t="shared" si="1"/>
        <v>684</v>
      </c>
      <c r="H273" s="10">
        <f t="shared" si="2"/>
        <v>0.6856725146</v>
      </c>
      <c r="I273" s="10">
        <v>0.4511</v>
      </c>
      <c r="J273" s="10">
        <v>0.4002</v>
      </c>
      <c r="K273" s="5">
        <f t="shared" si="3"/>
        <v>1</v>
      </c>
    </row>
    <row r="274" ht="15.0" customHeight="1">
      <c r="A274" s="5">
        <v>2018.0</v>
      </c>
      <c r="B274" s="5" t="s">
        <v>143</v>
      </c>
      <c r="C274" s="5" t="s">
        <v>145</v>
      </c>
      <c r="D274" s="5" t="s">
        <v>95</v>
      </c>
      <c r="E274" s="5">
        <v>342.0</v>
      </c>
      <c r="F274" s="5">
        <v>49.0</v>
      </c>
      <c r="G274" s="5">
        <f t="shared" si="1"/>
        <v>391</v>
      </c>
      <c r="H274" s="10">
        <f t="shared" si="2"/>
        <v>0.8746803069</v>
      </c>
      <c r="I274" s="10">
        <v>0.5528</v>
      </c>
      <c r="J274" s="10">
        <v>0.2285</v>
      </c>
      <c r="K274" s="5">
        <f t="shared" si="3"/>
        <v>0</v>
      </c>
    </row>
    <row r="275" ht="15.0" customHeight="1">
      <c r="A275" s="5">
        <v>2020.0</v>
      </c>
      <c r="B275" s="5" t="s">
        <v>143</v>
      </c>
      <c r="C275" s="5" t="s">
        <v>145</v>
      </c>
      <c r="D275" s="5" t="s">
        <v>95</v>
      </c>
      <c r="E275" s="5">
        <v>529.0</v>
      </c>
      <c r="F275" s="5">
        <v>143.0</v>
      </c>
      <c r="G275" s="5">
        <f t="shared" si="1"/>
        <v>672</v>
      </c>
      <c r="H275" s="10">
        <f t="shared" si="2"/>
        <v>0.787202381</v>
      </c>
      <c r="I275" s="10">
        <v>0.5178</v>
      </c>
      <c r="J275" s="10">
        <v>0.3733</v>
      </c>
      <c r="K275" s="5">
        <f t="shared" si="3"/>
        <v>1</v>
      </c>
    </row>
    <row r="276" ht="15.0" customHeight="1">
      <c r="A276" s="5">
        <v>2022.0</v>
      </c>
      <c r="B276" s="5" t="s">
        <v>143</v>
      </c>
      <c r="C276" s="5" t="s">
        <v>145</v>
      </c>
      <c r="D276" s="5" t="s">
        <v>95</v>
      </c>
      <c r="E276" s="5">
        <v>264.0</v>
      </c>
      <c r="F276" s="5">
        <v>71.0</v>
      </c>
      <c r="G276" s="5">
        <f t="shared" si="1"/>
        <v>335</v>
      </c>
      <c r="H276" s="10">
        <f t="shared" si="2"/>
        <v>0.7880597015</v>
      </c>
      <c r="I276" s="10">
        <v>0.4725</v>
      </c>
      <c r="J276" s="10">
        <v>0.188</v>
      </c>
      <c r="K276" s="5">
        <f t="shared" si="3"/>
        <v>0</v>
      </c>
    </row>
    <row r="277" ht="15.0" customHeight="1">
      <c r="A277" s="5">
        <v>2024.0</v>
      </c>
      <c r="B277" s="5" t="s">
        <v>143</v>
      </c>
      <c r="C277" s="5" t="s">
        <v>145</v>
      </c>
      <c r="D277" s="5" t="s">
        <v>95</v>
      </c>
      <c r="E277" s="5">
        <v>437.0</v>
      </c>
      <c r="F277" s="5">
        <v>173.0</v>
      </c>
      <c r="G277" s="5">
        <f t="shared" si="1"/>
        <v>610</v>
      </c>
      <c r="H277" s="10">
        <f t="shared" si="2"/>
        <v>0.7163934426</v>
      </c>
      <c r="I277" s="10">
        <v>0.4222</v>
      </c>
      <c r="J277" s="10">
        <v>0.3195</v>
      </c>
      <c r="K277" s="5">
        <f t="shared" si="3"/>
        <v>1</v>
      </c>
    </row>
    <row r="278" ht="15.0" customHeight="1">
      <c r="A278" s="5">
        <v>2018.0</v>
      </c>
      <c r="B278" s="5" t="s">
        <v>143</v>
      </c>
      <c r="C278" s="5" t="s">
        <v>145</v>
      </c>
      <c r="D278" s="5" t="s">
        <v>96</v>
      </c>
      <c r="E278" s="5">
        <v>252.0</v>
      </c>
      <c r="F278" s="5">
        <v>67.0</v>
      </c>
      <c r="G278" s="5">
        <f t="shared" si="1"/>
        <v>319</v>
      </c>
      <c r="H278" s="10">
        <f t="shared" si="2"/>
        <v>0.789968652</v>
      </c>
      <c r="I278" s="10">
        <v>0.5614</v>
      </c>
      <c r="J278" s="10">
        <v>0.2753</v>
      </c>
      <c r="K278" s="5">
        <f t="shared" si="3"/>
        <v>0</v>
      </c>
    </row>
    <row r="279" ht="15.0" customHeight="1">
      <c r="A279" s="5">
        <v>2020.0</v>
      </c>
      <c r="B279" s="5" t="s">
        <v>143</v>
      </c>
      <c r="C279" s="5" t="s">
        <v>145</v>
      </c>
      <c r="D279" s="5" t="s">
        <v>96</v>
      </c>
      <c r="E279" s="5">
        <v>369.0</v>
      </c>
      <c r="F279" s="5">
        <v>139.0</v>
      </c>
      <c r="G279" s="5">
        <f t="shared" si="1"/>
        <v>508</v>
      </c>
      <c r="H279" s="10">
        <f t="shared" si="2"/>
        <v>0.7263779528</v>
      </c>
      <c r="I279" s="10">
        <v>0.5353</v>
      </c>
      <c r="J279" s="10">
        <v>0.4216</v>
      </c>
      <c r="K279" s="5">
        <f t="shared" si="3"/>
        <v>1</v>
      </c>
    </row>
    <row r="280" ht="15.0" customHeight="1">
      <c r="A280" s="5">
        <v>2022.0</v>
      </c>
      <c r="B280" s="5" t="s">
        <v>143</v>
      </c>
      <c r="C280" s="5" t="s">
        <v>145</v>
      </c>
      <c r="D280" s="5" t="s">
        <v>96</v>
      </c>
      <c r="E280" s="5">
        <v>152.0</v>
      </c>
      <c r="F280" s="5">
        <v>57.0</v>
      </c>
      <c r="G280" s="5">
        <f t="shared" si="1"/>
        <v>209</v>
      </c>
      <c r="H280" s="10">
        <f t="shared" si="2"/>
        <v>0.7272727273</v>
      </c>
      <c r="I280" s="10">
        <v>0.4815</v>
      </c>
      <c r="J280" s="10">
        <v>0.1888</v>
      </c>
      <c r="K280" s="5">
        <f t="shared" si="3"/>
        <v>0</v>
      </c>
    </row>
    <row r="281" ht="15.0" customHeight="1">
      <c r="A281" s="5">
        <v>2024.0</v>
      </c>
      <c r="B281" s="5" t="s">
        <v>143</v>
      </c>
      <c r="C281" s="5" t="s">
        <v>145</v>
      </c>
      <c r="D281" s="5" t="s">
        <v>96</v>
      </c>
      <c r="E281" s="5">
        <v>328.0</v>
      </c>
      <c r="F281" s="5">
        <v>173.0</v>
      </c>
      <c r="G281" s="5">
        <f t="shared" si="1"/>
        <v>501</v>
      </c>
      <c r="H281" s="10">
        <f t="shared" si="2"/>
        <v>0.6546906188</v>
      </c>
      <c r="I281" s="10">
        <v>0.3998</v>
      </c>
      <c r="J281" s="10">
        <v>0.4441</v>
      </c>
      <c r="K281" s="5">
        <f t="shared" si="3"/>
        <v>1</v>
      </c>
    </row>
    <row r="282" ht="15.0" customHeight="1">
      <c r="A282" s="5">
        <v>2018.0</v>
      </c>
      <c r="B282" s="5" t="s">
        <v>143</v>
      </c>
      <c r="C282" s="5" t="s">
        <v>145</v>
      </c>
      <c r="D282" s="5" t="s">
        <v>98</v>
      </c>
      <c r="E282" s="5">
        <v>267.0</v>
      </c>
      <c r="F282" s="5">
        <v>48.0</v>
      </c>
      <c r="G282" s="5">
        <f t="shared" si="1"/>
        <v>315</v>
      </c>
      <c r="H282" s="10">
        <f t="shared" si="2"/>
        <v>0.8476190476</v>
      </c>
      <c r="I282" s="10">
        <v>0.5743</v>
      </c>
      <c r="J282" s="10">
        <v>0.2711</v>
      </c>
      <c r="K282" s="5">
        <f t="shared" si="3"/>
        <v>0</v>
      </c>
    </row>
    <row r="283" ht="15.0" customHeight="1">
      <c r="A283" s="5">
        <v>2020.0</v>
      </c>
      <c r="B283" s="5" t="s">
        <v>143</v>
      </c>
      <c r="C283" s="5" t="s">
        <v>145</v>
      </c>
      <c r="D283" s="5" t="s">
        <v>98</v>
      </c>
      <c r="E283" s="5">
        <v>400.0</v>
      </c>
      <c r="F283" s="5">
        <v>117.0</v>
      </c>
      <c r="G283" s="5">
        <f t="shared" si="1"/>
        <v>517</v>
      </c>
      <c r="H283" s="10">
        <f t="shared" si="2"/>
        <v>0.7736943907</v>
      </c>
      <c r="I283" s="10">
        <v>0.5368</v>
      </c>
      <c r="J283" s="10">
        <v>0.4224</v>
      </c>
      <c r="K283" s="5">
        <f t="shared" si="3"/>
        <v>1</v>
      </c>
    </row>
    <row r="284" ht="15.0" customHeight="1">
      <c r="A284" s="5">
        <v>2022.0</v>
      </c>
      <c r="B284" s="5" t="s">
        <v>143</v>
      </c>
      <c r="C284" s="5" t="s">
        <v>145</v>
      </c>
      <c r="D284" s="5" t="s">
        <v>98</v>
      </c>
      <c r="E284" s="5">
        <v>191.0</v>
      </c>
      <c r="F284" s="5">
        <v>48.0</v>
      </c>
      <c r="G284" s="5">
        <f t="shared" si="1"/>
        <v>239</v>
      </c>
      <c r="H284" s="10">
        <f t="shared" si="2"/>
        <v>0.7991631799</v>
      </c>
      <c r="I284" s="10">
        <v>0.4809</v>
      </c>
      <c r="J284" s="10">
        <v>0.2024</v>
      </c>
      <c r="K284" s="5">
        <f t="shared" si="3"/>
        <v>0</v>
      </c>
    </row>
    <row r="285" ht="15.0" customHeight="1">
      <c r="A285" s="5">
        <v>2024.0</v>
      </c>
      <c r="B285" s="5" t="s">
        <v>143</v>
      </c>
      <c r="C285" s="5" t="s">
        <v>145</v>
      </c>
      <c r="D285" s="5" t="s">
        <v>98</v>
      </c>
      <c r="E285" s="5">
        <v>347.0</v>
      </c>
      <c r="F285" s="5">
        <v>147.0</v>
      </c>
      <c r="G285" s="5">
        <f t="shared" si="1"/>
        <v>494</v>
      </c>
      <c r="H285" s="10">
        <f t="shared" si="2"/>
        <v>0.7024291498</v>
      </c>
      <c r="I285" s="10">
        <v>0.3965</v>
      </c>
      <c r="J285" s="10">
        <v>0.4073</v>
      </c>
      <c r="K285" s="5">
        <f t="shared" si="3"/>
        <v>1</v>
      </c>
    </row>
    <row r="286" ht="15.0" customHeight="1">
      <c r="A286" s="5">
        <v>2018.0</v>
      </c>
      <c r="B286" s="5" t="s">
        <v>143</v>
      </c>
      <c r="C286" s="5" t="s">
        <v>145</v>
      </c>
      <c r="D286" s="5" t="s">
        <v>100</v>
      </c>
      <c r="E286" s="5">
        <v>234.0</v>
      </c>
      <c r="F286" s="5">
        <v>69.0</v>
      </c>
      <c r="G286" s="5">
        <f t="shared" si="1"/>
        <v>303</v>
      </c>
      <c r="H286" s="10">
        <f t="shared" si="2"/>
        <v>0.7722772277</v>
      </c>
      <c r="I286" s="10">
        <v>0.5256</v>
      </c>
      <c r="J286" s="10">
        <v>0.3211</v>
      </c>
      <c r="K286" s="5">
        <f t="shared" si="3"/>
        <v>0</v>
      </c>
    </row>
    <row r="287" ht="15.0" customHeight="1">
      <c r="A287" s="5">
        <v>2020.0</v>
      </c>
      <c r="B287" s="5" t="s">
        <v>143</v>
      </c>
      <c r="C287" s="5" t="s">
        <v>145</v>
      </c>
      <c r="D287" s="5" t="s">
        <v>100</v>
      </c>
      <c r="E287" s="5">
        <v>341.0</v>
      </c>
      <c r="F287" s="5">
        <v>128.0</v>
      </c>
      <c r="G287" s="5">
        <f t="shared" si="1"/>
        <v>469</v>
      </c>
      <c r="H287" s="10">
        <f t="shared" si="2"/>
        <v>0.7270788913</v>
      </c>
      <c r="I287" s="10">
        <v>0.4941</v>
      </c>
      <c r="J287" s="10">
        <v>0.458</v>
      </c>
      <c r="K287" s="5">
        <f t="shared" si="3"/>
        <v>1</v>
      </c>
    </row>
    <row r="288" ht="15.0" customHeight="1">
      <c r="A288" s="5">
        <v>2022.0</v>
      </c>
      <c r="B288" s="5" t="s">
        <v>143</v>
      </c>
      <c r="C288" s="5" t="s">
        <v>145</v>
      </c>
      <c r="D288" s="5" t="s">
        <v>100</v>
      </c>
      <c r="E288" s="5">
        <v>182.0</v>
      </c>
      <c r="F288" s="5">
        <v>56.0</v>
      </c>
      <c r="G288" s="5">
        <f t="shared" si="1"/>
        <v>238</v>
      </c>
      <c r="H288" s="10">
        <f t="shared" si="2"/>
        <v>0.7647058824</v>
      </c>
      <c r="I288" s="10">
        <v>0.4927</v>
      </c>
      <c r="J288" s="10">
        <v>0.2484</v>
      </c>
      <c r="K288" s="5">
        <f t="shared" si="3"/>
        <v>0</v>
      </c>
    </row>
    <row r="289" ht="15.0" customHeight="1">
      <c r="A289" s="5">
        <v>2024.0</v>
      </c>
      <c r="B289" s="5" t="s">
        <v>143</v>
      </c>
      <c r="C289" s="5" t="s">
        <v>145</v>
      </c>
      <c r="D289" s="5" t="s">
        <v>100</v>
      </c>
      <c r="E289" s="5">
        <v>314.0</v>
      </c>
      <c r="F289" s="5">
        <v>149.0</v>
      </c>
      <c r="G289" s="5">
        <f t="shared" si="1"/>
        <v>463</v>
      </c>
      <c r="H289" s="10">
        <f t="shared" si="2"/>
        <v>0.6781857451</v>
      </c>
      <c r="I289" s="10">
        <v>0.4029</v>
      </c>
      <c r="J289" s="10">
        <v>0.4473</v>
      </c>
      <c r="K289" s="5">
        <f t="shared" si="3"/>
        <v>1</v>
      </c>
    </row>
    <row r="290" ht="15.0" customHeight="1">
      <c r="A290" s="5">
        <v>2018.0</v>
      </c>
      <c r="B290" s="5" t="s">
        <v>143</v>
      </c>
      <c r="C290" s="5" t="s">
        <v>145</v>
      </c>
      <c r="D290" s="5" t="s">
        <v>102</v>
      </c>
      <c r="E290" s="5">
        <v>297.0</v>
      </c>
      <c r="F290" s="5">
        <v>58.0</v>
      </c>
      <c r="G290" s="5">
        <f t="shared" si="1"/>
        <v>355</v>
      </c>
      <c r="H290" s="10">
        <f t="shared" si="2"/>
        <v>0.8366197183</v>
      </c>
      <c r="I290" s="10">
        <v>0.5675</v>
      </c>
      <c r="J290" s="10">
        <v>0.3041</v>
      </c>
      <c r="K290" s="5">
        <f t="shared" si="3"/>
        <v>0</v>
      </c>
    </row>
    <row r="291" ht="15.0" customHeight="1">
      <c r="A291" s="5">
        <v>2020.0</v>
      </c>
      <c r="B291" s="5" t="s">
        <v>143</v>
      </c>
      <c r="C291" s="5" t="s">
        <v>145</v>
      </c>
      <c r="D291" s="5" t="s">
        <v>102</v>
      </c>
      <c r="E291" s="5">
        <v>422.0</v>
      </c>
      <c r="F291" s="5">
        <v>126.0</v>
      </c>
      <c r="G291" s="5">
        <f t="shared" si="1"/>
        <v>548</v>
      </c>
      <c r="H291" s="10">
        <f t="shared" si="2"/>
        <v>0.7700729927</v>
      </c>
      <c r="I291" s="10">
        <v>0.5783</v>
      </c>
      <c r="J291" s="10">
        <v>0.4514</v>
      </c>
      <c r="K291" s="5">
        <f t="shared" si="3"/>
        <v>1</v>
      </c>
    </row>
    <row r="292" ht="15.0" customHeight="1">
      <c r="A292" s="5">
        <v>2022.0</v>
      </c>
      <c r="B292" s="5" t="s">
        <v>143</v>
      </c>
      <c r="C292" s="5" t="s">
        <v>145</v>
      </c>
      <c r="D292" s="5" t="s">
        <v>102</v>
      </c>
      <c r="E292" s="5">
        <v>182.0</v>
      </c>
      <c r="F292" s="5">
        <v>50.0</v>
      </c>
      <c r="G292" s="5">
        <f t="shared" si="1"/>
        <v>232</v>
      </c>
      <c r="H292" s="10">
        <f t="shared" si="2"/>
        <v>0.7844827586</v>
      </c>
      <c r="I292" s="10">
        <v>0.5481</v>
      </c>
      <c r="J292" s="10">
        <v>0.2126</v>
      </c>
      <c r="K292" s="5">
        <f t="shared" si="3"/>
        <v>0</v>
      </c>
    </row>
    <row r="293" ht="15.0" customHeight="1">
      <c r="A293" s="5">
        <v>2024.0</v>
      </c>
      <c r="B293" s="5" t="s">
        <v>143</v>
      </c>
      <c r="C293" s="5" t="s">
        <v>145</v>
      </c>
      <c r="D293" s="5" t="s">
        <v>102</v>
      </c>
      <c r="E293" s="5">
        <v>364.0</v>
      </c>
      <c r="F293" s="5">
        <v>137.0</v>
      </c>
      <c r="G293" s="5">
        <f t="shared" si="1"/>
        <v>501</v>
      </c>
      <c r="H293" s="10">
        <f t="shared" si="2"/>
        <v>0.7265469062</v>
      </c>
      <c r="I293" s="10">
        <v>0.453</v>
      </c>
      <c r="J293" s="10">
        <v>0.4357</v>
      </c>
      <c r="K293" s="5">
        <f t="shared" si="3"/>
        <v>1</v>
      </c>
    </row>
    <row r="294" ht="15.0" customHeight="1">
      <c r="A294" s="5">
        <v>2018.0</v>
      </c>
      <c r="B294" s="5" t="s">
        <v>143</v>
      </c>
      <c r="C294" s="5" t="s">
        <v>145</v>
      </c>
      <c r="D294" s="5" t="s">
        <v>103</v>
      </c>
      <c r="E294" s="5">
        <v>365.0</v>
      </c>
      <c r="F294" s="5">
        <v>93.0</v>
      </c>
      <c r="G294" s="5">
        <f t="shared" si="1"/>
        <v>458</v>
      </c>
      <c r="H294" s="10">
        <f t="shared" si="2"/>
        <v>0.7969432314</v>
      </c>
      <c r="I294" s="10">
        <v>0.4588</v>
      </c>
      <c r="J294" s="10">
        <v>0.4492</v>
      </c>
      <c r="K294" s="5">
        <f t="shared" si="3"/>
        <v>0</v>
      </c>
    </row>
    <row r="295" ht="15.0" customHeight="1">
      <c r="A295" s="5">
        <v>2020.0</v>
      </c>
      <c r="B295" s="5" t="s">
        <v>143</v>
      </c>
      <c r="C295" s="5" t="s">
        <v>145</v>
      </c>
      <c r="D295" s="5" t="s">
        <v>103</v>
      </c>
      <c r="E295" s="5">
        <v>469.0</v>
      </c>
      <c r="F295" s="5">
        <v>178.0</v>
      </c>
      <c r="G295" s="5">
        <f t="shared" si="1"/>
        <v>647</v>
      </c>
      <c r="H295" s="10">
        <f t="shared" si="2"/>
        <v>0.7248840804</v>
      </c>
      <c r="I295" s="10">
        <v>0.4522</v>
      </c>
      <c r="J295" s="10">
        <v>0.6069</v>
      </c>
      <c r="K295" s="5">
        <f t="shared" si="3"/>
        <v>1</v>
      </c>
    </row>
    <row r="296" ht="15.0" customHeight="1">
      <c r="A296" s="5">
        <v>2022.0</v>
      </c>
      <c r="B296" s="5" t="s">
        <v>143</v>
      </c>
      <c r="C296" s="5" t="s">
        <v>145</v>
      </c>
      <c r="D296" s="5" t="s">
        <v>103</v>
      </c>
      <c r="E296" s="5">
        <v>258.0</v>
      </c>
      <c r="F296" s="5">
        <v>100.0</v>
      </c>
      <c r="G296" s="5">
        <f t="shared" si="1"/>
        <v>358</v>
      </c>
      <c r="H296" s="10">
        <f t="shared" si="2"/>
        <v>0.7206703911</v>
      </c>
      <c r="I296" s="10">
        <v>0.4459</v>
      </c>
      <c r="J296" s="10">
        <v>0.3653</v>
      </c>
      <c r="K296" s="5">
        <f t="shared" si="3"/>
        <v>0</v>
      </c>
    </row>
    <row r="297" ht="15.0" customHeight="1">
      <c r="A297" s="5">
        <v>2024.0</v>
      </c>
      <c r="B297" s="5" t="s">
        <v>143</v>
      </c>
      <c r="C297" s="5" t="s">
        <v>145</v>
      </c>
      <c r="D297" s="5" t="s">
        <v>103</v>
      </c>
      <c r="E297" s="5">
        <v>399.0</v>
      </c>
      <c r="F297" s="5">
        <v>171.0</v>
      </c>
      <c r="G297" s="5">
        <f t="shared" si="1"/>
        <v>570</v>
      </c>
      <c r="H297" s="10">
        <f t="shared" si="2"/>
        <v>0.7</v>
      </c>
      <c r="I297" s="10">
        <v>0.3556</v>
      </c>
      <c r="J297" s="10">
        <v>0.5449</v>
      </c>
      <c r="K297" s="5">
        <f t="shared" si="3"/>
        <v>1</v>
      </c>
    </row>
    <row r="298" ht="15.0" customHeight="1">
      <c r="A298" s="5">
        <v>2018.0</v>
      </c>
      <c r="B298" s="5" t="s">
        <v>143</v>
      </c>
      <c r="C298" s="5" t="s">
        <v>145</v>
      </c>
      <c r="D298" s="5" t="s">
        <v>104</v>
      </c>
      <c r="E298" s="5">
        <v>755.0</v>
      </c>
      <c r="F298" s="5">
        <v>169.0</v>
      </c>
      <c r="G298" s="5">
        <f t="shared" si="1"/>
        <v>924</v>
      </c>
      <c r="H298" s="10">
        <f t="shared" si="2"/>
        <v>0.8170995671</v>
      </c>
      <c r="I298" s="10">
        <v>0.4485</v>
      </c>
      <c r="J298" s="10">
        <v>0.414</v>
      </c>
      <c r="K298" s="5">
        <f t="shared" si="3"/>
        <v>0</v>
      </c>
    </row>
    <row r="299" ht="15.0" customHeight="1">
      <c r="A299" s="5">
        <v>2020.0</v>
      </c>
      <c r="B299" s="5" t="s">
        <v>143</v>
      </c>
      <c r="C299" s="5" t="s">
        <v>145</v>
      </c>
      <c r="D299" s="5" t="s">
        <v>104</v>
      </c>
      <c r="E299" s="5">
        <v>795.0</v>
      </c>
      <c r="F299" s="5">
        <v>250.0</v>
      </c>
      <c r="G299" s="5">
        <f t="shared" si="1"/>
        <v>1045</v>
      </c>
      <c r="H299" s="10">
        <f t="shared" si="2"/>
        <v>0.7607655502</v>
      </c>
      <c r="I299" s="10">
        <v>0.4715</v>
      </c>
      <c r="J299" s="10">
        <v>0.4285</v>
      </c>
      <c r="K299" s="5">
        <f t="shared" si="3"/>
        <v>1</v>
      </c>
    </row>
    <row r="300" ht="15.0" customHeight="1">
      <c r="A300" s="5">
        <v>2022.0</v>
      </c>
      <c r="B300" s="5" t="s">
        <v>143</v>
      </c>
      <c r="C300" s="5" t="s">
        <v>145</v>
      </c>
      <c r="D300" s="5" t="s">
        <v>104</v>
      </c>
      <c r="E300" s="5">
        <v>611.0</v>
      </c>
      <c r="F300" s="5">
        <v>154.0</v>
      </c>
      <c r="G300" s="5">
        <f t="shared" si="1"/>
        <v>765</v>
      </c>
      <c r="H300" s="10">
        <f t="shared" si="2"/>
        <v>0.7986928105</v>
      </c>
      <c r="I300" s="10">
        <v>0.5149</v>
      </c>
      <c r="J300" s="10">
        <v>0.308</v>
      </c>
      <c r="K300" s="5">
        <f t="shared" si="3"/>
        <v>0</v>
      </c>
    </row>
    <row r="301" ht="15.0" customHeight="1">
      <c r="A301" s="5">
        <v>2024.0</v>
      </c>
      <c r="B301" s="5" t="s">
        <v>143</v>
      </c>
      <c r="C301" s="5" t="s">
        <v>145</v>
      </c>
      <c r="D301" s="5" t="s">
        <v>104</v>
      </c>
      <c r="E301" s="5">
        <v>1034.0</v>
      </c>
      <c r="F301" s="5">
        <v>285.0</v>
      </c>
      <c r="G301" s="5">
        <f t="shared" si="1"/>
        <v>1319</v>
      </c>
      <c r="H301" s="10">
        <f t="shared" si="2"/>
        <v>0.7839272176</v>
      </c>
      <c r="I301" s="10">
        <v>0.5034</v>
      </c>
      <c r="J301" s="10">
        <v>0.4459</v>
      </c>
      <c r="K301" s="5">
        <f t="shared" si="3"/>
        <v>1</v>
      </c>
    </row>
    <row r="302" ht="15.0" customHeight="1">
      <c r="A302" s="5">
        <v>2018.0</v>
      </c>
      <c r="B302" s="5" t="s">
        <v>143</v>
      </c>
      <c r="C302" s="5" t="s">
        <v>145</v>
      </c>
      <c r="D302" s="5" t="s">
        <v>106</v>
      </c>
      <c r="E302" s="5">
        <v>301.0</v>
      </c>
      <c r="F302" s="5">
        <v>128.0</v>
      </c>
      <c r="G302" s="5">
        <f t="shared" si="1"/>
        <v>429</v>
      </c>
      <c r="H302" s="10">
        <f t="shared" si="2"/>
        <v>0.7016317016</v>
      </c>
      <c r="I302" s="10">
        <v>0.3886</v>
      </c>
      <c r="J302" s="10">
        <v>0.5093</v>
      </c>
      <c r="K302" s="5">
        <f t="shared" si="3"/>
        <v>0</v>
      </c>
    </row>
    <row r="303" ht="15.0" customHeight="1">
      <c r="A303" s="5">
        <v>2020.0</v>
      </c>
      <c r="B303" s="5" t="s">
        <v>143</v>
      </c>
      <c r="C303" s="5" t="s">
        <v>145</v>
      </c>
      <c r="D303" s="5" t="s">
        <v>106</v>
      </c>
      <c r="E303" s="5">
        <v>386.0</v>
      </c>
      <c r="F303" s="5">
        <v>215.0</v>
      </c>
      <c r="G303" s="5">
        <f t="shared" si="1"/>
        <v>601</v>
      </c>
      <c r="H303" s="10">
        <f t="shared" si="2"/>
        <v>0.6422628952</v>
      </c>
      <c r="I303" s="10">
        <v>0.3581</v>
      </c>
      <c r="J303" s="10">
        <v>0.6663</v>
      </c>
      <c r="K303" s="5">
        <f t="shared" si="3"/>
        <v>1</v>
      </c>
    </row>
    <row r="304" ht="15.0" customHeight="1">
      <c r="A304" s="5">
        <v>2022.0</v>
      </c>
      <c r="B304" s="5" t="s">
        <v>143</v>
      </c>
      <c r="C304" s="5" t="s">
        <v>145</v>
      </c>
      <c r="D304" s="5" t="s">
        <v>106</v>
      </c>
      <c r="E304" s="5">
        <v>280.0</v>
      </c>
      <c r="F304" s="5">
        <v>119.0</v>
      </c>
      <c r="G304" s="5">
        <f t="shared" si="1"/>
        <v>399</v>
      </c>
      <c r="H304" s="10">
        <f t="shared" si="2"/>
        <v>0.701754386</v>
      </c>
      <c r="I304" s="10">
        <v>0.3621</v>
      </c>
      <c r="J304" s="10">
        <v>0.4661</v>
      </c>
      <c r="K304" s="5">
        <f t="shared" si="3"/>
        <v>0</v>
      </c>
    </row>
    <row r="305" ht="15.0" customHeight="1">
      <c r="A305" s="5">
        <v>2024.0</v>
      </c>
      <c r="B305" s="5" t="s">
        <v>143</v>
      </c>
      <c r="C305" s="5" t="s">
        <v>145</v>
      </c>
      <c r="D305" s="5" t="s">
        <v>106</v>
      </c>
      <c r="E305" s="5">
        <v>377.0</v>
      </c>
      <c r="F305" s="5">
        <v>190.0</v>
      </c>
      <c r="G305" s="5">
        <f t="shared" si="1"/>
        <v>567</v>
      </c>
      <c r="H305" s="10">
        <f t="shared" si="2"/>
        <v>0.6649029982</v>
      </c>
      <c r="I305" s="10">
        <v>0.315</v>
      </c>
      <c r="J305" s="10">
        <v>0.6244</v>
      </c>
      <c r="K305" s="5">
        <f t="shared" si="3"/>
        <v>1</v>
      </c>
    </row>
    <row r="306" ht="15.0" customHeight="1">
      <c r="A306" s="5">
        <v>2018.0</v>
      </c>
      <c r="B306" s="5" t="s">
        <v>143</v>
      </c>
      <c r="C306" s="5" t="s">
        <v>145</v>
      </c>
      <c r="D306" s="5" t="s">
        <v>109</v>
      </c>
      <c r="E306" s="5">
        <v>484.0</v>
      </c>
      <c r="F306" s="5">
        <v>251.0</v>
      </c>
      <c r="G306" s="5">
        <f t="shared" si="1"/>
        <v>735</v>
      </c>
      <c r="H306" s="10">
        <f t="shared" si="2"/>
        <v>0.6585034014</v>
      </c>
      <c r="I306" s="10">
        <v>0.3036</v>
      </c>
      <c r="J306" s="10">
        <v>0.5468</v>
      </c>
      <c r="K306" s="5">
        <f t="shared" si="3"/>
        <v>0</v>
      </c>
    </row>
    <row r="307" ht="15.0" customHeight="1">
      <c r="A307" s="5">
        <v>2020.0</v>
      </c>
      <c r="B307" s="5" t="s">
        <v>143</v>
      </c>
      <c r="C307" s="5" t="s">
        <v>145</v>
      </c>
      <c r="D307" s="5" t="s">
        <v>109</v>
      </c>
      <c r="E307" s="5">
        <v>626.0</v>
      </c>
      <c r="F307" s="5">
        <v>372.0</v>
      </c>
      <c r="G307" s="5">
        <f t="shared" si="1"/>
        <v>998</v>
      </c>
      <c r="H307" s="10">
        <f t="shared" si="2"/>
        <v>0.627254509</v>
      </c>
      <c r="I307" s="10">
        <v>0.3088</v>
      </c>
      <c r="J307" s="10">
        <v>0.7068</v>
      </c>
      <c r="K307" s="5">
        <f t="shared" si="3"/>
        <v>1</v>
      </c>
    </row>
    <row r="308" ht="15.0" customHeight="1">
      <c r="A308" s="5">
        <v>2022.0</v>
      </c>
      <c r="B308" s="5" t="s">
        <v>143</v>
      </c>
      <c r="C308" s="5" t="s">
        <v>145</v>
      </c>
      <c r="D308" s="5" t="s">
        <v>109</v>
      </c>
      <c r="E308" s="5">
        <v>425.0</v>
      </c>
      <c r="F308" s="5">
        <v>264.0</v>
      </c>
      <c r="G308" s="5">
        <f t="shared" si="1"/>
        <v>689</v>
      </c>
      <c r="H308" s="10">
        <f t="shared" si="2"/>
        <v>0.6168359942</v>
      </c>
      <c r="I308" s="10">
        <v>0.314</v>
      </c>
      <c r="J308" s="10">
        <v>0.4873</v>
      </c>
      <c r="K308" s="5">
        <f t="shared" si="3"/>
        <v>0</v>
      </c>
    </row>
    <row r="309" ht="15.0" customHeight="1">
      <c r="A309" s="5">
        <v>2024.0</v>
      </c>
      <c r="B309" s="5" t="s">
        <v>143</v>
      </c>
      <c r="C309" s="5" t="s">
        <v>145</v>
      </c>
      <c r="D309" s="5" t="s">
        <v>109</v>
      </c>
      <c r="E309" s="5">
        <v>619.0</v>
      </c>
      <c r="F309" s="5">
        <v>400.0</v>
      </c>
      <c r="G309" s="5">
        <f t="shared" si="1"/>
        <v>1019</v>
      </c>
      <c r="H309" s="10">
        <f t="shared" si="2"/>
        <v>0.6074582924</v>
      </c>
      <c r="I309" s="10">
        <v>0.2756</v>
      </c>
      <c r="J309" s="10">
        <v>0.7237</v>
      </c>
      <c r="K309" s="5">
        <f t="shared" si="3"/>
        <v>1</v>
      </c>
    </row>
    <row r="310" ht="15.0" customHeight="1">
      <c r="A310" s="5">
        <v>2018.0</v>
      </c>
      <c r="B310" s="5" t="s">
        <v>143</v>
      </c>
      <c r="C310" s="5" t="s">
        <v>145</v>
      </c>
      <c r="D310" s="5" t="s">
        <v>110</v>
      </c>
      <c r="E310" s="5">
        <v>355.0</v>
      </c>
      <c r="F310" s="5">
        <v>190.0</v>
      </c>
      <c r="G310" s="5">
        <f t="shared" si="1"/>
        <v>545</v>
      </c>
      <c r="H310" s="10">
        <f t="shared" si="2"/>
        <v>0.6513761468</v>
      </c>
      <c r="I310" s="10">
        <v>0.2971</v>
      </c>
      <c r="J310" s="10">
        <v>0.6244</v>
      </c>
      <c r="K310" s="5">
        <f t="shared" si="3"/>
        <v>0</v>
      </c>
    </row>
    <row r="311" ht="15.0" customHeight="1">
      <c r="A311" s="5">
        <v>2020.0</v>
      </c>
      <c r="B311" s="5" t="s">
        <v>143</v>
      </c>
      <c r="C311" s="5" t="s">
        <v>145</v>
      </c>
      <c r="D311" s="5" t="s">
        <v>110</v>
      </c>
      <c r="E311" s="5">
        <v>448.0</v>
      </c>
      <c r="F311" s="5">
        <v>263.0</v>
      </c>
      <c r="G311" s="5">
        <f t="shared" si="1"/>
        <v>711</v>
      </c>
      <c r="H311" s="10">
        <f t="shared" si="2"/>
        <v>0.6300984529</v>
      </c>
      <c r="I311" s="10">
        <v>0.2922</v>
      </c>
      <c r="J311" s="10">
        <v>0.75</v>
      </c>
      <c r="K311" s="5">
        <f t="shared" si="3"/>
        <v>1</v>
      </c>
    </row>
    <row r="312" ht="15.0" customHeight="1">
      <c r="A312" s="5">
        <v>2022.0</v>
      </c>
      <c r="B312" s="5" t="s">
        <v>143</v>
      </c>
      <c r="C312" s="5" t="s">
        <v>145</v>
      </c>
      <c r="D312" s="5" t="s">
        <v>110</v>
      </c>
      <c r="E312" s="5">
        <v>339.0</v>
      </c>
      <c r="F312" s="5">
        <v>205.0</v>
      </c>
      <c r="G312" s="5">
        <f t="shared" si="1"/>
        <v>544</v>
      </c>
      <c r="H312" s="10">
        <f t="shared" si="2"/>
        <v>0.6231617647</v>
      </c>
      <c r="I312" s="10">
        <v>0.2851</v>
      </c>
      <c r="J312" s="10">
        <v>0.5875</v>
      </c>
      <c r="K312" s="5">
        <f t="shared" si="3"/>
        <v>0</v>
      </c>
    </row>
    <row r="313" ht="15.0" customHeight="1">
      <c r="A313" s="5">
        <v>2024.0</v>
      </c>
      <c r="B313" s="5" t="s">
        <v>143</v>
      </c>
      <c r="C313" s="5" t="s">
        <v>145</v>
      </c>
      <c r="D313" s="5" t="s">
        <v>110</v>
      </c>
      <c r="E313" s="5">
        <v>438.0</v>
      </c>
      <c r="F313" s="5">
        <v>259.0</v>
      </c>
      <c r="G313" s="5">
        <f t="shared" si="1"/>
        <v>697</v>
      </c>
      <c r="H313" s="10">
        <f t="shared" si="2"/>
        <v>0.6284074605</v>
      </c>
      <c r="I313" s="10">
        <v>0.2592</v>
      </c>
      <c r="J313" s="10">
        <v>0.7314</v>
      </c>
      <c r="K313" s="5">
        <f t="shared" si="3"/>
        <v>1</v>
      </c>
    </row>
    <row r="314" ht="15.0" customHeight="1">
      <c r="A314" s="5">
        <v>2018.0</v>
      </c>
      <c r="B314" s="5" t="s">
        <v>143</v>
      </c>
      <c r="C314" s="5" t="s">
        <v>145</v>
      </c>
      <c r="D314" s="5" t="s">
        <v>111</v>
      </c>
      <c r="E314" s="5">
        <v>362.0</v>
      </c>
      <c r="F314" s="5">
        <v>109.0</v>
      </c>
      <c r="G314" s="5">
        <f t="shared" si="1"/>
        <v>471</v>
      </c>
      <c r="H314" s="10">
        <f t="shared" si="2"/>
        <v>0.7685774947</v>
      </c>
      <c r="I314" s="10">
        <v>0.4808</v>
      </c>
      <c r="J314" s="10">
        <v>0.3872</v>
      </c>
      <c r="K314" s="5">
        <f t="shared" si="3"/>
        <v>0</v>
      </c>
    </row>
    <row r="315" ht="15.0" customHeight="1">
      <c r="A315" s="5">
        <v>2020.0</v>
      </c>
      <c r="B315" s="5" t="s">
        <v>143</v>
      </c>
      <c r="C315" s="5" t="s">
        <v>145</v>
      </c>
      <c r="D315" s="5" t="s">
        <v>111</v>
      </c>
      <c r="E315" s="5">
        <v>474.0</v>
      </c>
      <c r="F315" s="5">
        <v>193.0</v>
      </c>
      <c r="G315" s="5">
        <f t="shared" si="1"/>
        <v>667</v>
      </c>
      <c r="H315" s="10">
        <f t="shared" si="2"/>
        <v>0.7106446777</v>
      </c>
      <c r="I315" s="10">
        <v>0.4643</v>
      </c>
      <c r="J315" s="10">
        <v>0.5231</v>
      </c>
      <c r="K315" s="5">
        <f t="shared" si="3"/>
        <v>1</v>
      </c>
    </row>
    <row r="316" ht="15.0" customHeight="1">
      <c r="A316" s="5">
        <v>2022.0</v>
      </c>
      <c r="B316" s="5" t="s">
        <v>143</v>
      </c>
      <c r="C316" s="5" t="s">
        <v>145</v>
      </c>
      <c r="D316" s="5" t="s">
        <v>111</v>
      </c>
      <c r="E316" s="5">
        <v>287.0</v>
      </c>
      <c r="F316" s="5">
        <v>97.0</v>
      </c>
      <c r="G316" s="5">
        <f t="shared" si="1"/>
        <v>384</v>
      </c>
      <c r="H316" s="10">
        <f t="shared" si="2"/>
        <v>0.7473958333</v>
      </c>
      <c r="I316" s="10">
        <v>0.4062</v>
      </c>
      <c r="J316" s="10">
        <v>0.3145</v>
      </c>
      <c r="K316" s="5">
        <f t="shared" si="3"/>
        <v>0</v>
      </c>
    </row>
    <row r="317" ht="15.0" customHeight="1">
      <c r="A317" s="5">
        <v>2024.0</v>
      </c>
      <c r="B317" s="5" t="s">
        <v>143</v>
      </c>
      <c r="C317" s="5" t="s">
        <v>145</v>
      </c>
      <c r="D317" s="5" t="s">
        <v>111</v>
      </c>
      <c r="E317" s="5">
        <v>428.0</v>
      </c>
      <c r="F317" s="5">
        <v>195.0</v>
      </c>
      <c r="G317" s="5">
        <f t="shared" si="1"/>
        <v>623</v>
      </c>
      <c r="H317" s="10">
        <f t="shared" si="2"/>
        <v>0.6869983949</v>
      </c>
      <c r="I317" s="10">
        <v>0.3604</v>
      </c>
      <c r="J317" s="10">
        <v>0.5</v>
      </c>
      <c r="K317" s="5">
        <f t="shared" si="3"/>
        <v>1</v>
      </c>
    </row>
    <row r="318" ht="15.0" customHeight="1">
      <c r="A318" s="5">
        <v>2018.0</v>
      </c>
      <c r="B318" s="5" t="s">
        <v>143</v>
      </c>
      <c r="C318" s="5" t="s">
        <v>145</v>
      </c>
      <c r="D318" s="5" t="s">
        <v>113</v>
      </c>
      <c r="E318" s="5">
        <v>449.0</v>
      </c>
      <c r="F318" s="5">
        <v>148.0</v>
      </c>
      <c r="G318" s="5">
        <f t="shared" si="1"/>
        <v>597</v>
      </c>
      <c r="H318" s="10">
        <f t="shared" si="2"/>
        <v>0.7520938023</v>
      </c>
      <c r="I318" s="10">
        <v>0.5086</v>
      </c>
      <c r="J318" s="10">
        <v>0.3904</v>
      </c>
      <c r="K318" s="5">
        <f t="shared" si="3"/>
        <v>0</v>
      </c>
    </row>
    <row r="319" ht="15.0" customHeight="1">
      <c r="A319" s="5">
        <v>2020.0</v>
      </c>
      <c r="B319" s="5" t="s">
        <v>143</v>
      </c>
      <c r="C319" s="5" t="s">
        <v>145</v>
      </c>
      <c r="D319" s="5" t="s">
        <v>113</v>
      </c>
      <c r="E319" s="5">
        <v>613.0</v>
      </c>
      <c r="F319" s="5">
        <v>277.0</v>
      </c>
      <c r="G319" s="5">
        <f t="shared" si="1"/>
        <v>890</v>
      </c>
      <c r="H319" s="10">
        <f t="shared" si="2"/>
        <v>0.6887640449</v>
      </c>
      <c r="I319" s="10">
        <v>0.4945</v>
      </c>
      <c r="J319" s="10">
        <v>0.5487</v>
      </c>
      <c r="K319" s="5">
        <f t="shared" si="3"/>
        <v>1</v>
      </c>
    </row>
    <row r="320" ht="15.0" customHeight="1">
      <c r="A320" s="5">
        <v>2022.0</v>
      </c>
      <c r="B320" s="5" t="s">
        <v>143</v>
      </c>
      <c r="C320" s="5" t="s">
        <v>145</v>
      </c>
      <c r="D320" s="5" t="s">
        <v>113</v>
      </c>
      <c r="E320" s="5">
        <v>327.0</v>
      </c>
      <c r="F320" s="5">
        <v>159.0</v>
      </c>
      <c r="G320" s="5">
        <f t="shared" si="1"/>
        <v>486</v>
      </c>
      <c r="H320" s="10">
        <f t="shared" si="2"/>
        <v>0.6728395062</v>
      </c>
      <c r="I320" s="10">
        <v>0.4248</v>
      </c>
      <c r="J320" s="10">
        <v>0.3262</v>
      </c>
      <c r="K320" s="5">
        <f t="shared" si="3"/>
        <v>0</v>
      </c>
    </row>
    <row r="321" ht="15.0" customHeight="1">
      <c r="A321" s="5">
        <v>2024.0</v>
      </c>
      <c r="B321" s="5" t="s">
        <v>143</v>
      </c>
      <c r="C321" s="5" t="s">
        <v>145</v>
      </c>
      <c r="D321" s="5" t="s">
        <v>113</v>
      </c>
      <c r="E321" s="5">
        <v>563.0</v>
      </c>
      <c r="F321" s="5">
        <v>322.0</v>
      </c>
      <c r="G321" s="5">
        <f t="shared" si="1"/>
        <v>885</v>
      </c>
      <c r="H321" s="10">
        <f t="shared" si="2"/>
        <v>0.6361581921</v>
      </c>
      <c r="I321" s="10">
        <v>0.3517</v>
      </c>
      <c r="J321" s="10">
        <v>0.5732</v>
      </c>
      <c r="K321" s="5">
        <f t="shared" si="3"/>
        <v>1</v>
      </c>
    </row>
    <row r="322" ht="15.0" customHeight="1">
      <c r="A322" s="5">
        <v>2018.0</v>
      </c>
      <c r="B322" s="5" t="s">
        <v>143</v>
      </c>
      <c r="C322" s="5" t="s">
        <v>145</v>
      </c>
      <c r="D322" s="5" t="s">
        <v>114</v>
      </c>
      <c r="E322" s="5">
        <v>325.0</v>
      </c>
      <c r="F322" s="5">
        <v>176.0</v>
      </c>
      <c r="G322" s="5">
        <f t="shared" si="1"/>
        <v>501</v>
      </c>
      <c r="H322" s="10">
        <f t="shared" si="2"/>
        <v>0.6487025948</v>
      </c>
      <c r="I322" s="10">
        <v>0.3149</v>
      </c>
      <c r="J322" s="10">
        <v>0.5541</v>
      </c>
      <c r="K322" s="5">
        <f t="shared" si="3"/>
        <v>0</v>
      </c>
    </row>
    <row r="323" ht="15.0" customHeight="1">
      <c r="A323" s="5">
        <v>2020.0</v>
      </c>
      <c r="B323" s="5" t="s">
        <v>143</v>
      </c>
      <c r="C323" s="5" t="s">
        <v>145</v>
      </c>
      <c r="D323" s="5" t="s">
        <v>114</v>
      </c>
      <c r="E323" s="5">
        <v>422.0</v>
      </c>
      <c r="F323" s="5">
        <v>250.0</v>
      </c>
      <c r="G323" s="5">
        <f t="shared" si="1"/>
        <v>672</v>
      </c>
      <c r="H323" s="10">
        <f t="shared" si="2"/>
        <v>0.6279761905</v>
      </c>
      <c r="I323" s="10">
        <v>0.2978</v>
      </c>
      <c r="J323" s="10">
        <v>0.6949</v>
      </c>
      <c r="K323" s="5">
        <f t="shared" si="3"/>
        <v>1</v>
      </c>
    </row>
    <row r="324" ht="15.0" customHeight="1">
      <c r="A324" s="5">
        <v>2022.0</v>
      </c>
      <c r="B324" s="5" t="s">
        <v>143</v>
      </c>
      <c r="C324" s="5" t="s">
        <v>145</v>
      </c>
      <c r="D324" s="5" t="s">
        <v>114</v>
      </c>
      <c r="E324" s="5">
        <v>309.0</v>
      </c>
      <c r="F324" s="5">
        <v>187.0</v>
      </c>
      <c r="G324" s="5">
        <f t="shared" si="1"/>
        <v>496</v>
      </c>
      <c r="H324" s="10">
        <f t="shared" si="2"/>
        <v>0.622983871</v>
      </c>
      <c r="I324" s="10">
        <v>0.3224</v>
      </c>
      <c r="J324" s="10">
        <v>0.5092</v>
      </c>
      <c r="K324" s="5">
        <f t="shared" si="3"/>
        <v>0</v>
      </c>
    </row>
    <row r="325" ht="15.0" customHeight="1">
      <c r="A325" s="5">
        <v>2024.0</v>
      </c>
      <c r="B325" s="5" t="s">
        <v>143</v>
      </c>
      <c r="C325" s="5" t="s">
        <v>145</v>
      </c>
      <c r="D325" s="5" t="s">
        <v>114</v>
      </c>
      <c r="E325" s="5">
        <v>472.0</v>
      </c>
      <c r="F325" s="5">
        <v>273.0</v>
      </c>
      <c r="G325" s="5">
        <f t="shared" si="1"/>
        <v>745</v>
      </c>
      <c r="H325" s="10">
        <f t="shared" si="2"/>
        <v>0.633557047</v>
      </c>
      <c r="I325" s="10">
        <v>0.2926</v>
      </c>
      <c r="J325" s="10">
        <v>0.6748</v>
      </c>
      <c r="K325" s="5">
        <f t="shared" si="3"/>
        <v>1</v>
      </c>
    </row>
    <row r="326" ht="15.0" customHeight="1">
      <c r="A326" s="5">
        <v>2018.0</v>
      </c>
      <c r="B326" s="5" t="s">
        <v>143</v>
      </c>
      <c r="C326" s="5" t="s">
        <v>145</v>
      </c>
      <c r="D326" s="5" t="s">
        <v>116</v>
      </c>
      <c r="E326" s="5">
        <v>307.0</v>
      </c>
      <c r="F326" s="5">
        <v>193.0</v>
      </c>
      <c r="G326" s="5">
        <f t="shared" si="1"/>
        <v>500</v>
      </c>
      <c r="H326" s="10">
        <f t="shared" si="2"/>
        <v>0.614</v>
      </c>
      <c r="I326" s="10">
        <v>0.2516</v>
      </c>
      <c r="J326" s="10">
        <v>0.5626</v>
      </c>
      <c r="K326" s="5">
        <f t="shared" si="3"/>
        <v>0</v>
      </c>
    </row>
    <row r="327" ht="15.0" customHeight="1">
      <c r="A327" s="5">
        <v>2020.0</v>
      </c>
      <c r="B327" s="5" t="s">
        <v>143</v>
      </c>
      <c r="C327" s="5" t="s">
        <v>145</v>
      </c>
      <c r="D327" s="5" t="s">
        <v>116</v>
      </c>
      <c r="E327" s="5">
        <v>426.0</v>
      </c>
      <c r="F327" s="5">
        <v>319.0</v>
      </c>
      <c r="G327" s="5">
        <f t="shared" si="1"/>
        <v>745</v>
      </c>
      <c r="H327" s="10">
        <f t="shared" si="2"/>
        <v>0.5718120805</v>
      </c>
      <c r="I327" s="10">
        <v>0.2135</v>
      </c>
      <c r="J327" s="10">
        <v>0.761</v>
      </c>
      <c r="K327" s="5">
        <f t="shared" si="3"/>
        <v>1</v>
      </c>
    </row>
    <row r="328" ht="15.0" customHeight="1">
      <c r="A328" s="5">
        <v>2022.0</v>
      </c>
      <c r="B328" s="5" t="s">
        <v>143</v>
      </c>
      <c r="C328" s="5" t="s">
        <v>145</v>
      </c>
      <c r="D328" s="5" t="s">
        <v>116</v>
      </c>
      <c r="E328" s="5">
        <v>334.0</v>
      </c>
      <c r="F328" s="5">
        <v>232.0</v>
      </c>
      <c r="G328" s="5">
        <f t="shared" si="1"/>
        <v>566</v>
      </c>
      <c r="H328" s="10">
        <f t="shared" si="2"/>
        <v>0.5901060071</v>
      </c>
      <c r="I328" s="10">
        <v>0.2229</v>
      </c>
      <c r="J328" s="10">
        <v>0.5841</v>
      </c>
      <c r="K328" s="5">
        <f t="shared" si="3"/>
        <v>0</v>
      </c>
    </row>
    <row r="329" ht="15.0" customHeight="1">
      <c r="A329" s="5">
        <v>2024.0</v>
      </c>
      <c r="B329" s="5" t="s">
        <v>143</v>
      </c>
      <c r="C329" s="5" t="s">
        <v>145</v>
      </c>
      <c r="D329" s="5" t="s">
        <v>116</v>
      </c>
      <c r="E329" s="5">
        <v>426.0</v>
      </c>
      <c r="F329" s="5">
        <v>331.0</v>
      </c>
      <c r="G329" s="5">
        <f t="shared" si="1"/>
        <v>757</v>
      </c>
      <c r="H329" s="10">
        <f t="shared" si="2"/>
        <v>0.5627476882</v>
      </c>
      <c r="I329" s="10">
        <v>0.1608</v>
      </c>
      <c r="J329" s="10">
        <v>0.7608</v>
      </c>
      <c r="K329" s="5">
        <f t="shared" si="3"/>
        <v>1</v>
      </c>
    </row>
    <row r="330" ht="15.0" customHeight="1">
      <c r="A330" s="5">
        <v>2018.0</v>
      </c>
      <c r="B330" s="5" t="s">
        <v>143</v>
      </c>
      <c r="C330" s="5" t="s">
        <v>145</v>
      </c>
      <c r="D330" s="5" t="s">
        <v>118</v>
      </c>
      <c r="E330" s="5">
        <v>331.0</v>
      </c>
      <c r="F330" s="5">
        <v>135.0</v>
      </c>
      <c r="G330" s="5">
        <f t="shared" si="1"/>
        <v>466</v>
      </c>
      <c r="H330" s="10">
        <f t="shared" si="2"/>
        <v>0.7103004292</v>
      </c>
      <c r="I330" s="10">
        <v>0.3969</v>
      </c>
      <c r="J330" s="10">
        <v>0.4107</v>
      </c>
      <c r="K330" s="5">
        <f t="shared" si="3"/>
        <v>0</v>
      </c>
    </row>
    <row r="331" ht="15.0" customHeight="1">
      <c r="A331" s="5">
        <v>2020.0</v>
      </c>
      <c r="B331" s="5" t="s">
        <v>143</v>
      </c>
      <c r="C331" s="5" t="s">
        <v>145</v>
      </c>
      <c r="D331" s="5" t="s">
        <v>118</v>
      </c>
      <c r="E331" s="5">
        <v>467.0</v>
      </c>
      <c r="F331" s="5">
        <v>261.0</v>
      </c>
      <c r="G331" s="5">
        <f t="shared" si="1"/>
        <v>728</v>
      </c>
      <c r="H331" s="10">
        <f t="shared" si="2"/>
        <v>0.6414835165</v>
      </c>
      <c r="I331" s="10">
        <v>0.3992</v>
      </c>
      <c r="J331" s="10">
        <v>0.5824</v>
      </c>
      <c r="K331" s="5">
        <f t="shared" si="3"/>
        <v>1</v>
      </c>
    </row>
    <row r="332" ht="15.0" customHeight="1">
      <c r="A332" s="5">
        <v>2022.0</v>
      </c>
      <c r="B332" s="5" t="s">
        <v>143</v>
      </c>
      <c r="C332" s="5" t="s">
        <v>145</v>
      </c>
      <c r="D332" s="5" t="s">
        <v>118</v>
      </c>
      <c r="E332" s="5">
        <v>256.0</v>
      </c>
      <c r="F332" s="5">
        <v>154.0</v>
      </c>
      <c r="G332" s="5">
        <f t="shared" si="1"/>
        <v>410</v>
      </c>
      <c r="H332" s="10">
        <f t="shared" si="2"/>
        <v>0.6243902439</v>
      </c>
      <c r="I332" s="10">
        <v>0.3888</v>
      </c>
      <c r="J332" s="10">
        <v>0.3534</v>
      </c>
      <c r="K332" s="5">
        <f t="shared" si="3"/>
        <v>0</v>
      </c>
    </row>
    <row r="333" ht="15.0" customHeight="1">
      <c r="A333" s="5">
        <v>2024.0</v>
      </c>
      <c r="B333" s="5" t="s">
        <v>143</v>
      </c>
      <c r="C333" s="5" t="s">
        <v>145</v>
      </c>
      <c r="D333" s="5" t="s">
        <v>118</v>
      </c>
      <c r="E333" s="5">
        <v>418.0</v>
      </c>
      <c r="F333" s="5">
        <v>278.0</v>
      </c>
      <c r="G333" s="5">
        <f t="shared" si="1"/>
        <v>696</v>
      </c>
      <c r="H333" s="10">
        <f t="shared" si="2"/>
        <v>0.6005747126</v>
      </c>
      <c r="I333" s="10">
        <v>0.3452</v>
      </c>
      <c r="J333" s="10">
        <v>0.5654</v>
      </c>
      <c r="K333" s="5">
        <f t="shared" si="3"/>
        <v>1</v>
      </c>
    </row>
    <row r="334" ht="15.0" customHeight="1">
      <c r="A334" s="5">
        <v>2018.0</v>
      </c>
      <c r="B334" s="5" t="s">
        <v>143</v>
      </c>
      <c r="C334" s="5" t="s">
        <v>145</v>
      </c>
      <c r="D334" s="5" t="s">
        <v>119</v>
      </c>
      <c r="E334" s="5">
        <v>363.0</v>
      </c>
      <c r="F334" s="5">
        <v>70.0</v>
      </c>
      <c r="G334" s="5">
        <f t="shared" si="1"/>
        <v>433</v>
      </c>
      <c r="H334" s="10">
        <f t="shared" si="2"/>
        <v>0.8383371824</v>
      </c>
      <c r="I334" s="10">
        <v>0.5329</v>
      </c>
      <c r="J334" s="10">
        <v>0.3697</v>
      </c>
      <c r="K334" s="5">
        <f t="shared" si="3"/>
        <v>0</v>
      </c>
    </row>
    <row r="335" ht="15.0" customHeight="1">
      <c r="A335" s="5">
        <v>2020.0</v>
      </c>
      <c r="B335" s="5" t="s">
        <v>143</v>
      </c>
      <c r="C335" s="5" t="s">
        <v>145</v>
      </c>
      <c r="D335" s="5" t="s">
        <v>119</v>
      </c>
      <c r="E335" s="5">
        <v>496.0</v>
      </c>
      <c r="F335" s="5">
        <v>146.0</v>
      </c>
      <c r="G335" s="5">
        <f t="shared" si="1"/>
        <v>642</v>
      </c>
      <c r="H335" s="10">
        <f t="shared" si="2"/>
        <v>0.7725856698</v>
      </c>
      <c r="I335" s="10">
        <v>0.5178</v>
      </c>
      <c r="J335" s="10">
        <v>0.5067</v>
      </c>
      <c r="K335" s="5">
        <f t="shared" si="3"/>
        <v>1</v>
      </c>
    </row>
    <row r="336" ht="15.0" customHeight="1">
      <c r="A336" s="5">
        <v>2022.0</v>
      </c>
      <c r="B336" s="5" t="s">
        <v>143</v>
      </c>
      <c r="C336" s="5" t="s">
        <v>145</v>
      </c>
      <c r="D336" s="5" t="s">
        <v>119</v>
      </c>
      <c r="E336" s="5">
        <v>274.0</v>
      </c>
      <c r="F336" s="5">
        <v>74.0</v>
      </c>
      <c r="G336" s="5">
        <f t="shared" si="1"/>
        <v>348</v>
      </c>
      <c r="H336" s="10">
        <f t="shared" si="2"/>
        <v>0.7873563218</v>
      </c>
      <c r="I336" s="10">
        <v>0.4919</v>
      </c>
      <c r="J336" s="10">
        <v>0.2957</v>
      </c>
      <c r="K336" s="5">
        <f t="shared" si="3"/>
        <v>0</v>
      </c>
    </row>
    <row r="337" ht="15.0" customHeight="1">
      <c r="A337" s="5">
        <v>2024.0</v>
      </c>
      <c r="B337" s="5" t="s">
        <v>143</v>
      </c>
      <c r="C337" s="5" t="s">
        <v>145</v>
      </c>
      <c r="D337" s="5" t="s">
        <v>119</v>
      </c>
      <c r="E337" s="5">
        <v>424.0</v>
      </c>
      <c r="F337" s="5">
        <v>188.0</v>
      </c>
      <c r="G337" s="5">
        <f t="shared" si="1"/>
        <v>612</v>
      </c>
      <c r="H337" s="10">
        <f t="shared" si="2"/>
        <v>0.6928104575</v>
      </c>
      <c r="I337" s="10">
        <v>0.407</v>
      </c>
      <c r="J337" s="10">
        <v>0.4951</v>
      </c>
      <c r="K337" s="5">
        <f t="shared" si="3"/>
        <v>1</v>
      </c>
    </row>
    <row r="338" ht="15.0" customHeight="1">
      <c r="A338" s="5">
        <v>2018.0</v>
      </c>
      <c r="B338" s="5" t="s">
        <v>143</v>
      </c>
      <c r="C338" s="5" t="s">
        <v>145</v>
      </c>
      <c r="D338" s="5" t="s">
        <v>120</v>
      </c>
      <c r="E338" s="5">
        <v>282.0</v>
      </c>
      <c r="F338" s="5">
        <v>102.0</v>
      </c>
      <c r="G338" s="5">
        <f t="shared" si="1"/>
        <v>384</v>
      </c>
      <c r="H338" s="10">
        <f t="shared" si="2"/>
        <v>0.734375</v>
      </c>
      <c r="I338" s="10">
        <v>0.4623</v>
      </c>
      <c r="J338" s="10">
        <v>0.3961</v>
      </c>
      <c r="K338" s="5">
        <f t="shared" si="3"/>
        <v>0</v>
      </c>
    </row>
    <row r="339" ht="15.0" customHeight="1">
      <c r="A339" s="5">
        <v>2020.0</v>
      </c>
      <c r="B339" s="5" t="s">
        <v>143</v>
      </c>
      <c r="C339" s="5" t="s">
        <v>145</v>
      </c>
      <c r="D339" s="5" t="s">
        <v>120</v>
      </c>
      <c r="E339" s="5">
        <v>360.0</v>
      </c>
      <c r="F339" s="5">
        <v>173.0</v>
      </c>
      <c r="G339" s="5">
        <f t="shared" si="1"/>
        <v>533</v>
      </c>
      <c r="H339" s="10">
        <f t="shared" si="2"/>
        <v>0.6754221388</v>
      </c>
      <c r="I339" s="10">
        <v>0.4599</v>
      </c>
      <c r="J339" s="10">
        <v>0.5411</v>
      </c>
      <c r="K339" s="5">
        <f t="shared" si="3"/>
        <v>1</v>
      </c>
    </row>
    <row r="340" ht="15.0" customHeight="1">
      <c r="A340" s="5">
        <v>2022.0</v>
      </c>
      <c r="B340" s="5" t="s">
        <v>143</v>
      </c>
      <c r="C340" s="5" t="s">
        <v>145</v>
      </c>
      <c r="D340" s="5" t="s">
        <v>120</v>
      </c>
      <c r="E340" s="5">
        <v>211.0</v>
      </c>
      <c r="F340" s="5">
        <v>83.0</v>
      </c>
      <c r="G340" s="5">
        <f t="shared" si="1"/>
        <v>294</v>
      </c>
      <c r="H340" s="10">
        <f t="shared" si="2"/>
        <v>0.7176870748</v>
      </c>
      <c r="I340" s="10">
        <v>0.455</v>
      </c>
      <c r="J340" s="10">
        <v>0.3111</v>
      </c>
      <c r="K340" s="5">
        <f t="shared" si="3"/>
        <v>0</v>
      </c>
    </row>
    <row r="341" ht="15.0" customHeight="1">
      <c r="A341" s="5">
        <v>2024.0</v>
      </c>
      <c r="B341" s="5" t="s">
        <v>143</v>
      </c>
      <c r="C341" s="5" t="s">
        <v>145</v>
      </c>
      <c r="D341" s="5" t="s">
        <v>120</v>
      </c>
      <c r="E341" s="5">
        <v>330.0</v>
      </c>
      <c r="F341" s="5">
        <v>195.0</v>
      </c>
      <c r="G341" s="5">
        <f t="shared" si="1"/>
        <v>525</v>
      </c>
      <c r="H341" s="10">
        <f t="shared" si="2"/>
        <v>0.6285714286</v>
      </c>
      <c r="I341" s="10">
        <v>0.3882</v>
      </c>
      <c r="J341" s="10">
        <v>0.524</v>
      </c>
      <c r="K341" s="5">
        <f t="shared" si="3"/>
        <v>1</v>
      </c>
    </row>
    <row r="342" ht="15.0" customHeight="1">
      <c r="A342" s="5">
        <v>2018.0</v>
      </c>
      <c r="B342" s="5" t="s">
        <v>143</v>
      </c>
      <c r="C342" s="5" t="s">
        <v>145</v>
      </c>
      <c r="D342" s="5" t="s">
        <v>122</v>
      </c>
      <c r="E342" s="5">
        <v>343.0</v>
      </c>
      <c r="F342" s="5">
        <v>118.0</v>
      </c>
      <c r="G342" s="5">
        <f t="shared" si="1"/>
        <v>461</v>
      </c>
      <c r="H342" s="10">
        <f t="shared" si="2"/>
        <v>0.7440347072</v>
      </c>
      <c r="I342" s="10">
        <v>0.4717</v>
      </c>
      <c r="J342" s="10">
        <v>0.4629</v>
      </c>
      <c r="K342" s="5">
        <f t="shared" si="3"/>
        <v>0</v>
      </c>
    </row>
    <row r="343" ht="15.0" customHeight="1">
      <c r="A343" s="5">
        <v>2020.0</v>
      </c>
      <c r="B343" s="5" t="s">
        <v>143</v>
      </c>
      <c r="C343" s="5" t="s">
        <v>145</v>
      </c>
      <c r="D343" s="5" t="s">
        <v>122</v>
      </c>
      <c r="E343" s="5">
        <v>455.0</v>
      </c>
      <c r="F343" s="5">
        <v>203.0</v>
      </c>
      <c r="G343" s="5">
        <f t="shared" si="1"/>
        <v>658</v>
      </c>
      <c r="H343" s="10">
        <f t="shared" si="2"/>
        <v>0.6914893617</v>
      </c>
      <c r="I343" s="10">
        <v>0.421</v>
      </c>
      <c r="J343" s="10">
        <v>0.6267</v>
      </c>
      <c r="K343" s="5">
        <f t="shared" si="3"/>
        <v>1</v>
      </c>
    </row>
    <row r="344" ht="15.0" customHeight="1">
      <c r="A344" s="5">
        <v>2022.0</v>
      </c>
      <c r="B344" s="5" t="s">
        <v>143</v>
      </c>
      <c r="C344" s="5" t="s">
        <v>145</v>
      </c>
      <c r="D344" s="5" t="s">
        <v>122</v>
      </c>
      <c r="E344" s="5">
        <v>256.0</v>
      </c>
      <c r="F344" s="5">
        <v>123.0</v>
      </c>
      <c r="G344" s="5">
        <f t="shared" si="1"/>
        <v>379</v>
      </c>
      <c r="H344" s="10">
        <f t="shared" si="2"/>
        <v>0.6754617414</v>
      </c>
      <c r="I344" s="10">
        <v>0.4114</v>
      </c>
      <c r="J344" s="10">
        <v>0.3794</v>
      </c>
      <c r="K344" s="5">
        <f t="shared" si="3"/>
        <v>0</v>
      </c>
    </row>
    <row r="345" ht="15.0" customHeight="1">
      <c r="A345" s="5">
        <v>2024.0</v>
      </c>
      <c r="B345" s="5" t="s">
        <v>143</v>
      </c>
      <c r="C345" s="5" t="s">
        <v>145</v>
      </c>
      <c r="D345" s="5" t="s">
        <v>122</v>
      </c>
      <c r="E345" s="5">
        <v>441.0</v>
      </c>
      <c r="F345" s="5">
        <v>232.0</v>
      </c>
      <c r="G345" s="5">
        <f t="shared" si="1"/>
        <v>673</v>
      </c>
      <c r="H345" s="10">
        <f t="shared" si="2"/>
        <v>0.6552748886</v>
      </c>
      <c r="I345" s="10">
        <v>0.3634</v>
      </c>
      <c r="J345" s="10">
        <v>0.6129</v>
      </c>
      <c r="K345" s="5">
        <f t="shared" si="3"/>
        <v>1</v>
      </c>
    </row>
    <row r="346" ht="15.0" customHeight="1">
      <c r="A346" s="5">
        <v>2018.0</v>
      </c>
      <c r="B346" s="5" t="s">
        <v>143</v>
      </c>
      <c r="C346" s="5" t="s">
        <v>145</v>
      </c>
      <c r="D346" s="5" t="s">
        <v>124</v>
      </c>
      <c r="E346" s="5">
        <v>238.0</v>
      </c>
      <c r="F346" s="5">
        <v>99.0</v>
      </c>
      <c r="G346" s="5">
        <f t="shared" si="1"/>
        <v>337</v>
      </c>
      <c r="H346" s="10">
        <f t="shared" si="2"/>
        <v>0.706231454</v>
      </c>
      <c r="I346" s="10">
        <v>0.3959</v>
      </c>
      <c r="J346" s="10">
        <v>0.4721</v>
      </c>
      <c r="K346" s="5">
        <f t="shared" si="3"/>
        <v>0</v>
      </c>
    </row>
    <row r="347" ht="15.0" customHeight="1">
      <c r="A347" s="5">
        <v>2020.0</v>
      </c>
      <c r="B347" s="5" t="s">
        <v>143</v>
      </c>
      <c r="C347" s="5" t="s">
        <v>145</v>
      </c>
      <c r="D347" s="5" t="s">
        <v>124</v>
      </c>
      <c r="E347" s="5">
        <v>323.0</v>
      </c>
      <c r="F347" s="5">
        <v>136.0</v>
      </c>
      <c r="G347" s="5">
        <f t="shared" si="1"/>
        <v>459</v>
      </c>
      <c r="H347" s="10">
        <f t="shared" si="2"/>
        <v>0.7037037037</v>
      </c>
      <c r="I347" s="10">
        <v>0.4142</v>
      </c>
      <c r="J347" s="10">
        <v>0.6016</v>
      </c>
      <c r="K347" s="5">
        <f t="shared" si="3"/>
        <v>1</v>
      </c>
    </row>
    <row r="348" ht="15.0" customHeight="1">
      <c r="A348" s="5">
        <v>2022.0</v>
      </c>
      <c r="B348" s="5" t="s">
        <v>143</v>
      </c>
      <c r="C348" s="5" t="s">
        <v>145</v>
      </c>
      <c r="D348" s="5" t="s">
        <v>124</v>
      </c>
      <c r="E348" s="5">
        <v>209.0</v>
      </c>
      <c r="F348" s="5">
        <v>82.0</v>
      </c>
      <c r="G348" s="5">
        <f t="shared" si="1"/>
        <v>291</v>
      </c>
      <c r="H348" s="10">
        <f t="shared" si="2"/>
        <v>0.7182130584</v>
      </c>
      <c r="I348" s="10">
        <v>0.3959</v>
      </c>
      <c r="J348" s="10">
        <v>0.3986</v>
      </c>
      <c r="K348" s="5">
        <f t="shared" si="3"/>
        <v>0</v>
      </c>
    </row>
    <row r="349" ht="15.0" customHeight="1">
      <c r="A349" s="5">
        <v>2024.0</v>
      </c>
      <c r="B349" s="5" t="s">
        <v>143</v>
      </c>
      <c r="C349" s="5" t="s">
        <v>145</v>
      </c>
      <c r="D349" s="5" t="s">
        <v>124</v>
      </c>
      <c r="E349" s="5">
        <v>313.0</v>
      </c>
      <c r="F349" s="5">
        <v>155.0</v>
      </c>
      <c r="G349" s="5">
        <f t="shared" si="1"/>
        <v>468</v>
      </c>
      <c r="H349" s="10">
        <f t="shared" si="2"/>
        <v>0.6688034188</v>
      </c>
      <c r="I349" s="10">
        <v>0.3871</v>
      </c>
      <c r="J349" s="10">
        <v>0.6142</v>
      </c>
      <c r="K349" s="5">
        <f t="shared" si="3"/>
        <v>1</v>
      </c>
    </row>
    <row r="350" ht="15.0" customHeight="1">
      <c r="A350" s="5">
        <v>2018.0</v>
      </c>
      <c r="B350" s="5" t="s">
        <v>143</v>
      </c>
      <c r="C350" s="5" t="s">
        <v>145</v>
      </c>
      <c r="D350" s="5" t="s">
        <v>130</v>
      </c>
      <c r="E350" s="5">
        <v>481.0</v>
      </c>
      <c r="F350" s="5">
        <v>174.0</v>
      </c>
      <c r="G350" s="5">
        <f t="shared" si="1"/>
        <v>655</v>
      </c>
      <c r="H350" s="10">
        <f t="shared" si="2"/>
        <v>0.734351145</v>
      </c>
      <c r="I350" s="10">
        <v>0.49</v>
      </c>
      <c r="J350" s="10">
        <v>0.3793</v>
      </c>
      <c r="K350" s="5">
        <f t="shared" si="3"/>
        <v>0</v>
      </c>
    </row>
    <row r="351" ht="15.0" customHeight="1">
      <c r="A351" s="5">
        <v>2020.0</v>
      </c>
      <c r="B351" s="5" t="s">
        <v>143</v>
      </c>
      <c r="C351" s="5" t="s">
        <v>145</v>
      </c>
      <c r="D351" s="5" t="s">
        <v>130</v>
      </c>
      <c r="E351" s="5">
        <v>705.0</v>
      </c>
      <c r="F351" s="5">
        <v>345.0</v>
      </c>
      <c r="G351" s="5">
        <f t="shared" si="1"/>
        <v>1050</v>
      </c>
      <c r="H351" s="10">
        <f t="shared" si="2"/>
        <v>0.6714285714</v>
      </c>
      <c r="I351" s="10">
        <v>0.4455</v>
      </c>
      <c r="J351" s="10">
        <v>0.567</v>
      </c>
      <c r="K351" s="5">
        <f t="shared" si="3"/>
        <v>1</v>
      </c>
    </row>
    <row r="352" ht="15.0" customHeight="1">
      <c r="A352" s="5">
        <v>2022.0</v>
      </c>
      <c r="B352" s="5" t="s">
        <v>143</v>
      </c>
      <c r="C352" s="5" t="s">
        <v>145</v>
      </c>
      <c r="D352" s="5" t="s">
        <v>130</v>
      </c>
      <c r="E352" s="5">
        <v>368.0</v>
      </c>
      <c r="F352" s="5">
        <v>206.0</v>
      </c>
      <c r="G352" s="5">
        <f t="shared" si="1"/>
        <v>574</v>
      </c>
      <c r="H352" s="10">
        <f t="shared" si="2"/>
        <v>0.6411149826</v>
      </c>
      <c r="I352" s="10">
        <v>0.4144</v>
      </c>
      <c r="J352" s="10">
        <v>0.3286</v>
      </c>
      <c r="K352" s="5">
        <f t="shared" si="3"/>
        <v>0</v>
      </c>
    </row>
    <row r="353" ht="15.0" customHeight="1">
      <c r="A353" s="5">
        <v>2024.0</v>
      </c>
      <c r="B353" s="5" t="s">
        <v>143</v>
      </c>
      <c r="C353" s="5" t="s">
        <v>145</v>
      </c>
      <c r="D353" s="5" t="s">
        <v>130</v>
      </c>
      <c r="E353" s="5">
        <v>658.0</v>
      </c>
      <c r="F353" s="5">
        <v>375.0</v>
      </c>
      <c r="G353" s="5">
        <f t="shared" si="1"/>
        <v>1033</v>
      </c>
      <c r="H353" s="10">
        <f t="shared" si="2"/>
        <v>0.6369796709</v>
      </c>
      <c r="I353" s="10">
        <v>0.3508</v>
      </c>
      <c r="J353" s="10">
        <v>0.5483</v>
      </c>
      <c r="K353" s="5">
        <f t="shared" si="3"/>
        <v>1</v>
      </c>
    </row>
    <row r="354" ht="15.0" customHeight="1">
      <c r="A354" s="5">
        <v>2018.0</v>
      </c>
      <c r="B354" s="5" t="s">
        <v>143</v>
      </c>
      <c r="C354" s="5" t="s">
        <v>145</v>
      </c>
      <c r="D354" s="5" t="s">
        <v>131</v>
      </c>
      <c r="E354" s="5">
        <v>497.0</v>
      </c>
      <c r="F354" s="5">
        <v>124.0</v>
      </c>
      <c r="G354" s="5">
        <f t="shared" si="1"/>
        <v>621</v>
      </c>
      <c r="H354" s="10">
        <f t="shared" si="2"/>
        <v>0.8003220612</v>
      </c>
      <c r="I354" s="10">
        <v>0.5106</v>
      </c>
      <c r="J354" s="10">
        <v>0.334</v>
      </c>
      <c r="K354" s="5">
        <f t="shared" si="3"/>
        <v>0</v>
      </c>
    </row>
    <row r="355" ht="15.0" customHeight="1">
      <c r="A355" s="5">
        <v>2020.0</v>
      </c>
      <c r="B355" s="5" t="s">
        <v>143</v>
      </c>
      <c r="C355" s="5" t="s">
        <v>145</v>
      </c>
      <c r="D355" s="5" t="s">
        <v>131</v>
      </c>
      <c r="E355" s="5">
        <v>789.0</v>
      </c>
      <c r="F355" s="5">
        <v>315.0</v>
      </c>
      <c r="G355" s="5">
        <f t="shared" si="1"/>
        <v>1104</v>
      </c>
      <c r="H355" s="10">
        <f t="shared" si="2"/>
        <v>0.714673913</v>
      </c>
      <c r="I355" s="10">
        <v>0.4899</v>
      </c>
      <c r="J355" s="10">
        <v>0.5548</v>
      </c>
      <c r="K355" s="5">
        <f t="shared" si="3"/>
        <v>1</v>
      </c>
    </row>
    <row r="356" ht="15.0" customHeight="1">
      <c r="A356" s="5">
        <v>2022.0</v>
      </c>
      <c r="B356" s="5" t="s">
        <v>143</v>
      </c>
      <c r="C356" s="5" t="s">
        <v>145</v>
      </c>
      <c r="D356" s="5" t="s">
        <v>131</v>
      </c>
      <c r="E356" s="5">
        <v>385.0</v>
      </c>
      <c r="F356" s="5">
        <v>168.0</v>
      </c>
      <c r="G356" s="5">
        <f t="shared" si="1"/>
        <v>553</v>
      </c>
      <c r="H356" s="10">
        <f t="shared" si="2"/>
        <v>0.6962025316</v>
      </c>
      <c r="I356" s="10">
        <v>0.4633</v>
      </c>
      <c r="J356" s="10">
        <v>0.2859</v>
      </c>
      <c r="K356" s="5">
        <f t="shared" si="3"/>
        <v>0</v>
      </c>
    </row>
    <row r="357" ht="15.0" customHeight="1">
      <c r="A357" s="5">
        <v>2024.0</v>
      </c>
      <c r="B357" s="5" t="s">
        <v>143</v>
      </c>
      <c r="C357" s="5" t="s">
        <v>145</v>
      </c>
      <c r="D357" s="5" t="s">
        <v>131</v>
      </c>
      <c r="E357" s="5">
        <v>693.0</v>
      </c>
      <c r="F357" s="5">
        <v>389.0</v>
      </c>
      <c r="G357" s="5">
        <f t="shared" si="1"/>
        <v>1082</v>
      </c>
      <c r="H357" s="10">
        <f t="shared" si="2"/>
        <v>0.6404805915</v>
      </c>
      <c r="I357" s="10">
        <v>0.3736</v>
      </c>
      <c r="J357" s="10">
        <v>0.523</v>
      </c>
      <c r="K357" s="5">
        <f t="shared" si="3"/>
        <v>1</v>
      </c>
    </row>
    <row r="358" ht="15.0" customHeight="1">
      <c r="A358" s="5">
        <v>2018.0</v>
      </c>
      <c r="B358" s="5" t="s">
        <v>143</v>
      </c>
      <c r="C358" s="5" t="s">
        <v>145</v>
      </c>
      <c r="D358" s="5" t="s">
        <v>132</v>
      </c>
      <c r="E358" s="5">
        <v>348.0</v>
      </c>
      <c r="F358" s="5">
        <v>169.0</v>
      </c>
      <c r="G358" s="5">
        <f t="shared" si="1"/>
        <v>517</v>
      </c>
      <c r="H358" s="10">
        <f t="shared" si="2"/>
        <v>0.6731141199</v>
      </c>
      <c r="I358" s="10">
        <v>0.4403</v>
      </c>
      <c r="J358" s="10">
        <v>0.4556</v>
      </c>
      <c r="K358" s="5">
        <f t="shared" si="3"/>
        <v>0</v>
      </c>
    </row>
    <row r="359" ht="15.0" customHeight="1">
      <c r="A359" s="5">
        <v>2020.0</v>
      </c>
      <c r="B359" s="5" t="s">
        <v>143</v>
      </c>
      <c r="C359" s="5" t="s">
        <v>145</v>
      </c>
      <c r="D359" s="5" t="s">
        <v>132</v>
      </c>
      <c r="E359" s="5">
        <v>508.0</v>
      </c>
      <c r="F359" s="5">
        <v>307.0</v>
      </c>
      <c r="G359" s="5">
        <f t="shared" si="1"/>
        <v>815</v>
      </c>
      <c r="H359" s="10">
        <f t="shared" si="2"/>
        <v>0.6233128834</v>
      </c>
      <c r="I359" s="10">
        <v>0.3941</v>
      </c>
      <c r="J359" s="10">
        <v>0.6637</v>
      </c>
      <c r="K359" s="5">
        <f t="shared" si="3"/>
        <v>1</v>
      </c>
    </row>
    <row r="360" ht="15.0" customHeight="1">
      <c r="A360" s="5">
        <v>2022.0</v>
      </c>
      <c r="B360" s="5" t="s">
        <v>143</v>
      </c>
      <c r="C360" s="5" t="s">
        <v>145</v>
      </c>
      <c r="D360" s="5" t="s">
        <v>132</v>
      </c>
      <c r="E360" s="5">
        <v>308.0</v>
      </c>
      <c r="F360" s="5">
        <v>215.0</v>
      </c>
      <c r="G360" s="5">
        <f t="shared" si="1"/>
        <v>523</v>
      </c>
      <c r="H360" s="10">
        <f t="shared" si="2"/>
        <v>0.5889101338</v>
      </c>
      <c r="I360" s="10">
        <v>0.3526</v>
      </c>
      <c r="J360" s="10">
        <v>0.4329</v>
      </c>
      <c r="K360" s="5">
        <f t="shared" si="3"/>
        <v>0</v>
      </c>
    </row>
    <row r="361" ht="15.0" customHeight="1">
      <c r="A361" s="5">
        <v>2024.0</v>
      </c>
      <c r="B361" s="5" t="s">
        <v>143</v>
      </c>
      <c r="C361" s="5" t="s">
        <v>145</v>
      </c>
      <c r="D361" s="5" t="s">
        <v>132</v>
      </c>
      <c r="E361" s="5">
        <v>446.0</v>
      </c>
      <c r="F361" s="5">
        <v>382.0</v>
      </c>
      <c r="G361" s="5">
        <f t="shared" si="1"/>
        <v>828</v>
      </c>
      <c r="H361" s="10">
        <f t="shared" si="2"/>
        <v>0.538647343</v>
      </c>
      <c r="I361" s="10">
        <v>0.2807</v>
      </c>
      <c r="J361" s="10">
        <v>0.6603</v>
      </c>
      <c r="K361" s="5">
        <f t="shared" si="3"/>
        <v>1</v>
      </c>
    </row>
    <row r="362" ht="15.0" customHeight="1">
      <c r="A362" s="5">
        <v>2018.0</v>
      </c>
      <c r="B362" s="5" t="s">
        <v>143</v>
      </c>
      <c r="C362" s="5" t="s">
        <v>145</v>
      </c>
      <c r="D362" s="5" t="s">
        <v>133</v>
      </c>
      <c r="E362" s="5">
        <v>400.0</v>
      </c>
      <c r="F362" s="5">
        <v>189.0</v>
      </c>
      <c r="G362" s="5">
        <f t="shared" si="1"/>
        <v>589</v>
      </c>
      <c r="H362" s="10">
        <f t="shared" si="2"/>
        <v>0.6791171477</v>
      </c>
      <c r="I362" s="10">
        <v>0.4024</v>
      </c>
      <c r="J362" s="10">
        <v>0.3915</v>
      </c>
      <c r="K362" s="5">
        <f t="shared" si="3"/>
        <v>0</v>
      </c>
    </row>
    <row r="363" ht="15.0" customHeight="1">
      <c r="A363" s="5">
        <v>2020.0</v>
      </c>
      <c r="B363" s="5" t="s">
        <v>143</v>
      </c>
      <c r="C363" s="5" t="s">
        <v>145</v>
      </c>
      <c r="D363" s="5" t="s">
        <v>133</v>
      </c>
      <c r="E363" s="5">
        <v>649.0</v>
      </c>
      <c r="F363" s="5">
        <v>361.0</v>
      </c>
      <c r="G363" s="5">
        <f t="shared" si="1"/>
        <v>1010</v>
      </c>
      <c r="H363" s="10">
        <f t="shared" si="2"/>
        <v>0.6425742574</v>
      </c>
      <c r="I363" s="10">
        <v>0.3789</v>
      </c>
      <c r="J363" s="10">
        <v>0.5952</v>
      </c>
      <c r="K363" s="5">
        <f t="shared" si="3"/>
        <v>1</v>
      </c>
    </row>
    <row r="364" ht="15.0" customHeight="1">
      <c r="A364" s="5">
        <v>2022.0</v>
      </c>
      <c r="B364" s="5" t="s">
        <v>143</v>
      </c>
      <c r="C364" s="5" t="s">
        <v>145</v>
      </c>
      <c r="D364" s="5" t="s">
        <v>133</v>
      </c>
      <c r="E364" s="5">
        <v>391.0</v>
      </c>
      <c r="F364" s="5">
        <v>209.0</v>
      </c>
      <c r="G364" s="5">
        <f t="shared" si="1"/>
        <v>600</v>
      </c>
      <c r="H364" s="10">
        <f t="shared" si="2"/>
        <v>0.6516666667</v>
      </c>
      <c r="I364" s="10">
        <v>0.3706</v>
      </c>
      <c r="J364" s="10">
        <v>0.3688</v>
      </c>
      <c r="K364" s="5">
        <f t="shared" si="3"/>
        <v>0</v>
      </c>
    </row>
    <row r="365" ht="15.0" customHeight="1">
      <c r="A365" s="5">
        <v>2024.0</v>
      </c>
      <c r="B365" s="5" t="s">
        <v>143</v>
      </c>
      <c r="C365" s="5" t="s">
        <v>145</v>
      </c>
      <c r="D365" s="5" t="s">
        <v>133</v>
      </c>
      <c r="E365" s="5">
        <v>627.0</v>
      </c>
      <c r="F365" s="5">
        <v>389.0</v>
      </c>
      <c r="G365" s="5">
        <f t="shared" si="1"/>
        <v>1016</v>
      </c>
      <c r="H365" s="10">
        <f t="shared" si="2"/>
        <v>0.6171259843</v>
      </c>
      <c r="I365" s="10">
        <v>0.2972</v>
      </c>
      <c r="J365" s="10">
        <v>0.5991</v>
      </c>
      <c r="K365" s="5">
        <f t="shared" si="3"/>
        <v>1</v>
      </c>
    </row>
    <row r="366" ht="15.0" customHeight="1">
      <c r="A366" s="5">
        <v>2018.0</v>
      </c>
      <c r="B366" s="5" t="s">
        <v>143</v>
      </c>
      <c r="C366" s="5" t="s">
        <v>145</v>
      </c>
      <c r="D366" s="5" t="s">
        <v>135</v>
      </c>
      <c r="E366" s="5">
        <v>488.0</v>
      </c>
      <c r="F366" s="5">
        <v>238.0</v>
      </c>
      <c r="G366" s="5">
        <f t="shared" si="1"/>
        <v>726</v>
      </c>
      <c r="H366" s="10">
        <f t="shared" si="2"/>
        <v>0.6721763085</v>
      </c>
      <c r="I366" s="10">
        <v>0.3435</v>
      </c>
      <c r="J366" s="10">
        <v>0.5132</v>
      </c>
      <c r="K366" s="5">
        <f t="shared" si="3"/>
        <v>0</v>
      </c>
    </row>
    <row r="367" ht="15.0" customHeight="1">
      <c r="A367" s="5">
        <v>2020.0</v>
      </c>
      <c r="B367" s="5" t="s">
        <v>143</v>
      </c>
      <c r="C367" s="5" t="s">
        <v>145</v>
      </c>
      <c r="D367" s="5" t="s">
        <v>135</v>
      </c>
      <c r="E367" s="5">
        <v>690.0</v>
      </c>
      <c r="F367" s="5">
        <v>365.0</v>
      </c>
      <c r="G367" s="5">
        <f t="shared" si="1"/>
        <v>1055</v>
      </c>
      <c r="H367" s="10">
        <f t="shared" si="2"/>
        <v>0.654028436</v>
      </c>
      <c r="I367" s="10">
        <v>0.3543</v>
      </c>
      <c r="J367" s="10">
        <v>0.6639</v>
      </c>
      <c r="K367" s="5">
        <f t="shared" si="3"/>
        <v>1</v>
      </c>
    </row>
    <row r="368" ht="15.0" customHeight="1">
      <c r="A368" s="5">
        <v>2022.0</v>
      </c>
      <c r="B368" s="5" t="s">
        <v>143</v>
      </c>
      <c r="C368" s="5" t="s">
        <v>145</v>
      </c>
      <c r="D368" s="5" t="s">
        <v>135</v>
      </c>
      <c r="E368" s="5">
        <v>427.0</v>
      </c>
      <c r="F368" s="5">
        <v>242.0</v>
      </c>
      <c r="G368" s="5">
        <f t="shared" si="1"/>
        <v>669</v>
      </c>
      <c r="H368" s="10">
        <f t="shared" si="2"/>
        <v>0.6382660688</v>
      </c>
      <c r="I368" s="10">
        <v>0.3514</v>
      </c>
      <c r="J368" s="10">
        <v>0.441</v>
      </c>
      <c r="K368" s="5">
        <f t="shared" si="3"/>
        <v>0</v>
      </c>
    </row>
    <row r="369" ht="15.0" customHeight="1">
      <c r="A369" s="5">
        <v>2024.0</v>
      </c>
      <c r="B369" s="5" t="s">
        <v>143</v>
      </c>
      <c r="C369" s="5" t="s">
        <v>145</v>
      </c>
      <c r="D369" s="5" t="s">
        <v>135</v>
      </c>
      <c r="E369" s="5">
        <v>645.0</v>
      </c>
      <c r="F369" s="5">
        <v>418.0</v>
      </c>
      <c r="G369" s="5">
        <f t="shared" si="1"/>
        <v>1063</v>
      </c>
      <c r="H369" s="10">
        <f t="shared" si="2"/>
        <v>0.6067732832</v>
      </c>
      <c r="I369" s="10">
        <v>0.2893</v>
      </c>
      <c r="J369" s="10">
        <v>0.6849</v>
      </c>
      <c r="K369" s="5">
        <f t="shared" si="3"/>
        <v>1</v>
      </c>
    </row>
    <row r="370" ht="15.0" customHeight="1">
      <c r="A370" s="5">
        <v>2018.0</v>
      </c>
      <c r="B370" s="5" t="s">
        <v>143</v>
      </c>
      <c r="C370" s="5" t="s">
        <v>145</v>
      </c>
      <c r="D370" s="5" t="s">
        <v>136</v>
      </c>
      <c r="E370" s="5">
        <v>339.0</v>
      </c>
      <c r="F370" s="5">
        <v>138.0</v>
      </c>
      <c r="G370" s="5">
        <f t="shared" si="1"/>
        <v>477</v>
      </c>
      <c r="H370" s="10">
        <f t="shared" si="2"/>
        <v>0.7106918239</v>
      </c>
      <c r="I370" s="10">
        <v>0.4483</v>
      </c>
      <c r="J370" s="10">
        <v>0.4207</v>
      </c>
      <c r="K370" s="5">
        <f t="shared" si="3"/>
        <v>0</v>
      </c>
    </row>
    <row r="371" ht="15.0" customHeight="1">
      <c r="A371" s="5">
        <v>2020.0</v>
      </c>
      <c r="B371" s="5" t="s">
        <v>143</v>
      </c>
      <c r="C371" s="5" t="s">
        <v>145</v>
      </c>
      <c r="D371" s="5" t="s">
        <v>136</v>
      </c>
      <c r="E371" s="5">
        <v>499.0</v>
      </c>
      <c r="F371" s="5">
        <v>246.0</v>
      </c>
      <c r="G371" s="5">
        <f t="shared" si="1"/>
        <v>745</v>
      </c>
      <c r="H371" s="10">
        <f t="shared" si="2"/>
        <v>0.6697986577</v>
      </c>
      <c r="I371" s="10">
        <v>0.4281</v>
      </c>
      <c r="J371" s="10">
        <v>0.6052</v>
      </c>
      <c r="K371" s="5">
        <f t="shared" si="3"/>
        <v>1</v>
      </c>
    </row>
    <row r="372" ht="15.0" customHeight="1">
      <c r="A372" s="5">
        <v>2022.0</v>
      </c>
      <c r="B372" s="5" t="s">
        <v>143</v>
      </c>
      <c r="C372" s="5" t="s">
        <v>145</v>
      </c>
      <c r="D372" s="5" t="s">
        <v>136</v>
      </c>
      <c r="E372" s="5">
        <v>288.0</v>
      </c>
      <c r="F372" s="5">
        <v>176.0</v>
      </c>
      <c r="G372" s="5">
        <f t="shared" si="1"/>
        <v>464</v>
      </c>
      <c r="H372" s="10">
        <f t="shared" si="2"/>
        <v>0.6206896552</v>
      </c>
      <c r="I372" s="10">
        <v>0.3834</v>
      </c>
      <c r="J372" s="10">
        <v>0.3769</v>
      </c>
      <c r="K372" s="5">
        <f t="shared" si="3"/>
        <v>0</v>
      </c>
    </row>
    <row r="373" ht="15.0" customHeight="1">
      <c r="A373" s="5">
        <v>2024.0</v>
      </c>
      <c r="B373" s="5" t="s">
        <v>143</v>
      </c>
      <c r="C373" s="5" t="s">
        <v>145</v>
      </c>
      <c r="D373" s="5" t="s">
        <v>136</v>
      </c>
      <c r="E373" s="5">
        <v>452.0</v>
      </c>
      <c r="F373" s="5">
        <v>341.0</v>
      </c>
      <c r="G373" s="5">
        <f t="shared" si="1"/>
        <v>793</v>
      </c>
      <c r="H373" s="10">
        <f t="shared" si="2"/>
        <v>0.5699873897</v>
      </c>
      <c r="I373" s="10">
        <v>0.2995</v>
      </c>
      <c r="J373" s="10">
        <v>0.5922</v>
      </c>
      <c r="K373" s="5">
        <f t="shared" si="3"/>
        <v>1</v>
      </c>
    </row>
    <row r="374" ht="15.0" customHeight="1">
      <c r="A374" s="5">
        <v>2018.0</v>
      </c>
      <c r="B374" s="5" t="s">
        <v>143</v>
      </c>
      <c r="C374" s="5" t="s">
        <v>145</v>
      </c>
      <c r="D374" s="5" t="s">
        <v>139</v>
      </c>
      <c r="E374" s="5">
        <v>387.0</v>
      </c>
      <c r="F374" s="5">
        <v>154.0</v>
      </c>
      <c r="G374" s="5">
        <f t="shared" si="1"/>
        <v>541</v>
      </c>
      <c r="H374" s="10">
        <f t="shared" si="2"/>
        <v>0.7153419593</v>
      </c>
      <c r="I374" s="10">
        <v>0.4559</v>
      </c>
      <c r="J374" s="10">
        <v>0.4088</v>
      </c>
      <c r="K374" s="5">
        <f t="shared" si="3"/>
        <v>0</v>
      </c>
    </row>
    <row r="375" ht="15.0" customHeight="1">
      <c r="A375" s="5">
        <v>2020.0</v>
      </c>
      <c r="B375" s="5" t="s">
        <v>143</v>
      </c>
      <c r="C375" s="5" t="s">
        <v>145</v>
      </c>
      <c r="D375" s="5" t="s">
        <v>139</v>
      </c>
      <c r="E375" s="5">
        <v>595.0</v>
      </c>
      <c r="F375" s="5">
        <v>282.0</v>
      </c>
      <c r="G375" s="5">
        <f t="shared" si="1"/>
        <v>877</v>
      </c>
      <c r="H375" s="10">
        <f t="shared" si="2"/>
        <v>0.6784492588</v>
      </c>
      <c r="I375" s="10">
        <v>0.4154</v>
      </c>
      <c r="J375" s="10">
        <v>0.6133</v>
      </c>
      <c r="K375" s="5">
        <f t="shared" si="3"/>
        <v>1</v>
      </c>
    </row>
    <row r="376" ht="15.0" customHeight="1">
      <c r="A376" s="5">
        <v>2022.0</v>
      </c>
      <c r="B376" s="5" t="s">
        <v>143</v>
      </c>
      <c r="C376" s="5" t="s">
        <v>145</v>
      </c>
      <c r="D376" s="5" t="s">
        <v>139</v>
      </c>
      <c r="E376" s="5">
        <v>283.0</v>
      </c>
      <c r="F376" s="5">
        <v>158.0</v>
      </c>
      <c r="G376" s="5">
        <f t="shared" si="1"/>
        <v>441</v>
      </c>
      <c r="H376" s="10">
        <f t="shared" si="2"/>
        <v>0.641723356</v>
      </c>
      <c r="I376" s="10">
        <v>0.4004</v>
      </c>
      <c r="J376" s="10">
        <v>0.3217</v>
      </c>
      <c r="K376" s="5">
        <f t="shared" si="3"/>
        <v>0</v>
      </c>
    </row>
    <row r="377" ht="15.0" customHeight="1">
      <c r="A377" s="5">
        <v>2024.0</v>
      </c>
      <c r="B377" s="5" t="s">
        <v>143</v>
      </c>
      <c r="C377" s="5" t="s">
        <v>145</v>
      </c>
      <c r="D377" s="5" t="s">
        <v>139</v>
      </c>
      <c r="E377" s="5">
        <v>541.0</v>
      </c>
      <c r="F377" s="5">
        <v>325.0</v>
      </c>
      <c r="G377" s="5">
        <f t="shared" si="1"/>
        <v>866</v>
      </c>
      <c r="H377" s="10">
        <f t="shared" si="2"/>
        <v>0.6247113164</v>
      </c>
      <c r="I377" s="10">
        <v>0.3369</v>
      </c>
      <c r="J377" s="10">
        <v>0.5847</v>
      </c>
      <c r="K377" s="5">
        <f t="shared" si="3"/>
        <v>1</v>
      </c>
    </row>
    <row r="378" ht="15.0" customHeight="1">
      <c r="A378" s="5">
        <v>2018.0</v>
      </c>
      <c r="B378" s="5" t="s">
        <v>143</v>
      </c>
      <c r="C378" s="5" t="s">
        <v>145</v>
      </c>
      <c r="D378" s="5" t="s">
        <v>140</v>
      </c>
      <c r="E378" s="5">
        <v>559.0</v>
      </c>
      <c r="F378" s="5">
        <v>255.0</v>
      </c>
      <c r="G378" s="5">
        <f t="shared" si="1"/>
        <v>814</v>
      </c>
      <c r="H378" s="10">
        <f t="shared" si="2"/>
        <v>0.6867321867</v>
      </c>
      <c r="I378" s="10">
        <v>0.4286</v>
      </c>
      <c r="J378" s="10">
        <v>0.3981</v>
      </c>
      <c r="K378" s="5">
        <f t="shared" si="3"/>
        <v>0</v>
      </c>
    </row>
    <row r="379" ht="15.0" customHeight="1">
      <c r="A379" s="5">
        <v>2020.0</v>
      </c>
      <c r="B379" s="5" t="s">
        <v>143</v>
      </c>
      <c r="C379" s="5" t="s">
        <v>145</v>
      </c>
      <c r="D379" s="5" t="s">
        <v>140</v>
      </c>
      <c r="E379" s="5">
        <v>800.0</v>
      </c>
      <c r="F379" s="5">
        <v>494.0</v>
      </c>
      <c r="G379" s="5">
        <f t="shared" si="1"/>
        <v>1294</v>
      </c>
      <c r="H379" s="10">
        <f t="shared" si="2"/>
        <v>0.6182380216</v>
      </c>
      <c r="I379" s="10">
        <v>0.3949</v>
      </c>
      <c r="J379" s="10">
        <v>0.5977</v>
      </c>
      <c r="K379" s="5">
        <f t="shared" si="3"/>
        <v>1</v>
      </c>
    </row>
    <row r="380" ht="15.0" customHeight="1">
      <c r="A380" s="5">
        <v>2022.0</v>
      </c>
      <c r="B380" s="5" t="s">
        <v>143</v>
      </c>
      <c r="C380" s="5" t="s">
        <v>145</v>
      </c>
      <c r="D380" s="5" t="s">
        <v>140</v>
      </c>
      <c r="E380" s="5">
        <v>474.0</v>
      </c>
      <c r="F380" s="5">
        <v>300.0</v>
      </c>
      <c r="G380" s="5">
        <f t="shared" si="1"/>
        <v>774</v>
      </c>
      <c r="H380" s="10">
        <f t="shared" si="2"/>
        <v>0.6124031008</v>
      </c>
      <c r="I380" s="10">
        <v>0.4056</v>
      </c>
      <c r="J380" s="10">
        <v>0.368</v>
      </c>
      <c r="K380" s="5">
        <f t="shared" si="3"/>
        <v>0</v>
      </c>
    </row>
    <row r="381" ht="15.0" customHeight="1">
      <c r="A381" s="5">
        <v>2024.0</v>
      </c>
      <c r="B381" s="5" t="s">
        <v>143</v>
      </c>
      <c r="C381" s="5" t="s">
        <v>145</v>
      </c>
      <c r="D381" s="5" t="s">
        <v>140</v>
      </c>
      <c r="E381" s="5">
        <v>783.0</v>
      </c>
      <c r="F381" s="5">
        <v>562.0</v>
      </c>
      <c r="G381" s="5">
        <f t="shared" si="1"/>
        <v>1345</v>
      </c>
      <c r="H381" s="10">
        <f t="shared" si="2"/>
        <v>0.5821561338</v>
      </c>
      <c r="I381" s="10">
        <v>0.336</v>
      </c>
      <c r="J381" s="10">
        <v>0.6034</v>
      </c>
      <c r="K381" s="5">
        <f t="shared" si="3"/>
        <v>1</v>
      </c>
    </row>
    <row r="382" ht="15.0" customHeight="1">
      <c r="A382" s="5">
        <v>2018.0</v>
      </c>
      <c r="B382" s="5" t="s">
        <v>143</v>
      </c>
      <c r="C382" s="5" t="s">
        <v>145</v>
      </c>
      <c r="D382" s="5" t="s">
        <v>142</v>
      </c>
      <c r="E382" s="5">
        <v>337.0</v>
      </c>
      <c r="F382" s="5">
        <v>161.0</v>
      </c>
      <c r="G382" s="5">
        <f t="shared" si="1"/>
        <v>498</v>
      </c>
      <c r="H382" s="10">
        <f t="shared" si="2"/>
        <v>0.6767068273</v>
      </c>
      <c r="I382" s="10">
        <v>0.2966</v>
      </c>
      <c r="J382" s="10">
        <v>0.5944</v>
      </c>
      <c r="K382" s="5">
        <f t="shared" si="3"/>
        <v>0</v>
      </c>
    </row>
    <row r="383" ht="15.0" customHeight="1">
      <c r="A383" s="5">
        <v>2020.0</v>
      </c>
      <c r="B383" s="5" t="s">
        <v>143</v>
      </c>
      <c r="C383" s="5" t="s">
        <v>145</v>
      </c>
      <c r="D383" s="5" t="s">
        <v>142</v>
      </c>
      <c r="E383" s="5">
        <v>451.0</v>
      </c>
      <c r="F383" s="5">
        <v>233.0</v>
      </c>
      <c r="G383" s="5">
        <f t="shared" si="1"/>
        <v>684</v>
      </c>
      <c r="H383" s="10">
        <f t="shared" si="2"/>
        <v>0.6593567251</v>
      </c>
      <c r="I383" s="10">
        <v>0.2975</v>
      </c>
      <c r="J383" s="10">
        <v>0.7508</v>
      </c>
      <c r="K383" s="5">
        <f t="shared" si="3"/>
        <v>1</v>
      </c>
    </row>
    <row r="384" ht="15.0" customHeight="1">
      <c r="A384" s="5">
        <v>2022.0</v>
      </c>
      <c r="B384" s="5" t="s">
        <v>143</v>
      </c>
      <c r="C384" s="5" t="s">
        <v>145</v>
      </c>
      <c r="D384" s="5" t="s">
        <v>142</v>
      </c>
      <c r="E384" s="5">
        <v>346.0</v>
      </c>
      <c r="F384" s="5">
        <v>146.0</v>
      </c>
      <c r="G384" s="5">
        <f t="shared" si="1"/>
        <v>492</v>
      </c>
      <c r="H384" s="10">
        <f t="shared" si="2"/>
        <v>0.7032520325</v>
      </c>
      <c r="I384" s="10">
        <v>0.3273</v>
      </c>
      <c r="J384" s="10">
        <v>0.5553</v>
      </c>
      <c r="K384" s="5">
        <f t="shared" si="3"/>
        <v>0</v>
      </c>
    </row>
    <row r="385" ht="15.0" customHeight="1">
      <c r="A385" s="5">
        <v>2024.0</v>
      </c>
      <c r="B385" s="5" t="s">
        <v>143</v>
      </c>
      <c r="C385" s="5" t="s">
        <v>145</v>
      </c>
      <c r="D385" s="5" t="s">
        <v>142</v>
      </c>
      <c r="E385" s="5">
        <v>454.0</v>
      </c>
      <c r="F385" s="5">
        <v>218.0</v>
      </c>
      <c r="G385" s="5">
        <f t="shared" si="1"/>
        <v>672</v>
      </c>
      <c r="H385" s="10">
        <f t="shared" si="2"/>
        <v>0.6755952381</v>
      </c>
      <c r="I385" s="10">
        <v>0.3147</v>
      </c>
      <c r="J385" s="10">
        <v>0.7218</v>
      </c>
      <c r="K385" s="5">
        <f t="shared" si="3"/>
        <v>1</v>
      </c>
    </row>
    <row r="386" ht="15.0" customHeight="1">
      <c r="A386" s="5">
        <v>2018.0</v>
      </c>
      <c r="B386" s="5" t="s">
        <v>143</v>
      </c>
      <c r="C386" s="5" t="s">
        <v>145</v>
      </c>
      <c r="D386" s="5" t="s">
        <v>148</v>
      </c>
      <c r="E386" s="5">
        <v>382.0</v>
      </c>
      <c r="F386" s="5">
        <v>205.0</v>
      </c>
      <c r="G386" s="5">
        <f t="shared" si="1"/>
        <v>587</v>
      </c>
      <c r="H386" s="10">
        <f t="shared" si="2"/>
        <v>0.6507666099</v>
      </c>
      <c r="I386" s="10">
        <v>0.2096</v>
      </c>
      <c r="J386" s="10">
        <v>0.6449</v>
      </c>
      <c r="K386" s="5">
        <f t="shared" si="3"/>
        <v>0</v>
      </c>
    </row>
    <row r="387" ht="15.0" customHeight="1">
      <c r="A387" s="5">
        <v>2020.0</v>
      </c>
      <c r="B387" s="5" t="s">
        <v>143</v>
      </c>
      <c r="C387" s="5" t="s">
        <v>145</v>
      </c>
      <c r="D387" s="5" t="s">
        <v>148</v>
      </c>
      <c r="E387" s="5">
        <v>473.0</v>
      </c>
      <c r="F387" s="5">
        <v>294.0</v>
      </c>
      <c r="G387" s="5">
        <f t="shared" si="1"/>
        <v>767</v>
      </c>
      <c r="H387" s="10">
        <f t="shared" si="2"/>
        <v>0.6166883963</v>
      </c>
      <c r="I387" s="10">
        <v>0.2312</v>
      </c>
      <c r="J387" s="10">
        <v>0.7811</v>
      </c>
      <c r="K387" s="5">
        <f t="shared" si="3"/>
        <v>1</v>
      </c>
    </row>
    <row r="388" ht="15.0" customHeight="1">
      <c r="A388" s="5">
        <v>2022.0</v>
      </c>
      <c r="B388" s="5" t="s">
        <v>143</v>
      </c>
      <c r="C388" s="5" t="s">
        <v>145</v>
      </c>
      <c r="D388" s="5" t="s">
        <v>148</v>
      </c>
      <c r="E388" s="5">
        <v>410.0</v>
      </c>
      <c r="F388" s="5">
        <v>212.0</v>
      </c>
      <c r="G388" s="5">
        <f t="shared" si="1"/>
        <v>622</v>
      </c>
      <c r="H388" s="10">
        <f t="shared" si="2"/>
        <v>0.6591639871</v>
      </c>
      <c r="I388" s="10">
        <v>0.2516</v>
      </c>
      <c r="J388" s="10">
        <v>0.6466</v>
      </c>
      <c r="K388" s="5">
        <f t="shared" si="3"/>
        <v>0</v>
      </c>
    </row>
    <row r="389" ht="15.0" customHeight="1">
      <c r="A389" s="5">
        <v>2024.0</v>
      </c>
      <c r="B389" s="5" t="s">
        <v>143</v>
      </c>
      <c r="C389" s="5" t="s">
        <v>145</v>
      </c>
      <c r="D389" s="5" t="s">
        <v>148</v>
      </c>
      <c r="E389" s="5">
        <v>502.0</v>
      </c>
      <c r="F389" s="5">
        <v>274.0</v>
      </c>
      <c r="G389" s="5">
        <f t="shared" si="1"/>
        <v>776</v>
      </c>
      <c r="H389" s="10">
        <f t="shared" si="2"/>
        <v>0.6469072165</v>
      </c>
      <c r="I389" s="10">
        <v>0.2353</v>
      </c>
      <c r="J389" s="10">
        <v>0.787</v>
      </c>
      <c r="K389" s="5">
        <f t="shared" si="3"/>
        <v>1</v>
      </c>
    </row>
    <row r="390" ht="15.0" customHeight="1">
      <c r="A390" s="5">
        <v>2018.0</v>
      </c>
      <c r="B390" s="5" t="s">
        <v>143</v>
      </c>
      <c r="C390" s="5" t="s">
        <v>145</v>
      </c>
      <c r="D390" s="5" t="s">
        <v>149</v>
      </c>
      <c r="E390" s="5">
        <v>415.0</v>
      </c>
      <c r="F390" s="5">
        <v>235.0</v>
      </c>
      <c r="G390" s="5">
        <f t="shared" si="1"/>
        <v>650</v>
      </c>
      <c r="H390" s="10">
        <f t="shared" si="2"/>
        <v>0.6384615385</v>
      </c>
      <c r="I390" s="10">
        <v>0.0842</v>
      </c>
      <c r="J390" s="10">
        <v>0.7287</v>
      </c>
      <c r="K390" s="5">
        <f t="shared" si="3"/>
        <v>0</v>
      </c>
    </row>
    <row r="391" ht="15.0" customHeight="1">
      <c r="A391" s="5">
        <v>2020.0</v>
      </c>
      <c r="B391" s="5" t="s">
        <v>143</v>
      </c>
      <c r="C391" s="5" t="s">
        <v>145</v>
      </c>
      <c r="D391" s="5" t="s">
        <v>149</v>
      </c>
      <c r="E391" s="5">
        <v>491.0</v>
      </c>
      <c r="F391" s="5">
        <v>298.0</v>
      </c>
      <c r="G391" s="5">
        <f t="shared" si="1"/>
        <v>789</v>
      </c>
      <c r="H391" s="10">
        <f t="shared" si="2"/>
        <v>0.6223067174</v>
      </c>
      <c r="I391" s="10">
        <v>0.1123</v>
      </c>
      <c r="J391" s="10">
        <v>0.8279</v>
      </c>
      <c r="K391" s="5">
        <f t="shared" si="3"/>
        <v>1</v>
      </c>
    </row>
    <row r="392" ht="15.0" customHeight="1">
      <c r="A392" s="5">
        <v>2022.0</v>
      </c>
      <c r="B392" s="5" t="s">
        <v>143</v>
      </c>
      <c r="C392" s="5" t="s">
        <v>145</v>
      </c>
      <c r="D392" s="5" t="s">
        <v>149</v>
      </c>
      <c r="E392" s="5">
        <v>446.0</v>
      </c>
      <c r="F392" s="5">
        <v>239.0</v>
      </c>
      <c r="G392" s="5">
        <f t="shared" si="1"/>
        <v>685</v>
      </c>
      <c r="H392" s="10">
        <f t="shared" si="2"/>
        <v>0.6510948905</v>
      </c>
      <c r="I392" s="10">
        <v>0.1807</v>
      </c>
      <c r="J392" s="10">
        <v>0.7195</v>
      </c>
      <c r="K392" s="5">
        <f t="shared" si="3"/>
        <v>0</v>
      </c>
    </row>
    <row r="393" ht="15.0" customHeight="1">
      <c r="A393" s="5">
        <v>2024.0</v>
      </c>
      <c r="B393" s="5" t="s">
        <v>143</v>
      </c>
      <c r="C393" s="5" t="s">
        <v>145</v>
      </c>
      <c r="D393" s="5" t="s">
        <v>149</v>
      </c>
      <c r="E393" s="5">
        <v>502.0</v>
      </c>
      <c r="F393" s="5">
        <v>283.0</v>
      </c>
      <c r="G393" s="5">
        <f t="shared" si="1"/>
        <v>785</v>
      </c>
      <c r="H393" s="10">
        <f t="shared" si="2"/>
        <v>0.6394904459</v>
      </c>
      <c r="I393" s="10">
        <v>0.1665</v>
      </c>
      <c r="J393" s="10">
        <v>0.8118</v>
      </c>
      <c r="K393" s="5">
        <f t="shared" si="3"/>
        <v>1</v>
      </c>
    </row>
    <row r="394" ht="15.0" customHeight="1">
      <c r="A394" s="5">
        <v>2018.0</v>
      </c>
      <c r="B394" s="5" t="s">
        <v>143</v>
      </c>
      <c r="C394" s="5" t="s">
        <v>145</v>
      </c>
      <c r="D394" s="5" t="s">
        <v>150</v>
      </c>
      <c r="E394" s="5">
        <v>398.0</v>
      </c>
      <c r="F394" s="5">
        <v>167.0</v>
      </c>
      <c r="G394" s="5">
        <f t="shared" si="1"/>
        <v>565</v>
      </c>
      <c r="H394" s="10">
        <f t="shared" si="2"/>
        <v>0.7044247788</v>
      </c>
      <c r="I394" s="10">
        <v>0.28</v>
      </c>
      <c r="J394" s="10">
        <v>0.6082</v>
      </c>
      <c r="K394" s="5">
        <f t="shared" si="3"/>
        <v>0</v>
      </c>
    </row>
    <row r="395" ht="15.0" customHeight="1">
      <c r="A395" s="5">
        <v>2020.0</v>
      </c>
      <c r="B395" s="5" t="s">
        <v>143</v>
      </c>
      <c r="C395" s="5" t="s">
        <v>145</v>
      </c>
      <c r="D395" s="5" t="s">
        <v>150</v>
      </c>
      <c r="E395" s="5">
        <v>509.0</v>
      </c>
      <c r="F395" s="5">
        <v>243.0</v>
      </c>
      <c r="G395" s="5">
        <f t="shared" si="1"/>
        <v>752</v>
      </c>
      <c r="H395" s="10">
        <f t="shared" si="2"/>
        <v>0.6768617021</v>
      </c>
      <c r="I395" s="10">
        <v>0.2998</v>
      </c>
      <c r="J395" s="10">
        <v>0.7642</v>
      </c>
      <c r="K395" s="5">
        <f t="shared" si="3"/>
        <v>1</v>
      </c>
    </row>
    <row r="396" ht="15.0" customHeight="1">
      <c r="A396" s="5">
        <v>2022.0</v>
      </c>
      <c r="B396" s="5" t="s">
        <v>143</v>
      </c>
      <c r="C396" s="5" t="s">
        <v>145</v>
      </c>
      <c r="D396" s="5" t="s">
        <v>150</v>
      </c>
      <c r="E396" s="5">
        <v>410.0</v>
      </c>
      <c r="F396" s="5">
        <v>165.0</v>
      </c>
      <c r="G396" s="5">
        <f t="shared" si="1"/>
        <v>575</v>
      </c>
      <c r="H396" s="10">
        <f t="shared" si="2"/>
        <v>0.7130434783</v>
      </c>
      <c r="I396" s="10">
        <v>0.2982</v>
      </c>
      <c r="J396" s="10">
        <v>0.5996</v>
      </c>
      <c r="K396" s="5">
        <f t="shared" si="3"/>
        <v>0</v>
      </c>
    </row>
    <row r="397" ht="15.0" customHeight="1">
      <c r="A397" s="5">
        <v>2024.0</v>
      </c>
      <c r="B397" s="5" t="s">
        <v>143</v>
      </c>
      <c r="C397" s="5" t="s">
        <v>145</v>
      </c>
      <c r="D397" s="5" t="s">
        <v>150</v>
      </c>
      <c r="E397" s="5">
        <v>488.0</v>
      </c>
      <c r="F397" s="5">
        <v>252.0</v>
      </c>
      <c r="G397" s="5">
        <f t="shared" si="1"/>
        <v>740</v>
      </c>
      <c r="H397" s="10">
        <f t="shared" si="2"/>
        <v>0.6594594595</v>
      </c>
      <c r="I397" s="10">
        <v>0.2872</v>
      </c>
      <c r="J397" s="10">
        <v>0.7536</v>
      </c>
      <c r="K397" s="5">
        <f t="shared" si="3"/>
        <v>1</v>
      </c>
    </row>
    <row r="398" ht="15.0" customHeight="1">
      <c r="A398" s="5">
        <v>2018.0</v>
      </c>
      <c r="B398" s="5" t="s">
        <v>143</v>
      </c>
      <c r="C398" s="5" t="s">
        <v>145</v>
      </c>
      <c r="D398" s="5" t="s">
        <v>151</v>
      </c>
      <c r="E398" s="5">
        <v>261.0</v>
      </c>
      <c r="F398" s="5">
        <v>120.0</v>
      </c>
      <c r="G398" s="5">
        <f t="shared" si="1"/>
        <v>381</v>
      </c>
      <c r="H398" s="10">
        <f t="shared" si="2"/>
        <v>0.6850393701</v>
      </c>
      <c r="I398" s="10">
        <v>0.3417</v>
      </c>
      <c r="J398" s="10">
        <v>0.4944</v>
      </c>
      <c r="K398" s="5">
        <f t="shared" si="3"/>
        <v>0</v>
      </c>
    </row>
    <row r="399" ht="15.0" customHeight="1">
      <c r="A399" s="5">
        <v>2020.0</v>
      </c>
      <c r="B399" s="5" t="s">
        <v>143</v>
      </c>
      <c r="C399" s="5" t="s">
        <v>145</v>
      </c>
      <c r="D399" s="5" t="s">
        <v>151</v>
      </c>
      <c r="E399" s="5">
        <v>362.0</v>
      </c>
      <c r="F399" s="5">
        <v>219.0</v>
      </c>
      <c r="G399" s="5">
        <f t="shared" si="1"/>
        <v>581</v>
      </c>
      <c r="H399" s="10">
        <f t="shared" si="2"/>
        <v>0.6230636833</v>
      </c>
      <c r="I399" s="10">
        <v>0.3259</v>
      </c>
      <c r="J399" s="10">
        <v>0.6787</v>
      </c>
      <c r="K399" s="5">
        <f t="shared" si="3"/>
        <v>1</v>
      </c>
    </row>
    <row r="400" ht="15.0" customHeight="1">
      <c r="A400" s="5">
        <v>2022.0</v>
      </c>
      <c r="B400" s="5" t="s">
        <v>143</v>
      </c>
      <c r="C400" s="5" t="s">
        <v>145</v>
      </c>
      <c r="D400" s="5" t="s">
        <v>151</v>
      </c>
      <c r="E400" s="5">
        <v>212.0</v>
      </c>
      <c r="F400" s="5">
        <v>155.0</v>
      </c>
      <c r="G400" s="5">
        <f t="shared" si="1"/>
        <v>367</v>
      </c>
      <c r="H400" s="10">
        <f t="shared" si="2"/>
        <v>0.5776566757</v>
      </c>
      <c r="I400" s="10">
        <v>0.3269</v>
      </c>
      <c r="J400" s="10">
        <v>0.4427</v>
      </c>
      <c r="K400" s="5">
        <f t="shared" si="3"/>
        <v>0</v>
      </c>
    </row>
    <row r="401" ht="15.0" customHeight="1">
      <c r="A401" s="5">
        <v>2024.0</v>
      </c>
      <c r="B401" s="5" t="s">
        <v>143</v>
      </c>
      <c r="C401" s="5" t="s">
        <v>145</v>
      </c>
      <c r="D401" s="5" t="s">
        <v>151</v>
      </c>
      <c r="E401" s="5">
        <v>330.0</v>
      </c>
      <c r="F401" s="5">
        <v>270.0</v>
      </c>
      <c r="G401" s="5">
        <f t="shared" si="1"/>
        <v>600</v>
      </c>
      <c r="H401" s="10">
        <f t="shared" si="2"/>
        <v>0.55</v>
      </c>
      <c r="I401" s="10">
        <v>0.2418</v>
      </c>
      <c r="J401" s="10">
        <v>0.678</v>
      </c>
      <c r="K401" s="5">
        <f t="shared" si="3"/>
        <v>1</v>
      </c>
    </row>
    <row r="402" ht="15.0" customHeight="1">
      <c r="A402" s="5">
        <v>2018.0</v>
      </c>
      <c r="B402" s="5" t="s">
        <v>143</v>
      </c>
      <c r="C402" s="5" t="s">
        <v>145</v>
      </c>
      <c r="D402" s="5" t="s">
        <v>152</v>
      </c>
      <c r="E402" s="5">
        <v>491.0</v>
      </c>
      <c r="F402" s="5">
        <v>166.0</v>
      </c>
      <c r="G402" s="5">
        <f t="shared" si="1"/>
        <v>657</v>
      </c>
      <c r="H402" s="10">
        <f t="shared" si="2"/>
        <v>0.7473363775</v>
      </c>
      <c r="I402" s="10">
        <v>0.4431</v>
      </c>
      <c r="J402" s="10">
        <v>0.423</v>
      </c>
      <c r="K402" s="5">
        <f t="shared" si="3"/>
        <v>0</v>
      </c>
    </row>
    <row r="403" ht="15.0" customHeight="1">
      <c r="A403" s="5">
        <v>2020.0</v>
      </c>
      <c r="B403" s="5" t="s">
        <v>143</v>
      </c>
      <c r="C403" s="5" t="s">
        <v>145</v>
      </c>
      <c r="D403" s="5" t="s">
        <v>152</v>
      </c>
      <c r="E403" s="5">
        <v>687.0</v>
      </c>
      <c r="F403" s="5">
        <v>278.0</v>
      </c>
      <c r="G403" s="5">
        <f t="shared" si="1"/>
        <v>965</v>
      </c>
      <c r="H403" s="10">
        <f t="shared" si="2"/>
        <v>0.7119170984</v>
      </c>
      <c r="I403" s="10">
        <v>0.4626</v>
      </c>
      <c r="J403" s="10">
        <v>0.5775</v>
      </c>
      <c r="K403" s="5">
        <f t="shared" si="3"/>
        <v>1</v>
      </c>
    </row>
    <row r="404" ht="15.0" customHeight="1">
      <c r="A404" s="5">
        <v>2022.0</v>
      </c>
      <c r="B404" s="5" t="s">
        <v>143</v>
      </c>
      <c r="C404" s="5" t="s">
        <v>145</v>
      </c>
      <c r="D404" s="5" t="s">
        <v>152</v>
      </c>
      <c r="E404" s="5">
        <v>384.0</v>
      </c>
      <c r="F404" s="5">
        <v>166.0</v>
      </c>
      <c r="G404" s="5">
        <f t="shared" si="1"/>
        <v>550</v>
      </c>
      <c r="H404" s="10">
        <f t="shared" si="2"/>
        <v>0.6981818182</v>
      </c>
      <c r="I404" s="10">
        <v>0.4592</v>
      </c>
      <c r="J404" s="10">
        <v>0.3562</v>
      </c>
      <c r="K404" s="5">
        <f t="shared" si="3"/>
        <v>0</v>
      </c>
    </row>
    <row r="405" ht="15.0" customHeight="1">
      <c r="A405" s="5">
        <v>2024.0</v>
      </c>
      <c r="B405" s="5" t="s">
        <v>143</v>
      </c>
      <c r="C405" s="5" t="s">
        <v>145</v>
      </c>
      <c r="D405" s="5" t="s">
        <v>152</v>
      </c>
      <c r="E405" s="5">
        <v>591.0</v>
      </c>
      <c r="F405" s="5">
        <v>333.0</v>
      </c>
      <c r="G405" s="5">
        <f t="shared" si="1"/>
        <v>924</v>
      </c>
      <c r="H405" s="10">
        <f t="shared" si="2"/>
        <v>0.6396103896</v>
      </c>
      <c r="I405" s="10">
        <v>0.3804</v>
      </c>
      <c r="J405" s="10">
        <v>0.5743</v>
      </c>
      <c r="K405" s="5">
        <f t="shared" si="3"/>
        <v>1</v>
      </c>
    </row>
    <row r="406" ht="15.0" customHeight="1">
      <c r="A406" s="5">
        <v>2018.0</v>
      </c>
      <c r="B406" s="5" t="s">
        <v>143</v>
      </c>
      <c r="C406" s="5" t="s">
        <v>145</v>
      </c>
      <c r="D406" s="5" t="s">
        <v>153</v>
      </c>
      <c r="E406" s="5">
        <v>266.0</v>
      </c>
      <c r="F406" s="5">
        <v>158.0</v>
      </c>
      <c r="G406" s="5">
        <f t="shared" si="1"/>
        <v>424</v>
      </c>
      <c r="H406" s="10">
        <f t="shared" si="2"/>
        <v>0.6273584906</v>
      </c>
      <c r="I406" s="10">
        <v>0.2829</v>
      </c>
      <c r="J406" s="10">
        <v>0.5684</v>
      </c>
      <c r="K406" s="5">
        <f t="shared" si="3"/>
        <v>0</v>
      </c>
    </row>
    <row r="407" ht="15.0" customHeight="1">
      <c r="A407" s="5">
        <v>2020.0</v>
      </c>
      <c r="B407" s="5" t="s">
        <v>143</v>
      </c>
      <c r="C407" s="5" t="s">
        <v>145</v>
      </c>
      <c r="D407" s="5" t="s">
        <v>153</v>
      </c>
      <c r="E407" s="5">
        <v>345.0</v>
      </c>
      <c r="F407" s="5">
        <v>245.0</v>
      </c>
      <c r="G407" s="5">
        <f t="shared" si="1"/>
        <v>590</v>
      </c>
      <c r="H407" s="10">
        <f t="shared" si="2"/>
        <v>0.5847457627</v>
      </c>
      <c r="I407" s="10">
        <v>0.2647</v>
      </c>
      <c r="J407" s="10">
        <v>0.723</v>
      </c>
      <c r="K407" s="5">
        <f t="shared" si="3"/>
        <v>1</v>
      </c>
    </row>
    <row r="408" ht="15.0" customHeight="1">
      <c r="A408" s="5">
        <v>2022.0</v>
      </c>
      <c r="B408" s="5" t="s">
        <v>143</v>
      </c>
      <c r="C408" s="5" t="s">
        <v>145</v>
      </c>
      <c r="D408" s="5" t="s">
        <v>153</v>
      </c>
      <c r="E408" s="5">
        <v>254.0</v>
      </c>
      <c r="F408" s="5">
        <v>167.0</v>
      </c>
      <c r="G408" s="5">
        <f t="shared" si="1"/>
        <v>421</v>
      </c>
      <c r="H408" s="10">
        <f t="shared" si="2"/>
        <v>0.6033254157</v>
      </c>
      <c r="I408" s="10">
        <v>0.2607</v>
      </c>
      <c r="J408" s="10">
        <v>0.546</v>
      </c>
      <c r="K408" s="5">
        <f t="shared" si="3"/>
        <v>0</v>
      </c>
    </row>
    <row r="409" ht="15.0" customHeight="1">
      <c r="A409" s="5">
        <v>2024.0</v>
      </c>
      <c r="B409" s="5" t="s">
        <v>143</v>
      </c>
      <c r="C409" s="5" t="s">
        <v>145</v>
      </c>
      <c r="D409" s="5" t="s">
        <v>153</v>
      </c>
      <c r="E409" s="5">
        <v>347.0</v>
      </c>
      <c r="F409" s="5">
        <v>243.0</v>
      </c>
      <c r="G409" s="5">
        <f t="shared" si="1"/>
        <v>590</v>
      </c>
      <c r="H409" s="10">
        <f t="shared" si="2"/>
        <v>0.5881355932</v>
      </c>
      <c r="I409" s="10">
        <v>0.1919</v>
      </c>
      <c r="J409" s="10">
        <v>0.7257</v>
      </c>
      <c r="K409" s="5">
        <f t="shared" si="3"/>
        <v>1</v>
      </c>
    </row>
    <row r="410" ht="15.0" customHeight="1">
      <c r="A410" s="5">
        <v>2018.0</v>
      </c>
      <c r="B410" s="5" t="s">
        <v>143</v>
      </c>
      <c r="C410" s="5" t="s">
        <v>145</v>
      </c>
      <c r="D410" s="5" t="s">
        <v>154</v>
      </c>
      <c r="E410" s="5">
        <v>296.0</v>
      </c>
      <c r="F410" s="5">
        <v>115.0</v>
      </c>
      <c r="G410" s="5">
        <f t="shared" si="1"/>
        <v>411</v>
      </c>
      <c r="H410" s="10">
        <f t="shared" si="2"/>
        <v>0.7201946472</v>
      </c>
      <c r="I410" s="10">
        <v>0.4709</v>
      </c>
      <c r="J410" s="10">
        <v>0.3184</v>
      </c>
      <c r="K410" s="5">
        <f t="shared" si="3"/>
        <v>0</v>
      </c>
    </row>
    <row r="411" ht="15.0" customHeight="1">
      <c r="A411" s="5">
        <v>2020.0</v>
      </c>
      <c r="B411" s="5" t="s">
        <v>143</v>
      </c>
      <c r="C411" s="5" t="s">
        <v>145</v>
      </c>
      <c r="D411" s="5" t="s">
        <v>154</v>
      </c>
      <c r="E411" s="5">
        <v>522.0</v>
      </c>
      <c r="F411" s="5">
        <v>235.0</v>
      </c>
      <c r="G411" s="5">
        <f t="shared" si="1"/>
        <v>757</v>
      </c>
      <c r="H411" s="10">
        <f t="shared" si="2"/>
        <v>0.6895640687</v>
      </c>
      <c r="I411" s="10">
        <v>0.4563</v>
      </c>
      <c r="J411" s="10">
        <v>0.529</v>
      </c>
      <c r="K411" s="5">
        <f t="shared" si="3"/>
        <v>1</v>
      </c>
    </row>
    <row r="412" ht="15.0" customHeight="1">
      <c r="A412" s="5">
        <v>2022.0</v>
      </c>
      <c r="B412" s="5" t="s">
        <v>143</v>
      </c>
      <c r="C412" s="5" t="s">
        <v>145</v>
      </c>
      <c r="D412" s="5" t="s">
        <v>154</v>
      </c>
      <c r="E412" s="5">
        <v>265.0</v>
      </c>
      <c r="F412" s="5">
        <v>121.0</v>
      </c>
      <c r="G412" s="5">
        <f t="shared" si="1"/>
        <v>386</v>
      </c>
      <c r="H412" s="10">
        <f t="shared" si="2"/>
        <v>0.6865284974</v>
      </c>
      <c r="I412" s="10">
        <v>0.4359</v>
      </c>
      <c r="J412" s="10">
        <v>0.2911</v>
      </c>
      <c r="K412" s="5">
        <f t="shared" si="3"/>
        <v>0</v>
      </c>
    </row>
    <row r="413" ht="15.0" customHeight="1">
      <c r="A413" s="5">
        <v>2024.0</v>
      </c>
      <c r="B413" s="5" t="s">
        <v>143</v>
      </c>
      <c r="C413" s="5" t="s">
        <v>145</v>
      </c>
      <c r="D413" s="5" t="s">
        <v>154</v>
      </c>
      <c r="E413" s="5">
        <v>440.0</v>
      </c>
      <c r="F413" s="5">
        <v>259.0</v>
      </c>
      <c r="G413" s="5">
        <f t="shared" si="1"/>
        <v>699</v>
      </c>
      <c r="H413" s="10">
        <f t="shared" si="2"/>
        <v>0.6294706724</v>
      </c>
      <c r="I413" s="10">
        <v>0.3827</v>
      </c>
      <c r="J413" s="10">
        <v>0.5205</v>
      </c>
      <c r="K413" s="5">
        <f t="shared" si="3"/>
        <v>1</v>
      </c>
    </row>
    <row r="414" ht="15.0" customHeight="1">
      <c r="A414" s="5">
        <v>2018.0</v>
      </c>
      <c r="B414" s="5" t="s">
        <v>143</v>
      </c>
      <c r="C414" s="5" t="s">
        <v>145</v>
      </c>
      <c r="D414" s="5" t="s">
        <v>155</v>
      </c>
      <c r="E414" s="5">
        <v>367.0</v>
      </c>
      <c r="F414" s="5">
        <v>246.0</v>
      </c>
      <c r="G414" s="5">
        <f t="shared" si="1"/>
        <v>613</v>
      </c>
      <c r="H414" s="10">
        <f t="shared" si="2"/>
        <v>0.5986949429</v>
      </c>
      <c r="I414" s="10">
        <v>0.2291</v>
      </c>
      <c r="J414" s="10">
        <v>0.2542</v>
      </c>
      <c r="K414" s="5">
        <f t="shared" si="3"/>
        <v>0</v>
      </c>
    </row>
    <row r="415" ht="15.0" customHeight="1">
      <c r="A415" s="5">
        <v>2020.0</v>
      </c>
      <c r="B415" s="5" t="s">
        <v>143</v>
      </c>
      <c r="C415" s="5" t="s">
        <v>145</v>
      </c>
      <c r="D415" s="5" t="s">
        <v>155</v>
      </c>
      <c r="E415" s="5">
        <v>531.0</v>
      </c>
      <c r="F415" s="5">
        <v>393.0</v>
      </c>
      <c r="G415" s="5">
        <f t="shared" si="1"/>
        <v>924</v>
      </c>
      <c r="H415" s="10">
        <f t="shared" si="2"/>
        <v>0.5746753247</v>
      </c>
      <c r="I415" s="10">
        <v>0.27</v>
      </c>
      <c r="J415" s="10">
        <v>0.6855</v>
      </c>
      <c r="K415" s="5">
        <f t="shared" si="3"/>
        <v>1</v>
      </c>
    </row>
    <row r="416" ht="15.0" customHeight="1">
      <c r="A416" s="5">
        <v>2022.0</v>
      </c>
      <c r="B416" s="5" t="s">
        <v>143</v>
      </c>
      <c r="C416" s="5" t="s">
        <v>145</v>
      </c>
      <c r="D416" s="5" t="s">
        <v>155</v>
      </c>
      <c r="E416" s="5">
        <v>351.0</v>
      </c>
      <c r="F416" s="5">
        <v>253.0</v>
      </c>
      <c r="G416" s="5">
        <f t="shared" si="1"/>
        <v>604</v>
      </c>
      <c r="H416" s="10">
        <f t="shared" si="2"/>
        <v>0.5811258278</v>
      </c>
      <c r="I416" s="10">
        <v>0.2721</v>
      </c>
      <c r="J416" s="10">
        <v>0.4406</v>
      </c>
      <c r="K416" s="5">
        <f t="shared" si="3"/>
        <v>0</v>
      </c>
    </row>
    <row r="417" ht="15.0" customHeight="1">
      <c r="A417" s="5">
        <v>2024.0</v>
      </c>
      <c r="B417" s="5" t="s">
        <v>143</v>
      </c>
      <c r="C417" s="5" t="s">
        <v>145</v>
      </c>
      <c r="D417" s="5" t="s">
        <v>155</v>
      </c>
      <c r="E417" s="5">
        <v>553.0</v>
      </c>
      <c r="F417" s="5">
        <v>367.0</v>
      </c>
      <c r="G417" s="5">
        <f t="shared" si="1"/>
        <v>920</v>
      </c>
      <c r="H417" s="10">
        <f t="shared" si="2"/>
        <v>0.6010869565</v>
      </c>
      <c r="I417" s="10">
        <v>0.2534</v>
      </c>
      <c r="J417" s="10">
        <v>0.6493</v>
      </c>
      <c r="K417" s="5">
        <f t="shared" si="3"/>
        <v>1</v>
      </c>
    </row>
    <row r="418" ht="15.0" customHeight="1">
      <c r="A418" s="5">
        <v>2018.0</v>
      </c>
      <c r="B418" s="5" t="s">
        <v>143</v>
      </c>
      <c r="C418" s="5" t="s">
        <v>145</v>
      </c>
      <c r="D418" s="5" t="s">
        <v>156</v>
      </c>
      <c r="E418" s="5">
        <v>603.0</v>
      </c>
      <c r="F418" s="5">
        <v>239.0</v>
      </c>
      <c r="G418" s="5">
        <f t="shared" si="1"/>
        <v>842</v>
      </c>
      <c r="H418" s="10">
        <f t="shared" si="2"/>
        <v>0.716152019</v>
      </c>
      <c r="I418" s="10">
        <v>0.4063</v>
      </c>
      <c r="J418" s="10">
        <v>0.4026</v>
      </c>
      <c r="K418" s="5">
        <f t="shared" si="3"/>
        <v>0</v>
      </c>
    </row>
    <row r="419" ht="15.0" customHeight="1">
      <c r="A419" s="5">
        <v>2020.0</v>
      </c>
      <c r="B419" s="5" t="s">
        <v>143</v>
      </c>
      <c r="C419" s="5" t="s">
        <v>145</v>
      </c>
      <c r="D419" s="5" t="s">
        <v>156</v>
      </c>
      <c r="E419" s="5">
        <v>932.0</v>
      </c>
      <c r="F419" s="5">
        <v>440.0</v>
      </c>
      <c r="G419" s="5">
        <f t="shared" si="1"/>
        <v>1372</v>
      </c>
      <c r="H419" s="10">
        <f t="shared" si="2"/>
        <v>0.6793002915</v>
      </c>
      <c r="I419" s="10">
        <v>0.3829</v>
      </c>
      <c r="J419" s="10">
        <v>0.5883</v>
      </c>
      <c r="K419" s="5">
        <f t="shared" si="3"/>
        <v>1</v>
      </c>
    </row>
    <row r="420" ht="15.0" customHeight="1">
      <c r="A420" s="5">
        <v>2022.0</v>
      </c>
      <c r="B420" s="5" t="s">
        <v>143</v>
      </c>
      <c r="C420" s="5" t="s">
        <v>145</v>
      </c>
      <c r="D420" s="5" t="s">
        <v>156</v>
      </c>
      <c r="E420" s="5">
        <v>493.0</v>
      </c>
      <c r="F420" s="5">
        <v>277.0</v>
      </c>
      <c r="G420" s="5">
        <f t="shared" si="1"/>
        <v>770</v>
      </c>
      <c r="H420" s="10">
        <f t="shared" si="2"/>
        <v>0.6402597403</v>
      </c>
      <c r="I420" s="10">
        <v>0.3725</v>
      </c>
      <c r="J420" s="10">
        <v>0.3444</v>
      </c>
      <c r="K420" s="5">
        <f t="shared" si="3"/>
        <v>0</v>
      </c>
    </row>
    <row r="421" ht="15.0" customHeight="1">
      <c r="A421" s="5">
        <v>2024.0</v>
      </c>
      <c r="B421" s="5" t="s">
        <v>143</v>
      </c>
      <c r="C421" s="5" t="s">
        <v>145</v>
      </c>
      <c r="D421" s="5" t="s">
        <v>156</v>
      </c>
      <c r="E421" s="5">
        <v>821.0</v>
      </c>
      <c r="F421" s="5">
        <v>504.0</v>
      </c>
      <c r="G421" s="5">
        <f t="shared" si="1"/>
        <v>1325</v>
      </c>
      <c r="H421" s="10">
        <f t="shared" si="2"/>
        <v>0.6196226415</v>
      </c>
      <c r="I421" s="10">
        <v>0.3131</v>
      </c>
      <c r="J421" s="10">
        <v>0.5675</v>
      </c>
      <c r="K421" s="5">
        <f t="shared" si="3"/>
        <v>1</v>
      </c>
    </row>
    <row r="422" ht="15.0" customHeight="1">
      <c r="A422" s="5">
        <v>2018.0</v>
      </c>
      <c r="B422" s="5" t="s">
        <v>143</v>
      </c>
      <c r="C422" s="5" t="s">
        <v>157</v>
      </c>
      <c r="D422" s="5" t="s">
        <v>158</v>
      </c>
      <c r="E422" s="5">
        <v>425.0</v>
      </c>
      <c r="F422" s="5">
        <v>139.0</v>
      </c>
      <c r="G422" s="5">
        <f t="shared" si="1"/>
        <v>564</v>
      </c>
      <c r="H422" s="10">
        <f t="shared" si="2"/>
        <v>0.7535460993</v>
      </c>
      <c r="I422" s="10">
        <v>0.4305</v>
      </c>
      <c r="J422" s="10">
        <v>0.5366</v>
      </c>
      <c r="K422" s="5">
        <f t="shared" si="3"/>
        <v>0</v>
      </c>
    </row>
    <row r="423" ht="15.0" customHeight="1">
      <c r="A423" s="5">
        <v>2020.0</v>
      </c>
      <c r="B423" s="5" t="s">
        <v>143</v>
      </c>
      <c r="C423" s="5" t="s">
        <v>157</v>
      </c>
      <c r="D423" s="5" t="s">
        <v>158</v>
      </c>
      <c r="E423" s="5">
        <v>593.0</v>
      </c>
      <c r="F423" s="5">
        <v>230.0</v>
      </c>
      <c r="G423" s="5">
        <f t="shared" si="1"/>
        <v>823</v>
      </c>
      <c r="H423" s="10">
        <f t="shared" si="2"/>
        <v>0.7205346294</v>
      </c>
      <c r="I423" s="10">
        <v>0.4219</v>
      </c>
      <c r="J423" s="10">
        <v>0.7028</v>
      </c>
      <c r="K423" s="5">
        <f t="shared" si="3"/>
        <v>1</v>
      </c>
    </row>
    <row r="424" ht="15.0" customHeight="1">
      <c r="A424" s="5">
        <v>2022.0</v>
      </c>
      <c r="B424" s="5" t="s">
        <v>143</v>
      </c>
      <c r="C424" s="5" t="s">
        <v>157</v>
      </c>
      <c r="D424" s="5" t="s">
        <v>158</v>
      </c>
      <c r="E424" s="5">
        <v>472.0</v>
      </c>
      <c r="F424" s="5">
        <v>160.0</v>
      </c>
      <c r="G424" s="5">
        <f t="shared" si="1"/>
        <v>632</v>
      </c>
      <c r="H424" s="10">
        <f t="shared" si="2"/>
        <v>0.746835443</v>
      </c>
      <c r="I424" s="10">
        <v>0.4352</v>
      </c>
      <c r="J424" s="10">
        <v>0.5425</v>
      </c>
      <c r="K424" s="5">
        <f t="shared" si="3"/>
        <v>0</v>
      </c>
    </row>
    <row r="425" ht="15.0" customHeight="1">
      <c r="A425" s="5">
        <v>2024.0</v>
      </c>
      <c r="B425" s="5" t="s">
        <v>143</v>
      </c>
      <c r="C425" s="5" t="s">
        <v>157</v>
      </c>
      <c r="D425" s="5" t="s">
        <v>158</v>
      </c>
      <c r="E425" s="5">
        <v>598.0</v>
      </c>
      <c r="F425" s="5">
        <v>253.0</v>
      </c>
      <c r="G425" s="5">
        <f t="shared" si="1"/>
        <v>851</v>
      </c>
      <c r="H425" s="10">
        <f t="shared" si="2"/>
        <v>0.7027027027</v>
      </c>
      <c r="I425" s="10">
        <v>0.3761</v>
      </c>
      <c r="J425" s="10">
        <v>0.6824</v>
      </c>
      <c r="K425" s="5">
        <f t="shared" si="3"/>
        <v>1</v>
      </c>
    </row>
    <row r="426" ht="15.0" customHeight="1">
      <c r="A426" s="5">
        <v>2018.0</v>
      </c>
      <c r="B426" s="5" t="s">
        <v>143</v>
      </c>
      <c r="C426" s="5" t="s">
        <v>157</v>
      </c>
      <c r="D426" s="5" t="s">
        <v>159</v>
      </c>
      <c r="E426" s="5">
        <v>325.0</v>
      </c>
      <c r="F426" s="5">
        <v>106.0</v>
      </c>
      <c r="G426" s="5">
        <f t="shared" si="1"/>
        <v>431</v>
      </c>
      <c r="H426" s="10">
        <f t="shared" si="2"/>
        <v>0.7540603248</v>
      </c>
      <c r="I426" s="10">
        <v>0.4116</v>
      </c>
      <c r="J426" s="10">
        <v>0.554</v>
      </c>
      <c r="K426" s="5">
        <f t="shared" si="3"/>
        <v>0</v>
      </c>
    </row>
    <row r="427" ht="15.0" customHeight="1">
      <c r="A427" s="5">
        <v>2020.0</v>
      </c>
      <c r="B427" s="5" t="s">
        <v>143</v>
      </c>
      <c r="C427" s="5" t="s">
        <v>157</v>
      </c>
      <c r="D427" s="5" t="s">
        <v>159</v>
      </c>
      <c r="E427" s="5">
        <v>414.0</v>
      </c>
      <c r="F427" s="5">
        <v>216.0</v>
      </c>
      <c r="G427" s="5">
        <f t="shared" si="1"/>
        <v>630</v>
      </c>
      <c r="H427" s="10">
        <f t="shared" si="2"/>
        <v>0.6571428571</v>
      </c>
      <c r="I427" s="10">
        <v>0.3937</v>
      </c>
      <c r="J427" s="10">
        <v>0.7127</v>
      </c>
      <c r="K427" s="5">
        <f t="shared" si="3"/>
        <v>1</v>
      </c>
    </row>
    <row r="428" ht="15.0" customHeight="1">
      <c r="A428" s="5">
        <v>2022.0</v>
      </c>
      <c r="B428" s="5" t="s">
        <v>143</v>
      </c>
      <c r="C428" s="5" t="s">
        <v>157</v>
      </c>
      <c r="D428" s="5" t="s">
        <v>159</v>
      </c>
      <c r="E428" s="5">
        <v>324.0</v>
      </c>
      <c r="F428" s="5">
        <v>138.0</v>
      </c>
      <c r="G428" s="5">
        <f t="shared" si="1"/>
        <v>462</v>
      </c>
      <c r="H428" s="10">
        <f t="shared" si="2"/>
        <v>0.7012987013</v>
      </c>
      <c r="I428" s="10">
        <v>0.3742</v>
      </c>
      <c r="J428" s="10">
        <v>0.5191</v>
      </c>
      <c r="K428" s="5">
        <f t="shared" si="3"/>
        <v>0</v>
      </c>
    </row>
    <row r="429" ht="15.0" customHeight="1">
      <c r="A429" s="5">
        <v>2024.0</v>
      </c>
      <c r="B429" s="5" t="s">
        <v>143</v>
      </c>
      <c r="C429" s="5" t="s">
        <v>157</v>
      </c>
      <c r="D429" s="5" t="s">
        <v>159</v>
      </c>
      <c r="E429" s="5">
        <v>420.0</v>
      </c>
      <c r="F429" s="5">
        <v>214.0</v>
      </c>
      <c r="G429" s="5">
        <f t="shared" si="1"/>
        <v>634</v>
      </c>
      <c r="H429" s="10">
        <f t="shared" si="2"/>
        <v>0.6624605678</v>
      </c>
      <c r="I429" s="10">
        <v>0.3008</v>
      </c>
      <c r="J429" s="10">
        <v>0.6959</v>
      </c>
      <c r="K429" s="5">
        <f t="shared" si="3"/>
        <v>1</v>
      </c>
    </row>
    <row r="430" ht="15.0" customHeight="1">
      <c r="A430" s="5">
        <v>2018.0</v>
      </c>
      <c r="B430" s="5" t="s">
        <v>143</v>
      </c>
      <c r="C430" s="5" t="s">
        <v>157</v>
      </c>
      <c r="D430" s="5" t="s">
        <v>160</v>
      </c>
      <c r="E430" s="5">
        <v>328.0</v>
      </c>
      <c r="F430" s="5">
        <v>109.0</v>
      </c>
      <c r="G430" s="5">
        <f t="shared" si="1"/>
        <v>437</v>
      </c>
      <c r="H430" s="10">
        <f t="shared" si="2"/>
        <v>0.7505720824</v>
      </c>
      <c r="I430" s="10">
        <v>0.4199</v>
      </c>
      <c r="J430" s="10">
        <v>0.5814</v>
      </c>
      <c r="K430" s="5">
        <f t="shared" si="3"/>
        <v>0</v>
      </c>
    </row>
    <row r="431" ht="15.0" customHeight="1">
      <c r="A431" s="5">
        <v>2020.0</v>
      </c>
      <c r="B431" s="5" t="s">
        <v>143</v>
      </c>
      <c r="C431" s="5" t="s">
        <v>157</v>
      </c>
      <c r="D431" s="5" t="s">
        <v>160</v>
      </c>
      <c r="E431" s="5">
        <v>431.0</v>
      </c>
      <c r="F431" s="5">
        <v>182.0</v>
      </c>
      <c r="G431" s="5">
        <f t="shared" si="1"/>
        <v>613</v>
      </c>
      <c r="H431" s="10">
        <f t="shared" si="2"/>
        <v>0.7030995106</v>
      </c>
      <c r="I431" s="10">
        <v>0.422</v>
      </c>
      <c r="J431" s="10">
        <v>0.7246</v>
      </c>
      <c r="K431" s="5">
        <f t="shared" si="3"/>
        <v>1</v>
      </c>
    </row>
    <row r="432" ht="15.0" customHeight="1">
      <c r="A432" s="5">
        <v>2022.0</v>
      </c>
      <c r="B432" s="5" t="s">
        <v>143</v>
      </c>
      <c r="C432" s="5" t="s">
        <v>157</v>
      </c>
      <c r="D432" s="5" t="s">
        <v>160</v>
      </c>
      <c r="E432" s="5">
        <v>366.0</v>
      </c>
      <c r="F432" s="5">
        <v>124.0</v>
      </c>
      <c r="G432" s="5">
        <f t="shared" si="1"/>
        <v>490</v>
      </c>
      <c r="H432" s="10">
        <f t="shared" si="2"/>
        <v>0.7469387755</v>
      </c>
      <c r="I432" s="10">
        <v>0.416</v>
      </c>
      <c r="J432" s="10">
        <v>0.56</v>
      </c>
      <c r="K432" s="5">
        <f t="shared" si="3"/>
        <v>0</v>
      </c>
    </row>
    <row r="433" ht="15.0" customHeight="1">
      <c r="A433" s="5">
        <v>2024.0</v>
      </c>
      <c r="B433" s="5" t="s">
        <v>143</v>
      </c>
      <c r="C433" s="5" t="s">
        <v>157</v>
      </c>
      <c r="D433" s="5" t="s">
        <v>160</v>
      </c>
      <c r="E433" s="5">
        <v>438.0</v>
      </c>
      <c r="F433" s="5">
        <v>176.0</v>
      </c>
      <c r="G433" s="5">
        <f t="shared" si="1"/>
        <v>614</v>
      </c>
      <c r="H433" s="10">
        <f t="shared" si="2"/>
        <v>0.7133550489</v>
      </c>
      <c r="I433" s="10">
        <v>0.373</v>
      </c>
      <c r="J433" s="10">
        <v>0.7025</v>
      </c>
      <c r="K433" s="5">
        <f t="shared" si="3"/>
        <v>1</v>
      </c>
    </row>
    <row r="434" ht="15.0" customHeight="1">
      <c r="A434" s="5">
        <v>2018.0</v>
      </c>
      <c r="B434" s="5" t="s">
        <v>143</v>
      </c>
      <c r="C434" s="5" t="s">
        <v>157</v>
      </c>
      <c r="D434" s="5" t="s">
        <v>161</v>
      </c>
      <c r="E434" s="5">
        <v>358.0</v>
      </c>
      <c r="F434" s="5">
        <v>130.0</v>
      </c>
      <c r="G434" s="5">
        <f t="shared" si="1"/>
        <v>488</v>
      </c>
      <c r="H434" s="10">
        <f t="shared" si="2"/>
        <v>0.7336065574</v>
      </c>
      <c r="I434" s="10">
        <v>0.3325</v>
      </c>
      <c r="J434" s="10">
        <v>0.6376</v>
      </c>
      <c r="K434" s="5">
        <f t="shared" si="3"/>
        <v>0</v>
      </c>
    </row>
    <row r="435" ht="15.0" customHeight="1">
      <c r="A435" s="5">
        <v>2020.0</v>
      </c>
      <c r="B435" s="5" t="s">
        <v>143</v>
      </c>
      <c r="C435" s="5" t="s">
        <v>157</v>
      </c>
      <c r="D435" s="5" t="s">
        <v>161</v>
      </c>
      <c r="E435" s="5">
        <v>467.0</v>
      </c>
      <c r="F435" s="5">
        <v>214.0</v>
      </c>
      <c r="G435" s="5">
        <f t="shared" si="1"/>
        <v>681</v>
      </c>
      <c r="H435" s="10">
        <f t="shared" si="2"/>
        <v>0.6857562408</v>
      </c>
      <c r="I435" s="10">
        <v>0.3507</v>
      </c>
      <c r="J435" s="10">
        <v>0.7882</v>
      </c>
      <c r="K435" s="5">
        <f t="shared" si="3"/>
        <v>1</v>
      </c>
    </row>
    <row r="436" ht="15.0" customHeight="1">
      <c r="A436" s="5">
        <v>2022.0</v>
      </c>
      <c r="B436" s="5" t="s">
        <v>143</v>
      </c>
      <c r="C436" s="5" t="s">
        <v>157</v>
      </c>
      <c r="D436" s="5" t="s">
        <v>161</v>
      </c>
      <c r="E436" s="5">
        <v>415.0</v>
      </c>
      <c r="F436" s="5">
        <v>166.0</v>
      </c>
      <c r="G436" s="5">
        <f t="shared" si="1"/>
        <v>581</v>
      </c>
      <c r="H436" s="10">
        <f t="shared" si="2"/>
        <v>0.7142857143</v>
      </c>
      <c r="I436" s="10">
        <v>0.3532</v>
      </c>
      <c r="J436" s="10">
        <v>0.6663</v>
      </c>
      <c r="K436" s="5">
        <f t="shared" si="3"/>
        <v>0</v>
      </c>
    </row>
    <row r="437" ht="15.0" customHeight="1">
      <c r="A437" s="5">
        <v>2024.0</v>
      </c>
      <c r="B437" s="5" t="s">
        <v>143</v>
      </c>
      <c r="C437" s="5" t="s">
        <v>157</v>
      </c>
      <c r="D437" s="5" t="s">
        <v>161</v>
      </c>
      <c r="E437" s="5">
        <v>463.0</v>
      </c>
      <c r="F437" s="5">
        <v>219.0</v>
      </c>
      <c r="G437" s="5">
        <f t="shared" si="1"/>
        <v>682</v>
      </c>
      <c r="H437" s="10">
        <f t="shared" si="2"/>
        <v>0.6788856305</v>
      </c>
      <c r="I437" s="10">
        <v>0.3349</v>
      </c>
      <c r="J437" s="10">
        <v>0.7821</v>
      </c>
      <c r="K437" s="5">
        <f t="shared" si="3"/>
        <v>1</v>
      </c>
    </row>
    <row r="438" ht="15.0" customHeight="1">
      <c r="A438" s="5">
        <v>2018.0</v>
      </c>
      <c r="B438" s="5" t="s">
        <v>143</v>
      </c>
      <c r="C438" s="5" t="s">
        <v>157</v>
      </c>
      <c r="D438" s="5" t="s">
        <v>162</v>
      </c>
      <c r="E438" s="5">
        <v>548.0</v>
      </c>
      <c r="F438" s="5">
        <v>248.0</v>
      </c>
      <c r="G438" s="5">
        <f t="shared" si="1"/>
        <v>796</v>
      </c>
      <c r="H438" s="10">
        <f t="shared" si="2"/>
        <v>0.6884422111</v>
      </c>
      <c r="I438" s="10">
        <v>0.3623</v>
      </c>
      <c r="J438" s="10">
        <v>0.518</v>
      </c>
      <c r="K438" s="5">
        <f t="shared" si="3"/>
        <v>0</v>
      </c>
    </row>
    <row r="439" ht="15.0" customHeight="1">
      <c r="A439" s="5">
        <v>2020.0</v>
      </c>
      <c r="B439" s="5" t="s">
        <v>143</v>
      </c>
      <c r="C439" s="5" t="s">
        <v>157</v>
      </c>
      <c r="D439" s="5" t="s">
        <v>162</v>
      </c>
      <c r="E439" s="5">
        <v>811.0</v>
      </c>
      <c r="F439" s="5">
        <v>418.0</v>
      </c>
      <c r="G439" s="5">
        <f t="shared" si="1"/>
        <v>1229</v>
      </c>
      <c r="H439" s="10">
        <f t="shared" si="2"/>
        <v>0.6598860862</v>
      </c>
      <c r="I439" s="10">
        <v>0.3356</v>
      </c>
      <c r="J439" s="10">
        <v>0.7075</v>
      </c>
      <c r="K439" s="5">
        <f t="shared" si="3"/>
        <v>1</v>
      </c>
    </row>
    <row r="440" ht="15.0" customHeight="1">
      <c r="A440" s="5">
        <v>2022.0</v>
      </c>
      <c r="B440" s="5" t="s">
        <v>143</v>
      </c>
      <c r="C440" s="5" t="s">
        <v>157</v>
      </c>
      <c r="D440" s="5" t="s">
        <v>162</v>
      </c>
      <c r="E440" s="5">
        <v>571.0</v>
      </c>
      <c r="F440" s="5">
        <v>293.0</v>
      </c>
      <c r="G440" s="5">
        <f t="shared" si="1"/>
        <v>864</v>
      </c>
      <c r="H440" s="10">
        <f t="shared" si="2"/>
        <v>0.6608796296</v>
      </c>
      <c r="I440" s="10">
        <v>0.3144</v>
      </c>
      <c r="J440" s="10">
        <v>0.5106</v>
      </c>
      <c r="K440" s="5">
        <f t="shared" si="3"/>
        <v>0</v>
      </c>
    </row>
    <row r="441" ht="15.0" customHeight="1">
      <c r="A441" s="5">
        <v>2024.0</v>
      </c>
      <c r="B441" s="5" t="s">
        <v>143</v>
      </c>
      <c r="C441" s="5" t="s">
        <v>157</v>
      </c>
      <c r="D441" s="5" t="s">
        <v>162</v>
      </c>
      <c r="E441" s="5">
        <v>782.0</v>
      </c>
      <c r="F441" s="5">
        <v>404.0</v>
      </c>
      <c r="G441" s="5">
        <f t="shared" si="1"/>
        <v>1186</v>
      </c>
      <c r="H441" s="10">
        <f t="shared" si="2"/>
        <v>0.6593591906</v>
      </c>
      <c r="I441" s="10">
        <v>0.2911</v>
      </c>
      <c r="J441" s="10">
        <v>0.6652</v>
      </c>
      <c r="K441" s="5">
        <f t="shared" si="3"/>
        <v>1</v>
      </c>
    </row>
    <row r="442" ht="15.0" customHeight="1">
      <c r="A442" s="5">
        <v>2018.0</v>
      </c>
      <c r="B442" s="5" t="s">
        <v>143</v>
      </c>
      <c r="C442" s="5" t="s">
        <v>157</v>
      </c>
      <c r="D442" s="5" t="s">
        <v>163</v>
      </c>
      <c r="E442" s="5">
        <v>370.0</v>
      </c>
      <c r="F442" s="5">
        <v>189.0</v>
      </c>
      <c r="G442" s="5">
        <f t="shared" si="1"/>
        <v>559</v>
      </c>
      <c r="H442" s="10">
        <f t="shared" si="2"/>
        <v>0.6618962433</v>
      </c>
      <c r="I442" s="10">
        <v>0.2936</v>
      </c>
      <c r="J442" s="10">
        <v>0.6131</v>
      </c>
      <c r="K442" s="5">
        <f t="shared" si="3"/>
        <v>0</v>
      </c>
    </row>
    <row r="443" ht="15.0" customHeight="1">
      <c r="A443" s="5">
        <v>2020.0</v>
      </c>
      <c r="B443" s="5" t="s">
        <v>143</v>
      </c>
      <c r="C443" s="5" t="s">
        <v>157</v>
      </c>
      <c r="D443" s="5" t="s">
        <v>163</v>
      </c>
      <c r="E443" s="5">
        <v>498.0</v>
      </c>
      <c r="F443" s="5">
        <v>308.0</v>
      </c>
      <c r="G443" s="5">
        <f t="shared" si="1"/>
        <v>806</v>
      </c>
      <c r="H443" s="10">
        <f t="shared" si="2"/>
        <v>0.617866005</v>
      </c>
      <c r="I443" s="10">
        <v>0.2977</v>
      </c>
      <c r="J443" s="10">
        <v>0.784</v>
      </c>
      <c r="K443" s="5">
        <f t="shared" si="3"/>
        <v>1</v>
      </c>
    </row>
    <row r="444" ht="15.0" customHeight="1">
      <c r="A444" s="5">
        <v>2022.0</v>
      </c>
      <c r="B444" s="5" t="s">
        <v>143</v>
      </c>
      <c r="C444" s="5" t="s">
        <v>157</v>
      </c>
      <c r="D444" s="5" t="s">
        <v>163</v>
      </c>
      <c r="E444" s="5">
        <v>400.0</v>
      </c>
      <c r="F444" s="5">
        <v>220.0</v>
      </c>
      <c r="G444" s="5">
        <f t="shared" si="1"/>
        <v>620</v>
      </c>
      <c r="H444" s="10">
        <f t="shared" si="2"/>
        <v>0.6451612903</v>
      </c>
      <c r="I444" s="10">
        <v>0.3016</v>
      </c>
      <c r="J444" s="10">
        <v>0.609</v>
      </c>
      <c r="K444" s="5">
        <f t="shared" si="3"/>
        <v>0</v>
      </c>
    </row>
    <row r="445" ht="15.0" customHeight="1">
      <c r="A445" s="5">
        <v>2024.0</v>
      </c>
      <c r="B445" s="5" t="s">
        <v>143</v>
      </c>
      <c r="C445" s="5" t="s">
        <v>157</v>
      </c>
      <c r="D445" s="5" t="s">
        <v>163</v>
      </c>
      <c r="E445" s="5">
        <v>503.0</v>
      </c>
      <c r="F445" s="5">
        <v>318.0</v>
      </c>
      <c r="G445" s="5">
        <f t="shared" si="1"/>
        <v>821</v>
      </c>
      <c r="H445" s="10">
        <f t="shared" si="2"/>
        <v>0.6126674787</v>
      </c>
      <c r="I445" s="10">
        <v>0.2756</v>
      </c>
      <c r="J445" s="10">
        <v>0.7644</v>
      </c>
      <c r="K445" s="5">
        <f t="shared" si="3"/>
        <v>1</v>
      </c>
    </row>
    <row r="446" ht="15.0" customHeight="1">
      <c r="A446" s="5">
        <v>2018.0</v>
      </c>
      <c r="B446" s="5" t="s">
        <v>143</v>
      </c>
      <c r="C446" s="5" t="s">
        <v>157</v>
      </c>
      <c r="D446" s="5" t="s">
        <v>164</v>
      </c>
      <c r="E446" s="5">
        <v>410.0</v>
      </c>
      <c r="F446" s="5">
        <v>276.0</v>
      </c>
      <c r="G446" s="5">
        <f t="shared" si="1"/>
        <v>686</v>
      </c>
      <c r="H446" s="10">
        <f t="shared" si="2"/>
        <v>0.5976676385</v>
      </c>
      <c r="I446" s="10">
        <v>0.2102</v>
      </c>
      <c r="J446" s="10">
        <v>0.571</v>
      </c>
      <c r="K446" s="5">
        <f t="shared" si="3"/>
        <v>0</v>
      </c>
    </row>
    <row r="447" ht="15.0" customHeight="1">
      <c r="A447" s="5">
        <v>2020.0</v>
      </c>
      <c r="B447" s="5" t="s">
        <v>143</v>
      </c>
      <c r="C447" s="5" t="s">
        <v>157</v>
      </c>
      <c r="D447" s="5" t="s">
        <v>164</v>
      </c>
      <c r="E447" s="5">
        <v>596.0</v>
      </c>
      <c r="F447" s="5">
        <v>435.0</v>
      </c>
      <c r="G447" s="5">
        <f t="shared" si="1"/>
        <v>1031</v>
      </c>
      <c r="H447" s="10">
        <f t="shared" si="2"/>
        <v>0.5780795344</v>
      </c>
      <c r="I447" s="10">
        <v>0.2187</v>
      </c>
      <c r="J447" s="10">
        <v>0.7466</v>
      </c>
      <c r="K447" s="5">
        <f t="shared" si="3"/>
        <v>1</v>
      </c>
    </row>
    <row r="448" ht="15.0" customHeight="1">
      <c r="A448" s="5">
        <v>2022.0</v>
      </c>
      <c r="B448" s="5" t="s">
        <v>143</v>
      </c>
      <c r="C448" s="5" t="s">
        <v>157</v>
      </c>
      <c r="D448" s="5" t="s">
        <v>164</v>
      </c>
      <c r="E448" s="5">
        <v>465.0</v>
      </c>
      <c r="F448" s="5">
        <v>283.0</v>
      </c>
      <c r="G448" s="5">
        <f t="shared" si="1"/>
        <v>748</v>
      </c>
      <c r="H448" s="10">
        <f t="shared" si="2"/>
        <v>0.621657754</v>
      </c>
      <c r="I448" s="10">
        <v>0.2381</v>
      </c>
      <c r="J448" s="10">
        <v>0.5549</v>
      </c>
      <c r="K448" s="5">
        <f t="shared" si="3"/>
        <v>0</v>
      </c>
    </row>
    <row r="449" ht="15.0" customHeight="1">
      <c r="A449" s="5">
        <v>2024.0</v>
      </c>
      <c r="B449" s="5" t="s">
        <v>143</v>
      </c>
      <c r="C449" s="5" t="s">
        <v>157</v>
      </c>
      <c r="D449" s="5" t="s">
        <v>164</v>
      </c>
      <c r="E449" s="5">
        <v>597.0</v>
      </c>
      <c r="F449" s="5">
        <v>396.0</v>
      </c>
      <c r="G449" s="5">
        <f t="shared" si="1"/>
        <v>993</v>
      </c>
      <c r="H449" s="10">
        <f t="shared" si="2"/>
        <v>0.6012084592</v>
      </c>
      <c r="I449" s="10">
        <v>0.1744</v>
      </c>
      <c r="J449" s="10">
        <v>0.7185</v>
      </c>
      <c r="K449" s="5">
        <f t="shared" si="3"/>
        <v>1</v>
      </c>
    </row>
    <row r="450" ht="15.0" customHeight="1">
      <c r="A450" s="5">
        <v>2018.0</v>
      </c>
      <c r="B450" s="5" t="s">
        <v>143</v>
      </c>
      <c r="C450" s="5" t="s">
        <v>157</v>
      </c>
      <c r="D450" s="5" t="s">
        <v>165</v>
      </c>
      <c r="E450" s="5">
        <v>503.0</v>
      </c>
      <c r="F450" s="5">
        <v>299.0</v>
      </c>
      <c r="G450" s="5">
        <f t="shared" si="1"/>
        <v>802</v>
      </c>
      <c r="H450" s="10">
        <f t="shared" si="2"/>
        <v>0.6271820449</v>
      </c>
      <c r="I450" s="10">
        <v>0.2445</v>
      </c>
      <c r="J450" s="10">
        <v>0.6581</v>
      </c>
      <c r="K450" s="5">
        <f t="shared" si="3"/>
        <v>0</v>
      </c>
    </row>
    <row r="451" ht="15.0" customHeight="1">
      <c r="A451" s="5">
        <v>2020.0</v>
      </c>
      <c r="B451" s="5" t="s">
        <v>143</v>
      </c>
      <c r="C451" s="5" t="s">
        <v>157</v>
      </c>
      <c r="D451" s="5" t="s">
        <v>165</v>
      </c>
      <c r="E451" s="5">
        <v>643.0</v>
      </c>
      <c r="F451" s="5">
        <v>452.0</v>
      </c>
      <c r="G451" s="5">
        <f t="shared" si="1"/>
        <v>1095</v>
      </c>
      <c r="H451" s="10">
        <f t="shared" si="2"/>
        <v>0.5872146119</v>
      </c>
      <c r="I451" s="10">
        <v>0.2338</v>
      </c>
      <c r="J451" s="10">
        <v>0.8075</v>
      </c>
      <c r="K451" s="5">
        <f t="shared" si="3"/>
        <v>1</v>
      </c>
    </row>
    <row r="452" ht="15.0" customHeight="1">
      <c r="A452" s="5">
        <v>2022.0</v>
      </c>
      <c r="B452" s="5" t="s">
        <v>143</v>
      </c>
      <c r="C452" s="5" t="s">
        <v>157</v>
      </c>
      <c r="D452" s="5" t="s">
        <v>165</v>
      </c>
      <c r="E452" s="5">
        <v>583.0</v>
      </c>
      <c r="F452" s="5">
        <v>335.0</v>
      </c>
      <c r="G452" s="5">
        <f t="shared" si="1"/>
        <v>918</v>
      </c>
      <c r="H452" s="10">
        <f t="shared" si="2"/>
        <v>0.6350762527</v>
      </c>
      <c r="I452" s="10">
        <v>0.2311</v>
      </c>
      <c r="J452" s="10">
        <v>0.68</v>
      </c>
      <c r="K452" s="5">
        <f t="shared" si="3"/>
        <v>0</v>
      </c>
    </row>
    <row r="453" ht="15.0" customHeight="1">
      <c r="A453" s="5">
        <v>2024.0</v>
      </c>
      <c r="B453" s="5" t="s">
        <v>143</v>
      </c>
      <c r="C453" s="5" t="s">
        <v>157</v>
      </c>
      <c r="D453" s="5" t="s">
        <v>165</v>
      </c>
      <c r="E453" s="5">
        <v>678.0</v>
      </c>
      <c r="F453" s="5">
        <v>451.0</v>
      </c>
      <c r="G453" s="5">
        <f t="shared" si="1"/>
        <v>1129</v>
      </c>
      <c r="H453" s="10">
        <f t="shared" si="2"/>
        <v>0.6005314438</v>
      </c>
      <c r="I453" s="10">
        <v>0.2072</v>
      </c>
      <c r="J453" s="10">
        <v>0.8265</v>
      </c>
      <c r="K453" s="5">
        <f t="shared" si="3"/>
        <v>1</v>
      </c>
    </row>
    <row r="454" ht="15.0" customHeight="1">
      <c r="A454" s="5">
        <v>2018.0</v>
      </c>
      <c r="B454" s="5" t="s">
        <v>143</v>
      </c>
      <c r="C454" s="5" t="s">
        <v>157</v>
      </c>
      <c r="D454" s="5" t="s">
        <v>166</v>
      </c>
      <c r="E454" s="5">
        <v>417.0</v>
      </c>
      <c r="F454" s="5">
        <v>193.0</v>
      </c>
      <c r="G454" s="5">
        <f t="shared" si="1"/>
        <v>610</v>
      </c>
      <c r="H454" s="10">
        <f t="shared" si="2"/>
        <v>0.6836065574</v>
      </c>
      <c r="I454" s="10">
        <v>0.2725</v>
      </c>
      <c r="J454" s="10">
        <v>0.6337</v>
      </c>
      <c r="K454" s="5">
        <f t="shared" si="3"/>
        <v>0</v>
      </c>
    </row>
    <row r="455" ht="15.0" customHeight="1">
      <c r="A455" s="5">
        <v>2020.0</v>
      </c>
      <c r="B455" s="5" t="s">
        <v>143</v>
      </c>
      <c r="C455" s="5" t="s">
        <v>157</v>
      </c>
      <c r="D455" s="5" t="s">
        <v>166</v>
      </c>
      <c r="E455" s="5">
        <v>534.0</v>
      </c>
      <c r="F455" s="5">
        <v>314.0</v>
      </c>
      <c r="G455" s="5">
        <f t="shared" si="1"/>
        <v>848</v>
      </c>
      <c r="H455" s="10">
        <f t="shared" si="2"/>
        <v>0.6297169811</v>
      </c>
      <c r="I455" s="10">
        <v>0.2572</v>
      </c>
      <c r="J455" s="10">
        <v>0.7845</v>
      </c>
      <c r="K455" s="5">
        <f t="shared" si="3"/>
        <v>1</v>
      </c>
    </row>
    <row r="456" ht="15.0" customHeight="1">
      <c r="A456" s="5">
        <v>2022.0</v>
      </c>
      <c r="B456" s="5" t="s">
        <v>143</v>
      </c>
      <c r="C456" s="5" t="s">
        <v>157</v>
      </c>
      <c r="D456" s="5" t="s">
        <v>166</v>
      </c>
      <c r="E456" s="5">
        <v>415.0</v>
      </c>
      <c r="F456" s="5">
        <v>238.0</v>
      </c>
      <c r="G456" s="5">
        <f t="shared" si="1"/>
        <v>653</v>
      </c>
      <c r="H456" s="10">
        <f t="shared" si="2"/>
        <v>0.6355283308</v>
      </c>
      <c r="I456" s="10">
        <v>0.279</v>
      </c>
      <c r="J456" s="10">
        <v>0.6155</v>
      </c>
      <c r="K456" s="5">
        <f t="shared" si="3"/>
        <v>0</v>
      </c>
    </row>
    <row r="457" ht="15.0" customHeight="1">
      <c r="A457" s="5">
        <v>2024.0</v>
      </c>
      <c r="B457" s="5" t="s">
        <v>143</v>
      </c>
      <c r="C457" s="5" t="s">
        <v>157</v>
      </c>
      <c r="D457" s="5" t="s">
        <v>166</v>
      </c>
      <c r="E457" s="5">
        <v>524.0</v>
      </c>
      <c r="F457" s="5">
        <v>327.0</v>
      </c>
      <c r="G457" s="5">
        <f t="shared" si="1"/>
        <v>851</v>
      </c>
      <c r="H457" s="10">
        <f t="shared" si="2"/>
        <v>0.615746181</v>
      </c>
      <c r="I457" s="10">
        <v>0.2085</v>
      </c>
      <c r="J457" s="10">
        <v>0.7715</v>
      </c>
      <c r="K457" s="5">
        <f t="shared" si="3"/>
        <v>1</v>
      </c>
    </row>
    <row r="458" ht="15.0" customHeight="1">
      <c r="A458" s="5">
        <v>2018.0</v>
      </c>
      <c r="B458" s="5" t="s">
        <v>143</v>
      </c>
      <c r="C458" s="5" t="s">
        <v>157</v>
      </c>
      <c r="D458" s="5" t="s">
        <v>167</v>
      </c>
      <c r="E458" s="5">
        <v>293.0</v>
      </c>
      <c r="F458" s="5">
        <v>197.0</v>
      </c>
      <c r="G458" s="5">
        <f t="shared" si="1"/>
        <v>490</v>
      </c>
      <c r="H458" s="10">
        <f t="shared" si="2"/>
        <v>0.5979591837</v>
      </c>
      <c r="I458" s="10">
        <v>0.2309</v>
      </c>
      <c r="J458" s="10">
        <v>0.5935</v>
      </c>
      <c r="K458" s="5">
        <f t="shared" si="3"/>
        <v>0</v>
      </c>
    </row>
    <row r="459" ht="15.0" customHeight="1">
      <c r="A459" s="5">
        <v>2020.0</v>
      </c>
      <c r="B459" s="5" t="s">
        <v>143</v>
      </c>
      <c r="C459" s="5" t="s">
        <v>157</v>
      </c>
      <c r="D459" s="5" t="s">
        <v>167</v>
      </c>
      <c r="E459" s="5">
        <v>393.0</v>
      </c>
      <c r="F459" s="5">
        <v>318.0</v>
      </c>
      <c r="G459" s="5">
        <f t="shared" si="1"/>
        <v>711</v>
      </c>
      <c r="H459" s="10">
        <f t="shared" si="2"/>
        <v>0.552742616</v>
      </c>
      <c r="I459" s="10">
        <v>0.1965</v>
      </c>
      <c r="J459" s="10">
        <v>0.7805</v>
      </c>
      <c r="K459" s="5">
        <f t="shared" si="3"/>
        <v>1</v>
      </c>
    </row>
    <row r="460" ht="15.0" customHeight="1">
      <c r="A460" s="5">
        <v>2022.0</v>
      </c>
      <c r="B460" s="5" t="s">
        <v>143</v>
      </c>
      <c r="C460" s="5" t="s">
        <v>157</v>
      </c>
      <c r="D460" s="5" t="s">
        <v>167</v>
      </c>
      <c r="E460" s="5">
        <v>332.0</v>
      </c>
      <c r="F460" s="5">
        <v>255.0</v>
      </c>
      <c r="G460" s="5">
        <f t="shared" si="1"/>
        <v>587</v>
      </c>
      <c r="H460" s="10">
        <f t="shared" si="2"/>
        <v>0.5655877342</v>
      </c>
      <c r="I460" s="10">
        <v>0.2011</v>
      </c>
      <c r="J460" s="10">
        <v>0.6346</v>
      </c>
      <c r="K460" s="5">
        <f t="shared" si="3"/>
        <v>0</v>
      </c>
    </row>
    <row r="461" ht="15.0" customHeight="1">
      <c r="A461" s="5">
        <v>2024.0</v>
      </c>
      <c r="B461" s="5" t="s">
        <v>143</v>
      </c>
      <c r="C461" s="5" t="s">
        <v>157</v>
      </c>
      <c r="D461" s="5" t="s">
        <v>167</v>
      </c>
      <c r="E461" s="5">
        <v>437.0</v>
      </c>
      <c r="F461" s="5">
        <v>344.0</v>
      </c>
      <c r="G461" s="5">
        <f t="shared" si="1"/>
        <v>781</v>
      </c>
      <c r="H461" s="10">
        <f t="shared" si="2"/>
        <v>0.5595390525</v>
      </c>
      <c r="I461" s="10">
        <v>0.1487</v>
      </c>
      <c r="J461" s="10">
        <v>0.8178</v>
      </c>
      <c r="K461" s="5">
        <f t="shared" si="3"/>
        <v>1</v>
      </c>
    </row>
    <row r="462" ht="15.0" customHeight="1">
      <c r="A462" s="5">
        <v>2018.0</v>
      </c>
      <c r="B462" s="5" t="s">
        <v>143</v>
      </c>
      <c r="C462" s="5" t="s">
        <v>157</v>
      </c>
      <c r="D462" s="5" t="s">
        <v>168</v>
      </c>
      <c r="E462" s="5">
        <v>374.0</v>
      </c>
      <c r="F462" s="5">
        <v>191.0</v>
      </c>
      <c r="G462" s="5">
        <f t="shared" si="1"/>
        <v>565</v>
      </c>
      <c r="H462" s="10">
        <f t="shared" si="2"/>
        <v>0.6619469027</v>
      </c>
      <c r="I462" s="10">
        <v>0.266</v>
      </c>
      <c r="J462" s="10">
        <v>0.5064</v>
      </c>
      <c r="K462" s="5">
        <f t="shared" si="3"/>
        <v>0</v>
      </c>
    </row>
    <row r="463" ht="15.0" customHeight="1">
      <c r="A463" s="5">
        <v>2020.0</v>
      </c>
      <c r="B463" s="5" t="s">
        <v>143</v>
      </c>
      <c r="C463" s="5" t="s">
        <v>157</v>
      </c>
      <c r="D463" s="5" t="s">
        <v>168</v>
      </c>
      <c r="E463" s="5">
        <v>561.0</v>
      </c>
      <c r="F463" s="5">
        <v>321.0</v>
      </c>
      <c r="G463" s="5">
        <f t="shared" si="1"/>
        <v>882</v>
      </c>
      <c r="H463" s="10">
        <f t="shared" si="2"/>
        <v>0.6360544218</v>
      </c>
      <c r="I463" s="10">
        <v>0.2633</v>
      </c>
      <c r="J463" s="10">
        <v>0.679</v>
      </c>
      <c r="K463" s="5">
        <f t="shared" si="3"/>
        <v>1</v>
      </c>
    </row>
    <row r="464" ht="15.0" customHeight="1">
      <c r="A464" s="5">
        <v>2022.0</v>
      </c>
      <c r="B464" s="5" t="s">
        <v>143</v>
      </c>
      <c r="C464" s="5" t="s">
        <v>157</v>
      </c>
      <c r="D464" s="5" t="s">
        <v>168</v>
      </c>
      <c r="E464" s="5">
        <v>418.0</v>
      </c>
      <c r="F464" s="5">
        <v>222.0</v>
      </c>
      <c r="G464" s="5">
        <f t="shared" si="1"/>
        <v>640</v>
      </c>
      <c r="H464" s="10">
        <f t="shared" si="2"/>
        <v>0.653125</v>
      </c>
      <c r="I464" s="10">
        <v>0.2716</v>
      </c>
      <c r="J464" s="10">
        <v>0.4897</v>
      </c>
      <c r="K464" s="5">
        <f t="shared" si="3"/>
        <v>0</v>
      </c>
    </row>
    <row r="465" ht="15.0" customHeight="1">
      <c r="A465" s="5">
        <v>2024.0</v>
      </c>
      <c r="B465" s="5" t="s">
        <v>143</v>
      </c>
      <c r="C465" s="5" t="s">
        <v>157</v>
      </c>
      <c r="D465" s="5" t="s">
        <v>168</v>
      </c>
      <c r="E465" s="5">
        <v>581.0</v>
      </c>
      <c r="F465" s="5">
        <v>342.0</v>
      </c>
      <c r="G465" s="5">
        <f t="shared" si="1"/>
        <v>923</v>
      </c>
      <c r="H465" s="10">
        <f t="shared" si="2"/>
        <v>0.6294691224</v>
      </c>
      <c r="I465" s="10">
        <v>0.2327</v>
      </c>
      <c r="J465" s="10">
        <v>0.6732</v>
      </c>
      <c r="K465" s="5">
        <f t="shared" si="3"/>
        <v>1</v>
      </c>
    </row>
    <row r="466" ht="15.0" customHeight="1">
      <c r="A466" s="5">
        <v>2018.0</v>
      </c>
      <c r="B466" s="5" t="s">
        <v>143</v>
      </c>
      <c r="C466" s="5" t="s">
        <v>157</v>
      </c>
      <c r="D466" s="5" t="s">
        <v>169</v>
      </c>
      <c r="E466" s="5">
        <v>349.0</v>
      </c>
      <c r="F466" s="5">
        <v>223.0</v>
      </c>
      <c r="G466" s="5">
        <f t="shared" si="1"/>
        <v>572</v>
      </c>
      <c r="H466" s="10">
        <f t="shared" si="2"/>
        <v>0.6101398601</v>
      </c>
      <c r="I466" s="10">
        <v>0.2579</v>
      </c>
      <c r="J466" s="10">
        <v>0.5564</v>
      </c>
      <c r="K466" s="5">
        <f t="shared" si="3"/>
        <v>0</v>
      </c>
    </row>
    <row r="467" ht="15.0" customHeight="1">
      <c r="A467" s="5">
        <v>2020.0</v>
      </c>
      <c r="B467" s="5" t="s">
        <v>143</v>
      </c>
      <c r="C467" s="5" t="s">
        <v>157</v>
      </c>
      <c r="D467" s="5" t="s">
        <v>169</v>
      </c>
      <c r="E467" s="5">
        <v>534.0</v>
      </c>
      <c r="F467" s="5">
        <v>376.0</v>
      </c>
      <c r="G467" s="5">
        <f t="shared" si="1"/>
        <v>910</v>
      </c>
      <c r="H467" s="10">
        <f t="shared" si="2"/>
        <v>0.5868131868</v>
      </c>
      <c r="I467" s="10">
        <v>0.2382</v>
      </c>
      <c r="J467" s="10">
        <v>0.7527</v>
      </c>
      <c r="K467" s="5">
        <f t="shared" si="3"/>
        <v>1</v>
      </c>
    </row>
    <row r="468" ht="15.0" customHeight="1">
      <c r="A468" s="5">
        <v>2022.0</v>
      </c>
      <c r="B468" s="5" t="s">
        <v>143</v>
      </c>
      <c r="C468" s="5" t="s">
        <v>157</v>
      </c>
      <c r="D468" s="5" t="s">
        <v>169</v>
      </c>
      <c r="E468" s="5">
        <v>425.0</v>
      </c>
      <c r="F468" s="5">
        <v>271.0</v>
      </c>
      <c r="G468" s="5">
        <f t="shared" si="1"/>
        <v>696</v>
      </c>
      <c r="H468" s="10">
        <f t="shared" si="2"/>
        <v>0.6106321839</v>
      </c>
      <c r="I468" s="10">
        <v>0.2339</v>
      </c>
      <c r="J468" s="10">
        <v>0.5613</v>
      </c>
      <c r="K468" s="5">
        <f t="shared" si="3"/>
        <v>0</v>
      </c>
    </row>
    <row r="469" ht="15.0" customHeight="1">
      <c r="A469" s="5">
        <v>2024.0</v>
      </c>
      <c r="B469" s="5" t="s">
        <v>143</v>
      </c>
      <c r="C469" s="5" t="s">
        <v>157</v>
      </c>
      <c r="D469" s="5" t="s">
        <v>169</v>
      </c>
      <c r="E469" s="5">
        <v>591.0</v>
      </c>
      <c r="F469" s="5">
        <v>390.0</v>
      </c>
      <c r="G469" s="5">
        <f t="shared" si="1"/>
        <v>981</v>
      </c>
      <c r="H469" s="10">
        <f t="shared" si="2"/>
        <v>0.6024464832</v>
      </c>
      <c r="I469" s="10">
        <v>0.2224</v>
      </c>
      <c r="J469" s="10">
        <v>0.7321</v>
      </c>
      <c r="K469" s="5">
        <f t="shared" si="3"/>
        <v>1</v>
      </c>
    </row>
    <row r="470" ht="15.0" customHeight="1">
      <c r="A470" s="5">
        <v>2018.0</v>
      </c>
      <c r="B470" s="5" t="s">
        <v>143</v>
      </c>
      <c r="C470" s="5" t="s">
        <v>170</v>
      </c>
      <c r="D470" s="5" t="s">
        <v>171</v>
      </c>
      <c r="E470" s="5">
        <v>386.0</v>
      </c>
      <c r="F470" s="5">
        <v>215.0</v>
      </c>
      <c r="G470" s="5">
        <f t="shared" si="1"/>
        <v>601</v>
      </c>
      <c r="H470" s="10">
        <f t="shared" si="2"/>
        <v>0.6422628952</v>
      </c>
      <c r="I470" s="10">
        <v>0.2633</v>
      </c>
      <c r="J470" s="10">
        <v>0.4604</v>
      </c>
      <c r="K470" s="5">
        <f t="shared" si="3"/>
        <v>0</v>
      </c>
    </row>
    <row r="471" ht="15.0" customHeight="1">
      <c r="A471" s="5">
        <v>2020.0</v>
      </c>
      <c r="B471" s="5" t="s">
        <v>143</v>
      </c>
      <c r="C471" s="5" t="s">
        <v>170</v>
      </c>
      <c r="D471" s="5" t="s">
        <v>171</v>
      </c>
      <c r="E471" s="5">
        <v>553.0</v>
      </c>
      <c r="F471" s="5">
        <v>416.0</v>
      </c>
      <c r="G471" s="5">
        <f t="shared" si="1"/>
        <v>969</v>
      </c>
      <c r="H471" s="10">
        <f t="shared" si="2"/>
        <v>0.5706914345</v>
      </c>
      <c r="I471" s="10">
        <v>0.2349</v>
      </c>
      <c r="J471" s="10">
        <v>0.643</v>
      </c>
      <c r="K471" s="5">
        <f t="shared" si="3"/>
        <v>1</v>
      </c>
    </row>
    <row r="472" ht="15.0" customHeight="1">
      <c r="A472" s="5">
        <v>2022.0</v>
      </c>
      <c r="B472" s="5" t="s">
        <v>143</v>
      </c>
      <c r="C472" s="5" t="s">
        <v>170</v>
      </c>
      <c r="D472" s="5" t="s">
        <v>171</v>
      </c>
      <c r="E472" s="5">
        <v>392.0</v>
      </c>
      <c r="F472" s="5">
        <v>281.0</v>
      </c>
      <c r="G472" s="5">
        <f t="shared" si="1"/>
        <v>673</v>
      </c>
      <c r="H472" s="10">
        <f t="shared" si="2"/>
        <v>0.5824665676</v>
      </c>
      <c r="I472" s="10">
        <v>0.2218</v>
      </c>
      <c r="J472" s="10">
        <v>0.4622</v>
      </c>
      <c r="K472" s="5">
        <f t="shared" si="3"/>
        <v>0</v>
      </c>
    </row>
    <row r="473" ht="15.0" customHeight="1">
      <c r="A473" s="5">
        <v>2024.0</v>
      </c>
      <c r="B473" s="5" t="s">
        <v>143</v>
      </c>
      <c r="C473" s="5" t="s">
        <v>170</v>
      </c>
      <c r="D473" s="5" t="s">
        <v>171</v>
      </c>
      <c r="E473" s="5">
        <v>557.0</v>
      </c>
      <c r="F473" s="5">
        <v>454.0</v>
      </c>
      <c r="G473" s="5">
        <f t="shared" si="1"/>
        <v>1011</v>
      </c>
      <c r="H473" s="10">
        <f t="shared" si="2"/>
        <v>0.5509396637</v>
      </c>
      <c r="I473" s="10">
        <v>0.181</v>
      </c>
      <c r="J473" s="10">
        <v>0.6776</v>
      </c>
      <c r="K473" s="5">
        <f t="shared" si="3"/>
        <v>1</v>
      </c>
    </row>
    <row r="474" ht="15.0" customHeight="1">
      <c r="A474" s="5">
        <v>2018.0</v>
      </c>
      <c r="B474" s="5" t="s">
        <v>143</v>
      </c>
      <c r="C474" s="5" t="s">
        <v>170</v>
      </c>
      <c r="D474" s="5" t="s">
        <v>172</v>
      </c>
      <c r="E474" s="5">
        <v>330.0</v>
      </c>
      <c r="F474" s="5">
        <v>313.0</v>
      </c>
      <c r="G474" s="5">
        <f t="shared" si="1"/>
        <v>643</v>
      </c>
      <c r="H474" s="10">
        <f t="shared" si="2"/>
        <v>0.5132192846</v>
      </c>
      <c r="I474" s="10">
        <v>0.1104</v>
      </c>
      <c r="J474" s="10">
        <v>0.5798</v>
      </c>
      <c r="K474" s="5">
        <f t="shared" si="3"/>
        <v>0</v>
      </c>
    </row>
    <row r="475" ht="15.0" customHeight="1">
      <c r="A475" s="5">
        <v>2020.0</v>
      </c>
      <c r="B475" s="5" t="s">
        <v>143</v>
      </c>
      <c r="C475" s="5" t="s">
        <v>170</v>
      </c>
      <c r="D475" s="5" t="s">
        <v>172</v>
      </c>
      <c r="E475" s="5">
        <v>491.0</v>
      </c>
      <c r="F475" s="5">
        <v>541.0</v>
      </c>
      <c r="G475" s="5">
        <f t="shared" si="1"/>
        <v>1032</v>
      </c>
      <c r="H475" s="10">
        <f t="shared" si="2"/>
        <v>0.4757751938</v>
      </c>
      <c r="I475" s="10">
        <v>0.1061</v>
      </c>
      <c r="J475" s="10">
        <v>0.8171</v>
      </c>
      <c r="K475" s="5">
        <f t="shared" si="3"/>
        <v>1</v>
      </c>
    </row>
    <row r="476" ht="15.0" customHeight="1">
      <c r="A476" s="5">
        <v>2022.0</v>
      </c>
      <c r="B476" s="5" t="s">
        <v>143</v>
      </c>
      <c r="C476" s="5" t="s">
        <v>170</v>
      </c>
      <c r="D476" s="5" t="s">
        <v>172</v>
      </c>
      <c r="E476" s="5">
        <v>334.0</v>
      </c>
      <c r="F476" s="5">
        <v>333.0</v>
      </c>
      <c r="G476" s="5">
        <f t="shared" si="1"/>
        <v>667</v>
      </c>
      <c r="H476" s="10">
        <f t="shared" si="2"/>
        <v>0.5007496252</v>
      </c>
      <c r="I476" s="10">
        <v>0.1021</v>
      </c>
      <c r="J476" s="10">
        <v>0.5449</v>
      </c>
      <c r="K476" s="5">
        <f t="shared" si="3"/>
        <v>0</v>
      </c>
    </row>
    <row r="477" ht="15.0" customHeight="1">
      <c r="A477" s="5">
        <v>2024.0</v>
      </c>
      <c r="B477" s="5" t="s">
        <v>143</v>
      </c>
      <c r="C477" s="5" t="s">
        <v>170</v>
      </c>
      <c r="D477" s="5" t="s">
        <v>172</v>
      </c>
      <c r="E477" s="5">
        <v>467.0</v>
      </c>
      <c r="F477" s="5">
        <v>513.0</v>
      </c>
      <c r="G477" s="5">
        <f t="shared" si="1"/>
        <v>980</v>
      </c>
      <c r="H477" s="10">
        <f t="shared" si="2"/>
        <v>0.4765306122</v>
      </c>
      <c r="I477" s="10">
        <v>0.0731</v>
      </c>
      <c r="J477" s="10">
        <v>0.7621</v>
      </c>
      <c r="K477" s="5">
        <f t="shared" si="3"/>
        <v>1</v>
      </c>
    </row>
    <row r="478" ht="15.0" customHeight="1">
      <c r="A478" s="5">
        <v>2018.0</v>
      </c>
      <c r="B478" s="5" t="s">
        <v>143</v>
      </c>
      <c r="C478" s="5" t="s">
        <v>170</v>
      </c>
      <c r="D478" s="5" t="s">
        <v>173</v>
      </c>
      <c r="E478" s="5">
        <v>421.0</v>
      </c>
      <c r="F478" s="5">
        <v>293.0</v>
      </c>
      <c r="G478" s="5">
        <f t="shared" si="1"/>
        <v>714</v>
      </c>
      <c r="H478" s="10">
        <f t="shared" si="2"/>
        <v>0.5896358543</v>
      </c>
      <c r="I478" s="10">
        <v>0.1557</v>
      </c>
      <c r="J478" s="10">
        <v>0.5767</v>
      </c>
      <c r="K478" s="5">
        <f t="shared" si="3"/>
        <v>0</v>
      </c>
    </row>
    <row r="479" ht="15.0" customHeight="1">
      <c r="A479" s="5">
        <v>2020.0</v>
      </c>
      <c r="B479" s="5" t="s">
        <v>143</v>
      </c>
      <c r="C479" s="5" t="s">
        <v>170</v>
      </c>
      <c r="D479" s="5" t="s">
        <v>173</v>
      </c>
      <c r="E479" s="5">
        <v>538.0</v>
      </c>
      <c r="F479" s="5">
        <v>539.0</v>
      </c>
      <c r="G479" s="5">
        <f t="shared" si="1"/>
        <v>1077</v>
      </c>
      <c r="H479" s="10">
        <f t="shared" si="2"/>
        <v>0.4995357474</v>
      </c>
      <c r="I479" s="10">
        <v>0.1308</v>
      </c>
      <c r="J479" s="10">
        <v>0.7782</v>
      </c>
      <c r="K479" s="5">
        <f t="shared" si="3"/>
        <v>1</v>
      </c>
    </row>
    <row r="480" ht="15.0" customHeight="1">
      <c r="A480" s="5">
        <v>2022.0</v>
      </c>
      <c r="B480" s="5" t="s">
        <v>143</v>
      </c>
      <c r="C480" s="5" t="s">
        <v>170</v>
      </c>
      <c r="D480" s="5" t="s">
        <v>173</v>
      </c>
      <c r="E480" s="5">
        <v>409.0</v>
      </c>
      <c r="F480" s="5">
        <v>361.0</v>
      </c>
      <c r="G480" s="5">
        <f t="shared" si="1"/>
        <v>770</v>
      </c>
      <c r="H480" s="10">
        <f t="shared" si="2"/>
        <v>0.5311688312</v>
      </c>
      <c r="I480" s="10">
        <v>0.1043</v>
      </c>
      <c r="J480" s="10">
        <v>0.5776</v>
      </c>
      <c r="K480" s="5">
        <f t="shared" si="3"/>
        <v>0</v>
      </c>
    </row>
    <row r="481" ht="15.0" customHeight="1">
      <c r="A481" s="5">
        <v>2024.0</v>
      </c>
      <c r="B481" s="5" t="s">
        <v>143</v>
      </c>
      <c r="C481" s="5" t="s">
        <v>170</v>
      </c>
      <c r="D481" s="5" t="s">
        <v>173</v>
      </c>
      <c r="E481" s="5">
        <v>536.0</v>
      </c>
      <c r="F481" s="5">
        <v>524.0</v>
      </c>
      <c r="G481" s="5">
        <f t="shared" si="1"/>
        <v>1060</v>
      </c>
      <c r="H481" s="10">
        <f t="shared" si="2"/>
        <v>0.5056603774</v>
      </c>
      <c r="I481" s="10">
        <v>0.0469</v>
      </c>
      <c r="J481" s="10">
        <v>0.7642</v>
      </c>
      <c r="K481" s="5">
        <f t="shared" si="3"/>
        <v>1</v>
      </c>
    </row>
    <row r="482" ht="15.0" customHeight="1">
      <c r="A482" s="5">
        <v>2018.0</v>
      </c>
      <c r="B482" s="5" t="s">
        <v>143</v>
      </c>
      <c r="C482" s="5" t="s">
        <v>174</v>
      </c>
      <c r="D482" s="5" t="s">
        <v>175</v>
      </c>
      <c r="E482" s="5">
        <v>513.0</v>
      </c>
      <c r="F482" s="5">
        <v>446.0</v>
      </c>
      <c r="G482" s="5">
        <f t="shared" si="1"/>
        <v>959</v>
      </c>
      <c r="H482" s="10">
        <f t="shared" si="2"/>
        <v>0.5349322211</v>
      </c>
      <c r="I482" s="10">
        <v>-0.0233</v>
      </c>
      <c r="J482" s="10">
        <v>0.6325</v>
      </c>
      <c r="K482" s="5">
        <f t="shared" si="3"/>
        <v>0</v>
      </c>
    </row>
    <row r="483" ht="15.0" customHeight="1">
      <c r="A483" s="5">
        <v>2020.0</v>
      </c>
      <c r="B483" s="5" t="s">
        <v>143</v>
      </c>
      <c r="C483" s="5" t="s">
        <v>174</v>
      </c>
      <c r="D483" s="5" t="s">
        <v>175</v>
      </c>
      <c r="E483" s="5">
        <v>704.0</v>
      </c>
      <c r="F483" s="5">
        <v>791.0</v>
      </c>
      <c r="G483" s="5">
        <f t="shared" si="1"/>
        <v>1495</v>
      </c>
      <c r="H483" s="10">
        <f t="shared" si="2"/>
        <v>0.47090301</v>
      </c>
      <c r="I483" s="10">
        <v>-0.0529</v>
      </c>
      <c r="J483" s="10">
        <v>0.8413</v>
      </c>
      <c r="K483" s="5">
        <f t="shared" si="3"/>
        <v>1</v>
      </c>
    </row>
    <row r="484" ht="15.0" customHeight="1">
      <c r="A484" s="5">
        <v>2022.0</v>
      </c>
      <c r="B484" s="5" t="s">
        <v>143</v>
      </c>
      <c r="C484" s="5" t="s">
        <v>174</v>
      </c>
      <c r="D484" s="5" t="s">
        <v>175</v>
      </c>
      <c r="E484" s="5">
        <v>621.0</v>
      </c>
      <c r="F484" s="5">
        <v>598.0</v>
      </c>
      <c r="G484" s="5">
        <f t="shared" si="1"/>
        <v>1219</v>
      </c>
      <c r="H484" s="10">
        <f t="shared" si="2"/>
        <v>0.5094339623</v>
      </c>
      <c r="I484" s="10">
        <v>-0.0833</v>
      </c>
      <c r="J484" s="10">
        <v>0.6768</v>
      </c>
      <c r="K484" s="5">
        <f t="shared" si="3"/>
        <v>0</v>
      </c>
    </row>
    <row r="485" ht="15.0" customHeight="1">
      <c r="A485" s="5">
        <v>2024.0</v>
      </c>
      <c r="B485" s="5" t="s">
        <v>143</v>
      </c>
      <c r="C485" s="5" t="s">
        <v>174</v>
      </c>
      <c r="D485" s="5" t="s">
        <v>175</v>
      </c>
      <c r="E485" s="5">
        <v>735.0</v>
      </c>
      <c r="F485" s="5">
        <v>804.0</v>
      </c>
      <c r="G485" s="5">
        <f t="shared" si="1"/>
        <v>1539</v>
      </c>
      <c r="H485" s="10">
        <f t="shared" si="2"/>
        <v>0.477582846</v>
      </c>
      <c r="I485" s="10">
        <v>-0.1023</v>
      </c>
      <c r="J485" s="10">
        <v>0.8243</v>
      </c>
      <c r="K485" s="5">
        <f t="shared" si="3"/>
        <v>1</v>
      </c>
    </row>
    <row r="486" ht="15.0" customHeight="1">
      <c r="A486" s="5">
        <v>2018.0</v>
      </c>
      <c r="B486" s="5" t="s">
        <v>143</v>
      </c>
      <c r="C486" s="5" t="s">
        <v>176</v>
      </c>
      <c r="D486" s="5" t="s">
        <v>177</v>
      </c>
      <c r="E486" s="5">
        <v>293.0</v>
      </c>
      <c r="F486" s="5">
        <v>223.0</v>
      </c>
      <c r="G486" s="5">
        <f t="shared" si="1"/>
        <v>516</v>
      </c>
      <c r="H486" s="10">
        <f t="shared" si="2"/>
        <v>0.5678294574</v>
      </c>
      <c r="I486" s="10">
        <v>0.2285</v>
      </c>
      <c r="J486" s="10">
        <v>0.5854</v>
      </c>
      <c r="K486" s="5">
        <f t="shared" si="3"/>
        <v>0</v>
      </c>
    </row>
    <row r="487" ht="15.0" customHeight="1">
      <c r="A487" s="5">
        <v>2020.0</v>
      </c>
      <c r="B487" s="5" t="s">
        <v>143</v>
      </c>
      <c r="C487" s="5" t="s">
        <v>176</v>
      </c>
      <c r="D487" s="5" t="s">
        <v>177</v>
      </c>
      <c r="E487" s="5">
        <v>388.0</v>
      </c>
      <c r="F487" s="5">
        <v>397.0</v>
      </c>
      <c r="G487" s="5">
        <f t="shared" si="1"/>
        <v>785</v>
      </c>
      <c r="H487" s="10">
        <f t="shared" si="2"/>
        <v>0.4942675159</v>
      </c>
      <c r="I487" s="10">
        <v>0.1814</v>
      </c>
      <c r="J487" s="10">
        <v>0.7953</v>
      </c>
      <c r="K487" s="5">
        <f t="shared" si="3"/>
        <v>1</v>
      </c>
    </row>
    <row r="488" ht="15.0" customHeight="1">
      <c r="A488" s="5">
        <v>2022.0</v>
      </c>
      <c r="B488" s="5" t="s">
        <v>143</v>
      </c>
      <c r="C488" s="5" t="s">
        <v>176</v>
      </c>
      <c r="D488" s="5" t="s">
        <v>177</v>
      </c>
      <c r="E488" s="5">
        <v>289.0</v>
      </c>
      <c r="F488" s="5">
        <v>261.0</v>
      </c>
      <c r="G488" s="5">
        <f t="shared" si="1"/>
        <v>550</v>
      </c>
      <c r="H488" s="10">
        <f t="shared" si="2"/>
        <v>0.5254545455</v>
      </c>
      <c r="I488" s="10">
        <v>0.1424</v>
      </c>
      <c r="J488" s="10">
        <v>0.5759</v>
      </c>
      <c r="K488" s="5">
        <f t="shared" si="3"/>
        <v>0</v>
      </c>
    </row>
    <row r="489" ht="15.0" customHeight="1">
      <c r="A489" s="5">
        <v>2024.0</v>
      </c>
      <c r="B489" s="5" t="s">
        <v>143</v>
      </c>
      <c r="C489" s="5" t="s">
        <v>176</v>
      </c>
      <c r="D489" s="5" t="s">
        <v>177</v>
      </c>
      <c r="E489" s="5">
        <v>372.0</v>
      </c>
      <c r="F489" s="5">
        <v>383.0</v>
      </c>
      <c r="G489" s="5">
        <f t="shared" si="1"/>
        <v>755</v>
      </c>
      <c r="H489" s="10">
        <f t="shared" si="2"/>
        <v>0.4927152318</v>
      </c>
      <c r="I489" s="10">
        <v>0.0731</v>
      </c>
      <c r="J489" s="10">
        <v>0.7453</v>
      </c>
      <c r="K489" s="5">
        <f t="shared" si="3"/>
        <v>1</v>
      </c>
    </row>
    <row r="490" ht="15.0" customHeight="1">
      <c r="A490" s="5">
        <v>2018.0</v>
      </c>
      <c r="B490" s="5" t="s">
        <v>143</v>
      </c>
      <c r="C490" s="5" t="s">
        <v>176</v>
      </c>
      <c r="D490" s="5" t="s">
        <v>178</v>
      </c>
      <c r="E490" s="5">
        <v>367.0</v>
      </c>
      <c r="F490" s="5">
        <v>292.0</v>
      </c>
      <c r="G490" s="5">
        <f t="shared" si="1"/>
        <v>659</v>
      </c>
      <c r="H490" s="10">
        <f t="shared" si="2"/>
        <v>0.5569044006</v>
      </c>
      <c r="I490" s="10">
        <v>0.25</v>
      </c>
      <c r="J490" s="10">
        <v>0.604</v>
      </c>
      <c r="K490" s="5">
        <f t="shared" si="3"/>
        <v>0</v>
      </c>
    </row>
    <row r="491" ht="15.0" customHeight="1">
      <c r="A491" s="5">
        <v>2020.0</v>
      </c>
      <c r="B491" s="5" t="s">
        <v>143</v>
      </c>
      <c r="C491" s="5" t="s">
        <v>176</v>
      </c>
      <c r="D491" s="5" t="s">
        <v>178</v>
      </c>
      <c r="E491" s="5">
        <v>490.0</v>
      </c>
      <c r="F491" s="5">
        <v>473.0</v>
      </c>
      <c r="G491" s="5">
        <f t="shared" si="1"/>
        <v>963</v>
      </c>
      <c r="H491" s="10">
        <f t="shared" si="2"/>
        <v>0.5088265836</v>
      </c>
      <c r="I491" s="10">
        <v>0.1939</v>
      </c>
      <c r="J491" s="10">
        <v>0.7747</v>
      </c>
      <c r="K491" s="5">
        <f t="shared" si="3"/>
        <v>1</v>
      </c>
    </row>
    <row r="492" ht="15.0" customHeight="1">
      <c r="A492" s="5">
        <v>2022.0</v>
      </c>
      <c r="B492" s="5" t="s">
        <v>143</v>
      </c>
      <c r="C492" s="5" t="s">
        <v>176</v>
      </c>
      <c r="D492" s="5" t="s">
        <v>178</v>
      </c>
      <c r="E492" s="5">
        <v>402.0</v>
      </c>
      <c r="F492" s="5">
        <v>345.0</v>
      </c>
      <c r="G492" s="5">
        <f t="shared" si="1"/>
        <v>747</v>
      </c>
      <c r="H492" s="10">
        <f t="shared" si="2"/>
        <v>0.5381526104</v>
      </c>
      <c r="I492" s="10">
        <v>0.1651</v>
      </c>
      <c r="J492" s="10">
        <v>0.5957</v>
      </c>
      <c r="K492" s="5">
        <f t="shared" si="3"/>
        <v>0</v>
      </c>
    </row>
    <row r="493" ht="15.0" customHeight="1">
      <c r="A493" s="5">
        <v>2024.0</v>
      </c>
      <c r="B493" s="5" t="s">
        <v>143</v>
      </c>
      <c r="C493" s="5" t="s">
        <v>176</v>
      </c>
      <c r="D493" s="5" t="s">
        <v>178</v>
      </c>
      <c r="E493" s="5">
        <v>527.0</v>
      </c>
      <c r="F493" s="5">
        <v>515.0</v>
      </c>
      <c r="G493" s="5">
        <f t="shared" si="1"/>
        <v>1042</v>
      </c>
      <c r="H493" s="10">
        <f t="shared" si="2"/>
        <v>0.5057581574</v>
      </c>
      <c r="I493" s="10">
        <v>0.118</v>
      </c>
      <c r="J493" s="10">
        <v>0.7835</v>
      </c>
      <c r="K493" s="5">
        <f t="shared" si="3"/>
        <v>1</v>
      </c>
    </row>
    <row r="494" ht="15.0" customHeight="1">
      <c r="A494" s="5">
        <v>2018.0</v>
      </c>
      <c r="B494" s="5" t="s">
        <v>143</v>
      </c>
      <c r="C494" s="5" t="s">
        <v>179</v>
      </c>
      <c r="D494" s="5" t="s">
        <v>180</v>
      </c>
      <c r="E494" s="5">
        <v>391.0</v>
      </c>
      <c r="F494" s="5">
        <v>291.0</v>
      </c>
      <c r="G494" s="5">
        <f t="shared" si="1"/>
        <v>682</v>
      </c>
      <c r="H494" s="10">
        <f t="shared" si="2"/>
        <v>0.573313783</v>
      </c>
      <c r="I494" s="10">
        <v>0.1173</v>
      </c>
      <c r="J494" s="10">
        <v>0.5392</v>
      </c>
      <c r="K494" s="5">
        <f t="shared" si="3"/>
        <v>0</v>
      </c>
    </row>
    <row r="495" ht="15.0" customHeight="1">
      <c r="A495" s="5">
        <v>2020.0</v>
      </c>
      <c r="B495" s="5" t="s">
        <v>143</v>
      </c>
      <c r="C495" s="5" t="s">
        <v>179</v>
      </c>
      <c r="D495" s="5" t="s">
        <v>180</v>
      </c>
      <c r="E495" s="5">
        <v>575.0</v>
      </c>
      <c r="F495" s="5">
        <v>467.0</v>
      </c>
      <c r="G495" s="5">
        <f t="shared" si="1"/>
        <v>1042</v>
      </c>
      <c r="H495" s="10">
        <f t="shared" si="2"/>
        <v>0.5518234165</v>
      </c>
      <c r="I495" s="10">
        <v>0.1397</v>
      </c>
      <c r="J495" s="10">
        <v>0.7427</v>
      </c>
      <c r="K495" s="5">
        <f t="shared" si="3"/>
        <v>1</v>
      </c>
    </row>
    <row r="496" ht="15.0" customHeight="1">
      <c r="A496" s="5">
        <v>2022.0</v>
      </c>
      <c r="B496" s="5" t="s">
        <v>143</v>
      </c>
      <c r="C496" s="5" t="s">
        <v>179</v>
      </c>
      <c r="D496" s="5" t="s">
        <v>180</v>
      </c>
      <c r="E496" s="5">
        <v>455.0</v>
      </c>
      <c r="F496" s="5">
        <v>363.0</v>
      </c>
      <c r="G496" s="5">
        <f t="shared" si="1"/>
        <v>818</v>
      </c>
      <c r="H496" s="10">
        <f t="shared" si="2"/>
        <v>0.5562347188</v>
      </c>
      <c r="I496" s="10">
        <v>0.1175</v>
      </c>
      <c r="J496" s="10">
        <v>0.572</v>
      </c>
      <c r="K496" s="5">
        <f t="shared" si="3"/>
        <v>0</v>
      </c>
    </row>
    <row r="497" ht="15.0" customHeight="1">
      <c r="A497" s="5">
        <v>2024.0</v>
      </c>
      <c r="B497" s="5" t="s">
        <v>143</v>
      </c>
      <c r="C497" s="5" t="s">
        <v>179</v>
      </c>
      <c r="D497" s="5" t="s">
        <v>180</v>
      </c>
      <c r="E497" s="5">
        <v>562.0</v>
      </c>
      <c r="F497" s="5">
        <v>497.0</v>
      </c>
      <c r="G497" s="5">
        <f t="shared" si="1"/>
        <v>1059</v>
      </c>
      <c r="H497" s="10">
        <f t="shared" si="2"/>
        <v>0.5306893296</v>
      </c>
      <c r="I497" s="10">
        <v>0.0743</v>
      </c>
      <c r="J497" s="10">
        <v>0.7495</v>
      </c>
      <c r="K497" s="5">
        <f t="shared" si="3"/>
        <v>1</v>
      </c>
    </row>
    <row r="498" ht="15.0" customHeight="1">
      <c r="A498" s="5">
        <v>2018.0</v>
      </c>
      <c r="B498" s="5" t="s">
        <v>143</v>
      </c>
      <c r="C498" s="5" t="s">
        <v>179</v>
      </c>
      <c r="D498" s="5" t="s">
        <v>181</v>
      </c>
      <c r="E498" s="5">
        <v>390.0</v>
      </c>
      <c r="F498" s="5">
        <v>330.0</v>
      </c>
      <c r="G498" s="5">
        <f t="shared" si="1"/>
        <v>720</v>
      </c>
      <c r="H498" s="10">
        <f t="shared" si="2"/>
        <v>0.5416666667</v>
      </c>
      <c r="I498" s="10">
        <v>0.0902</v>
      </c>
      <c r="J498" s="10">
        <v>0.6249</v>
      </c>
      <c r="K498" s="5">
        <f t="shared" si="3"/>
        <v>0</v>
      </c>
    </row>
    <row r="499" ht="15.0" customHeight="1">
      <c r="A499" s="5">
        <v>2020.0</v>
      </c>
      <c r="B499" s="5" t="s">
        <v>143</v>
      </c>
      <c r="C499" s="5" t="s">
        <v>179</v>
      </c>
      <c r="D499" s="5" t="s">
        <v>181</v>
      </c>
      <c r="E499" s="5">
        <v>546.0</v>
      </c>
      <c r="F499" s="5">
        <v>484.0</v>
      </c>
      <c r="G499" s="5">
        <f t="shared" si="1"/>
        <v>1030</v>
      </c>
      <c r="H499" s="10">
        <f t="shared" si="2"/>
        <v>0.5300970874</v>
      </c>
      <c r="I499" s="10">
        <v>0.0738</v>
      </c>
      <c r="J499" s="10">
        <v>0.7833</v>
      </c>
      <c r="K499" s="5">
        <f t="shared" si="3"/>
        <v>1</v>
      </c>
    </row>
    <row r="500" ht="15.0" customHeight="1">
      <c r="A500" s="5">
        <v>2022.0</v>
      </c>
      <c r="B500" s="5" t="s">
        <v>143</v>
      </c>
      <c r="C500" s="5" t="s">
        <v>179</v>
      </c>
      <c r="D500" s="5" t="s">
        <v>181</v>
      </c>
      <c r="E500" s="5">
        <v>447.0</v>
      </c>
      <c r="F500" s="5">
        <v>358.0</v>
      </c>
      <c r="G500" s="5">
        <f t="shared" si="1"/>
        <v>805</v>
      </c>
      <c r="H500" s="10">
        <f t="shared" si="2"/>
        <v>0.5552795031</v>
      </c>
      <c r="I500" s="10">
        <v>0.0995</v>
      </c>
      <c r="J500" s="10">
        <v>0.6164</v>
      </c>
      <c r="K500" s="5">
        <f t="shared" si="3"/>
        <v>0</v>
      </c>
    </row>
    <row r="501" ht="15.0" customHeight="1">
      <c r="A501" s="5">
        <v>2024.0</v>
      </c>
      <c r="B501" s="5" t="s">
        <v>143</v>
      </c>
      <c r="C501" s="5" t="s">
        <v>179</v>
      </c>
      <c r="D501" s="5" t="s">
        <v>181</v>
      </c>
      <c r="E501" s="5">
        <v>566.0</v>
      </c>
      <c r="F501" s="5">
        <v>509.0</v>
      </c>
      <c r="G501" s="5">
        <f t="shared" si="1"/>
        <v>1075</v>
      </c>
      <c r="H501" s="10">
        <f t="shared" si="2"/>
        <v>0.5265116279</v>
      </c>
      <c r="I501" s="10">
        <v>0.061</v>
      </c>
      <c r="J501" s="10">
        <v>0.7812</v>
      </c>
      <c r="K501" s="5">
        <f t="shared" si="3"/>
        <v>1</v>
      </c>
    </row>
    <row r="502" ht="15.0" customHeight="1">
      <c r="A502" s="5">
        <v>2018.0</v>
      </c>
      <c r="B502" s="5" t="s">
        <v>143</v>
      </c>
      <c r="C502" s="5" t="s">
        <v>179</v>
      </c>
      <c r="D502" s="5" t="s">
        <v>182</v>
      </c>
      <c r="E502" s="5">
        <v>437.0</v>
      </c>
      <c r="F502" s="5">
        <v>431.0</v>
      </c>
      <c r="G502" s="5">
        <f t="shared" si="1"/>
        <v>868</v>
      </c>
      <c r="H502" s="10">
        <f t="shared" si="2"/>
        <v>0.5034562212</v>
      </c>
      <c r="I502" s="10">
        <v>0.0248</v>
      </c>
      <c r="J502" s="10">
        <v>0.5561</v>
      </c>
      <c r="K502" s="5">
        <f t="shared" si="3"/>
        <v>0</v>
      </c>
    </row>
    <row r="503" ht="15.0" customHeight="1">
      <c r="A503" s="5">
        <v>2020.0</v>
      </c>
      <c r="B503" s="5" t="s">
        <v>143</v>
      </c>
      <c r="C503" s="5" t="s">
        <v>179</v>
      </c>
      <c r="D503" s="5" t="s">
        <v>182</v>
      </c>
      <c r="E503" s="5">
        <v>633.0</v>
      </c>
      <c r="F503" s="5">
        <v>694.0</v>
      </c>
      <c r="G503" s="5">
        <f t="shared" si="1"/>
        <v>1327</v>
      </c>
      <c r="H503" s="10">
        <f t="shared" si="2"/>
        <v>0.4770158252</v>
      </c>
      <c r="I503" s="10">
        <v>0.0237</v>
      </c>
      <c r="J503" s="10">
        <v>0.7666</v>
      </c>
      <c r="K503" s="5">
        <f t="shared" si="3"/>
        <v>1</v>
      </c>
    </row>
    <row r="504" ht="15.0" customHeight="1">
      <c r="A504" s="5">
        <v>2022.0</v>
      </c>
      <c r="B504" s="5" t="s">
        <v>143</v>
      </c>
      <c r="C504" s="5" t="s">
        <v>179</v>
      </c>
      <c r="D504" s="5" t="s">
        <v>182</v>
      </c>
      <c r="E504" s="5">
        <v>528.0</v>
      </c>
      <c r="F504" s="5">
        <v>494.0</v>
      </c>
      <c r="G504" s="5">
        <f t="shared" si="1"/>
        <v>1022</v>
      </c>
      <c r="H504" s="10">
        <f t="shared" si="2"/>
        <v>0.5166340509</v>
      </c>
      <c r="I504" s="10">
        <v>0.0345</v>
      </c>
      <c r="J504" s="10">
        <v>0.5874</v>
      </c>
      <c r="K504" s="5">
        <f t="shared" si="3"/>
        <v>0</v>
      </c>
    </row>
    <row r="505" ht="15.0" customHeight="1">
      <c r="A505" s="5">
        <v>2024.0</v>
      </c>
      <c r="B505" s="5" t="s">
        <v>143</v>
      </c>
      <c r="C505" s="5" t="s">
        <v>179</v>
      </c>
      <c r="D505" s="5" t="s">
        <v>182</v>
      </c>
      <c r="E505" s="5">
        <v>826.0</v>
      </c>
      <c r="F505" s="5">
        <v>801.0</v>
      </c>
      <c r="G505" s="5">
        <f t="shared" si="1"/>
        <v>1627</v>
      </c>
      <c r="H505" s="10">
        <f t="shared" si="2"/>
        <v>0.5076828519</v>
      </c>
      <c r="I505" s="10">
        <v>0.0307</v>
      </c>
      <c r="J505" s="10">
        <v>0.7815</v>
      </c>
      <c r="K505" s="5">
        <f t="shared" si="3"/>
        <v>1</v>
      </c>
    </row>
    <row r="506" ht="15.0" customHeight="1">
      <c r="A506" s="5">
        <v>2018.0</v>
      </c>
      <c r="B506" s="5" t="s">
        <v>143</v>
      </c>
      <c r="C506" s="5" t="s">
        <v>179</v>
      </c>
      <c r="D506" s="5" t="s">
        <v>183</v>
      </c>
      <c r="E506" s="5">
        <v>431.0</v>
      </c>
      <c r="F506" s="5">
        <v>293.0</v>
      </c>
      <c r="G506" s="5">
        <f t="shared" si="1"/>
        <v>724</v>
      </c>
      <c r="H506" s="10">
        <f t="shared" si="2"/>
        <v>0.5953038674</v>
      </c>
      <c r="I506" s="10">
        <v>0.1369</v>
      </c>
      <c r="J506" s="10">
        <v>0.5105</v>
      </c>
      <c r="K506" s="5">
        <f t="shared" si="3"/>
        <v>0</v>
      </c>
    </row>
    <row r="507" ht="15.0" customHeight="1">
      <c r="A507" s="5">
        <v>2020.0</v>
      </c>
      <c r="B507" s="5" t="s">
        <v>143</v>
      </c>
      <c r="C507" s="5" t="s">
        <v>179</v>
      </c>
      <c r="D507" s="5" t="s">
        <v>183</v>
      </c>
      <c r="E507" s="5">
        <v>682.0</v>
      </c>
      <c r="F507" s="5">
        <v>545.0</v>
      </c>
      <c r="G507" s="5">
        <f t="shared" si="1"/>
        <v>1227</v>
      </c>
      <c r="H507" s="10">
        <f t="shared" si="2"/>
        <v>0.5558272209</v>
      </c>
      <c r="I507" s="10">
        <v>0.1156</v>
      </c>
      <c r="J507" s="10">
        <v>0.7387</v>
      </c>
      <c r="K507" s="5">
        <f t="shared" si="3"/>
        <v>1</v>
      </c>
    </row>
    <row r="508" ht="15.0" customHeight="1">
      <c r="A508" s="5">
        <v>2022.0</v>
      </c>
      <c r="B508" s="5" t="s">
        <v>143</v>
      </c>
      <c r="C508" s="5" t="s">
        <v>179</v>
      </c>
      <c r="D508" s="5" t="s">
        <v>183</v>
      </c>
      <c r="E508" s="5">
        <v>516.0</v>
      </c>
      <c r="F508" s="5">
        <v>363.0</v>
      </c>
      <c r="G508" s="5">
        <f t="shared" si="1"/>
        <v>879</v>
      </c>
      <c r="H508" s="10">
        <f t="shared" si="2"/>
        <v>0.5870307167</v>
      </c>
      <c r="I508" s="10">
        <v>0.1231</v>
      </c>
      <c r="J508" s="10">
        <v>0.5466</v>
      </c>
      <c r="K508" s="5">
        <f t="shared" si="3"/>
        <v>0</v>
      </c>
    </row>
    <row r="509" ht="15.0" customHeight="1">
      <c r="A509" s="5">
        <v>2024.0</v>
      </c>
      <c r="B509" s="5" t="s">
        <v>143</v>
      </c>
      <c r="C509" s="5" t="s">
        <v>179</v>
      </c>
      <c r="D509" s="5" t="s">
        <v>183</v>
      </c>
      <c r="E509" s="5">
        <v>686.0</v>
      </c>
      <c r="F509" s="5">
        <v>580.0</v>
      </c>
      <c r="G509" s="5">
        <f t="shared" si="1"/>
        <v>1266</v>
      </c>
      <c r="H509" s="10">
        <f t="shared" si="2"/>
        <v>0.541864139</v>
      </c>
      <c r="I509" s="10">
        <v>0.0949</v>
      </c>
      <c r="J509" s="10">
        <v>0.746</v>
      </c>
      <c r="K509" s="5">
        <f t="shared" si="3"/>
        <v>1</v>
      </c>
    </row>
    <row r="510" ht="15.0" customHeight="1">
      <c r="A510" s="5">
        <v>2018.0</v>
      </c>
      <c r="B510" s="5" t="s">
        <v>143</v>
      </c>
      <c r="C510" s="5" t="s">
        <v>179</v>
      </c>
      <c r="D510" s="5" t="s">
        <v>184</v>
      </c>
      <c r="E510" s="5">
        <v>259.0</v>
      </c>
      <c r="F510" s="5">
        <v>231.0</v>
      </c>
      <c r="G510" s="5">
        <f t="shared" si="1"/>
        <v>490</v>
      </c>
      <c r="H510" s="10">
        <f t="shared" si="2"/>
        <v>0.5285714286</v>
      </c>
      <c r="I510" s="10">
        <v>-0.0123</v>
      </c>
      <c r="J510" s="10">
        <v>0.7084</v>
      </c>
      <c r="K510" s="5">
        <f t="shared" si="3"/>
        <v>0</v>
      </c>
    </row>
    <row r="511" ht="15.0" customHeight="1">
      <c r="A511" s="5">
        <v>2020.0</v>
      </c>
      <c r="B511" s="5" t="s">
        <v>143</v>
      </c>
      <c r="C511" s="5" t="s">
        <v>179</v>
      </c>
      <c r="D511" s="5" t="s">
        <v>184</v>
      </c>
      <c r="E511" s="5">
        <v>325.0</v>
      </c>
      <c r="F511" s="5">
        <v>334.0</v>
      </c>
      <c r="G511" s="5">
        <f t="shared" si="1"/>
        <v>659</v>
      </c>
      <c r="H511" s="10">
        <f t="shared" si="2"/>
        <v>0.4931714719</v>
      </c>
      <c r="I511" s="10">
        <v>0.0065</v>
      </c>
      <c r="J511" s="10">
        <v>0.8592</v>
      </c>
      <c r="K511" s="5">
        <f t="shared" si="3"/>
        <v>1</v>
      </c>
    </row>
    <row r="512" ht="15.0" customHeight="1">
      <c r="A512" s="5">
        <v>2022.0</v>
      </c>
      <c r="B512" s="5" t="s">
        <v>143</v>
      </c>
      <c r="C512" s="5" t="s">
        <v>179</v>
      </c>
      <c r="D512" s="5" t="s">
        <v>184</v>
      </c>
      <c r="E512" s="5">
        <v>294.0</v>
      </c>
      <c r="F512" s="5">
        <v>260.0</v>
      </c>
      <c r="G512" s="5">
        <f t="shared" si="1"/>
        <v>554</v>
      </c>
      <c r="H512" s="10">
        <f t="shared" si="2"/>
        <v>0.5306859206</v>
      </c>
      <c r="I512" s="10">
        <v>0.0355</v>
      </c>
      <c r="J512" s="10">
        <v>0.728</v>
      </c>
      <c r="K512" s="5">
        <f t="shared" si="3"/>
        <v>0</v>
      </c>
    </row>
    <row r="513" ht="15.0" customHeight="1">
      <c r="A513" s="5">
        <v>2024.0</v>
      </c>
      <c r="B513" s="5" t="s">
        <v>143</v>
      </c>
      <c r="C513" s="5" t="s">
        <v>179</v>
      </c>
      <c r="D513" s="5" t="s">
        <v>184</v>
      </c>
      <c r="E513" s="5">
        <v>332.0</v>
      </c>
      <c r="F513" s="5">
        <v>340.0</v>
      </c>
      <c r="G513" s="5">
        <f t="shared" si="1"/>
        <v>672</v>
      </c>
      <c r="H513" s="10">
        <f t="shared" si="2"/>
        <v>0.494047619</v>
      </c>
      <c r="I513" s="10">
        <v>-0.0088</v>
      </c>
      <c r="J513" s="10">
        <v>0.8496</v>
      </c>
      <c r="K513" s="5">
        <f t="shared" si="3"/>
        <v>1</v>
      </c>
    </row>
    <row r="514" ht="15.0" customHeight="1">
      <c r="A514" s="5">
        <v>2018.0</v>
      </c>
      <c r="B514" s="5" t="s">
        <v>143</v>
      </c>
      <c r="C514" s="5" t="s">
        <v>179</v>
      </c>
      <c r="D514" s="5" t="s">
        <v>185</v>
      </c>
      <c r="E514" s="5">
        <v>526.0</v>
      </c>
      <c r="F514" s="5">
        <v>379.0</v>
      </c>
      <c r="G514" s="5">
        <f t="shared" si="1"/>
        <v>905</v>
      </c>
      <c r="H514" s="10">
        <f t="shared" si="2"/>
        <v>0.5812154696</v>
      </c>
      <c r="I514" s="10">
        <v>0.0272</v>
      </c>
      <c r="J514" s="10">
        <v>0.7125</v>
      </c>
      <c r="K514" s="5">
        <f t="shared" si="3"/>
        <v>0</v>
      </c>
    </row>
    <row r="515" ht="15.0" customHeight="1">
      <c r="A515" s="5">
        <v>2020.0</v>
      </c>
      <c r="B515" s="5" t="s">
        <v>143</v>
      </c>
      <c r="C515" s="5" t="s">
        <v>179</v>
      </c>
      <c r="D515" s="5" t="s">
        <v>185</v>
      </c>
      <c r="E515" s="5">
        <v>632.0</v>
      </c>
      <c r="F515" s="5">
        <v>554.0</v>
      </c>
      <c r="G515" s="5">
        <f t="shared" si="1"/>
        <v>1186</v>
      </c>
      <c r="H515" s="10">
        <f t="shared" si="2"/>
        <v>0.5328836425</v>
      </c>
      <c r="I515" s="10">
        <v>0.0547</v>
      </c>
      <c r="J515" s="10">
        <v>0.8532</v>
      </c>
      <c r="K515" s="5">
        <f t="shared" si="3"/>
        <v>1</v>
      </c>
    </row>
    <row r="516" ht="15.0" customHeight="1">
      <c r="A516" s="5">
        <v>2022.0</v>
      </c>
      <c r="B516" s="5" t="s">
        <v>143</v>
      </c>
      <c r="C516" s="5" t="s">
        <v>179</v>
      </c>
      <c r="D516" s="5" t="s">
        <v>185</v>
      </c>
      <c r="E516" s="5">
        <v>594.0</v>
      </c>
      <c r="F516" s="5">
        <v>412.0</v>
      </c>
      <c r="G516" s="5">
        <f t="shared" si="1"/>
        <v>1006</v>
      </c>
      <c r="H516" s="10">
        <f t="shared" si="2"/>
        <v>0.5904572565</v>
      </c>
      <c r="I516" s="10">
        <v>0.0704</v>
      </c>
      <c r="J516" s="10">
        <v>0.73</v>
      </c>
      <c r="K516" s="5">
        <f t="shared" si="3"/>
        <v>0</v>
      </c>
    </row>
    <row r="517" ht="15.0" customHeight="1">
      <c r="A517" s="5">
        <v>2024.0</v>
      </c>
      <c r="B517" s="5" t="s">
        <v>143</v>
      </c>
      <c r="C517" s="5" t="s">
        <v>179</v>
      </c>
      <c r="D517" s="5" t="s">
        <v>185</v>
      </c>
      <c r="E517" s="5">
        <v>691.0</v>
      </c>
      <c r="F517" s="5">
        <v>509.0</v>
      </c>
      <c r="G517" s="5">
        <f t="shared" si="1"/>
        <v>1200</v>
      </c>
      <c r="H517" s="10">
        <f t="shared" si="2"/>
        <v>0.5758333333</v>
      </c>
      <c r="I517" s="10">
        <v>0.0862</v>
      </c>
      <c r="J517" s="10">
        <v>0.8553</v>
      </c>
      <c r="K517" s="5">
        <f t="shared" si="3"/>
        <v>1</v>
      </c>
    </row>
    <row r="518" ht="15.0" customHeight="1">
      <c r="A518" s="5">
        <v>2018.0</v>
      </c>
      <c r="B518" s="5" t="s">
        <v>143</v>
      </c>
      <c r="C518" s="5" t="s">
        <v>186</v>
      </c>
      <c r="D518" s="5" t="s">
        <v>187</v>
      </c>
      <c r="E518" s="5">
        <v>416.0</v>
      </c>
      <c r="F518" s="5">
        <v>151.0</v>
      </c>
      <c r="G518" s="5">
        <f t="shared" si="1"/>
        <v>567</v>
      </c>
      <c r="H518" s="10">
        <f t="shared" si="2"/>
        <v>0.733686067</v>
      </c>
      <c r="I518" s="10">
        <v>0.414</v>
      </c>
      <c r="J518" s="10">
        <v>0.4942</v>
      </c>
      <c r="K518" s="5">
        <f t="shared" si="3"/>
        <v>0</v>
      </c>
    </row>
    <row r="519" ht="15.0" customHeight="1">
      <c r="A519" s="5">
        <v>2020.0</v>
      </c>
      <c r="B519" s="5" t="s">
        <v>143</v>
      </c>
      <c r="C519" s="5" t="s">
        <v>186</v>
      </c>
      <c r="D519" s="5" t="s">
        <v>187</v>
      </c>
      <c r="E519" s="5">
        <v>612.0</v>
      </c>
      <c r="F519" s="5">
        <v>265.0</v>
      </c>
      <c r="G519" s="5">
        <f t="shared" si="1"/>
        <v>877</v>
      </c>
      <c r="H519" s="10">
        <f t="shared" si="2"/>
        <v>0.6978335234</v>
      </c>
      <c r="I519" s="10">
        <v>0.4165</v>
      </c>
      <c r="J519" s="10">
        <v>0.6906</v>
      </c>
      <c r="K519" s="5">
        <f t="shared" si="3"/>
        <v>1</v>
      </c>
    </row>
    <row r="520" ht="15.0" customHeight="1">
      <c r="A520" s="5">
        <v>2022.0</v>
      </c>
      <c r="B520" s="5" t="s">
        <v>143</v>
      </c>
      <c r="C520" s="5" t="s">
        <v>186</v>
      </c>
      <c r="D520" s="5" t="s">
        <v>187</v>
      </c>
      <c r="E520" s="5">
        <v>413.0</v>
      </c>
      <c r="F520" s="5">
        <v>158.0</v>
      </c>
      <c r="G520" s="5">
        <f t="shared" si="1"/>
        <v>571</v>
      </c>
      <c r="H520" s="10">
        <f t="shared" si="2"/>
        <v>0.7232924694</v>
      </c>
      <c r="I520" s="10">
        <v>0.4122</v>
      </c>
      <c r="J520" s="10">
        <v>0.4535</v>
      </c>
      <c r="K520" s="5">
        <f t="shared" si="3"/>
        <v>0</v>
      </c>
    </row>
    <row r="521" ht="15.0" customHeight="1">
      <c r="A521" s="5">
        <v>2024.0</v>
      </c>
      <c r="B521" s="5" t="s">
        <v>143</v>
      </c>
      <c r="C521" s="5" t="s">
        <v>186</v>
      </c>
      <c r="D521" s="5" t="s">
        <v>187</v>
      </c>
      <c r="E521" s="5">
        <v>579.0</v>
      </c>
      <c r="F521" s="5">
        <v>292.0</v>
      </c>
      <c r="G521" s="5">
        <f t="shared" si="1"/>
        <v>871</v>
      </c>
      <c r="H521" s="10">
        <f t="shared" si="2"/>
        <v>0.6647531573</v>
      </c>
      <c r="I521" s="10">
        <v>0.3404</v>
      </c>
      <c r="J521" s="10">
        <v>0.639</v>
      </c>
      <c r="K521" s="5">
        <f t="shared" si="3"/>
        <v>1</v>
      </c>
    </row>
    <row r="522" ht="15.0" customHeight="1">
      <c r="A522" s="5">
        <v>2018.0</v>
      </c>
      <c r="B522" s="5" t="s">
        <v>143</v>
      </c>
      <c r="C522" s="5" t="s">
        <v>186</v>
      </c>
      <c r="D522" s="5" t="s">
        <v>188</v>
      </c>
      <c r="E522" s="5">
        <v>334.0</v>
      </c>
      <c r="F522" s="5">
        <v>165.0</v>
      </c>
      <c r="G522" s="5">
        <f t="shared" si="1"/>
        <v>499</v>
      </c>
      <c r="H522" s="10">
        <f t="shared" si="2"/>
        <v>0.6693386774</v>
      </c>
      <c r="I522" s="10">
        <v>0.3797</v>
      </c>
      <c r="J522" s="10">
        <v>0.5773</v>
      </c>
      <c r="K522" s="5">
        <f t="shared" si="3"/>
        <v>0</v>
      </c>
    </row>
    <row r="523" ht="15.0" customHeight="1">
      <c r="A523" s="5">
        <v>2020.0</v>
      </c>
      <c r="B523" s="5" t="s">
        <v>143</v>
      </c>
      <c r="C523" s="5" t="s">
        <v>186</v>
      </c>
      <c r="D523" s="5" t="s">
        <v>188</v>
      </c>
      <c r="E523" s="5">
        <v>442.0</v>
      </c>
      <c r="F523" s="5">
        <v>235.0</v>
      </c>
      <c r="G523" s="5">
        <f t="shared" si="1"/>
        <v>677</v>
      </c>
      <c r="H523" s="10">
        <f t="shared" si="2"/>
        <v>0.6528803545</v>
      </c>
      <c r="I523" s="10">
        <v>0.4061</v>
      </c>
      <c r="J523" s="10">
        <v>0.7067</v>
      </c>
      <c r="K523" s="5">
        <f t="shared" si="3"/>
        <v>1</v>
      </c>
    </row>
    <row r="524" ht="15.0" customHeight="1">
      <c r="A524" s="5">
        <v>2022.0</v>
      </c>
      <c r="B524" s="5" t="s">
        <v>143</v>
      </c>
      <c r="C524" s="5" t="s">
        <v>186</v>
      </c>
      <c r="D524" s="5" t="s">
        <v>188</v>
      </c>
      <c r="E524" s="5">
        <v>303.0</v>
      </c>
      <c r="F524" s="5">
        <v>169.0</v>
      </c>
      <c r="G524" s="5">
        <f t="shared" si="1"/>
        <v>472</v>
      </c>
      <c r="H524" s="10">
        <f t="shared" si="2"/>
        <v>0.6419491525</v>
      </c>
      <c r="I524" s="10">
        <v>0.4011</v>
      </c>
      <c r="J524" s="10">
        <v>0.4995</v>
      </c>
      <c r="K524" s="5">
        <f t="shared" si="3"/>
        <v>0</v>
      </c>
    </row>
    <row r="525" ht="15.0" customHeight="1">
      <c r="A525" s="5">
        <v>2024.0</v>
      </c>
      <c r="B525" s="5" t="s">
        <v>143</v>
      </c>
      <c r="C525" s="5" t="s">
        <v>186</v>
      </c>
      <c r="D525" s="5" t="s">
        <v>188</v>
      </c>
      <c r="E525" s="5">
        <v>440.0</v>
      </c>
      <c r="F525" s="5">
        <v>262.0</v>
      </c>
      <c r="G525" s="5">
        <f t="shared" si="1"/>
        <v>702</v>
      </c>
      <c r="H525" s="10">
        <f t="shared" si="2"/>
        <v>0.6267806268</v>
      </c>
      <c r="I525" s="10">
        <v>0.3468</v>
      </c>
      <c r="J525" s="10">
        <v>0.6916</v>
      </c>
      <c r="K525" s="5">
        <f t="shared" si="3"/>
        <v>1</v>
      </c>
    </row>
    <row r="526" ht="15.0" customHeight="1">
      <c r="A526" s="5">
        <v>2018.0</v>
      </c>
      <c r="B526" s="5" t="s">
        <v>143</v>
      </c>
      <c r="C526" s="5" t="s">
        <v>186</v>
      </c>
      <c r="D526" s="5" t="s">
        <v>189</v>
      </c>
      <c r="E526" s="5">
        <v>327.0</v>
      </c>
      <c r="F526" s="5">
        <v>147.0</v>
      </c>
      <c r="G526" s="5">
        <f t="shared" si="1"/>
        <v>474</v>
      </c>
      <c r="H526" s="10">
        <f t="shared" si="2"/>
        <v>0.6898734177</v>
      </c>
      <c r="I526" s="10">
        <v>0.3101</v>
      </c>
      <c r="J526" s="10">
        <v>0.6499</v>
      </c>
      <c r="K526" s="5">
        <f t="shared" si="3"/>
        <v>0</v>
      </c>
    </row>
    <row r="527" ht="15.0" customHeight="1">
      <c r="A527" s="5">
        <v>2020.0</v>
      </c>
      <c r="B527" s="5" t="s">
        <v>143</v>
      </c>
      <c r="C527" s="5" t="s">
        <v>186</v>
      </c>
      <c r="D527" s="5" t="s">
        <v>189</v>
      </c>
      <c r="E527" s="5">
        <v>427.0</v>
      </c>
      <c r="F527" s="5">
        <v>237.0</v>
      </c>
      <c r="G527" s="5">
        <f t="shared" si="1"/>
        <v>664</v>
      </c>
      <c r="H527" s="10">
        <f t="shared" si="2"/>
        <v>0.6430722892</v>
      </c>
      <c r="I527" s="10">
        <v>0.3045</v>
      </c>
      <c r="J527" s="10">
        <v>0.799</v>
      </c>
      <c r="K527" s="5">
        <f t="shared" si="3"/>
        <v>1</v>
      </c>
    </row>
    <row r="528" ht="15.0" customHeight="1">
      <c r="A528" s="5">
        <v>2022.0</v>
      </c>
      <c r="B528" s="5" t="s">
        <v>143</v>
      </c>
      <c r="C528" s="5" t="s">
        <v>186</v>
      </c>
      <c r="D528" s="5" t="s">
        <v>189</v>
      </c>
      <c r="E528" s="5">
        <v>354.0</v>
      </c>
      <c r="F528" s="5">
        <v>152.0</v>
      </c>
      <c r="G528" s="5">
        <f t="shared" si="1"/>
        <v>506</v>
      </c>
      <c r="H528" s="10">
        <f t="shared" si="2"/>
        <v>0.6996047431</v>
      </c>
      <c r="I528" s="10">
        <v>0.3215</v>
      </c>
      <c r="J528" s="10">
        <v>0.6209</v>
      </c>
      <c r="K528" s="5">
        <f t="shared" si="3"/>
        <v>0</v>
      </c>
    </row>
    <row r="529" ht="15.0" customHeight="1">
      <c r="A529" s="5">
        <v>2024.0</v>
      </c>
      <c r="B529" s="5" t="s">
        <v>143</v>
      </c>
      <c r="C529" s="5" t="s">
        <v>186</v>
      </c>
      <c r="D529" s="5" t="s">
        <v>189</v>
      </c>
      <c r="E529" s="5">
        <v>414.0</v>
      </c>
      <c r="F529" s="5">
        <v>239.0</v>
      </c>
      <c r="G529" s="5">
        <f t="shared" si="1"/>
        <v>653</v>
      </c>
      <c r="H529" s="10">
        <f t="shared" si="2"/>
        <v>0.6339969372</v>
      </c>
      <c r="I529" s="10">
        <v>0.2667</v>
      </c>
      <c r="J529" s="10">
        <v>0.7673</v>
      </c>
      <c r="K529" s="5">
        <f t="shared" si="3"/>
        <v>1</v>
      </c>
    </row>
    <row r="530" ht="15.0" customHeight="1">
      <c r="A530" s="5">
        <v>2018.0</v>
      </c>
      <c r="B530" s="5" t="s">
        <v>143</v>
      </c>
      <c r="C530" s="5" t="s">
        <v>190</v>
      </c>
      <c r="D530" s="5" t="s">
        <v>191</v>
      </c>
      <c r="E530" s="5">
        <v>294.0</v>
      </c>
      <c r="F530" s="5">
        <v>198.0</v>
      </c>
      <c r="G530" s="5">
        <f t="shared" si="1"/>
        <v>492</v>
      </c>
      <c r="H530" s="10">
        <f t="shared" si="2"/>
        <v>0.5975609756</v>
      </c>
      <c r="I530" s="10">
        <v>0.237</v>
      </c>
      <c r="J530" s="10">
        <v>0.503</v>
      </c>
      <c r="K530" s="5">
        <f t="shared" si="3"/>
        <v>0</v>
      </c>
    </row>
    <row r="531" ht="15.0" customHeight="1">
      <c r="A531" s="5">
        <v>2020.0</v>
      </c>
      <c r="B531" s="5" t="s">
        <v>143</v>
      </c>
      <c r="C531" s="5" t="s">
        <v>190</v>
      </c>
      <c r="D531" s="5" t="s">
        <v>191</v>
      </c>
      <c r="E531" s="5">
        <v>405.0</v>
      </c>
      <c r="F531" s="5">
        <v>304.0</v>
      </c>
      <c r="G531" s="5">
        <f t="shared" si="1"/>
        <v>709</v>
      </c>
      <c r="H531" s="10">
        <f t="shared" si="2"/>
        <v>0.5712270804</v>
      </c>
      <c r="I531" s="10">
        <v>0.2285</v>
      </c>
      <c r="J531" s="10">
        <v>0.6837</v>
      </c>
      <c r="K531" s="5">
        <f t="shared" si="3"/>
        <v>1</v>
      </c>
    </row>
    <row r="532" ht="15.0" customHeight="1">
      <c r="A532" s="5">
        <v>2022.0</v>
      </c>
      <c r="B532" s="5" t="s">
        <v>143</v>
      </c>
      <c r="C532" s="5" t="s">
        <v>190</v>
      </c>
      <c r="D532" s="5" t="s">
        <v>191</v>
      </c>
      <c r="E532" s="5">
        <v>262.0</v>
      </c>
      <c r="F532" s="5">
        <v>205.0</v>
      </c>
      <c r="G532" s="5">
        <f t="shared" si="1"/>
        <v>467</v>
      </c>
      <c r="H532" s="10">
        <f t="shared" si="2"/>
        <v>0.5610278373</v>
      </c>
      <c r="I532" s="10">
        <v>0.2082</v>
      </c>
      <c r="J532" s="10">
        <v>0.4698</v>
      </c>
      <c r="K532" s="5">
        <f t="shared" si="3"/>
        <v>0</v>
      </c>
    </row>
    <row r="533" ht="15.0" customHeight="1">
      <c r="A533" s="5">
        <v>2024.0</v>
      </c>
      <c r="B533" s="5" t="s">
        <v>143</v>
      </c>
      <c r="C533" s="5" t="s">
        <v>190</v>
      </c>
      <c r="D533" s="5" t="s">
        <v>191</v>
      </c>
      <c r="E533" s="5">
        <v>379.0</v>
      </c>
      <c r="F533" s="5">
        <v>330.0</v>
      </c>
      <c r="G533" s="5">
        <f t="shared" si="1"/>
        <v>709</v>
      </c>
      <c r="H533" s="10">
        <f t="shared" si="2"/>
        <v>0.5345557123</v>
      </c>
      <c r="I533" s="10">
        <v>0.1397</v>
      </c>
      <c r="J533" s="10">
        <v>0.6559</v>
      </c>
      <c r="K533" s="5">
        <f t="shared" si="3"/>
        <v>1</v>
      </c>
    </row>
    <row r="534" ht="15.0" customHeight="1">
      <c r="A534" s="5">
        <v>2018.0</v>
      </c>
      <c r="B534" s="5" t="s">
        <v>143</v>
      </c>
      <c r="C534" s="5" t="s">
        <v>192</v>
      </c>
      <c r="D534" s="5" t="s">
        <v>193</v>
      </c>
      <c r="E534" s="5">
        <v>498.0</v>
      </c>
      <c r="F534" s="5">
        <v>876.0</v>
      </c>
      <c r="G534" s="5">
        <f t="shared" si="1"/>
        <v>1374</v>
      </c>
      <c r="H534" s="10">
        <f t="shared" si="2"/>
        <v>0.3624454148</v>
      </c>
      <c r="I534" s="10">
        <v>-0.2263</v>
      </c>
      <c r="J534" s="10">
        <v>0.6377</v>
      </c>
      <c r="K534" s="5">
        <f t="shared" si="3"/>
        <v>0</v>
      </c>
    </row>
    <row r="535" ht="15.0" customHeight="1">
      <c r="A535" s="5">
        <v>2020.0</v>
      </c>
      <c r="B535" s="5" t="s">
        <v>143</v>
      </c>
      <c r="C535" s="5" t="s">
        <v>192</v>
      </c>
      <c r="D535" s="5" t="s">
        <v>193</v>
      </c>
      <c r="E535" s="5">
        <v>602.0</v>
      </c>
      <c r="F535" s="5">
        <v>1339.0</v>
      </c>
      <c r="G535" s="5">
        <f t="shared" si="1"/>
        <v>1941</v>
      </c>
      <c r="H535" s="10">
        <f t="shared" si="2"/>
        <v>0.3101494075</v>
      </c>
      <c r="I535" s="10">
        <v>-0.2628</v>
      </c>
      <c r="J535" s="10">
        <v>0.8214</v>
      </c>
      <c r="K535" s="5">
        <f t="shared" si="3"/>
        <v>1</v>
      </c>
    </row>
    <row r="536" ht="15.0" customHeight="1">
      <c r="A536" s="5">
        <v>2022.0</v>
      </c>
      <c r="B536" s="5" t="s">
        <v>143</v>
      </c>
      <c r="C536" s="5" t="s">
        <v>192</v>
      </c>
      <c r="D536" s="5" t="s">
        <v>193</v>
      </c>
      <c r="E536" s="5">
        <v>532.0</v>
      </c>
      <c r="F536" s="5">
        <v>1068.0</v>
      </c>
      <c r="G536" s="5">
        <f t="shared" si="1"/>
        <v>1600</v>
      </c>
      <c r="H536" s="10">
        <f t="shared" si="2"/>
        <v>0.3325</v>
      </c>
      <c r="I536" s="10">
        <v>-0.2975</v>
      </c>
      <c r="J536" s="10">
        <v>0.6675</v>
      </c>
      <c r="K536" s="5">
        <f t="shared" si="3"/>
        <v>0</v>
      </c>
    </row>
    <row r="537" ht="15.0" customHeight="1">
      <c r="A537" s="5">
        <v>2024.0</v>
      </c>
      <c r="B537" s="5" t="s">
        <v>143</v>
      </c>
      <c r="C537" s="5" t="s">
        <v>192</v>
      </c>
      <c r="D537" s="5" t="s">
        <v>193</v>
      </c>
      <c r="E537" s="5">
        <v>654.0</v>
      </c>
      <c r="F537" s="5">
        <v>1439.0</v>
      </c>
      <c r="G537" s="5">
        <f t="shared" si="1"/>
        <v>2093</v>
      </c>
      <c r="H537" s="10">
        <f t="shared" si="2"/>
        <v>0.3124701386</v>
      </c>
      <c r="I537" s="10">
        <v>-0.3391</v>
      </c>
      <c r="J537" s="10">
        <v>0.8369</v>
      </c>
      <c r="K537" s="5">
        <f t="shared" si="3"/>
        <v>1</v>
      </c>
    </row>
    <row r="538" ht="15.0" customHeight="1">
      <c r="A538" s="5">
        <v>2018.0</v>
      </c>
      <c r="B538" s="5" t="s">
        <v>143</v>
      </c>
      <c r="C538" s="5" t="s">
        <v>194</v>
      </c>
      <c r="D538" s="5" t="s">
        <v>195</v>
      </c>
      <c r="E538" s="5">
        <v>791.0</v>
      </c>
      <c r="F538" s="5">
        <v>781.0</v>
      </c>
      <c r="G538" s="5">
        <f t="shared" si="1"/>
        <v>1572</v>
      </c>
      <c r="H538" s="10">
        <f t="shared" si="2"/>
        <v>0.5031806616</v>
      </c>
      <c r="I538" s="10">
        <v>-0.0367</v>
      </c>
      <c r="J538" s="10">
        <v>0.6303</v>
      </c>
      <c r="K538" s="5">
        <f t="shared" si="3"/>
        <v>0</v>
      </c>
    </row>
    <row r="539" ht="15.0" customHeight="1">
      <c r="A539" s="5">
        <v>2020.0</v>
      </c>
      <c r="B539" s="5" t="s">
        <v>143</v>
      </c>
      <c r="C539" s="5" t="s">
        <v>194</v>
      </c>
      <c r="D539" s="5" t="s">
        <v>195</v>
      </c>
      <c r="E539" s="5">
        <v>1090.0</v>
      </c>
      <c r="F539" s="5">
        <v>1114.0</v>
      </c>
      <c r="G539" s="5">
        <f t="shared" si="1"/>
        <v>2204</v>
      </c>
      <c r="H539" s="10">
        <f t="shared" si="2"/>
        <v>0.4945553539</v>
      </c>
      <c r="I539" s="10">
        <v>-0.0146</v>
      </c>
      <c r="J539" s="10">
        <v>0.8017</v>
      </c>
      <c r="K539" s="5">
        <f t="shared" si="3"/>
        <v>1</v>
      </c>
    </row>
    <row r="540" ht="15.0" customHeight="1">
      <c r="A540" s="5">
        <v>2022.0</v>
      </c>
      <c r="B540" s="5" t="s">
        <v>143</v>
      </c>
      <c r="C540" s="5" t="s">
        <v>194</v>
      </c>
      <c r="D540" s="5" t="s">
        <v>195</v>
      </c>
      <c r="E540" s="5">
        <v>879.0</v>
      </c>
      <c r="F540" s="5">
        <v>809.0</v>
      </c>
      <c r="G540" s="5">
        <f t="shared" si="1"/>
        <v>1688</v>
      </c>
      <c r="H540" s="10">
        <f t="shared" si="2"/>
        <v>0.5207345972</v>
      </c>
      <c r="I540" s="10">
        <v>-0.0129</v>
      </c>
      <c r="J540" s="10">
        <v>0.6206</v>
      </c>
      <c r="K540" s="5">
        <f t="shared" si="3"/>
        <v>0</v>
      </c>
    </row>
    <row r="541" ht="15.0" customHeight="1">
      <c r="A541" s="5">
        <v>2024.0</v>
      </c>
      <c r="B541" s="5" t="s">
        <v>143</v>
      </c>
      <c r="C541" s="5" t="s">
        <v>194</v>
      </c>
      <c r="D541" s="5" t="s">
        <v>195</v>
      </c>
      <c r="E541" s="5">
        <v>1082.0</v>
      </c>
      <c r="F541" s="5">
        <v>1101.0</v>
      </c>
      <c r="G541" s="5">
        <f t="shared" si="1"/>
        <v>2183</v>
      </c>
      <c r="H541" s="10">
        <f t="shared" si="2"/>
        <v>0.4956481906</v>
      </c>
      <c r="I541" s="10">
        <v>-0.0196</v>
      </c>
      <c r="J541" s="10">
        <v>0.7777</v>
      </c>
      <c r="K541" s="5">
        <f t="shared" si="3"/>
        <v>1</v>
      </c>
    </row>
    <row r="542" ht="15.0" customHeight="1">
      <c r="A542" s="5">
        <v>2018.0</v>
      </c>
      <c r="B542" s="5" t="s">
        <v>143</v>
      </c>
      <c r="C542" s="5" t="s">
        <v>194</v>
      </c>
      <c r="D542" s="5" t="s">
        <v>196</v>
      </c>
      <c r="E542" s="5">
        <v>1343.0</v>
      </c>
      <c r="F542" s="5">
        <v>1305.0</v>
      </c>
      <c r="G542" s="5">
        <f t="shared" si="1"/>
        <v>2648</v>
      </c>
      <c r="H542" s="10">
        <f t="shared" si="2"/>
        <v>0.5071752266</v>
      </c>
      <c r="I542" s="10">
        <v>-0.0876</v>
      </c>
      <c r="J542" s="10">
        <v>0.6503</v>
      </c>
      <c r="K542" s="5">
        <f t="shared" si="3"/>
        <v>0</v>
      </c>
    </row>
    <row r="543" ht="15.0" customHeight="1">
      <c r="A543" s="5">
        <v>2020.0</v>
      </c>
      <c r="B543" s="5" t="s">
        <v>143</v>
      </c>
      <c r="C543" s="5" t="s">
        <v>194</v>
      </c>
      <c r="D543" s="5" t="s">
        <v>196</v>
      </c>
      <c r="E543" s="5">
        <v>1827.0</v>
      </c>
      <c r="F543" s="5">
        <v>1869.0</v>
      </c>
      <c r="G543" s="5">
        <f t="shared" si="1"/>
        <v>3696</v>
      </c>
      <c r="H543" s="10">
        <f t="shared" si="2"/>
        <v>0.4943181818</v>
      </c>
      <c r="I543" s="10">
        <v>-0.046</v>
      </c>
      <c r="J543" s="10">
        <v>0.8246</v>
      </c>
      <c r="K543" s="5">
        <f t="shared" si="3"/>
        <v>1</v>
      </c>
    </row>
    <row r="544" ht="15.0" customHeight="1">
      <c r="A544" s="5">
        <v>2022.0</v>
      </c>
      <c r="B544" s="5" t="s">
        <v>143</v>
      </c>
      <c r="C544" s="5" t="s">
        <v>194</v>
      </c>
      <c r="D544" s="5" t="s">
        <v>196</v>
      </c>
      <c r="E544" s="5">
        <v>1520.0</v>
      </c>
      <c r="F544" s="5">
        <v>1428.0</v>
      </c>
      <c r="G544" s="5">
        <f t="shared" si="1"/>
        <v>2948</v>
      </c>
      <c r="H544" s="10">
        <f t="shared" si="2"/>
        <v>0.5156037992</v>
      </c>
      <c r="I544" s="10">
        <v>-0.0347</v>
      </c>
      <c r="J544" s="10">
        <v>0.6682</v>
      </c>
      <c r="K544" s="5">
        <f t="shared" si="3"/>
        <v>0</v>
      </c>
    </row>
    <row r="545" ht="15.0" customHeight="1">
      <c r="A545" s="5">
        <v>2024.0</v>
      </c>
      <c r="B545" s="5" t="s">
        <v>143</v>
      </c>
      <c r="C545" s="5" t="s">
        <v>194</v>
      </c>
      <c r="D545" s="5" t="s">
        <v>196</v>
      </c>
      <c r="E545" s="5">
        <v>1799.0</v>
      </c>
      <c r="F545" s="5">
        <v>1810.0</v>
      </c>
      <c r="G545" s="5">
        <f t="shared" si="1"/>
        <v>3609</v>
      </c>
      <c r="H545" s="10">
        <f t="shared" si="2"/>
        <v>0.4984760321</v>
      </c>
      <c r="I545" s="10">
        <v>-0.0476</v>
      </c>
      <c r="J545" s="10">
        <v>0.8025</v>
      </c>
      <c r="K545" s="5">
        <f t="shared" si="3"/>
        <v>1</v>
      </c>
    </row>
    <row r="546" ht="15.0" customHeight="1">
      <c r="A546" s="5">
        <v>2018.0</v>
      </c>
      <c r="B546" s="5" t="s">
        <v>143</v>
      </c>
      <c r="C546" s="5" t="s">
        <v>194</v>
      </c>
      <c r="D546" s="5" t="s">
        <v>197</v>
      </c>
      <c r="E546" s="5">
        <v>649.0</v>
      </c>
      <c r="F546" s="5">
        <v>636.0</v>
      </c>
      <c r="G546" s="5">
        <f t="shared" si="1"/>
        <v>1285</v>
      </c>
      <c r="H546" s="10">
        <f t="shared" si="2"/>
        <v>0.5050583658</v>
      </c>
      <c r="I546" s="10">
        <v>-0.091</v>
      </c>
      <c r="J546" s="10">
        <v>0.6533</v>
      </c>
      <c r="K546" s="5">
        <f t="shared" si="3"/>
        <v>0</v>
      </c>
    </row>
    <row r="547" ht="15.0" customHeight="1">
      <c r="A547" s="5">
        <v>2020.0</v>
      </c>
      <c r="B547" s="5" t="s">
        <v>143</v>
      </c>
      <c r="C547" s="5" t="s">
        <v>194</v>
      </c>
      <c r="D547" s="5" t="s">
        <v>197</v>
      </c>
      <c r="E547" s="5">
        <v>862.0</v>
      </c>
      <c r="F547" s="5">
        <v>935.0</v>
      </c>
      <c r="G547" s="5">
        <f t="shared" si="1"/>
        <v>1797</v>
      </c>
      <c r="H547" s="10">
        <f t="shared" si="2"/>
        <v>0.4796883695</v>
      </c>
      <c r="I547" s="10">
        <v>-0.0808</v>
      </c>
      <c r="J547" s="10">
        <v>0.83</v>
      </c>
      <c r="K547" s="5">
        <f t="shared" si="3"/>
        <v>1</v>
      </c>
    </row>
    <row r="548" ht="15.0" customHeight="1">
      <c r="A548" s="5">
        <v>2022.0</v>
      </c>
      <c r="B548" s="5" t="s">
        <v>143</v>
      </c>
      <c r="C548" s="5" t="s">
        <v>194</v>
      </c>
      <c r="D548" s="5" t="s">
        <v>197</v>
      </c>
      <c r="E548" s="5">
        <v>758.0</v>
      </c>
      <c r="F548" s="5">
        <v>734.0</v>
      </c>
      <c r="G548" s="5">
        <f t="shared" si="1"/>
        <v>1492</v>
      </c>
      <c r="H548" s="10">
        <f t="shared" si="2"/>
        <v>0.5080428954</v>
      </c>
      <c r="I548" s="10">
        <v>-0.0751</v>
      </c>
      <c r="J548" s="10">
        <v>0.6794</v>
      </c>
      <c r="K548" s="5">
        <f t="shared" si="3"/>
        <v>0</v>
      </c>
    </row>
    <row r="549" ht="15.0" customHeight="1">
      <c r="A549" s="5">
        <v>2024.0</v>
      </c>
      <c r="B549" s="5" t="s">
        <v>143</v>
      </c>
      <c r="C549" s="5" t="s">
        <v>194</v>
      </c>
      <c r="D549" s="5" t="s">
        <v>197</v>
      </c>
      <c r="E549" s="5">
        <v>906.0</v>
      </c>
      <c r="F549" s="5">
        <v>980.0</v>
      </c>
      <c r="G549" s="5">
        <f t="shared" si="1"/>
        <v>1886</v>
      </c>
      <c r="H549" s="10">
        <f t="shared" si="2"/>
        <v>0.4803817603</v>
      </c>
      <c r="I549" s="10">
        <v>-0.0691</v>
      </c>
      <c r="J549" s="10">
        <v>0.8301</v>
      </c>
      <c r="K549" s="5">
        <f t="shared" si="3"/>
        <v>1</v>
      </c>
    </row>
    <row r="550" ht="15.0" customHeight="1">
      <c r="A550" s="5">
        <v>2018.0</v>
      </c>
      <c r="B550" s="5" t="s">
        <v>143</v>
      </c>
      <c r="C550" s="5" t="s">
        <v>194</v>
      </c>
      <c r="D550" s="5" t="s">
        <v>198</v>
      </c>
      <c r="E550" s="5">
        <v>647.0</v>
      </c>
      <c r="F550" s="5">
        <v>623.0</v>
      </c>
      <c r="G550" s="5">
        <f t="shared" si="1"/>
        <v>1270</v>
      </c>
      <c r="H550" s="10">
        <f t="shared" si="2"/>
        <v>0.5094488189</v>
      </c>
      <c r="I550" s="10">
        <v>-0.0185</v>
      </c>
      <c r="J550" s="10">
        <v>0.63</v>
      </c>
      <c r="K550" s="5">
        <f t="shared" si="3"/>
        <v>0</v>
      </c>
    </row>
    <row r="551" ht="15.0" customHeight="1">
      <c r="A551" s="5">
        <v>2020.0</v>
      </c>
      <c r="B551" s="5" t="s">
        <v>143</v>
      </c>
      <c r="C551" s="5" t="s">
        <v>194</v>
      </c>
      <c r="D551" s="5" t="s">
        <v>198</v>
      </c>
      <c r="E551" s="5">
        <v>835.0</v>
      </c>
      <c r="F551" s="5">
        <v>907.0</v>
      </c>
      <c r="G551" s="5">
        <f t="shared" si="1"/>
        <v>1742</v>
      </c>
      <c r="H551" s="10">
        <f t="shared" si="2"/>
        <v>0.4793340987</v>
      </c>
      <c r="I551" s="10">
        <v>-0.0133</v>
      </c>
      <c r="J551" s="10">
        <v>0.8002</v>
      </c>
      <c r="K551" s="5">
        <f t="shared" si="3"/>
        <v>1</v>
      </c>
    </row>
    <row r="552" ht="15.0" customHeight="1">
      <c r="A552" s="5">
        <v>2022.0</v>
      </c>
      <c r="B552" s="5" t="s">
        <v>143</v>
      </c>
      <c r="C552" s="5" t="s">
        <v>194</v>
      </c>
      <c r="D552" s="5" t="s">
        <v>198</v>
      </c>
      <c r="E552" s="5">
        <v>686.0</v>
      </c>
      <c r="F552" s="5">
        <v>669.0</v>
      </c>
      <c r="G552" s="5">
        <f t="shared" si="1"/>
        <v>1355</v>
      </c>
      <c r="H552" s="10">
        <f t="shared" si="2"/>
        <v>0.5062730627</v>
      </c>
      <c r="I552" s="10">
        <v>-0.0076</v>
      </c>
      <c r="J552" s="10">
        <v>0.6434</v>
      </c>
      <c r="K552" s="5">
        <f t="shared" si="3"/>
        <v>0</v>
      </c>
    </row>
    <row r="553" ht="15.0" customHeight="1">
      <c r="A553" s="5">
        <v>2024.0</v>
      </c>
      <c r="B553" s="5" t="s">
        <v>143</v>
      </c>
      <c r="C553" s="5" t="s">
        <v>194</v>
      </c>
      <c r="D553" s="5" t="s">
        <v>198</v>
      </c>
      <c r="E553" s="5">
        <v>852.0</v>
      </c>
      <c r="F553" s="5">
        <v>912.0</v>
      </c>
      <c r="G553" s="5">
        <f t="shared" si="1"/>
        <v>1764</v>
      </c>
      <c r="H553" s="10">
        <f t="shared" si="2"/>
        <v>0.4829931973</v>
      </c>
      <c r="I553" s="10">
        <v>-0.0219</v>
      </c>
      <c r="J553" s="10">
        <v>0.8044</v>
      </c>
      <c r="K553" s="5">
        <f t="shared" si="3"/>
        <v>1</v>
      </c>
    </row>
    <row r="554" ht="15.0" customHeight="1">
      <c r="A554" s="5">
        <v>2018.0</v>
      </c>
      <c r="B554" s="5" t="s">
        <v>143</v>
      </c>
      <c r="C554" s="5" t="s">
        <v>194</v>
      </c>
      <c r="D554" s="5" t="s">
        <v>199</v>
      </c>
      <c r="E554" s="5">
        <v>530.0</v>
      </c>
      <c r="F554" s="5">
        <v>545.0</v>
      </c>
      <c r="G554" s="5">
        <f t="shared" si="1"/>
        <v>1075</v>
      </c>
      <c r="H554" s="10">
        <f t="shared" si="2"/>
        <v>0.4930232558</v>
      </c>
      <c r="I554" s="10">
        <v>-0.121</v>
      </c>
      <c r="J554" s="10">
        <v>0.7154</v>
      </c>
      <c r="K554" s="5">
        <f t="shared" si="3"/>
        <v>0</v>
      </c>
    </row>
    <row r="555" ht="15.0" customHeight="1">
      <c r="A555" s="5">
        <v>2020.0</v>
      </c>
      <c r="B555" s="5" t="s">
        <v>143</v>
      </c>
      <c r="C555" s="5" t="s">
        <v>194</v>
      </c>
      <c r="D555" s="5" t="s">
        <v>199</v>
      </c>
      <c r="E555" s="5">
        <v>663.0</v>
      </c>
      <c r="F555" s="5">
        <v>701.0</v>
      </c>
      <c r="G555" s="5">
        <f t="shared" si="1"/>
        <v>1364</v>
      </c>
      <c r="H555" s="10">
        <f t="shared" si="2"/>
        <v>0.4860703812</v>
      </c>
      <c r="I555" s="10">
        <v>-0.1002</v>
      </c>
      <c r="J555" s="10">
        <v>0.8389</v>
      </c>
      <c r="K555" s="5">
        <f t="shared" si="3"/>
        <v>1</v>
      </c>
    </row>
    <row r="556" ht="15.0" customHeight="1">
      <c r="A556" s="5">
        <v>2022.0</v>
      </c>
      <c r="B556" s="5" t="s">
        <v>143</v>
      </c>
      <c r="C556" s="5" t="s">
        <v>194</v>
      </c>
      <c r="D556" s="5" t="s">
        <v>199</v>
      </c>
      <c r="E556" s="5">
        <v>628.0</v>
      </c>
      <c r="F556" s="5">
        <v>578.0</v>
      </c>
      <c r="G556" s="5">
        <f t="shared" si="1"/>
        <v>1206</v>
      </c>
      <c r="H556" s="10">
        <f t="shared" si="2"/>
        <v>0.5207296849</v>
      </c>
      <c r="I556" s="10">
        <v>-0.1015</v>
      </c>
      <c r="J556" s="10">
        <v>0.7372</v>
      </c>
      <c r="K556" s="5">
        <f t="shared" si="3"/>
        <v>0</v>
      </c>
    </row>
    <row r="557" ht="15.0" customHeight="1">
      <c r="A557" s="5">
        <v>2024.0</v>
      </c>
      <c r="B557" s="5" t="s">
        <v>143</v>
      </c>
      <c r="C557" s="5" t="s">
        <v>194</v>
      </c>
      <c r="D557" s="5" t="s">
        <v>199</v>
      </c>
      <c r="E557" s="5">
        <v>715.0</v>
      </c>
      <c r="F557" s="5">
        <v>677.0</v>
      </c>
      <c r="G557" s="5">
        <f t="shared" si="1"/>
        <v>1392</v>
      </c>
      <c r="H557" s="10">
        <f t="shared" si="2"/>
        <v>0.5136494253</v>
      </c>
      <c r="I557" s="10">
        <v>-0.1054</v>
      </c>
      <c r="J557" s="10">
        <v>0.8431</v>
      </c>
      <c r="K557" s="5">
        <f t="shared" si="3"/>
        <v>1</v>
      </c>
    </row>
    <row r="558" ht="15.0" customHeight="1">
      <c r="A558" s="5">
        <v>2018.0</v>
      </c>
      <c r="B558" s="5" t="s">
        <v>143</v>
      </c>
      <c r="C558" s="5" t="s">
        <v>194</v>
      </c>
      <c r="D558" s="5" t="s">
        <v>200</v>
      </c>
      <c r="E558" s="5">
        <v>1006.0</v>
      </c>
      <c r="F558" s="5">
        <v>777.0</v>
      </c>
      <c r="G558" s="5">
        <f t="shared" si="1"/>
        <v>1783</v>
      </c>
      <c r="H558" s="10">
        <f t="shared" si="2"/>
        <v>0.5642176108</v>
      </c>
      <c r="I558" s="10">
        <v>0.0647</v>
      </c>
      <c r="J558" s="10">
        <v>0.591</v>
      </c>
      <c r="K558" s="5">
        <f t="shared" si="3"/>
        <v>0</v>
      </c>
    </row>
    <row r="559" ht="15.0" customHeight="1">
      <c r="A559" s="5">
        <v>2020.0</v>
      </c>
      <c r="B559" s="5" t="s">
        <v>143</v>
      </c>
      <c r="C559" s="5" t="s">
        <v>194</v>
      </c>
      <c r="D559" s="5" t="s">
        <v>200</v>
      </c>
      <c r="E559" s="5">
        <v>1425.0</v>
      </c>
      <c r="F559" s="5">
        <v>1388.0</v>
      </c>
      <c r="G559" s="5">
        <f t="shared" si="1"/>
        <v>2813</v>
      </c>
      <c r="H559" s="10">
        <f t="shared" si="2"/>
        <v>0.5065766086</v>
      </c>
      <c r="I559" s="10">
        <v>0.0676</v>
      </c>
      <c r="J559" s="10">
        <v>0.7987</v>
      </c>
      <c r="K559" s="5">
        <f t="shared" si="3"/>
        <v>1</v>
      </c>
    </row>
    <row r="560" ht="15.0" customHeight="1">
      <c r="A560" s="5">
        <v>2022.0</v>
      </c>
      <c r="B560" s="5" t="s">
        <v>143</v>
      </c>
      <c r="C560" s="5" t="s">
        <v>194</v>
      </c>
      <c r="D560" s="5" t="s">
        <v>200</v>
      </c>
      <c r="E560" s="5">
        <v>1176.0</v>
      </c>
      <c r="F560" s="5">
        <v>1036.0</v>
      </c>
      <c r="G560" s="5">
        <f t="shared" si="1"/>
        <v>2212</v>
      </c>
      <c r="H560" s="10">
        <f t="shared" si="2"/>
        <v>0.5316455696</v>
      </c>
      <c r="I560" s="10">
        <v>0.0562</v>
      </c>
      <c r="J560" s="10">
        <v>0.618</v>
      </c>
      <c r="K560" s="5">
        <f t="shared" si="3"/>
        <v>0</v>
      </c>
    </row>
    <row r="561" ht="15.0" customHeight="1">
      <c r="A561" s="5">
        <v>2024.0</v>
      </c>
      <c r="B561" s="5" t="s">
        <v>143</v>
      </c>
      <c r="C561" s="5" t="s">
        <v>194</v>
      </c>
      <c r="D561" s="5" t="s">
        <v>200</v>
      </c>
      <c r="E561" s="5">
        <v>1480.0</v>
      </c>
      <c r="F561" s="5">
        <v>1588.0</v>
      </c>
      <c r="G561" s="5">
        <f t="shared" si="1"/>
        <v>3068</v>
      </c>
      <c r="H561" s="10">
        <f t="shared" si="2"/>
        <v>0.482398957</v>
      </c>
      <c r="I561" s="10">
        <v>0.0191</v>
      </c>
      <c r="J561" s="10">
        <v>0.7795</v>
      </c>
      <c r="K561" s="5">
        <f t="shared" si="3"/>
        <v>1</v>
      </c>
    </row>
    <row r="562" ht="15.0" customHeight="1">
      <c r="A562" s="5">
        <v>2018.0</v>
      </c>
      <c r="B562" s="5" t="s">
        <v>143</v>
      </c>
      <c r="C562" s="5" t="s">
        <v>194</v>
      </c>
      <c r="D562" s="5" t="s">
        <v>201</v>
      </c>
      <c r="E562" s="5">
        <v>626.0</v>
      </c>
      <c r="F562" s="5">
        <v>553.0</v>
      </c>
      <c r="G562" s="5">
        <f t="shared" si="1"/>
        <v>1179</v>
      </c>
      <c r="H562" s="10">
        <f t="shared" si="2"/>
        <v>0.5309584394</v>
      </c>
      <c r="I562" s="10">
        <v>-0.0426</v>
      </c>
      <c r="J562" s="10">
        <v>0.6452</v>
      </c>
      <c r="K562" s="5">
        <f t="shared" si="3"/>
        <v>0</v>
      </c>
    </row>
    <row r="563" ht="15.0" customHeight="1">
      <c r="A563" s="5">
        <v>2020.0</v>
      </c>
      <c r="B563" s="5" t="s">
        <v>143</v>
      </c>
      <c r="C563" s="5" t="s">
        <v>194</v>
      </c>
      <c r="D563" s="5" t="s">
        <v>201</v>
      </c>
      <c r="E563" s="5">
        <v>875.0</v>
      </c>
      <c r="F563" s="5">
        <v>810.0</v>
      </c>
      <c r="G563" s="5">
        <f t="shared" si="1"/>
        <v>1685</v>
      </c>
      <c r="H563" s="10">
        <f t="shared" si="2"/>
        <v>0.5192878338</v>
      </c>
      <c r="I563" s="10">
        <v>-0.0059</v>
      </c>
      <c r="J563" s="10">
        <v>0.8305</v>
      </c>
      <c r="K563" s="5">
        <f t="shared" si="3"/>
        <v>1</v>
      </c>
    </row>
    <row r="564" ht="15.0" customHeight="1">
      <c r="A564" s="5">
        <v>2022.0</v>
      </c>
      <c r="B564" s="5" t="s">
        <v>143</v>
      </c>
      <c r="C564" s="5" t="s">
        <v>194</v>
      </c>
      <c r="D564" s="5" t="s">
        <v>201</v>
      </c>
      <c r="E564" s="5">
        <v>741.0</v>
      </c>
      <c r="F564" s="5">
        <v>575.0</v>
      </c>
      <c r="G564" s="5">
        <f t="shared" si="1"/>
        <v>1316</v>
      </c>
      <c r="H564" s="10">
        <f t="shared" si="2"/>
        <v>0.5630699088</v>
      </c>
      <c r="I564" s="10">
        <v>0.026</v>
      </c>
      <c r="J564" s="10">
        <v>0.658</v>
      </c>
      <c r="K564" s="5">
        <f t="shared" si="3"/>
        <v>0</v>
      </c>
    </row>
    <row r="565" ht="15.0" customHeight="1">
      <c r="A565" s="5">
        <v>2024.0</v>
      </c>
      <c r="B565" s="5" t="s">
        <v>143</v>
      </c>
      <c r="C565" s="5" t="s">
        <v>194</v>
      </c>
      <c r="D565" s="5" t="s">
        <v>201</v>
      </c>
      <c r="E565" s="5">
        <v>890.0</v>
      </c>
      <c r="F565" s="5">
        <v>789.0</v>
      </c>
      <c r="G565" s="5">
        <f t="shared" si="1"/>
        <v>1679</v>
      </c>
      <c r="H565" s="10">
        <f t="shared" si="2"/>
        <v>0.530077427</v>
      </c>
      <c r="I565" s="10">
        <v>-0.0133</v>
      </c>
      <c r="J565" s="10">
        <v>0.8271</v>
      </c>
      <c r="K565" s="5">
        <f t="shared" si="3"/>
        <v>1</v>
      </c>
    </row>
    <row r="566" ht="15.0" customHeight="1">
      <c r="A566" s="5">
        <v>2018.0</v>
      </c>
      <c r="B566" s="5" t="s">
        <v>143</v>
      </c>
      <c r="C566" s="5" t="s">
        <v>194</v>
      </c>
      <c r="D566" s="5" t="s">
        <v>202</v>
      </c>
      <c r="E566" s="5">
        <v>542.0</v>
      </c>
      <c r="F566" s="5">
        <v>565.0</v>
      </c>
      <c r="G566" s="5">
        <f t="shared" si="1"/>
        <v>1107</v>
      </c>
      <c r="H566" s="10">
        <f t="shared" si="2"/>
        <v>0.4896115628</v>
      </c>
      <c r="I566" s="10">
        <v>-0.175</v>
      </c>
      <c r="J566" s="10">
        <v>0.6889</v>
      </c>
      <c r="K566" s="5">
        <f t="shared" si="3"/>
        <v>0</v>
      </c>
    </row>
    <row r="567" ht="15.0" customHeight="1">
      <c r="A567" s="5">
        <v>2020.0</v>
      </c>
      <c r="B567" s="5" t="s">
        <v>143</v>
      </c>
      <c r="C567" s="5" t="s">
        <v>194</v>
      </c>
      <c r="D567" s="5" t="s">
        <v>202</v>
      </c>
      <c r="E567" s="5">
        <v>725.0</v>
      </c>
      <c r="F567" s="5">
        <v>728.0</v>
      </c>
      <c r="G567" s="5">
        <f t="shared" si="1"/>
        <v>1453</v>
      </c>
      <c r="H567" s="10">
        <f t="shared" si="2"/>
        <v>0.4989676531</v>
      </c>
      <c r="I567" s="10">
        <v>-0.1203</v>
      </c>
      <c r="J567" s="10">
        <v>0.8204</v>
      </c>
      <c r="K567" s="5">
        <f t="shared" si="3"/>
        <v>1</v>
      </c>
    </row>
    <row r="568" ht="15.0" customHeight="1">
      <c r="A568" s="5">
        <v>2022.0</v>
      </c>
      <c r="B568" s="5" t="s">
        <v>143</v>
      </c>
      <c r="C568" s="5" t="s">
        <v>194</v>
      </c>
      <c r="D568" s="5" t="s">
        <v>202</v>
      </c>
      <c r="E568" s="5">
        <v>714.0</v>
      </c>
      <c r="F568" s="5">
        <v>619.0</v>
      </c>
      <c r="G568" s="5">
        <f t="shared" si="1"/>
        <v>1333</v>
      </c>
      <c r="H568" s="10">
        <f t="shared" si="2"/>
        <v>0.5356339085</v>
      </c>
      <c r="I568" s="10">
        <v>-0.091</v>
      </c>
      <c r="J568" s="10">
        <v>0.7264</v>
      </c>
      <c r="K568" s="5">
        <f t="shared" si="3"/>
        <v>0</v>
      </c>
    </row>
    <row r="569" ht="15.0" customHeight="1">
      <c r="A569" s="5">
        <v>2024.0</v>
      </c>
      <c r="B569" s="5" t="s">
        <v>143</v>
      </c>
      <c r="C569" s="5" t="s">
        <v>194</v>
      </c>
      <c r="D569" s="5" t="s">
        <v>202</v>
      </c>
      <c r="E569" s="5">
        <v>817.0</v>
      </c>
      <c r="F569" s="5">
        <v>798.0</v>
      </c>
      <c r="G569" s="5">
        <f t="shared" si="1"/>
        <v>1615</v>
      </c>
      <c r="H569" s="10">
        <f t="shared" si="2"/>
        <v>0.5058823529</v>
      </c>
      <c r="I569" s="10">
        <v>-0.0917</v>
      </c>
      <c r="J569" s="10">
        <v>0.8411</v>
      </c>
      <c r="K569" s="5">
        <f t="shared" si="3"/>
        <v>1</v>
      </c>
    </row>
    <row r="570" ht="15.0" customHeight="1">
      <c r="A570" s="5">
        <v>2018.0</v>
      </c>
      <c r="B570" s="5" t="s">
        <v>143</v>
      </c>
      <c r="C570" s="5" t="s">
        <v>194</v>
      </c>
      <c r="D570" s="5" t="s">
        <v>203</v>
      </c>
      <c r="E570" s="5">
        <v>430.0</v>
      </c>
      <c r="F570" s="5">
        <v>409.0</v>
      </c>
      <c r="G570" s="5">
        <f t="shared" si="1"/>
        <v>839</v>
      </c>
      <c r="H570" s="10">
        <f t="shared" si="2"/>
        <v>0.5125148987</v>
      </c>
      <c r="I570" s="10">
        <v>-0.0601</v>
      </c>
      <c r="J570" s="10">
        <v>0.6503</v>
      </c>
      <c r="K570" s="5">
        <f t="shared" si="3"/>
        <v>0</v>
      </c>
    </row>
    <row r="571" ht="15.0" customHeight="1">
      <c r="A571" s="5">
        <v>2020.0</v>
      </c>
      <c r="B571" s="5" t="s">
        <v>143</v>
      </c>
      <c r="C571" s="5" t="s">
        <v>194</v>
      </c>
      <c r="D571" s="5" t="s">
        <v>203</v>
      </c>
      <c r="E571" s="5">
        <v>576.0</v>
      </c>
      <c r="F571" s="5">
        <v>586.0</v>
      </c>
      <c r="G571" s="5">
        <f t="shared" si="1"/>
        <v>1162</v>
      </c>
      <c r="H571" s="10">
        <f t="shared" si="2"/>
        <v>0.495697074</v>
      </c>
      <c r="I571" s="10">
        <v>-0.0185</v>
      </c>
      <c r="J571" s="10">
        <v>0.8288</v>
      </c>
      <c r="K571" s="5">
        <f t="shared" si="3"/>
        <v>1</v>
      </c>
    </row>
    <row r="572" ht="15.0" customHeight="1">
      <c r="A572" s="5">
        <v>2022.0</v>
      </c>
      <c r="B572" s="5" t="s">
        <v>143</v>
      </c>
      <c r="C572" s="5" t="s">
        <v>194</v>
      </c>
      <c r="D572" s="5" t="s">
        <v>203</v>
      </c>
      <c r="E572" s="5">
        <v>491.0</v>
      </c>
      <c r="F572" s="5">
        <v>403.0</v>
      </c>
      <c r="G572" s="5">
        <f t="shared" si="1"/>
        <v>894</v>
      </c>
      <c r="H572" s="10">
        <f t="shared" si="2"/>
        <v>0.5492170022</v>
      </c>
      <c r="I572" s="10">
        <v>-0.0217</v>
      </c>
      <c r="J572" s="10">
        <v>0.6687</v>
      </c>
      <c r="K572" s="5">
        <f t="shared" si="3"/>
        <v>0</v>
      </c>
    </row>
    <row r="573" ht="15.0" customHeight="1">
      <c r="A573" s="5">
        <v>2024.0</v>
      </c>
      <c r="B573" s="5" t="s">
        <v>143</v>
      </c>
      <c r="C573" s="5" t="s">
        <v>194</v>
      </c>
      <c r="D573" s="5" t="s">
        <v>203</v>
      </c>
      <c r="E573" s="5">
        <v>552.0</v>
      </c>
      <c r="F573" s="5">
        <v>556.0</v>
      </c>
      <c r="G573" s="5">
        <f t="shared" si="1"/>
        <v>1108</v>
      </c>
      <c r="H573" s="10">
        <f t="shared" si="2"/>
        <v>0.4981949458</v>
      </c>
      <c r="I573" s="10">
        <v>-0.0441</v>
      </c>
      <c r="J573" s="10">
        <v>0.8281</v>
      </c>
      <c r="K573" s="5">
        <f t="shared" si="3"/>
        <v>1</v>
      </c>
    </row>
    <row r="574" ht="15.0" customHeight="1">
      <c r="A574" s="5">
        <v>2018.0</v>
      </c>
      <c r="B574" s="5" t="s">
        <v>143</v>
      </c>
      <c r="C574" s="5" t="s">
        <v>194</v>
      </c>
      <c r="D574" s="5" t="s">
        <v>204</v>
      </c>
      <c r="E574" s="5">
        <v>672.0</v>
      </c>
      <c r="F574" s="5">
        <v>652.0</v>
      </c>
      <c r="G574" s="5">
        <f t="shared" si="1"/>
        <v>1324</v>
      </c>
      <c r="H574" s="10">
        <f t="shared" si="2"/>
        <v>0.5075528701</v>
      </c>
      <c r="I574" s="10">
        <v>-0.1088</v>
      </c>
      <c r="J574" s="10">
        <v>0.6341</v>
      </c>
      <c r="K574" s="5">
        <f t="shared" si="3"/>
        <v>0</v>
      </c>
    </row>
    <row r="575" ht="15.0" customHeight="1">
      <c r="A575" s="5">
        <v>2020.0</v>
      </c>
      <c r="B575" s="5" t="s">
        <v>143</v>
      </c>
      <c r="C575" s="5" t="s">
        <v>194</v>
      </c>
      <c r="D575" s="5" t="s">
        <v>204</v>
      </c>
      <c r="E575" s="5">
        <v>904.0</v>
      </c>
      <c r="F575" s="5">
        <v>976.0</v>
      </c>
      <c r="G575" s="5">
        <f t="shared" si="1"/>
        <v>1880</v>
      </c>
      <c r="H575" s="10">
        <f t="shared" si="2"/>
        <v>0.4808510638</v>
      </c>
      <c r="I575" s="10">
        <v>-0.0899</v>
      </c>
      <c r="J575" s="10">
        <v>0.8242</v>
      </c>
      <c r="K575" s="5">
        <f t="shared" si="3"/>
        <v>1</v>
      </c>
    </row>
    <row r="576" ht="15.0" customHeight="1">
      <c r="A576" s="5">
        <v>2022.0</v>
      </c>
      <c r="B576" s="5" t="s">
        <v>143</v>
      </c>
      <c r="C576" s="5" t="s">
        <v>194</v>
      </c>
      <c r="D576" s="5" t="s">
        <v>204</v>
      </c>
      <c r="E576" s="5">
        <v>765.0</v>
      </c>
      <c r="F576" s="5">
        <v>744.0</v>
      </c>
      <c r="G576" s="5">
        <f t="shared" si="1"/>
        <v>1509</v>
      </c>
      <c r="H576" s="10">
        <f t="shared" si="2"/>
        <v>0.5069582505</v>
      </c>
      <c r="I576" s="10">
        <v>-0.0968</v>
      </c>
      <c r="J576" s="10">
        <v>0.6701</v>
      </c>
      <c r="K576" s="5">
        <f t="shared" si="3"/>
        <v>0</v>
      </c>
    </row>
    <row r="577" ht="15.0" customHeight="1">
      <c r="A577" s="5">
        <v>2024.0</v>
      </c>
      <c r="B577" s="5" t="s">
        <v>143</v>
      </c>
      <c r="C577" s="5" t="s">
        <v>194</v>
      </c>
      <c r="D577" s="5" t="s">
        <v>204</v>
      </c>
      <c r="E577" s="5">
        <v>928.0</v>
      </c>
      <c r="F577" s="5">
        <v>988.0</v>
      </c>
      <c r="G577" s="5">
        <f t="shared" si="1"/>
        <v>1916</v>
      </c>
      <c r="H577" s="10">
        <f t="shared" si="2"/>
        <v>0.48434238</v>
      </c>
      <c r="I577" s="10">
        <v>-0.0982</v>
      </c>
      <c r="J577" s="10">
        <v>0.8181</v>
      </c>
      <c r="K577" s="5">
        <f t="shared" si="3"/>
        <v>1</v>
      </c>
    </row>
    <row r="578" ht="15.0" customHeight="1">
      <c r="A578" s="5">
        <v>2018.0</v>
      </c>
      <c r="B578" s="5" t="s">
        <v>143</v>
      </c>
      <c r="C578" s="5" t="s">
        <v>205</v>
      </c>
      <c r="D578" s="5" t="s">
        <v>206</v>
      </c>
      <c r="E578" s="5">
        <v>738.0</v>
      </c>
      <c r="F578" s="5">
        <v>1114.0</v>
      </c>
      <c r="G578" s="5">
        <f t="shared" si="1"/>
        <v>1852</v>
      </c>
      <c r="H578" s="10">
        <f t="shared" si="2"/>
        <v>0.398488121</v>
      </c>
      <c r="I578" s="10">
        <v>-0.2235</v>
      </c>
      <c r="J578" s="10">
        <v>0.6862</v>
      </c>
      <c r="K578" s="5">
        <f t="shared" si="3"/>
        <v>0</v>
      </c>
    </row>
    <row r="579" ht="15.0" customHeight="1">
      <c r="A579" s="5">
        <v>2020.0</v>
      </c>
      <c r="B579" s="5" t="s">
        <v>143</v>
      </c>
      <c r="C579" s="5" t="s">
        <v>205</v>
      </c>
      <c r="D579" s="5" t="s">
        <v>206</v>
      </c>
      <c r="E579" s="5">
        <v>920.0</v>
      </c>
      <c r="F579" s="5">
        <v>1596.0</v>
      </c>
      <c r="G579" s="5">
        <f t="shared" si="1"/>
        <v>2516</v>
      </c>
      <c r="H579" s="10">
        <f t="shared" si="2"/>
        <v>0.3656597774</v>
      </c>
      <c r="I579" s="10">
        <v>-0.2306</v>
      </c>
      <c r="J579" s="10">
        <v>0.8409</v>
      </c>
      <c r="K579" s="5">
        <f t="shared" si="3"/>
        <v>1</v>
      </c>
    </row>
    <row r="580" ht="15.0" customHeight="1">
      <c r="A580" s="5">
        <v>2022.0</v>
      </c>
      <c r="B580" s="5" t="s">
        <v>143</v>
      </c>
      <c r="C580" s="5" t="s">
        <v>205</v>
      </c>
      <c r="D580" s="5" t="s">
        <v>206</v>
      </c>
      <c r="E580" s="5">
        <v>850.0</v>
      </c>
      <c r="F580" s="5">
        <v>1311.0</v>
      </c>
      <c r="G580" s="5">
        <f t="shared" si="1"/>
        <v>2161</v>
      </c>
      <c r="H580" s="10">
        <f t="shared" si="2"/>
        <v>0.3933364183</v>
      </c>
      <c r="I580" s="10">
        <v>-0.2463</v>
      </c>
      <c r="J580" s="10">
        <v>0.7184</v>
      </c>
      <c r="K580" s="5">
        <f t="shared" si="3"/>
        <v>0</v>
      </c>
    </row>
    <row r="581" ht="15.0" customHeight="1">
      <c r="A581" s="5">
        <v>2024.0</v>
      </c>
      <c r="B581" s="5" t="s">
        <v>143</v>
      </c>
      <c r="C581" s="5" t="s">
        <v>205</v>
      </c>
      <c r="D581" s="5" t="s">
        <v>206</v>
      </c>
      <c r="E581" s="5">
        <v>985.0</v>
      </c>
      <c r="F581" s="5">
        <v>1586.0</v>
      </c>
      <c r="G581" s="5">
        <f t="shared" si="1"/>
        <v>2571</v>
      </c>
      <c r="H581" s="10">
        <f t="shared" si="2"/>
        <v>0.3831194088</v>
      </c>
      <c r="I581" s="10">
        <v>-0.2719</v>
      </c>
      <c r="J581" s="10">
        <v>0.8312</v>
      </c>
      <c r="K581" s="5">
        <f t="shared" si="3"/>
        <v>1</v>
      </c>
    </row>
    <row r="582" ht="15.0" customHeight="1">
      <c r="A582" s="5">
        <v>2018.0</v>
      </c>
      <c r="B582" s="5" t="s">
        <v>143</v>
      </c>
      <c r="C582" s="5" t="s">
        <v>207</v>
      </c>
      <c r="D582" s="5" t="s">
        <v>208</v>
      </c>
      <c r="E582" s="5">
        <v>411.0</v>
      </c>
      <c r="F582" s="5">
        <v>680.0</v>
      </c>
      <c r="G582" s="5">
        <f t="shared" si="1"/>
        <v>1091</v>
      </c>
      <c r="H582" s="10">
        <f t="shared" si="2"/>
        <v>0.3767186068</v>
      </c>
      <c r="I582" s="10">
        <v>-0.2902</v>
      </c>
      <c r="J582" s="10">
        <v>0.6897</v>
      </c>
      <c r="K582" s="5">
        <f t="shared" si="3"/>
        <v>0</v>
      </c>
    </row>
    <row r="583" ht="15.0" customHeight="1">
      <c r="A583" s="5">
        <v>2020.0</v>
      </c>
      <c r="B583" s="5" t="s">
        <v>143</v>
      </c>
      <c r="C583" s="5" t="s">
        <v>207</v>
      </c>
      <c r="D583" s="5" t="s">
        <v>208</v>
      </c>
      <c r="E583" s="5">
        <v>533.0</v>
      </c>
      <c r="F583" s="5">
        <v>955.0</v>
      </c>
      <c r="G583" s="5">
        <f t="shared" si="1"/>
        <v>1488</v>
      </c>
      <c r="H583" s="10">
        <f t="shared" si="2"/>
        <v>0.3581989247</v>
      </c>
      <c r="I583" s="10">
        <v>-0.2654</v>
      </c>
      <c r="J583" s="10">
        <v>0.8474</v>
      </c>
      <c r="K583" s="5">
        <f t="shared" si="3"/>
        <v>1</v>
      </c>
    </row>
    <row r="584" ht="15.0" customHeight="1">
      <c r="A584" s="5">
        <v>2022.0</v>
      </c>
      <c r="B584" s="5" t="s">
        <v>143</v>
      </c>
      <c r="C584" s="5" t="s">
        <v>207</v>
      </c>
      <c r="D584" s="5" t="s">
        <v>208</v>
      </c>
      <c r="E584" s="5">
        <v>457.0</v>
      </c>
      <c r="F584" s="5">
        <v>760.0</v>
      </c>
      <c r="G584" s="5">
        <f t="shared" si="1"/>
        <v>1217</v>
      </c>
      <c r="H584" s="10">
        <f t="shared" si="2"/>
        <v>0.3755135579</v>
      </c>
      <c r="I584" s="10">
        <v>-0.2801</v>
      </c>
      <c r="J584" s="10">
        <v>0.6887</v>
      </c>
      <c r="K584" s="5">
        <f t="shared" si="3"/>
        <v>0</v>
      </c>
    </row>
    <row r="585" ht="15.0" customHeight="1">
      <c r="A585" s="5">
        <v>2024.0</v>
      </c>
      <c r="B585" s="5" t="s">
        <v>143</v>
      </c>
      <c r="C585" s="5" t="s">
        <v>207</v>
      </c>
      <c r="D585" s="5" t="s">
        <v>208</v>
      </c>
      <c r="E585" s="5">
        <v>543.0</v>
      </c>
      <c r="F585" s="5">
        <v>990.0</v>
      </c>
      <c r="G585" s="5">
        <f t="shared" si="1"/>
        <v>1533</v>
      </c>
      <c r="H585" s="10">
        <f t="shared" si="2"/>
        <v>0.3542074364</v>
      </c>
      <c r="I585" s="10">
        <v>-0.3106</v>
      </c>
      <c r="J585" s="10">
        <v>0.8309</v>
      </c>
      <c r="K585" s="5">
        <f t="shared" si="3"/>
        <v>1</v>
      </c>
    </row>
    <row r="586" ht="15.0" customHeight="1">
      <c r="A586" s="5">
        <v>2018.0</v>
      </c>
      <c r="B586" s="5" t="s">
        <v>143</v>
      </c>
      <c r="C586" s="5" t="s">
        <v>209</v>
      </c>
      <c r="D586" s="5" t="s">
        <v>210</v>
      </c>
      <c r="E586" s="5">
        <v>118.0</v>
      </c>
      <c r="F586" s="5">
        <v>307.0</v>
      </c>
      <c r="G586" s="5">
        <f t="shared" si="1"/>
        <v>425</v>
      </c>
      <c r="H586" s="10">
        <f t="shared" si="2"/>
        <v>0.2776470588</v>
      </c>
      <c r="I586" s="10">
        <v>-0.303</v>
      </c>
      <c r="J586" s="10">
        <v>0.6682</v>
      </c>
      <c r="K586" s="5">
        <f t="shared" si="3"/>
        <v>0</v>
      </c>
    </row>
    <row r="587" ht="15.0" customHeight="1">
      <c r="A587" s="5">
        <v>2020.0</v>
      </c>
      <c r="B587" s="5" t="s">
        <v>143</v>
      </c>
      <c r="C587" s="5" t="s">
        <v>209</v>
      </c>
      <c r="D587" s="5" t="s">
        <v>210</v>
      </c>
      <c r="E587" s="5">
        <v>179.0</v>
      </c>
      <c r="F587" s="5">
        <v>451.0</v>
      </c>
      <c r="G587" s="5">
        <f t="shared" si="1"/>
        <v>630</v>
      </c>
      <c r="H587" s="10">
        <f t="shared" si="2"/>
        <v>0.2841269841</v>
      </c>
      <c r="I587" s="10">
        <v>-0.3398</v>
      </c>
      <c r="J587" s="10">
        <v>0.8666</v>
      </c>
      <c r="K587" s="5">
        <f t="shared" si="3"/>
        <v>1</v>
      </c>
    </row>
    <row r="588" ht="15.0" customHeight="1">
      <c r="A588" s="5">
        <v>2022.0</v>
      </c>
      <c r="B588" s="5" t="s">
        <v>143</v>
      </c>
      <c r="C588" s="5" t="s">
        <v>209</v>
      </c>
      <c r="D588" s="5" t="s">
        <v>210</v>
      </c>
      <c r="E588" s="5">
        <v>159.0</v>
      </c>
      <c r="F588" s="5">
        <v>381.0</v>
      </c>
      <c r="G588" s="5">
        <f t="shared" si="1"/>
        <v>540</v>
      </c>
      <c r="H588" s="10">
        <f t="shared" si="2"/>
        <v>0.2944444444</v>
      </c>
      <c r="I588" s="10">
        <v>-0.3848</v>
      </c>
      <c r="J588" s="10">
        <v>0.7317</v>
      </c>
      <c r="K588" s="5">
        <f t="shared" si="3"/>
        <v>0</v>
      </c>
    </row>
    <row r="589" ht="15.0" customHeight="1">
      <c r="A589" s="5">
        <v>2024.0</v>
      </c>
      <c r="B589" s="5" t="s">
        <v>143</v>
      </c>
      <c r="C589" s="5" t="s">
        <v>209</v>
      </c>
      <c r="D589" s="5" t="s">
        <v>210</v>
      </c>
      <c r="E589" s="5">
        <v>181.0</v>
      </c>
      <c r="F589" s="5">
        <v>482.0</v>
      </c>
      <c r="G589" s="5">
        <f t="shared" si="1"/>
        <v>663</v>
      </c>
      <c r="H589" s="10">
        <f t="shared" si="2"/>
        <v>0.2730015083</v>
      </c>
      <c r="I589" s="10">
        <v>-0.4269</v>
      </c>
      <c r="J589" s="10">
        <v>0.85</v>
      </c>
      <c r="K589" s="5">
        <f t="shared" si="3"/>
        <v>1</v>
      </c>
    </row>
    <row r="590" ht="15.0" customHeight="1">
      <c r="A590" s="5">
        <v>2018.0</v>
      </c>
      <c r="B590" s="5" t="s">
        <v>143</v>
      </c>
      <c r="C590" s="5" t="s">
        <v>209</v>
      </c>
      <c r="D590" s="5" t="s">
        <v>211</v>
      </c>
      <c r="E590" s="5">
        <v>118.0</v>
      </c>
      <c r="F590" s="5">
        <v>233.0</v>
      </c>
      <c r="G590" s="5">
        <f t="shared" si="1"/>
        <v>351</v>
      </c>
      <c r="H590" s="10">
        <f t="shared" si="2"/>
        <v>0.3361823362</v>
      </c>
      <c r="I590" s="10">
        <v>-0.239</v>
      </c>
      <c r="J590" s="10">
        <v>0.7309</v>
      </c>
      <c r="K590" s="5">
        <f t="shared" si="3"/>
        <v>0</v>
      </c>
    </row>
    <row r="591" ht="15.0" customHeight="1">
      <c r="A591" s="5">
        <v>2020.0</v>
      </c>
      <c r="B591" s="5" t="s">
        <v>143</v>
      </c>
      <c r="C591" s="5" t="s">
        <v>209</v>
      </c>
      <c r="D591" s="5" t="s">
        <v>211</v>
      </c>
      <c r="E591" s="5">
        <v>134.0</v>
      </c>
      <c r="F591" s="5">
        <v>317.0</v>
      </c>
      <c r="G591" s="5">
        <f t="shared" si="1"/>
        <v>451</v>
      </c>
      <c r="H591" s="10">
        <f t="shared" si="2"/>
        <v>0.2971175166</v>
      </c>
      <c r="I591" s="10">
        <v>-0.2819</v>
      </c>
      <c r="J591" s="10">
        <v>0.859</v>
      </c>
      <c r="K591" s="5">
        <f t="shared" si="3"/>
        <v>1</v>
      </c>
    </row>
    <row r="592" ht="15.0" customHeight="1">
      <c r="A592" s="5">
        <v>2022.0</v>
      </c>
      <c r="B592" s="5" t="s">
        <v>143</v>
      </c>
      <c r="C592" s="5" t="s">
        <v>209</v>
      </c>
      <c r="D592" s="5" t="s">
        <v>211</v>
      </c>
      <c r="E592" s="5">
        <v>116.0</v>
      </c>
      <c r="F592" s="5">
        <v>244.0</v>
      </c>
      <c r="G592" s="5">
        <f t="shared" si="1"/>
        <v>360</v>
      </c>
      <c r="H592" s="10">
        <f t="shared" si="2"/>
        <v>0.3222222222</v>
      </c>
      <c r="I592" s="10">
        <v>-0.3078</v>
      </c>
      <c r="J592" s="10">
        <v>0.7059</v>
      </c>
      <c r="K592" s="5">
        <f t="shared" si="3"/>
        <v>0</v>
      </c>
    </row>
    <row r="593" ht="15.0" customHeight="1">
      <c r="A593" s="5">
        <v>2024.0</v>
      </c>
      <c r="B593" s="5" t="s">
        <v>143</v>
      </c>
      <c r="C593" s="5" t="s">
        <v>209</v>
      </c>
      <c r="D593" s="5" t="s">
        <v>211</v>
      </c>
      <c r="E593" s="5">
        <v>147.0</v>
      </c>
      <c r="F593" s="5">
        <v>314.0</v>
      </c>
      <c r="G593" s="5">
        <f t="shared" si="1"/>
        <v>461</v>
      </c>
      <c r="H593" s="10">
        <f t="shared" si="2"/>
        <v>0.3188720174</v>
      </c>
      <c r="I593" s="10">
        <v>-0.3259</v>
      </c>
      <c r="J593" s="10">
        <v>0.8585</v>
      </c>
      <c r="K593" s="5">
        <f t="shared" si="3"/>
        <v>1</v>
      </c>
    </row>
    <row r="594" ht="15.0" customHeight="1">
      <c r="A594" s="5">
        <v>2018.0</v>
      </c>
      <c r="B594" s="5" t="s">
        <v>143</v>
      </c>
      <c r="C594" s="5" t="s">
        <v>209</v>
      </c>
      <c r="D594" s="5" t="s">
        <v>212</v>
      </c>
      <c r="E594" s="5">
        <v>387.0</v>
      </c>
      <c r="F594" s="5">
        <v>693.0</v>
      </c>
      <c r="G594" s="5">
        <f t="shared" si="1"/>
        <v>1080</v>
      </c>
      <c r="H594" s="10">
        <f t="shared" si="2"/>
        <v>0.3583333333</v>
      </c>
      <c r="I594" s="10">
        <v>-0.2438</v>
      </c>
      <c r="J594" s="10">
        <v>0.6447</v>
      </c>
      <c r="K594" s="5">
        <f t="shared" si="3"/>
        <v>0</v>
      </c>
    </row>
    <row r="595" ht="15.0" customHeight="1">
      <c r="A595" s="5">
        <v>2020.0</v>
      </c>
      <c r="B595" s="5" t="s">
        <v>143</v>
      </c>
      <c r="C595" s="5" t="s">
        <v>209</v>
      </c>
      <c r="D595" s="5" t="s">
        <v>212</v>
      </c>
      <c r="E595" s="5">
        <v>533.0</v>
      </c>
      <c r="F595" s="5">
        <v>1015.0</v>
      </c>
      <c r="G595" s="5">
        <f t="shared" si="1"/>
        <v>1548</v>
      </c>
      <c r="H595" s="10">
        <f t="shared" si="2"/>
        <v>0.3443152455</v>
      </c>
      <c r="I595" s="10">
        <v>-0.2693</v>
      </c>
      <c r="J595" s="10">
        <v>0.8336</v>
      </c>
      <c r="K595" s="5">
        <f t="shared" si="3"/>
        <v>1</v>
      </c>
    </row>
    <row r="596" ht="15.0" customHeight="1">
      <c r="A596" s="5">
        <v>2022.0</v>
      </c>
      <c r="B596" s="5" t="s">
        <v>143</v>
      </c>
      <c r="C596" s="5" t="s">
        <v>209</v>
      </c>
      <c r="D596" s="5" t="s">
        <v>212</v>
      </c>
      <c r="E596" s="5">
        <v>444.0</v>
      </c>
      <c r="F596" s="5">
        <v>809.0</v>
      </c>
      <c r="G596" s="5">
        <f t="shared" si="1"/>
        <v>1253</v>
      </c>
      <c r="H596" s="10">
        <f t="shared" si="2"/>
        <v>0.3543495611</v>
      </c>
      <c r="I596" s="10">
        <v>-0.2941</v>
      </c>
      <c r="J596" s="10">
        <v>0.6762</v>
      </c>
      <c r="K596" s="5">
        <f t="shared" si="3"/>
        <v>0</v>
      </c>
    </row>
    <row r="597" ht="15.0" customHeight="1">
      <c r="A597" s="5">
        <v>2024.0</v>
      </c>
      <c r="B597" s="5" t="s">
        <v>143</v>
      </c>
      <c r="C597" s="5" t="s">
        <v>209</v>
      </c>
      <c r="D597" s="5" t="s">
        <v>212</v>
      </c>
      <c r="E597" s="5">
        <v>522.0</v>
      </c>
      <c r="F597" s="5">
        <v>1060.0</v>
      </c>
      <c r="G597" s="5">
        <f t="shared" si="1"/>
        <v>1582</v>
      </c>
      <c r="H597" s="10">
        <f t="shared" si="2"/>
        <v>0.3299620733</v>
      </c>
      <c r="I597" s="10">
        <v>-0.3349</v>
      </c>
      <c r="J597" s="10">
        <v>0.8437</v>
      </c>
      <c r="K597" s="5">
        <f t="shared" si="3"/>
        <v>1</v>
      </c>
    </row>
    <row r="598" ht="15.0" customHeight="1">
      <c r="A598" s="5">
        <v>2018.0</v>
      </c>
      <c r="B598" s="5" t="s">
        <v>143</v>
      </c>
      <c r="C598" s="5" t="s">
        <v>213</v>
      </c>
      <c r="D598" s="5" t="s">
        <v>214</v>
      </c>
      <c r="E598" s="5">
        <v>691.0</v>
      </c>
      <c r="F598" s="5">
        <v>584.0</v>
      </c>
      <c r="G598" s="5">
        <f t="shared" si="1"/>
        <v>1275</v>
      </c>
      <c r="H598" s="10">
        <f t="shared" si="2"/>
        <v>0.5419607843</v>
      </c>
      <c r="I598" s="10">
        <v>0.045</v>
      </c>
      <c r="J598" s="10">
        <v>0.6035</v>
      </c>
      <c r="K598" s="5">
        <f t="shared" si="3"/>
        <v>0</v>
      </c>
    </row>
    <row r="599" ht="15.0" customHeight="1">
      <c r="A599" s="5">
        <v>2020.0</v>
      </c>
      <c r="B599" s="5" t="s">
        <v>143</v>
      </c>
      <c r="C599" s="5" t="s">
        <v>213</v>
      </c>
      <c r="D599" s="5" t="s">
        <v>214</v>
      </c>
      <c r="E599" s="5">
        <v>997.0</v>
      </c>
      <c r="F599" s="5">
        <v>860.0</v>
      </c>
      <c r="G599" s="5">
        <f t="shared" si="1"/>
        <v>1857</v>
      </c>
      <c r="H599" s="10">
        <f t="shared" si="2"/>
        <v>0.5368874529</v>
      </c>
      <c r="I599" s="10">
        <v>0.0718</v>
      </c>
      <c r="J599" s="10">
        <v>0.7885</v>
      </c>
      <c r="K599" s="5">
        <f t="shared" si="3"/>
        <v>1</v>
      </c>
    </row>
    <row r="600" ht="15.0" customHeight="1">
      <c r="A600" s="5">
        <v>2022.0</v>
      </c>
      <c r="B600" s="5" t="s">
        <v>143</v>
      </c>
      <c r="C600" s="5" t="s">
        <v>213</v>
      </c>
      <c r="D600" s="5" t="s">
        <v>214</v>
      </c>
      <c r="E600" s="5">
        <v>788.0</v>
      </c>
      <c r="F600" s="5">
        <v>628.0</v>
      </c>
      <c r="G600" s="5">
        <f t="shared" si="1"/>
        <v>1416</v>
      </c>
      <c r="H600" s="10">
        <f t="shared" si="2"/>
        <v>0.5564971751</v>
      </c>
      <c r="I600" s="10">
        <v>0.0544</v>
      </c>
      <c r="J600" s="10">
        <v>0.6162</v>
      </c>
      <c r="K600" s="5">
        <f t="shared" si="3"/>
        <v>0</v>
      </c>
    </row>
    <row r="601" ht="15.0" customHeight="1">
      <c r="A601" s="5">
        <v>2024.0</v>
      </c>
      <c r="B601" s="5" t="s">
        <v>143</v>
      </c>
      <c r="C601" s="5" t="s">
        <v>213</v>
      </c>
      <c r="D601" s="5" t="s">
        <v>214</v>
      </c>
      <c r="E601" s="5">
        <v>980.0</v>
      </c>
      <c r="F601" s="5">
        <v>872.0</v>
      </c>
      <c r="G601" s="5">
        <f t="shared" si="1"/>
        <v>1852</v>
      </c>
      <c r="H601" s="10">
        <f t="shared" si="2"/>
        <v>0.5291576674</v>
      </c>
      <c r="I601" s="10">
        <v>0.035</v>
      </c>
      <c r="J601" s="10">
        <v>0.7713</v>
      </c>
      <c r="K601" s="5">
        <f t="shared" si="3"/>
        <v>1</v>
      </c>
    </row>
    <row r="602" ht="15.0" customHeight="1">
      <c r="A602" s="5">
        <v>2018.0</v>
      </c>
      <c r="B602" s="5" t="s">
        <v>143</v>
      </c>
      <c r="C602" s="5" t="s">
        <v>215</v>
      </c>
      <c r="D602" s="5" t="s">
        <v>216</v>
      </c>
      <c r="E602" s="5">
        <v>727.0</v>
      </c>
      <c r="F602" s="5">
        <v>932.0</v>
      </c>
      <c r="G602" s="5">
        <f t="shared" si="1"/>
        <v>1659</v>
      </c>
      <c r="H602" s="10">
        <f t="shared" si="2"/>
        <v>0.4382157926</v>
      </c>
      <c r="I602" s="10">
        <v>-0.146</v>
      </c>
      <c r="J602" s="10">
        <v>0.6825</v>
      </c>
      <c r="K602" s="5">
        <f t="shared" si="3"/>
        <v>0</v>
      </c>
    </row>
    <row r="603" ht="15.0" customHeight="1">
      <c r="A603" s="5">
        <v>2020.0</v>
      </c>
      <c r="B603" s="5" t="s">
        <v>143</v>
      </c>
      <c r="C603" s="5" t="s">
        <v>215</v>
      </c>
      <c r="D603" s="5" t="s">
        <v>216</v>
      </c>
      <c r="E603" s="5">
        <v>937.0</v>
      </c>
      <c r="F603" s="5">
        <v>1367.0</v>
      </c>
      <c r="G603" s="5">
        <f t="shared" si="1"/>
        <v>2304</v>
      </c>
      <c r="H603" s="10">
        <f t="shared" si="2"/>
        <v>0.4066840278</v>
      </c>
      <c r="I603" s="10">
        <v>-0.1406</v>
      </c>
      <c r="J603" s="10">
        <v>0.8524</v>
      </c>
      <c r="K603" s="5">
        <f t="shared" si="3"/>
        <v>1</v>
      </c>
    </row>
    <row r="604" ht="15.0" customHeight="1">
      <c r="A604" s="5">
        <v>2022.0</v>
      </c>
      <c r="B604" s="5" t="s">
        <v>143</v>
      </c>
      <c r="C604" s="5" t="s">
        <v>215</v>
      </c>
      <c r="D604" s="5" t="s">
        <v>216</v>
      </c>
      <c r="E604" s="5">
        <v>830.0</v>
      </c>
      <c r="F604" s="5">
        <v>1043.0</v>
      </c>
      <c r="G604" s="5">
        <f t="shared" si="1"/>
        <v>1873</v>
      </c>
      <c r="H604" s="10">
        <f t="shared" si="2"/>
        <v>0.4431393486</v>
      </c>
      <c r="I604" s="10">
        <v>-0.1519</v>
      </c>
      <c r="J604" s="10">
        <v>0.7023</v>
      </c>
      <c r="K604" s="5">
        <f t="shared" si="3"/>
        <v>0</v>
      </c>
    </row>
    <row r="605" ht="15.0" customHeight="1">
      <c r="A605" s="5">
        <v>2024.0</v>
      </c>
      <c r="B605" s="5" t="s">
        <v>143</v>
      </c>
      <c r="C605" s="5" t="s">
        <v>215</v>
      </c>
      <c r="D605" s="5" t="s">
        <v>216</v>
      </c>
      <c r="E605" s="5">
        <v>1010.0</v>
      </c>
      <c r="F605" s="5">
        <v>1334.0</v>
      </c>
      <c r="G605" s="5">
        <f t="shared" si="1"/>
        <v>2344</v>
      </c>
      <c r="H605" s="10">
        <f t="shared" si="2"/>
        <v>0.430887372</v>
      </c>
      <c r="I605" s="10">
        <v>-0.1767</v>
      </c>
      <c r="J605" s="10">
        <v>0.8468</v>
      </c>
      <c r="K605" s="5">
        <f t="shared" si="3"/>
        <v>1</v>
      </c>
    </row>
    <row r="606" ht="15.0" customHeight="1">
      <c r="A606" s="5">
        <v>2018.0</v>
      </c>
      <c r="B606" s="5" t="s">
        <v>143</v>
      </c>
      <c r="C606" s="5" t="s">
        <v>215</v>
      </c>
      <c r="D606" s="5" t="s">
        <v>217</v>
      </c>
      <c r="E606" s="5">
        <v>598.0</v>
      </c>
      <c r="F606" s="5">
        <v>813.0</v>
      </c>
      <c r="G606" s="5">
        <f t="shared" si="1"/>
        <v>1411</v>
      </c>
      <c r="H606" s="10">
        <f t="shared" si="2"/>
        <v>0.4238128987</v>
      </c>
      <c r="I606" s="10">
        <v>-0.1231</v>
      </c>
      <c r="J606" s="10">
        <v>0.5693</v>
      </c>
      <c r="K606" s="5">
        <f t="shared" si="3"/>
        <v>0</v>
      </c>
    </row>
    <row r="607" ht="15.0" customHeight="1">
      <c r="A607" s="5">
        <v>2020.0</v>
      </c>
      <c r="B607" s="5" t="s">
        <v>143</v>
      </c>
      <c r="C607" s="5" t="s">
        <v>215</v>
      </c>
      <c r="D607" s="5" t="s">
        <v>217</v>
      </c>
      <c r="E607" s="5">
        <v>849.0</v>
      </c>
      <c r="F607" s="5">
        <v>1295.0</v>
      </c>
      <c r="G607" s="5">
        <f t="shared" si="1"/>
        <v>2144</v>
      </c>
      <c r="H607" s="10">
        <f t="shared" si="2"/>
        <v>0.395988806</v>
      </c>
      <c r="I607" s="10">
        <v>-0.1526</v>
      </c>
      <c r="J607" s="10">
        <v>0.7808</v>
      </c>
      <c r="K607" s="5">
        <f t="shared" si="3"/>
        <v>1</v>
      </c>
    </row>
    <row r="608" ht="15.0" customHeight="1">
      <c r="A608" s="5">
        <v>2022.0</v>
      </c>
      <c r="B608" s="5" t="s">
        <v>143</v>
      </c>
      <c r="C608" s="5" t="s">
        <v>215</v>
      </c>
      <c r="D608" s="5" t="s">
        <v>217</v>
      </c>
      <c r="E608" s="5">
        <v>686.0</v>
      </c>
      <c r="F608" s="5">
        <v>981.0</v>
      </c>
      <c r="G608" s="5">
        <f t="shared" si="1"/>
        <v>1667</v>
      </c>
      <c r="H608" s="10">
        <f t="shared" si="2"/>
        <v>0.4115176965</v>
      </c>
      <c r="I608" s="10">
        <v>-0.1527</v>
      </c>
      <c r="J608" s="10">
        <v>0.6133</v>
      </c>
      <c r="K608" s="5">
        <f t="shared" si="3"/>
        <v>0</v>
      </c>
    </row>
    <row r="609" ht="15.0" customHeight="1">
      <c r="A609" s="5">
        <v>2024.0</v>
      </c>
      <c r="B609" s="5" t="s">
        <v>143</v>
      </c>
      <c r="C609" s="5" t="s">
        <v>215</v>
      </c>
      <c r="D609" s="5" t="s">
        <v>217</v>
      </c>
      <c r="E609" s="5">
        <v>860.0</v>
      </c>
      <c r="F609" s="5">
        <v>1332.0</v>
      </c>
      <c r="G609" s="5">
        <f t="shared" si="1"/>
        <v>2192</v>
      </c>
      <c r="H609" s="10">
        <f t="shared" si="2"/>
        <v>0.3923357664</v>
      </c>
      <c r="I609" s="10">
        <v>-0.1602</v>
      </c>
      <c r="J609" s="10">
        <v>0.7716</v>
      </c>
      <c r="K609" s="5">
        <f t="shared" si="3"/>
        <v>1</v>
      </c>
    </row>
    <row r="610" ht="15.0" customHeight="1">
      <c r="A610" s="5">
        <v>2018.0</v>
      </c>
      <c r="B610" s="5" t="s">
        <v>143</v>
      </c>
      <c r="C610" s="5" t="s">
        <v>215</v>
      </c>
      <c r="D610" s="5" t="s">
        <v>218</v>
      </c>
      <c r="E610" s="5">
        <v>314.0</v>
      </c>
      <c r="F610" s="5">
        <v>468.0</v>
      </c>
      <c r="G610" s="5">
        <f t="shared" si="1"/>
        <v>782</v>
      </c>
      <c r="H610" s="10">
        <f t="shared" si="2"/>
        <v>0.4015345269</v>
      </c>
      <c r="I610" s="10">
        <v>-0.0767</v>
      </c>
      <c r="J610" s="10">
        <v>0.6054</v>
      </c>
      <c r="K610" s="5">
        <f t="shared" si="3"/>
        <v>0</v>
      </c>
    </row>
    <row r="611" ht="15.0" customHeight="1">
      <c r="A611" s="5">
        <v>2020.0</v>
      </c>
      <c r="B611" s="5" t="s">
        <v>143</v>
      </c>
      <c r="C611" s="5" t="s">
        <v>215</v>
      </c>
      <c r="D611" s="5" t="s">
        <v>218</v>
      </c>
      <c r="E611" s="5">
        <v>457.0</v>
      </c>
      <c r="F611" s="5">
        <v>701.0</v>
      </c>
      <c r="G611" s="5">
        <f t="shared" si="1"/>
        <v>1158</v>
      </c>
      <c r="H611" s="10">
        <f t="shared" si="2"/>
        <v>0.3946459413</v>
      </c>
      <c r="I611" s="10">
        <v>-0.1135</v>
      </c>
      <c r="J611" s="10">
        <v>0.8213</v>
      </c>
      <c r="K611" s="5">
        <f t="shared" si="3"/>
        <v>1</v>
      </c>
    </row>
    <row r="612" ht="15.0" customHeight="1">
      <c r="A612" s="5">
        <v>2022.0</v>
      </c>
      <c r="B612" s="5" t="s">
        <v>143</v>
      </c>
      <c r="C612" s="5" t="s">
        <v>215</v>
      </c>
      <c r="D612" s="5" t="s">
        <v>218</v>
      </c>
      <c r="E612" s="5">
        <v>370.0</v>
      </c>
      <c r="F612" s="5">
        <v>519.0</v>
      </c>
      <c r="G612" s="5">
        <f t="shared" si="1"/>
        <v>889</v>
      </c>
      <c r="H612" s="10">
        <f t="shared" si="2"/>
        <v>0.4161979753</v>
      </c>
      <c r="I612" s="10">
        <v>-0.1392</v>
      </c>
      <c r="J612" s="10">
        <v>0.6546</v>
      </c>
      <c r="K612" s="5">
        <f t="shared" si="3"/>
        <v>0</v>
      </c>
    </row>
    <row r="613" ht="15.0" customHeight="1">
      <c r="A613" s="5">
        <v>2024.0</v>
      </c>
      <c r="B613" s="5" t="s">
        <v>143</v>
      </c>
      <c r="C613" s="5" t="s">
        <v>215</v>
      </c>
      <c r="D613" s="5" t="s">
        <v>218</v>
      </c>
      <c r="E613" s="5">
        <v>449.0</v>
      </c>
      <c r="F613" s="5">
        <v>705.0</v>
      </c>
      <c r="G613" s="5">
        <f t="shared" si="1"/>
        <v>1154</v>
      </c>
      <c r="H613" s="10">
        <f t="shared" si="2"/>
        <v>0.3890814558</v>
      </c>
      <c r="I613" s="10">
        <v>-0.1704</v>
      </c>
      <c r="J613" s="10">
        <v>0.8296</v>
      </c>
      <c r="K613" s="5">
        <f t="shared" si="3"/>
        <v>1</v>
      </c>
    </row>
    <row r="614" ht="15.0" customHeight="1">
      <c r="A614" s="5">
        <v>2018.0</v>
      </c>
      <c r="B614" s="5" t="s">
        <v>143</v>
      </c>
      <c r="C614" s="5" t="s">
        <v>215</v>
      </c>
      <c r="D614" s="5" t="s">
        <v>219</v>
      </c>
      <c r="E614" s="5">
        <v>413.0</v>
      </c>
      <c r="F614" s="5">
        <v>633.0</v>
      </c>
      <c r="G614" s="5">
        <f t="shared" si="1"/>
        <v>1046</v>
      </c>
      <c r="H614" s="10">
        <f t="shared" si="2"/>
        <v>0.3948374761</v>
      </c>
      <c r="I614" s="10">
        <v>-0.1219</v>
      </c>
      <c r="J614" s="10">
        <v>0.6315</v>
      </c>
      <c r="K614" s="5">
        <f t="shared" si="3"/>
        <v>0</v>
      </c>
    </row>
    <row r="615" ht="15.0" customHeight="1">
      <c r="A615" s="5">
        <v>2020.0</v>
      </c>
      <c r="B615" s="5" t="s">
        <v>143</v>
      </c>
      <c r="C615" s="5" t="s">
        <v>215</v>
      </c>
      <c r="D615" s="5" t="s">
        <v>219</v>
      </c>
      <c r="E615" s="5">
        <v>614.0</v>
      </c>
      <c r="F615" s="5">
        <v>948.0</v>
      </c>
      <c r="G615" s="5">
        <f t="shared" si="1"/>
        <v>1562</v>
      </c>
      <c r="H615" s="10">
        <f t="shared" si="2"/>
        <v>0.3930857875</v>
      </c>
      <c r="I615" s="10">
        <v>-0.122</v>
      </c>
      <c r="J615" s="10">
        <v>0.8282</v>
      </c>
      <c r="K615" s="5">
        <f t="shared" si="3"/>
        <v>1</v>
      </c>
    </row>
    <row r="616" ht="15.0" customHeight="1">
      <c r="A616" s="5">
        <v>2022.0</v>
      </c>
      <c r="B616" s="5" t="s">
        <v>143</v>
      </c>
      <c r="C616" s="5" t="s">
        <v>215</v>
      </c>
      <c r="D616" s="5" t="s">
        <v>219</v>
      </c>
      <c r="E616" s="5">
        <v>521.0</v>
      </c>
      <c r="F616" s="5">
        <v>758.0</v>
      </c>
      <c r="G616" s="5">
        <f t="shared" si="1"/>
        <v>1279</v>
      </c>
      <c r="H616" s="10">
        <f t="shared" si="2"/>
        <v>0.4073494918</v>
      </c>
      <c r="I616" s="10">
        <v>-0.1473</v>
      </c>
      <c r="J616" s="10">
        <v>0.6682</v>
      </c>
      <c r="K616" s="5">
        <f t="shared" si="3"/>
        <v>0</v>
      </c>
    </row>
    <row r="617" ht="15.0" customHeight="1">
      <c r="A617" s="5">
        <v>2024.0</v>
      </c>
      <c r="B617" s="5" t="s">
        <v>143</v>
      </c>
      <c r="C617" s="5" t="s">
        <v>215</v>
      </c>
      <c r="D617" s="5" t="s">
        <v>219</v>
      </c>
      <c r="E617" s="5">
        <v>654.0</v>
      </c>
      <c r="F617" s="5">
        <v>979.0</v>
      </c>
      <c r="G617" s="5">
        <f t="shared" si="1"/>
        <v>1633</v>
      </c>
      <c r="H617" s="10">
        <f t="shared" si="2"/>
        <v>0.4004898959</v>
      </c>
      <c r="I617" s="10">
        <v>-0.1603</v>
      </c>
      <c r="J617" s="10">
        <v>0.8206</v>
      </c>
      <c r="K617" s="5">
        <f t="shared" si="3"/>
        <v>1</v>
      </c>
    </row>
    <row r="618" ht="15.0" customHeight="1">
      <c r="A618" s="5">
        <v>2018.0</v>
      </c>
      <c r="B618" s="5" t="s">
        <v>143</v>
      </c>
      <c r="C618" s="5" t="s">
        <v>215</v>
      </c>
      <c r="D618" s="5" t="s">
        <v>220</v>
      </c>
      <c r="E618" s="5">
        <v>376.0</v>
      </c>
      <c r="F618" s="5">
        <v>622.0</v>
      </c>
      <c r="G618" s="5">
        <f t="shared" si="1"/>
        <v>998</v>
      </c>
      <c r="H618" s="10">
        <f t="shared" si="2"/>
        <v>0.376753507</v>
      </c>
      <c r="I618" s="10">
        <v>-0.2095</v>
      </c>
      <c r="J618" s="10">
        <v>0.6568</v>
      </c>
      <c r="K618" s="5">
        <f t="shared" si="3"/>
        <v>0</v>
      </c>
    </row>
    <row r="619" ht="15.0" customHeight="1">
      <c r="A619" s="5">
        <v>2020.0</v>
      </c>
      <c r="B619" s="5" t="s">
        <v>143</v>
      </c>
      <c r="C619" s="5" t="s">
        <v>215</v>
      </c>
      <c r="D619" s="5" t="s">
        <v>220</v>
      </c>
      <c r="E619" s="5">
        <v>555.0</v>
      </c>
      <c r="F619" s="5">
        <v>886.0</v>
      </c>
      <c r="G619" s="5">
        <f t="shared" si="1"/>
        <v>1441</v>
      </c>
      <c r="H619" s="10">
        <f t="shared" si="2"/>
        <v>0.3851492019</v>
      </c>
      <c r="I619" s="10">
        <v>-0.2071</v>
      </c>
      <c r="J619" s="10">
        <v>0.8675</v>
      </c>
      <c r="K619" s="5">
        <f t="shared" si="3"/>
        <v>1</v>
      </c>
    </row>
    <row r="620" ht="15.0" customHeight="1">
      <c r="A620" s="5">
        <v>2022.0</v>
      </c>
      <c r="B620" s="5" t="s">
        <v>143</v>
      </c>
      <c r="C620" s="5" t="s">
        <v>215</v>
      </c>
      <c r="D620" s="5" t="s">
        <v>220</v>
      </c>
      <c r="E620" s="5">
        <v>474.0</v>
      </c>
      <c r="F620" s="5">
        <v>704.0</v>
      </c>
      <c r="G620" s="5">
        <f t="shared" si="1"/>
        <v>1178</v>
      </c>
      <c r="H620" s="10">
        <f t="shared" si="2"/>
        <v>0.40237691</v>
      </c>
      <c r="I620" s="10">
        <v>-0.2122</v>
      </c>
      <c r="J620" s="10">
        <v>0.7161</v>
      </c>
      <c r="K620" s="5">
        <f t="shared" si="3"/>
        <v>0</v>
      </c>
    </row>
    <row r="621" ht="15.0" customHeight="1">
      <c r="A621" s="5">
        <v>2024.0</v>
      </c>
      <c r="B621" s="5" t="s">
        <v>143</v>
      </c>
      <c r="C621" s="5" t="s">
        <v>215</v>
      </c>
      <c r="D621" s="5" t="s">
        <v>220</v>
      </c>
      <c r="E621" s="5">
        <v>557.0</v>
      </c>
      <c r="F621" s="5">
        <v>890.0</v>
      </c>
      <c r="G621" s="5">
        <f t="shared" si="1"/>
        <v>1447</v>
      </c>
      <c r="H621" s="10">
        <f t="shared" si="2"/>
        <v>0.3849343469</v>
      </c>
      <c r="I621" s="10">
        <v>-0.2269</v>
      </c>
      <c r="J621" s="10">
        <v>0.8527</v>
      </c>
      <c r="K621" s="5">
        <f t="shared" si="3"/>
        <v>1</v>
      </c>
    </row>
    <row r="622" ht="15.0" customHeight="1">
      <c r="A622" s="5">
        <v>2018.0</v>
      </c>
      <c r="B622" s="5" t="s">
        <v>143</v>
      </c>
      <c r="C622" s="5" t="s">
        <v>215</v>
      </c>
      <c r="D622" s="5" t="s">
        <v>221</v>
      </c>
      <c r="E622" s="5">
        <v>352.0</v>
      </c>
      <c r="F622" s="5">
        <v>381.0</v>
      </c>
      <c r="G622" s="5">
        <f t="shared" si="1"/>
        <v>733</v>
      </c>
      <c r="H622" s="10">
        <f t="shared" si="2"/>
        <v>0.480218281</v>
      </c>
      <c r="I622" s="10">
        <v>-0.0054</v>
      </c>
      <c r="J622" s="10">
        <v>0.5977</v>
      </c>
      <c r="K622" s="5">
        <f t="shared" si="3"/>
        <v>0</v>
      </c>
    </row>
    <row r="623" ht="15.0" customHeight="1">
      <c r="A623" s="5">
        <v>2020.0</v>
      </c>
      <c r="B623" s="5" t="s">
        <v>143</v>
      </c>
      <c r="C623" s="5" t="s">
        <v>215</v>
      </c>
      <c r="D623" s="5" t="s">
        <v>221</v>
      </c>
      <c r="E623" s="5">
        <v>488.0</v>
      </c>
      <c r="F623" s="5">
        <v>662.0</v>
      </c>
      <c r="G623" s="5">
        <f t="shared" si="1"/>
        <v>1150</v>
      </c>
      <c r="H623" s="10">
        <f t="shared" si="2"/>
        <v>0.4243478261</v>
      </c>
      <c r="I623" s="10">
        <v>-0.0502</v>
      </c>
      <c r="J623" s="10">
        <v>0.8364</v>
      </c>
      <c r="K623" s="5">
        <f t="shared" si="3"/>
        <v>1</v>
      </c>
    </row>
    <row r="624" ht="15.0" customHeight="1">
      <c r="A624" s="5">
        <v>2022.0</v>
      </c>
      <c r="B624" s="5" t="s">
        <v>143</v>
      </c>
      <c r="C624" s="5" t="s">
        <v>215</v>
      </c>
      <c r="D624" s="5" t="s">
        <v>221</v>
      </c>
      <c r="E624" s="5">
        <v>374.0</v>
      </c>
      <c r="F624" s="5">
        <v>457.0</v>
      </c>
      <c r="G624" s="5">
        <f t="shared" si="1"/>
        <v>831</v>
      </c>
      <c r="H624" s="10">
        <f t="shared" si="2"/>
        <v>0.4500601685</v>
      </c>
      <c r="I624" s="10">
        <v>-0.0964</v>
      </c>
      <c r="J624" s="10">
        <v>0.6165</v>
      </c>
      <c r="K624" s="5">
        <f t="shared" si="3"/>
        <v>0</v>
      </c>
    </row>
    <row r="625" ht="15.0" customHeight="1">
      <c r="A625" s="5">
        <v>2024.0</v>
      </c>
      <c r="B625" s="5" t="s">
        <v>143</v>
      </c>
      <c r="C625" s="5" t="s">
        <v>215</v>
      </c>
      <c r="D625" s="5" t="s">
        <v>221</v>
      </c>
      <c r="E625" s="5">
        <v>492.0</v>
      </c>
      <c r="F625" s="5">
        <v>675.0</v>
      </c>
      <c r="G625" s="5">
        <f t="shared" si="1"/>
        <v>1167</v>
      </c>
      <c r="H625" s="10">
        <f t="shared" si="2"/>
        <v>0.4215938303</v>
      </c>
      <c r="I625" s="10">
        <v>-0.1351</v>
      </c>
      <c r="J625" s="10">
        <v>0.8167</v>
      </c>
      <c r="K625" s="5">
        <f t="shared" si="3"/>
        <v>1</v>
      </c>
    </row>
    <row r="626" ht="15.0" customHeight="1">
      <c r="A626" s="5">
        <v>2018.0</v>
      </c>
      <c r="B626" s="5" t="s">
        <v>143</v>
      </c>
      <c r="C626" s="5" t="s">
        <v>222</v>
      </c>
      <c r="D626" s="5" t="s">
        <v>223</v>
      </c>
      <c r="E626" s="5">
        <v>505.0</v>
      </c>
      <c r="F626" s="5">
        <v>425.0</v>
      </c>
      <c r="G626" s="5">
        <f t="shared" si="1"/>
        <v>930</v>
      </c>
      <c r="H626" s="10">
        <f t="shared" si="2"/>
        <v>0.5430107527</v>
      </c>
      <c r="I626" s="10">
        <v>0.149</v>
      </c>
      <c r="J626" s="10">
        <v>0.5751</v>
      </c>
      <c r="K626" s="5">
        <f t="shared" si="3"/>
        <v>0</v>
      </c>
    </row>
    <row r="627" ht="15.0" customHeight="1">
      <c r="A627" s="5">
        <v>2020.0</v>
      </c>
      <c r="B627" s="5" t="s">
        <v>143</v>
      </c>
      <c r="C627" s="5" t="s">
        <v>222</v>
      </c>
      <c r="D627" s="5" t="s">
        <v>223</v>
      </c>
      <c r="E627" s="5">
        <v>700.0</v>
      </c>
      <c r="F627" s="5">
        <v>691.0</v>
      </c>
      <c r="G627" s="5">
        <f t="shared" si="1"/>
        <v>1391</v>
      </c>
      <c r="H627" s="10">
        <f t="shared" si="2"/>
        <v>0.5032350827</v>
      </c>
      <c r="I627" s="10">
        <v>0.1352</v>
      </c>
      <c r="J627" s="10">
        <v>0.7771</v>
      </c>
      <c r="K627" s="5">
        <f t="shared" si="3"/>
        <v>1</v>
      </c>
    </row>
    <row r="628" ht="15.0" customHeight="1">
      <c r="A628" s="5">
        <v>2022.0</v>
      </c>
      <c r="B628" s="5" t="s">
        <v>143</v>
      </c>
      <c r="C628" s="5" t="s">
        <v>222</v>
      </c>
      <c r="D628" s="5" t="s">
        <v>223</v>
      </c>
      <c r="E628" s="5">
        <v>504.0</v>
      </c>
      <c r="F628" s="5">
        <v>501.0</v>
      </c>
      <c r="G628" s="5">
        <f t="shared" si="1"/>
        <v>1005</v>
      </c>
      <c r="H628" s="10">
        <f t="shared" si="2"/>
        <v>0.5014925373</v>
      </c>
      <c r="I628" s="10">
        <v>0.1262</v>
      </c>
      <c r="J628" s="10">
        <v>0.5819</v>
      </c>
      <c r="K628" s="5">
        <f t="shared" si="3"/>
        <v>0</v>
      </c>
    </row>
    <row r="629" ht="15.0" customHeight="1">
      <c r="A629" s="5">
        <v>2024.0</v>
      </c>
      <c r="B629" s="5" t="s">
        <v>143</v>
      </c>
      <c r="C629" s="5" t="s">
        <v>222</v>
      </c>
      <c r="D629" s="5" t="s">
        <v>223</v>
      </c>
      <c r="E629" s="5">
        <v>668.0</v>
      </c>
      <c r="F629" s="5">
        <v>693.0</v>
      </c>
      <c r="G629" s="5">
        <f t="shared" si="1"/>
        <v>1361</v>
      </c>
      <c r="H629" s="10">
        <f t="shared" si="2"/>
        <v>0.4908155768</v>
      </c>
      <c r="I629" s="10">
        <v>0.0885</v>
      </c>
      <c r="J629" s="10">
        <v>0.7625</v>
      </c>
      <c r="K629" s="5">
        <f t="shared" si="3"/>
        <v>1</v>
      </c>
    </row>
    <row r="630" ht="15.0" customHeight="1">
      <c r="A630" s="5">
        <v>2018.0</v>
      </c>
      <c r="B630" s="5" t="s">
        <v>143</v>
      </c>
      <c r="C630" s="5" t="s">
        <v>222</v>
      </c>
      <c r="D630" s="5" t="s">
        <v>224</v>
      </c>
      <c r="E630" s="5">
        <v>565.0</v>
      </c>
      <c r="F630" s="5">
        <v>475.0</v>
      </c>
      <c r="G630" s="5">
        <f t="shared" si="1"/>
        <v>1040</v>
      </c>
      <c r="H630" s="10">
        <f t="shared" si="2"/>
        <v>0.5432692308</v>
      </c>
      <c r="I630" s="10">
        <v>0.2094</v>
      </c>
      <c r="J630" s="10">
        <v>0.5835</v>
      </c>
      <c r="K630" s="5">
        <f t="shared" si="3"/>
        <v>0</v>
      </c>
    </row>
    <row r="631" ht="15.0" customHeight="1">
      <c r="A631" s="5">
        <v>2020.0</v>
      </c>
      <c r="B631" s="5" t="s">
        <v>143</v>
      </c>
      <c r="C631" s="5" t="s">
        <v>222</v>
      </c>
      <c r="D631" s="5" t="s">
        <v>224</v>
      </c>
      <c r="E631" s="5">
        <v>796.0</v>
      </c>
      <c r="F631" s="5">
        <v>790.0</v>
      </c>
      <c r="G631" s="5">
        <f t="shared" si="1"/>
        <v>1586</v>
      </c>
      <c r="H631" s="10">
        <f t="shared" si="2"/>
        <v>0.5018915511</v>
      </c>
      <c r="I631" s="10">
        <v>0.1477</v>
      </c>
      <c r="J631" s="10">
        <v>0.797</v>
      </c>
      <c r="K631" s="5">
        <f t="shared" si="3"/>
        <v>1</v>
      </c>
    </row>
    <row r="632" ht="15.0" customHeight="1">
      <c r="A632" s="5">
        <v>2022.0</v>
      </c>
      <c r="B632" s="5" t="s">
        <v>143</v>
      </c>
      <c r="C632" s="5" t="s">
        <v>222</v>
      </c>
      <c r="D632" s="5" t="s">
        <v>224</v>
      </c>
      <c r="E632" s="5">
        <v>602.0</v>
      </c>
      <c r="F632" s="5">
        <v>577.0</v>
      </c>
      <c r="G632" s="5">
        <f t="shared" si="1"/>
        <v>1179</v>
      </c>
      <c r="H632" s="10">
        <f t="shared" si="2"/>
        <v>0.5106022053</v>
      </c>
      <c r="I632" s="10">
        <v>0.137</v>
      </c>
      <c r="J632" s="10">
        <v>0.6093</v>
      </c>
      <c r="K632" s="5">
        <f t="shared" si="3"/>
        <v>0</v>
      </c>
    </row>
    <row r="633" ht="15.0" customHeight="1">
      <c r="A633" s="5">
        <v>2024.0</v>
      </c>
      <c r="B633" s="5" t="s">
        <v>143</v>
      </c>
      <c r="C633" s="5" t="s">
        <v>222</v>
      </c>
      <c r="D633" s="5" t="s">
        <v>224</v>
      </c>
      <c r="E633" s="5">
        <v>803.0</v>
      </c>
      <c r="F633" s="5">
        <v>818.0</v>
      </c>
      <c r="G633" s="5">
        <f t="shared" si="1"/>
        <v>1621</v>
      </c>
      <c r="H633" s="10">
        <f t="shared" si="2"/>
        <v>0.4953732264</v>
      </c>
      <c r="I633" s="10">
        <v>0.0989</v>
      </c>
      <c r="J633" s="10">
        <v>0.7973</v>
      </c>
      <c r="K633" s="5">
        <f t="shared" si="3"/>
        <v>1</v>
      </c>
    </row>
    <row r="634" ht="15.0" customHeight="1">
      <c r="A634" s="5">
        <v>2018.0</v>
      </c>
      <c r="B634" s="5" t="s">
        <v>143</v>
      </c>
      <c r="C634" s="5" t="s">
        <v>222</v>
      </c>
      <c r="D634" s="5" t="s">
        <v>225</v>
      </c>
      <c r="E634" s="5">
        <v>252.0</v>
      </c>
      <c r="F634" s="5">
        <v>235.0</v>
      </c>
      <c r="G634" s="5">
        <f t="shared" si="1"/>
        <v>487</v>
      </c>
      <c r="H634" s="10">
        <f t="shared" si="2"/>
        <v>0.5174537988</v>
      </c>
      <c r="I634" s="10">
        <v>-0.0074</v>
      </c>
      <c r="J634" s="10">
        <v>0.6198</v>
      </c>
      <c r="K634" s="5">
        <f t="shared" si="3"/>
        <v>0</v>
      </c>
    </row>
    <row r="635" ht="15.0" customHeight="1">
      <c r="A635" s="5">
        <v>2020.0</v>
      </c>
      <c r="B635" s="5" t="s">
        <v>143</v>
      </c>
      <c r="C635" s="5" t="s">
        <v>222</v>
      </c>
      <c r="D635" s="5" t="s">
        <v>225</v>
      </c>
      <c r="E635" s="5">
        <v>361.0</v>
      </c>
      <c r="F635" s="5">
        <v>375.0</v>
      </c>
      <c r="G635" s="5">
        <f t="shared" si="1"/>
        <v>736</v>
      </c>
      <c r="H635" s="10">
        <f t="shared" si="2"/>
        <v>0.4904891304</v>
      </c>
      <c r="I635" s="10">
        <v>-0.0147</v>
      </c>
      <c r="J635" s="10">
        <v>0.8326</v>
      </c>
      <c r="K635" s="5">
        <f t="shared" si="3"/>
        <v>1</v>
      </c>
    </row>
    <row r="636" ht="15.0" customHeight="1">
      <c r="A636" s="5">
        <v>2022.0</v>
      </c>
      <c r="B636" s="5" t="s">
        <v>143</v>
      </c>
      <c r="C636" s="5" t="s">
        <v>222</v>
      </c>
      <c r="D636" s="5" t="s">
        <v>225</v>
      </c>
      <c r="E636" s="5">
        <v>292.0</v>
      </c>
      <c r="F636" s="5">
        <v>268.0</v>
      </c>
      <c r="G636" s="5">
        <f t="shared" si="1"/>
        <v>560</v>
      </c>
      <c r="H636" s="10">
        <f t="shared" si="2"/>
        <v>0.5214285714</v>
      </c>
      <c r="I636" s="10">
        <v>-0.0072</v>
      </c>
      <c r="J636" s="10">
        <v>0.6747</v>
      </c>
      <c r="K636" s="5">
        <f t="shared" si="3"/>
        <v>0</v>
      </c>
    </row>
    <row r="637" ht="15.0" customHeight="1">
      <c r="A637" s="5">
        <v>2024.0</v>
      </c>
      <c r="B637" s="5" t="s">
        <v>143</v>
      </c>
      <c r="C637" s="5" t="s">
        <v>222</v>
      </c>
      <c r="D637" s="5" t="s">
        <v>225</v>
      </c>
      <c r="E637" s="5">
        <v>342.0</v>
      </c>
      <c r="F637" s="5">
        <v>358.0</v>
      </c>
      <c r="G637" s="5">
        <f t="shared" si="1"/>
        <v>700</v>
      </c>
      <c r="H637" s="10">
        <f t="shared" si="2"/>
        <v>0.4885714286</v>
      </c>
      <c r="I637" s="10">
        <v>-0.0264</v>
      </c>
      <c r="J637" s="10">
        <v>0.8403</v>
      </c>
      <c r="K637" s="5">
        <f t="shared" si="3"/>
        <v>1</v>
      </c>
    </row>
    <row r="638" ht="15.0" customHeight="1">
      <c r="A638" s="5">
        <v>2018.0</v>
      </c>
      <c r="B638" s="5" t="s">
        <v>143</v>
      </c>
      <c r="C638" s="5" t="s">
        <v>222</v>
      </c>
      <c r="D638" s="5" t="s">
        <v>226</v>
      </c>
      <c r="E638" s="5">
        <v>277.0</v>
      </c>
      <c r="F638" s="5">
        <v>252.0</v>
      </c>
      <c r="G638" s="5">
        <f t="shared" si="1"/>
        <v>529</v>
      </c>
      <c r="H638" s="10">
        <f t="shared" si="2"/>
        <v>0.5236294896</v>
      </c>
      <c r="I638" s="10">
        <v>0.1454</v>
      </c>
      <c r="J638" s="10">
        <v>0.5857</v>
      </c>
      <c r="K638" s="5">
        <f t="shared" si="3"/>
        <v>0</v>
      </c>
    </row>
    <row r="639" ht="15.0" customHeight="1">
      <c r="A639" s="5">
        <v>2020.0</v>
      </c>
      <c r="B639" s="5" t="s">
        <v>143</v>
      </c>
      <c r="C639" s="5" t="s">
        <v>222</v>
      </c>
      <c r="D639" s="5" t="s">
        <v>226</v>
      </c>
      <c r="E639" s="5">
        <v>406.0</v>
      </c>
      <c r="F639" s="5">
        <v>388.0</v>
      </c>
      <c r="G639" s="5">
        <f t="shared" si="1"/>
        <v>794</v>
      </c>
      <c r="H639" s="10">
        <f t="shared" si="2"/>
        <v>0.5113350126</v>
      </c>
      <c r="I639" s="10">
        <v>0.1172</v>
      </c>
      <c r="J639" s="10">
        <v>0.802</v>
      </c>
      <c r="K639" s="5">
        <f t="shared" si="3"/>
        <v>1</v>
      </c>
    </row>
    <row r="640" ht="15.0" customHeight="1">
      <c r="A640" s="5">
        <v>2022.0</v>
      </c>
      <c r="B640" s="5" t="s">
        <v>143</v>
      </c>
      <c r="C640" s="5" t="s">
        <v>222</v>
      </c>
      <c r="D640" s="5" t="s">
        <v>226</v>
      </c>
      <c r="E640" s="5">
        <v>331.0</v>
      </c>
      <c r="F640" s="5">
        <v>297.0</v>
      </c>
      <c r="G640" s="5">
        <f t="shared" si="1"/>
        <v>628</v>
      </c>
      <c r="H640" s="10">
        <f t="shared" si="2"/>
        <v>0.5270700637</v>
      </c>
      <c r="I640" s="10">
        <v>0.1017</v>
      </c>
      <c r="J640" s="10">
        <v>0.6261</v>
      </c>
      <c r="K640" s="5">
        <f t="shared" si="3"/>
        <v>0</v>
      </c>
    </row>
    <row r="641" ht="15.0" customHeight="1">
      <c r="A641" s="5">
        <v>2024.0</v>
      </c>
      <c r="B641" s="5" t="s">
        <v>143</v>
      </c>
      <c r="C641" s="5" t="s">
        <v>222</v>
      </c>
      <c r="D641" s="5" t="s">
        <v>226</v>
      </c>
      <c r="E641" s="5">
        <v>411.0</v>
      </c>
      <c r="F641" s="5">
        <v>417.0</v>
      </c>
      <c r="G641" s="5">
        <f t="shared" si="1"/>
        <v>828</v>
      </c>
      <c r="H641" s="10">
        <f t="shared" si="2"/>
        <v>0.4963768116</v>
      </c>
      <c r="I641" s="10">
        <v>0.0514</v>
      </c>
      <c r="J641" s="10">
        <v>0.8031</v>
      </c>
      <c r="K641" s="5">
        <f t="shared" si="3"/>
        <v>1</v>
      </c>
    </row>
    <row r="642" ht="15.0" customHeight="1">
      <c r="A642" s="5">
        <v>2018.0</v>
      </c>
      <c r="B642" s="5" t="s">
        <v>143</v>
      </c>
      <c r="C642" s="5" t="s">
        <v>222</v>
      </c>
      <c r="D642" s="5" t="s">
        <v>227</v>
      </c>
      <c r="E642" s="5">
        <v>385.0</v>
      </c>
      <c r="F642" s="5">
        <v>428.0</v>
      </c>
      <c r="G642" s="5">
        <f t="shared" si="1"/>
        <v>813</v>
      </c>
      <c r="H642" s="10">
        <f t="shared" si="2"/>
        <v>0.4735547355</v>
      </c>
      <c r="I642" s="10">
        <v>-0.1155</v>
      </c>
      <c r="J642" s="10">
        <v>0.6762</v>
      </c>
      <c r="K642" s="5">
        <f t="shared" si="3"/>
        <v>0</v>
      </c>
    </row>
    <row r="643" ht="15.0" customHeight="1">
      <c r="A643" s="5">
        <v>2020.0</v>
      </c>
      <c r="B643" s="5" t="s">
        <v>143</v>
      </c>
      <c r="C643" s="5" t="s">
        <v>222</v>
      </c>
      <c r="D643" s="5" t="s">
        <v>227</v>
      </c>
      <c r="E643" s="5">
        <v>524.0</v>
      </c>
      <c r="F643" s="5">
        <v>571.0</v>
      </c>
      <c r="G643" s="5">
        <f t="shared" si="1"/>
        <v>1095</v>
      </c>
      <c r="H643" s="10">
        <f t="shared" si="2"/>
        <v>0.4785388128</v>
      </c>
      <c r="I643" s="10">
        <v>-0.0916</v>
      </c>
      <c r="J643" s="10">
        <v>0.8289</v>
      </c>
      <c r="K643" s="5">
        <f t="shared" si="3"/>
        <v>1</v>
      </c>
    </row>
    <row r="644" ht="15.0" customHeight="1">
      <c r="A644" s="5">
        <v>2022.0</v>
      </c>
      <c r="B644" s="5" t="s">
        <v>143</v>
      </c>
      <c r="C644" s="5" t="s">
        <v>222</v>
      </c>
      <c r="D644" s="5" t="s">
        <v>227</v>
      </c>
      <c r="E644" s="5">
        <v>418.0</v>
      </c>
      <c r="F644" s="5">
        <v>445.0</v>
      </c>
      <c r="G644" s="5">
        <f t="shared" si="1"/>
        <v>863</v>
      </c>
      <c r="H644" s="10">
        <f t="shared" si="2"/>
        <v>0.4843568946</v>
      </c>
      <c r="I644" s="10">
        <v>-0.0922</v>
      </c>
      <c r="J644" s="10">
        <v>0.6685</v>
      </c>
      <c r="K644" s="5">
        <f t="shared" si="3"/>
        <v>0</v>
      </c>
    </row>
    <row r="645" ht="15.0" customHeight="1">
      <c r="A645" s="5">
        <v>2024.0</v>
      </c>
      <c r="B645" s="5" t="s">
        <v>143</v>
      </c>
      <c r="C645" s="5" t="s">
        <v>222</v>
      </c>
      <c r="D645" s="5" t="s">
        <v>227</v>
      </c>
      <c r="E645" s="5">
        <v>525.0</v>
      </c>
      <c r="F645" s="5">
        <v>552.0</v>
      </c>
      <c r="G645" s="5">
        <f t="shared" si="1"/>
        <v>1077</v>
      </c>
      <c r="H645" s="10">
        <f t="shared" si="2"/>
        <v>0.4874651811</v>
      </c>
      <c r="I645" s="10">
        <v>-0.087</v>
      </c>
      <c r="J645" s="10">
        <v>0.8221</v>
      </c>
      <c r="K645" s="5">
        <f t="shared" si="3"/>
        <v>1</v>
      </c>
    </row>
    <row r="646" ht="15.0" customHeight="1">
      <c r="A646" s="5">
        <v>2018.0</v>
      </c>
      <c r="B646" s="5" t="s">
        <v>143</v>
      </c>
      <c r="C646" s="5" t="s">
        <v>222</v>
      </c>
      <c r="D646" s="5" t="s">
        <v>228</v>
      </c>
      <c r="E646" s="5">
        <v>242.0</v>
      </c>
      <c r="F646" s="5">
        <v>256.0</v>
      </c>
      <c r="G646" s="5">
        <f t="shared" si="1"/>
        <v>498</v>
      </c>
      <c r="H646" s="10">
        <f t="shared" si="2"/>
        <v>0.4859437751</v>
      </c>
      <c r="I646" s="10">
        <v>-0.1497</v>
      </c>
      <c r="J646" s="10">
        <v>0.6992</v>
      </c>
      <c r="K646" s="5">
        <f t="shared" si="3"/>
        <v>0</v>
      </c>
    </row>
    <row r="647" ht="15.0" customHeight="1">
      <c r="A647" s="5">
        <v>2020.0</v>
      </c>
      <c r="B647" s="5" t="s">
        <v>143</v>
      </c>
      <c r="C647" s="5" t="s">
        <v>222</v>
      </c>
      <c r="D647" s="5" t="s">
        <v>228</v>
      </c>
      <c r="E647" s="5">
        <v>316.0</v>
      </c>
      <c r="F647" s="5">
        <v>347.0</v>
      </c>
      <c r="G647" s="5">
        <f t="shared" si="1"/>
        <v>663</v>
      </c>
      <c r="H647" s="10">
        <f t="shared" si="2"/>
        <v>0.4766214178</v>
      </c>
      <c r="I647" s="10">
        <v>-0.0941</v>
      </c>
      <c r="J647" s="10">
        <v>0.8667</v>
      </c>
      <c r="K647" s="5">
        <f t="shared" si="3"/>
        <v>1</v>
      </c>
    </row>
    <row r="648" ht="15.0" customHeight="1">
      <c r="A648" s="5">
        <v>2022.0</v>
      </c>
      <c r="B648" s="5" t="s">
        <v>143</v>
      </c>
      <c r="C648" s="5" t="s">
        <v>222</v>
      </c>
      <c r="D648" s="5" t="s">
        <v>228</v>
      </c>
      <c r="E648" s="5">
        <v>266.0</v>
      </c>
      <c r="F648" s="5">
        <v>293.0</v>
      </c>
      <c r="G648" s="5">
        <f t="shared" si="1"/>
        <v>559</v>
      </c>
      <c r="H648" s="10">
        <f t="shared" si="2"/>
        <v>0.4758497317</v>
      </c>
      <c r="I648" s="10">
        <v>-0.0788</v>
      </c>
      <c r="J648" s="10">
        <v>0.7222</v>
      </c>
      <c r="K648" s="5">
        <f t="shared" si="3"/>
        <v>0</v>
      </c>
    </row>
    <row r="649" ht="15.0" customHeight="1">
      <c r="A649" s="5">
        <v>2024.0</v>
      </c>
      <c r="B649" s="5" t="s">
        <v>143</v>
      </c>
      <c r="C649" s="5" t="s">
        <v>222</v>
      </c>
      <c r="D649" s="5" t="s">
        <v>228</v>
      </c>
      <c r="E649" s="5">
        <v>313.0</v>
      </c>
      <c r="F649" s="5">
        <v>360.0</v>
      </c>
      <c r="G649" s="5">
        <f t="shared" si="1"/>
        <v>673</v>
      </c>
      <c r="H649" s="10">
        <f t="shared" si="2"/>
        <v>0.4650817236</v>
      </c>
      <c r="I649" s="10">
        <v>-0.0647</v>
      </c>
      <c r="J649" s="10">
        <v>0.8217</v>
      </c>
      <c r="K649" s="5">
        <f t="shared" si="3"/>
        <v>1</v>
      </c>
    </row>
    <row r="650" ht="15.0" customHeight="1">
      <c r="A650" s="5">
        <v>2018.0</v>
      </c>
      <c r="B650" s="5" t="s">
        <v>143</v>
      </c>
      <c r="C650" s="5" t="s">
        <v>222</v>
      </c>
      <c r="D650" s="5" t="s">
        <v>229</v>
      </c>
      <c r="E650" s="5">
        <v>281.0</v>
      </c>
      <c r="F650" s="5">
        <v>313.0</v>
      </c>
      <c r="G650" s="5">
        <f t="shared" si="1"/>
        <v>594</v>
      </c>
      <c r="H650" s="10">
        <f t="shared" si="2"/>
        <v>0.4730639731</v>
      </c>
      <c r="I650" s="10">
        <v>-0.1447</v>
      </c>
      <c r="J650" s="10">
        <v>0.7002</v>
      </c>
      <c r="K650" s="5">
        <f t="shared" si="3"/>
        <v>0</v>
      </c>
    </row>
    <row r="651" ht="15.0" customHeight="1">
      <c r="A651" s="5">
        <v>2020.0</v>
      </c>
      <c r="B651" s="5" t="s">
        <v>143</v>
      </c>
      <c r="C651" s="5" t="s">
        <v>222</v>
      </c>
      <c r="D651" s="5" t="s">
        <v>229</v>
      </c>
      <c r="E651" s="5">
        <v>377.0</v>
      </c>
      <c r="F651" s="5">
        <v>396.0</v>
      </c>
      <c r="G651" s="5">
        <f t="shared" si="1"/>
        <v>773</v>
      </c>
      <c r="H651" s="10">
        <f t="shared" si="2"/>
        <v>0.4877102199</v>
      </c>
      <c r="I651" s="10">
        <v>-0.0998</v>
      </c>
      <c r="J651" s="10">
        <v>0.8384</v>
      </c>
      <c r="K651" s="5">
        <f t="shared" si="3"/>
        <v>1</v>
      </c>
    </row>
    <row r="652" ht="15.0" customHeight="1">
      <c r="A652" s="5">
        <v>2022.0</v>
      </c>
      <c r="B652" s="5" t="s">
        <v>143</v>
      </c>
      <c r="C652" s="5" t="s">
        <v>222</v>
      </c>
      <c r="D652" s="5" t="s">
        <v>229</v>
      </c>
      <c r="E652" s="5">
        <v>350.0</v>
      </c>
      <c r="F652" s="5">
        <v>297.0</v>
      </c>
      <c r="G652" s="5">
        <f t="shared" si="1"/>
        <v>647</v>
      </c>
      <c r="H652" s="10">
        <f t="shared" si="2"/>
        <v>0.5409582689</v>
      </c>
      <c r="I652" s="10">
        <v>-0.0415</v>
      </c>
      <c r="J652" s="10">
        <v>0.7262</v>
      </c>
      <c r="K652" s="5">
        <f t="shared" si="3"/>
        <v>0</v>
      </c>
    </row>
    <row r="653" ht="15.0" customHeight="1">
      <c r="A653" s="5">
        <v>2024.0</v>
      </c>
      <c r="B653" s="5" t="s">
        <v>143</v>
      </c>
      <c r="C653" s="5" t="s">
        <v>222</v>
      </c>
      <c r="D653" s="5" t="s">
        <v>229</v>
      </c>
      <c r="E653" s="5">
        <v>415.0</v>
      </c>
      <c r="F653" s="5">
        <v>371.0</v>
      </c>
      <c r="G653" s="5">
        <f t="shared" si="1"/>
        <v>786</v>
      </c>
      <c r="H653" s="10">
        <f t="shared" si="2"/>
        <v>0.5279898219</v>
      </c>
      <c r="I653" s="10">
        <v>-0.0293</v>
      </c>
      <c r="J653" s="10">
        <v>0.8525</v>
      </c>
      <c r="K653" s="5">
        <f t="shared" si="3"/>
        <v>1</v>
      </c>
    </row>
    <row r="654" ht="15.0" customHeight="1">
      <c r="A654" s="5">
        <v>2018.0</v>
      </c>
      <c r="B654" s="5" t="s">
        <v>143</v>
      </c>
      <c r="C654" s="5" t="s">
        <v>222</v>
      </c>
      <c r="D654" s="5" t="s">
        <v>230</v>
      </c>
      <c r="E654" s="5">
        <v>438.0</v>
      </c>
      <c r="F654" s="5">
        <v>460.0</v>
      </c>
      <c r="G654" s="5">
        <f t="shared" si="1"/>
        <v>898</v>
      </c>
      <c r="H654" s="10">
        <f t="shared" si="2"/>
        <v>0.4877505568</v>
      </c>
      <c r="I654" s="10">
        <v>-0.0786</v>
      </c>
      <c r="J654" s="10">
        <v>0.7214</v>
      </c>
      <c r="K654" s="5">
        <f t="shared" si="3"/>
        <v>0</v>
      </c>
    </row>
    <row r="655" ht="15.0" customHeight="1">
      <c r="A655" s="5">
        <v>2020.0</v>
      </c>
      <c r="B655" s="5" t="s">
        <v>143</v>
      </c>
      <c r="C655" s="5" t="s">
        <v>222</v>
      </c>
      <c r="D655" s="5" t="s">
        <v>230</v>
      </c>
      <c r="E655" s="5">
        <v>549.0</v>
      </c>
      <c r="F655" s="5">
        <v>585.0</v>
      </c>
      <c r="G655" s="5">
        <f t="shared" si="1"/>
        <v>1134</v>
      </c>
      <c r="H655" s="10">
        <f t="shared" si="2"/>
        <v>0.4841269841</v>
      </c>
      <c r="I655" s="10">
        <v>-0.0554</v>
      </c>
      <c r="J655" s="10">
        <v>0.8381</v>
      </c>
      <c r="K655" s="5">
        <f t="shared" si="3"/>
        <v>1</v>
      </c>
    </row>
    <row r="656" ht="15.0" customHeight="1">
      <c r="A656" s="5">
        <v>2022.0</v>
      </c>
      <c r="B656" s="5" t="s">
        <v>143</v>
      </c>
      <c r="C656" s="5" t="s">
        <v>222</v>
      </c>
      <c r="D656" s="5" t="s">
        <v>230</v>
      </c>
      <c r="E656" s="5">
        <v>476.0</v>
      </c>
      <c r="F656" s="5">
        <v>451.0</v>
      </c>
      <c r="G656" s="5">
        <f t="shared" si="1"/>
        <v>927</v>
      </c>
      <c r="H656" s="10">
        <f t="shared" si="2"/>
        <v>0.5134843581</v>
      </c>
      <c r="I656" s="10">
        <v>-0.0099</v>
      </c>
      <c r="J656" s="10">
        <v>0.7071</v>
      </c>
      <c r="K656" s="5">
        <f t="shared" si="3"/>
        <v>0</v>
      </c>
    </row>
    <row r="657" ht="15.0" customHeight="1">
      <c r="A657" s="5">
        <v>2024.0</v>
      </c>
      <c r="B657" s="5" t="s">
        <v>143</v>
      </c>
      <c r="C657" s="5" t="s">
        <v>222</v>
      </c>
      <c r="D657" s="5" t="s">
        <v>230</v>
      </c>
      <c r="E657" s="5">
        <v>533.0</v>
      </c>
      <c r="F657" s="5">
        <v>535.0</v>
      </c>
      <c r="G657" s="5">
        <f t="shared" si="1"/>
        <v>1068</v>
      </c>
      <c r="H657" s="10">
        <f t="shared" si="2"/>
        <v>0.4990636704</v>
      </c>
      <c r="I657" s="10">
        <v>-0.0227</v>
      </c>
      <c r="J657" s="10">
        <v>0.8376</v>
      </c>
      <c r="K657" s="5">
        <f t="shared" si="3"/>
        <v>1</v>
      </c>
    </row>
    <row r="658" ht="15.0" customHeight="1">
      <c r="A658" s="5">
        <v>2018.0</v>
      </c>
      <c r="B658" s="5" t="s">
        <v>143</v>
      </c>
      <c r="C658" s="5" t="s">
        <v>231</v>
      </c>
      <c r="D658" s="5" t="s">
        <v>232</v>
      </c>
      <c r="E658" s="5">
        <v>156.0</v>
      </c>
      <c r="F658" s="5">
        <v>176.0</v>
      </c>
      <c r="G658" s="5">
        <f t="shared" si="1"/>
        <v>332</v>
      </c>
      <c r="H658" s="10">
        <f t="shared" si="2"/>
        <v>0.4698795181</v>
      </c>
      <c r="I658" s="10">
        <v>0.0848</v>
      </c>
      <c r="J658" s="10">
        <v>0.472</v>
      </c>
      <c r="K658" s="5">
        <f t="shared" si="3"/>
        <v>0</v>
      </c>
    </row>
    <row r="659" ht="15.0" customHeight="1">
      <c r="A659" s="5">
        <v>2020.0</v>
      </c>
      <c r="B659" s="5" t="s">
        <v>143</v>
      </c>
      <c r="C659" s="5" t="s">
        <v>231</v>
      </c>
      <c r="D659" s="5" t="s">
        <v>232</v>
      </c>
      <c r="E659" s="5">
        <v>218.0</v>
      </c>
      <c r="F659" s="5">
        <v>335.0</v>
      </c>
      <c r="G659" s="5">
        <f t="shared" si="1"/>
        <v>553</v>
      </c>
      <c r="H659" s="10">
        <f t="shared" si="2"/>
        <v>0.3942133816</v>
      </c>
      <c r="I659" s="10">
        <v>0.0144</v>
      </c>
      <c r="J659" s="10">
        <v>0.6655</v>
      </c>
      <c r="K659" s="5">
        <f t="shared" si="3"/>
        <v>1</v>
      </c>
    </row>
    <row r="660" ht="15.0" customHeight="1">
      <c r="A660" s="5">
        <v>2022.0</v>
      </c>
      <c r="B660" s="5" t="s">
        <v>143</v>
      </c>
      <c r="C660" s="5" t="s">
        <v>231</v>
      </c>
      <c r="D660" s="5" t="s">
        <v>232</v>
      </c>
      <c r="E660" s="5">
        <v>186.0</v>
      </c>
      <c r="F660" s="5">
        <v>201.0</v>
      </c>
      <c r="G660" s="5">
        <f t="shared" si="1"/>
        <v>387</v>
      </c>
      <c r="H660" s="10">
        <f t="shared" si="2"/>
        <v>0.480620155</v>
      </c>
      <c r="I660" s="10">
        <v>0.018</v>
      </c>
      <c r="J660" s="10">
        <v>0.4646</v>
      </c>
      <c r="K660" s="5">
        <f t="shared" si="3"/>
        <v>0</v>
      </c>
    </row>
    <row r="661" ht="15.0" customHeight="1">
      <c r="A661" s="5">
        <v>2024.0</v>
      </c>
      <c r="B661" s="5" t="s">
        <v>143</v>
      </c>
      <c r="C661" s="5" t="s">
        <v>231</v>
      </c>
      <c r="D661" s="5" t="s">
        <v>232</v>
      </c>
      <c r="E661" s="5">
        <v>242.0</v>
      </c>
      <c r="F661" s="5">
        <v>337.0</v>
      </c>
      <c r="G661" s="5">
        <f t="shared" si="1"/>
        <v>579</v>
      </c>
      <c r="H661" s="10">
        <f t="shared" si="2"/>
        <v>0.4179620035</v>
      </c>
      <c r="I661" s="10">
        <v>-0.041</v>
      </c>
      <c r="J661" s="10">
        <v>0.6587</v>
      </c>
      <c r="K661" s="5">
        <f t="shared" si="3"/>
        <v>1</v>
      </c>
    </row>
    <row r="662" ht="15.0" customHeight="1">
      <c r="A662" s="5">
        <v>2018.0</v>
      </c>
      <c r="B662" s="5" t="s">
        <v>143</v>
      </c>
      <c r="C662" s="5" t="s">
        <v>231</v>
      </c>
      <c r="D662" s="5" t="s">
        <v>233</v>
      </c>
      <c r="E662" s="5">
        <v>132.0</v>
      </c>
      <c r="F662" s="5">
        <v>148.0</v>
      </c>
      <c r="G662" s="5">
        <f t="shared" si="1"/>
        <v>280</v>
      </c>
      <c r="H662" s="10">
        <f t="shared" si="2"/>
        <v>0.4714285714</v>
      </c>
      <c r="I662" s="10">
        <v>0.0527</v>
      </c>
      <c r="J662" s="10">
        <v>0.5499</v>
      </c>
      <c r="K662" s="5">
        <f t="shared" si="3"/>
        <v>0</v>
      </c>
    </row>
    <row r="663" ht="15.0" customHeight="1">
      <c r="A663" s="5">
        <v>2020.0</v>
      </c>
      <c r="B663" s="5" t="s">
        <v>143</v>
      </c>
      <c r="C663" s="5" t="s">
        <v>231</v>
      </c>
      <c r="D663" s="5" t="s">
        <v>233</v>
      </c>
      <c r="E663" s="5">
        <v>181.0</v>
      </c>
      <c r="F663" s="5">
        <v>287.0</v>
      </c>
      <c r="G663" s="5">
        <f t="shared" si="1"/>
        <v>468</v>
      </c>
      <c r="H663" s="10">
        <f t="shared" si="2"/>
        <v>0.3867521368</v>
      </c>
      <c r="I663" s="10">
        <v>-0.0522</v>
      </c>
      <c r="J663" s="10">
        <v>0.7635</v>
      </c>
      <c r="K663" s="5">
        <f t="shared" si="3"/>
        <v>1</v>
      </c>
    </row>
    <row r="664" ht="15.0" customHeight="1">
      <c r="A664" s="5">
        <v>2022.0</v>
      </c>
      <c r="B664" s="5" t="s">
        <v>143</v>
      </c>
      <c r="C664" s="5" t="s">
        <v>231</v>
      </c>
      <c r="D664" s="5" t="s">
        <v>233</v>
      </c>
      <c r="E664" s="5">
        <v>134.0</v>
      </c>
      <c r="F664" s="5">
        <v>168.0</v>
      </c>
      <c r="G664" s="5">
        <f t="shared" si="1"/>
        <v>302</v>
      </c>
      <c r="H664" s="10">
        <f t="shared" si="2"/>
        <v>0.4437086093</v>
      </c>
      <c r="I664" s="10">
        <v>-0.0539</v>
      </c>
      <c r="J664" s="10">
        <v>0.5084</v>
      </c>
      <c r="K664" s="5">
        <f t="shared" si="3"/>
        <v>0</v>
      </c>
    </row>
    <row r="665" ht="15.0" customHeight="1">
      <c r="A665" s="5">
        <v>2024.0</v>
      </c>
      <c r="B665" s="5" t="s">
        <v>143</v>
      </c>
      <c r="C665" s="5" t="s">
        <v>231</v>
      </c>
      <c r="D665" s="5" t="s">
        <v>233</v>
      </c>
      <c r="E665" s="5">
        <v>187.0</v>
      </c>
      <c r="F665" s="5">
        <v>292.0</v>
      </c>
      <c r="G665" s="5">
        <f t="shared" si="1"/>
        <v>479</v>
      </c>
      <c r="H665" s="10">
        <f t="shared" si="2"/>
        <v>0.3903966597</v>
      </c>
      <c r="I665" s="10">
        <v>-0.0888</v>
      </c>
      <c r="J665" s="10">
        <v>0.7461</v>
      </c>
      <c r="K665" s="5">
        <f t="shared" si="3"/>
        <v>1</v>
      </c>
    </row>
    <row r="666" ht="15.0" customHeight="1">
      <c r="A666" s="5">
        <v>2018.0</v>
      </c>
      <c r="B666" s="5" t="s">
        <v>143</v>
      </c>
      <c r="C666" s="5" t="s">
        <v>231</v>
      </c>
      <c r="D666" s="5" t="s">
        <v>234</v>
      </c>
      <c r="E666" s="5">
        <v>249.0</v>
      </c>
      <c r="F666" s="5">
        <v>302.0</v>
      </c>
      <c r="G666" s="5">
        <f t="shared" si="1"/>
        <v>551</v>
      </c>
      <c r="H666" s="10">
        <f t="shared" si="2"/>
        <v>0.4519056261</v>
      </c>
      <c r="I666" s="10">
        <v>-0.046</v>
      </c>
      <c r="J666" s="10">
        <v>0.573</v>
      </c>
      <c r="K666" s="5">
        <f t="shared" si="3"/>
        <v>0</v>
      </c>
    </row>
    <row r="667" ht="15.0" customHeight="1">
      <c r="A667" s="5">
        <v>2020.0</v>
      </c>
      <c r="B667" s="5" t="s">
        <v>143</v>
      </c>
      <c r="C667" s="5" t="s">
        <v>231</v>
      </c>
      <c r="D667" s="5" t="s">
        <v>234</v>
      </c>
      <c r="E667" s="5">
        <v>349.0</v>
      </c>
      <c r="F667" s="5">
        <v>527.0</v>
      </c>
      <c r="G667" s="5">
        <f t="shared" si="1"/>
        <v>876</v>
      </c>
      <c r="H667" s="10">
        <f t="shared" si="2"/>
        <v>0.3984018265</v>
      </c>
      <c r="I667" s="10">
        <v>-0.1058</v>
      </c>
      <c r="J667" s="10">
        <v>0.792</v>
      </c>
      <c r="K667" s="5">
        <f t="shared" si="3"/>
        <v>1</v>
      </c>
    </row>
    <row r="668" ht="15.0" customHeight="1">
      <c r="A668" s="5">
        <v>2022.0</v>
      </c>
      <c r="B668" s="5" t="s">
        <v>143</v>
      </c>
      <c r="C668" s="5" t="s">
        <v>231</v>
      </c>
      <c r="D668" s="5" t="s">
        <v>234</v>
      </c>
      <c r="E668" s="5">
        <v>291.0</v>
      </c>
      <c r="F668" s="5">
        <v>371.0</v>
      </c>
      <c r="G668" s="5">
        <f t="shared" si="1"/>
        <v>662</v>
      </c>
      <c r="H668" s="10">
        <f t="shared" si="2"/>
        <v>0.4395770393</v>
      </c>
      <c r="I668" s="10">
        <v>-0.0897</v>
      </c>
      <c r="J668" s="10">
        <v>0.5879</v>
      </c>
      <c r="K668" s="5">
        <f t="shared" si="3"/>
        <v>0</v>
      </c>
    </row>
    <row r="669" ht="15.0" customHeight="1">
      <c r="A669" s="5">
        <v>2024.0</v>
      </c>
      <c r="B669" s="5" t="s">
        <v>143</v>
      </c>
      <c r="C669" s="5" t="s">
        <v>231</v>
      </c>
      <c r="D669" s="5" t="s">
        <v>234</v>
      </c>
      <c r="E669" s="5">
        <v>371.0</v>
      </c>
      <c r="F669" s="5">
        <v>527.0</v>
      </c>
      <c r="G669" s="5">
        <f t="shared" si="1"/>
        <v>898</v>
      </c>
      <c r="H669" s="10">
        <f t="shared" si="2"/>
        <v>0.4131403118</v>
      </c>
      <c r="I669" s="10">
        <v>-0.1253</v>
      </c>
      <c r="J669" s="10">
        <v>0.7708</v>
      </c>
      <c r="K669" s="5">
        <f t="shared" si="3"/>
        <v>1</v>
      </c>
    </row>
    <row r="670" ht="15.0" customHeight="1">
      <c r="A670" s="5">
        <v>2018.0</v>
      </c>
      <c r="B670" s="5" t="s">
        <v>143</v>
      </c>
      <c r="C670" s="5" t="s">
        <v>235</v>
      </c>
      <c r="D670" s="5" t="s">
        <v>236</v>
      </c>
      <c r="E670" s="5">
        <v>698.0</v>
      </c>
      <c r="F670" s="5">
        <v>577.0</v>
      </c>
      <c r="G670" s="5">
        <f t="shared" si="1"/>
        <v>1275</v>
      </c>
      <c r="H670" s="10">
        <f t="shared" si="2"/>
        <v>0.5474509804</v>
      </c>
      <c r="I670" s="10">
        <v>0.0858</v>
      </c>
      <c r="J670" s="10">
        <v>0.6206</v>
      </c>
      <c r="K670" s="5">
        <f t="shared" si="3"/>
        <v>0</v>
      </c>
    </row>
    <row r="671" ht="15.0" customHeight="1">
      <c r="A671" s="5">
        <v>2020.0</v>
      </c>
      <c r="B671" s="5" t="s">
        <v>143</v>
      </c>
      <c r="C671" s="5" t="s">
        <v>235</v>
      </c>
      <c r="D671" s="5" t="s">
        <v>236</v>
      </c>
      <c r="E671" s="5">
        <v>897.0</v>
      </c>
      <c r="F671" s="5">
        <v>943.0</v>
      </c>
      <c r="G671" s="5">
        <f t="shared" si="1"/>
        <v>1840</v>
      </c>
      <c r="H671" s="10">
        <f t="shared" si="2"/>
        <v>0.4875</v>
      </c>
      <c r="I671" s="10">
        <v>0.0673</v>
      </c>
      <c r="J671" s="10">
        <v>0.8203</v>
      </c>
      <c r="K671" s="5">
        <f t="shared" si="3"/>
        <v>1</v>
      </c>
    </row>
    <row r="672" ht="15.0" customHeight="1">
      <c r="A672" s="5">
        <v>2022.0</v>
      </c>
      <c r="B672" s="5" t="s">
        <v>143</v>
      </c>
      <c r="C672" s="5" t="s">
        <v>235</v>
      </c>
      <c r="D672" s="5" t="s">
        <v>236</v>
      </c>
      <c r="E672" s="5">
        <v>745.0</v>
      </c>
      <c r="F672" s="5">
        <v>675.0</v>
      </c>
      <c r="G672" s="5">
        <f t="shared" si="1"/>
        <v>1420</v>
      </c>
      <c r="H672" s="10">
        <f t="shared" si="2"/>
        <v>0.5246478873</v>
      </c>
      <c r="I672" s="10">
        <v>0.0506</v>
      </c>
      <c r="J672" s="10">
        <v>0.6362</v>
      </c>
      <c r="K672" s="5">
        <f t="shared" si="3"/>
        <v>0</v>
      </c>
    </row>
    <row r="673" ht="15.0" customHeight="1">
      <c r="A673" s="5">
        <v>2024.0</v>
      </c>
      <c r="B673" s="5" t="s">
        <v>143</v>
      </c>
      <c r="C673" s="5" t="s">
        <v>235</v>
      </c>
      <c r="D673" s="5" t="s">
        <v>236</v>
      </c>
      <c r="E673" s="5">
        <v>912.0</v>
      </c>
      <c r="F673" s="5">
        <v>964.0</v>
      </c>
      <c r="G673" s="5">
        <f t="shared" si="1"/>
        <v>1876</v>
      </c>
      <c r="H673" s="10">
        <f t="shared" si="2"/>
        <v>0.4861407249</v>
      </c>
      <c r="I673" s="10">
        <v>0.0216</v>
      </c>
      <c r="J673" s="10">
        <v>0.8272</v>
      </c>
      <c r="K673" s="5">
        <f t="shared" si="3"/>
        <v>1</v>
      </c>
    </row>
    <row r="674" ht="15.0" customHeight="1">
      <c r="A674" s="5">
        <v>2018.0</v>
      </c>
      <c r="B674" s="5" t="s">
        <v>143</v>
      </c>
      <c r="C674" s="5" t="s">
        <v>235</v>
      </c>
      <c r="D674" s="5" t="s">
        <v>237</v>
      </c>
      <c r="E674" s="5">
        <v>362.0</v>
      </c>
      <c r="F674" s="5">
        <v>257.0</v>
      </c>
      <c r="G674" s="5">
        <f t="shared" si="1"/>
        <v>619</v>
      </c>
      <c r="H674" s="10">
        <f t="shared" si="2"/>
        <v>0.5848142165</v>
      </c>
      <c r="I674" s="10">
        <v>0.1234</v>
      </c>
      <c r="J674" s="10">
        <v>0.5775</v>
      </c>
      <c r="K674" s="5">
        <f t="shared" si="3"/>
        <v>0</v>
      </c>
    </row>
    <row r="675" ht="15.0" customHeight="1">
      <c r="A675" s="5">
        <v>2020.0</v>
      </c>
      <c r="B675" s="5" t="s">
        <v>143</v>
      </c>
      <c r="C675" s="5" t="s">
        <v>235</v>
      </c>
      <c r="D675" s="5" t="s">
        <v>237</v>
      </c>
      <c r="E675" s="5">
        <v>462.0</v>
      </c>
      <c r="F675" s="5">
        <v>438.0</v>
      </c>
      <c r="G675" s="5">
        <f t="shared" si="1"/>
        <v>900</v>
      </c>
      <c r="H675" s="10">
        <f t="shared" si="2"/>
        <v>0.5133333333</v>
      </c>
      <c r="I675" s="10">
        <v>0.082</v>
      </c>
      <c r="J675" s="10">
        <v>0.7765</v>
      </c>
      <c r="K675" s="5">
        <f t="shared" si="3"/>
        <v>1</v>
      </c>
    </row>
    <row r="676" ht="15.0" customHeight="1">
      <c r="A676" s="5">
        <v>2022.0</v>
      </c>
      <c r="B676" s="5" t="s">
        <v>143</v>
      </c>
      <c r="C676" s="5" t="s">
        <v>235</v>
      </c>
      <c r="D676" s="5" t="s">
        <v>237</v>
      </c>
      <c r="E676" s="5">
        <v>346.0</v>
      </c>
      <c r="F676" s="5">
        <v>303.0</v>
      </c>
      <c r="G676" s="5">
        <f t="shared" si="1"/>
        <v>649</v>
      </c>
      <c r="H676" s="10">
        <f t="shared" si="2"/>
        <v>0.5331278891</v>
      </c>
      <c r="I676" s="10">
        <v>0.0926</v>
      </c>
      <c r="J676" s="10">
        <v>0.5668</v>
      </c>
      <c r="K676" s="5">
        <f t="shared" si="3"/>
        <v>0</v>
      </c>
    </row>
    <row r="677" ht="15.0" customHeight="1">
      <c r="A677" s="5">
        <v>2024.0</v>
      </c>
      <c r="B677" s="5" t="s">
        <v>143</v>
      </c>
      <c r="C677" s="5" t="s">
        <v>235</v>
      </c>
      <c r="D677" s="5" t="s">
        <v>237</v>
      </c>
      <c r="E677" s="5">
        <v>449.0</v>
      </c>
      <c r="F677" s="5">
        <v>448.0</v>
      </c>
      <c r="G677" s="5">
        <f t="shared" si="1"/>
        <v>897</v>
      </c>
      <c r="H677" s="10">
        <f t="shared" si="2"/>
        <v>0.5005574136</v>
      </c>
      <c r="I677" s="10">
        <v>0.049</v>
      </c>
      <c r="J677" s="10">
        <v>0.7456</v>
      </c>
      <c r="K677" s="5">
        <f t="shared" si="3"/>
        <v>1</v>
      </c>
    </row>
    <row r="678" ht="15.0" customHeight="1">
      <c r="A678" s="5">
        <v>2018.0</v>
      </c>
      <c r="B678" s="5" t="s">
        <v>143</v>
      </c>
      <c r="C678" s="5" t="s">
        <v>235</v>
      </c>
      <c r="D678" s="5" t="s">
        <v>238</v>
      </c>
      <c r="E678" s="5">
        <v>743.0</v>
      </c>
      <c r="F678" s="5">
        <v>566.0</v>
      </c>
      <c r="G678" s="5">
        <f t="shared" si="1"/>
        <v>1309</v>
      </c>
      <c r="H678" s="10">
        <f t="shared" si="2"/>
        <v>0.5676088617</v>
      </c>
      <c r="I678" s="10">
        <v>0.0688</v>
      </c>
      <c r="J678" s="10">
        <v>0.6453</v>
      </c>
      <c r="K678" s="5">
        <f t="shared" si="3"/>
        <v>0</v>
      </c>
    </row>
    <row r="679" ht="15.0" customHeight="1">
      <c r="A679" s="5">
        <v>2020.0</v>
      </c>
      <c r="B679" s="5" t="s">
        <v>143</v>
      </c>
      <c r="C679" s="5" t="s">
        <v>235</v>
      </c>
      <c r="D679" s="5" t="s">
        <v>238</v>
      </c>
      <c r="E679" s="5">
        <v>1111.0</v>
      </c>
      <c r="F679" s="5">
        <v>853.0</v>
      </c>
      <c r="G679" s="5">
        <f t="shared" si="1"/>
        <v>1964</v>
      </c>
      <c r="H679" s="10">
        <f t="shared" si="2"/>
        <v>0.5656822811</v>
      </c>
      <c r="I679" s="10">
        <v>0.0907</v>
      </c>
      <c r="J679" s="10">
        <v>0.8099</v>
      </c>
      <c r="K679" s="5">
        <f t="shared" si="3"/>
        <v>1</v>
      </c>
    </row>
    <row r="680" ht="15.0" customHeight="1">
      <c r="A680" s="5">
        <v>2022.0</v>
      </c>
      <c r="B680" s="5" t="s">
        <v>143</v>
      </c>
      <c r="C680" s="5" t="s">
        <v>235</v>
      </c>
      <c r="D680" s="5" t="s">
        <v>238</v>
      </c>
      <c r="E680" s="5">
        <v>935.0</v>
      </c>
      <c r="F680" s="5">
        <v>631.0</v>
      </c>
      <c r="G680" s="5">
        <f t="shared" si="1"/>
        <v>1566</v>
      </c>
      <c r="H680" s="10">
        <f t="shared" si="2"/>
        <v>0.5970625798</v>
      </c>
      <c r="I680" s="10">
        <v>0.1206</v>
      </c>
      <c r="J680" s="10">
        <v>0.6254</v>
      </c>
      <c r="K680" s="5">
        <f t="shared" si="3"/>
        <v>0</v>
      </c>
    </row>
    <row r="681" ht="15.0" customHeight="1">
      <c r="A681" s="5">
        <v>2024.0</v>
      </c>
      <c r="B681" s="5" t="s">
        <v>143</v>
      </c>
      <c r="C681" s="5" t="s">
        <v>235</v>
      </c>
      <c r="D681" s="5" t="s">
        <v>238</v>
      </c>
      <c r="E681" s="5">
        <v>1161.0</v>
      </c>
      <c r="F681" s="5">
        <v>915.0</v>
      </c>
      <c r="G681" s="5">
        <f t="shared" si="1"/>
        <v>2076</v>
      </c>
      <c r="H681" s="10">
        <f t="shared" si="2"/>
        <v>0.5592485549</v>
      </c>
      <c r="I681" s="10">
        <v>0.1001</v>
      </c>
      <c r="J681" s="10">
        <v>0.7723</v>
      </c>
      <c r="K681" s="5">
        <f t="shared" si="3"/>
        <v>1</v>
      </c>
    </row>
    <row r="682" ht="15.0" customHeight="1">
      <c r="A682" s="5">
        <v>2018.0</v>
      </c>
      <c r="B682" s="5" t="s">
        <v>143</v>
      </c>
      <c r="C682" s="5" t="s">
        <v>235</v>
      </c>
      <c r="D682" s="5" t="s">
        <v>239</v>
      </c>
      <c r="E682" s="5">
        <v>428.0</v>
      </c>
      <c r="F682" s="5">
        <v>401.0</v>
      </c>
      <c r="G682" s="5">
        <f t="shared" si="1"/>
        <v>829</v>
      </c>
      <c r="H682" s="10">
        <f t="shared" si="2"/>
        <v>0.5162846803</v>
      </c>
      <c r="I682" s="10">
        <v>0.026</v>
      </c>
      <c r="J682" s="10">
        <v>0.6714</v>
      </c>
      <c r="K682" s="5">
        <f t="shared" si="3"/>
        <v>0</v>
      </c>
    </row>
    <row r="683" ht="15.0" customHeight="1">
      <c r="A683" s="5">
        <v>2020.0</v>
      </c>
      <c r="B683" s="5" t="s">
        <v>143</v>
      </c>
      <c r="C683" s="5" t="s">
        <v>235</v>
      </c>
      <c r="D683" s="5" t="s">
        <v>239</v>
      </c>
      <c r="E683" s="5">
        <v>532.0</v>
      </c>
      <c r="F683" s="5">
        <v>572.0</v>
      </c>
      <c r="G683" s="5">
        <f t="shared" si="1"/>
        <v>1104</v>
      </c>
      <c r="H683" s="10">
        <f t="shared" si="2"/>
        <v>0.481884058</v>
      </c>
      <c r="I683" s="10">
        <v>0.0135</v>
      </c>
      <c r="J683" s="10">
        <v>0.8307</v>
      </c>
      <c r="K683" s="5">
        <f t="shared" si="3"/>
        <v>1</v>
      </c>
    </row>
    <row r="684" ht="15.0" customHeight="1">
      <c r="A684" s="5">
        <v>2022.0</v>
      </c>
      <c r="B684" s="5" t="s">
        <v>143</v>
      </c>
      <c r="C684" s="5" t="s">
        <v>235</v>
      </c>
      <c r="D684" s="5" t="s">
        <v>239</v>
      </c>
      <c r="E684" s="5">
        <v>424.0</v>
      </c>
      <c r="F684" s="5">
        <v>437.0</v>
      </c>
      <c r="G684" s="5">
        <f t="shared" si="1"/>
        <v>861</v>
      </c>
      <c r="H684" s="10">
        <f t="shared" si="2"/>
        <v>0.4924506388</v>
      </c>
      <c r="I684" s="10">
        <v>-0.0241</v>
      </c>
      <c r="J684" s="10">
        <v>0.6695</v>
      </c>
      <c r="K684" s="5">
        <f t="shared" si="3"/>
        <v>0</v>
      </c>
    </row>
    <row r="685" ht="15.0" customHeight="1">
      <c r="A685" s="5">
        <v>2024.0</v>
      </c>
      <c r="B685" s="5" t="s">
        <v>143</v>
      </c>
      <c r="C685" s="5" t="s">
        <v>235</v>
      </c>
      <c r="D685" s="5" t="s">
        <v>239</v>
      </c>
      <c r="E685" s="5">
        <v>534.0</v>
      </c>
      <c r="F685" s="5">
        <v>577.0</v>
      </c>
      <c r="G685" s="5">
        <f t="shared" si="1"/>
        <v>1111</v>
      </c>
      <c r="H685" s="10">
        <f t="shared" si="2"/>
        <v>0.4806480648</v>
      </c>
      <c r="I685" s="10">
        <v>-0.0302</v>
      </c>
      <c r="J685" s="10">
        <v>0.8385</v>
      </c>
      <c r="K685" s="5">
        <f t="shared" si="3"/>
        <v>1</v>
      </c>
    </row>
    <row r="686" ht="15.0" customHeight="1">
      <c r="A686" s="5">
        <v>2018.0</v>
      </c>
      <c r="B686" s="5" t="s">
        <v>143</v>
      </c>
      <c r="C686" s="5" t="s">
        <v>235</v>
      </c>
      <c r="D686" s="5" t="s">
        <v>240</v>
      </c>
      <c r="E686" s="5">
        <v>821.0</v>
      </c>
      <c r="F686" s="5">
        <v>513.0</v>
      </c>
      <c r="G686" s="5">
        <f t="shared" si="1"/>
        <v>1334</v>
      </c>
      <c r="H686" s="10">
        <f t="shared" si="2"/>
        <v>0.6154422789</v>
      </c>
      <c r="I686" s="10">
        <v>0.0449</v>
      </c>
      <c r="J686" s="10">
        <v>0.6425</v>
      </c>
      <c r="K686" s="5">
        <f t="shared" si="3"/>
        <v>0</v>
      </c>
    </row>
    <row r="687" ht="15.0" customHeight="1">
      <c r="A687" s="5">
        <v>2020.0</v>
      </c>
      <c r="B687" s="5" t="s">
        <v>143</v>
      </c>
      <c r="C687" s="5" t="s">
        <v>235</v>
      </c>
      <c r="D687" s="5" t="s">
        <v>240</v>
      </c>
      <c r="E687" s="5">
        <v>1074.0</v>
      </c>
      <c r="F687" s="5">
        <v>761.0</v>
      </c>
      <c r="G687" s="5">
        <f t="shared" si="1"/>
        <v>1835</v>
      </c>
      <c r="H687" s="10">
        <f t="shared" si="2"/>
        <v>0.5852861035</v>
      </c>
      <c r="I687" s="10">
        <v>0.0895</v>
      </c>
      <c r="J687" s="10">
        <v>0.8048</v>
      </c>
      <c r="K687" s="5">
        <f t="shared" si="3"/>
        <v>1</v>
      </c>
    </row>
    <row r="688" ht="15.0" customHeight="1">
      <c r="A688" s="5">
        <v>2022.0</v>
      </c>
      <c r="B688" s="5" t="s">
        <v>143</v>
      </c>
      <c r="C688" s="5" t="s">
        <v>235</v>
      </c>
      <c r="D688" s="5" t="s">
        <v>240</v>
      </c>
      <c r="E688" s="5">
        <v>872.0</v>
      </c>
      <c r="F688" s="5">
        <v>544.0</v>
      </c>
      <c r="G688" s="5">
        <f t="shared" si="1"/>
        <v>1416</v>
      </c>
      <c r="H688" s="10">
        <f t="shared" si="2"/>
        <v>0.615819209</v>
      </c>
      <c r="I688" s="10">
        <v>0.0946</v>
      </c>
      <c r="J688" s="10">
        <v>0.6504</v>
      </c>
      <c r="K688" s="5">
        <f t="shared" si="3"/>
        <v>0</v>
      </c>
    </row>
    <row r="689" ht="15.0" customHeight="1">
      <c r="A689" s="5">
        <v>2024.0</v>
      </c>
      <c r="B689" s="5" t="s">
        <v>143</v>
      </c>
      <c r="C689" s="5" t="s">
        <v>235</v>
      </c>
      <c r="D689" s="5" t="s">
        <v>240</v>
      </c>
      <c r="E689" s="5">
        <v>1123.0</v>
      </c>
      <c r="F689" s="5">
        <v>741.0</v>
      </c>
      <c r="G689" s="5">
        <f t="shared" si="1"/>
        <v>1864</v>
      </c>
      <c r="H689" s="10">
        <f t="shared" si="2"/>
        <v>0.6024678112</v>
      </c>
      <c r="I689" s="10">
        <v>0.101</v>
      </c>
      <c r="J689" s="10">
        <v>0.8147</v>
      </c>
      <c r="K689" s="5">
        <f t="shared" si="3"/>
        <v>1</v>
      </c>
    </row>
    <row r="690" ht="15.0" customHeight="1">
      <c r="A690" s="5">
        <v>2018.0</v>
      </c>
      <c r="B690" s="5" t="s">
        <v>143</v>
      </c>
      <c r="C690" s="5" t="s">
        <v>235</v>
      </c>
      <c r="D690" s="5" t="s">
        <v>241</v>
      </c>
      <c r="E690" s="5">
        <v>768.0</v>
      </c>
      <c r="F690" s="5">
        <v>482.0</v>
      </c>
      <c r="G690" s="5">
        <f t="shared" si="1"/>
        <v>1250</v>
      </c>
      <c r="H690" s="10">
        <f t="shared" si="2"/>
        <v>0.6144</v>
      </c>
      <c r="I690" s="10">
        <v>0.0663</v>
      </c>
      <c r="J690" s="10">
        <v>0.7025</v>
      </c>
      <c r="K690" s="5">
        <f t="shared" si="3"/>
        <v>0</v>
      </c>
    </row>
    <row r="691" ht="15.0" customHeight="1">
      <c r="A691" s="5">
        <v>2020.0</v>
      </c>
      <c r="B691" s="5" t="s">
        <v>143</v>
      </c>
      <c r="C691" s="5" t="s">
        <v>235</v>
      </c>
      <c r="D691" s="5" t="s">
        <v>241</v>
      </c>
      <c r="E691" s="5">
        <v>961.0</v>
      </c>
      <c r="F691" s="5">
        <v>649.0</v>
      </c>
      <c r="G691" s="5">
        <f t="shared" si="1"/>
        <v>1610</v>
      </c>
      <c r="H691" s="10">
        <f t="shared" si="2"/>
        <v>0.5968944099</v>
      </c>
      <c r="I691" s="10">
        <v>0.1152</v>
      </c>
      <c r="J691" s="10">
        <v>0.8244</v>
      </c>
      <c r="K691" s="5">
        <f t="shared" si="3"/>
        <v>1</v>
      </c>
    </row>
    <row r="692" ht="15.0" customHeight="1">
      <c r="A692" s="5">
        <v>2022.0</v>
      </c>
      <c r="B692" s="5" t="s">
        <v>143</v>
      </c>
      <c r="C692" s="5" t="s">
        <v>235</v>
      </c>
      <c r="D692" s="5" t="s">
        <v>241</v>
      </c>
      <c r="E692" s="5">
        <v>891.0</v>
      </c>
      <c r="F692" s="5">
        <v>525.0</v>
      </c>
      <c r="G692" s="5">
        <f t="shared" si="1"/>
        <v>1416</v>
      </c>
      <c r="H692" s="10">
        <f t="shared" si="2"/>
        <v>0.6292372881</v>
      </c>
      <c r="I692" s="10">
        <v>0.1428</v>
      </c>
      <c r="J692" s="10">
        <v>0.7144</v>
      </c>
      <c r="K692" s="5">
        <f t="shared" si="3"/>
        <v>0</v>
      </c>
    </row>
    <row r="693" ht="15.0" customHeight="1">
      <c r="A693" s="5">
        <v>2024.0</v>
      </c>
      <c r="B693" s="5" t="s">
        <v>143</v>
      </c>
      <c r="C693" s="5" t="s">
        <v>235</v>
      </c>
      <c r="D693" s="5" t="s">
        <v>241</v>
      </c>
      <c r="E693" s="5">
        <v>1054.0</v>
      </c>
      <c r="F693" s="5">
        <v>706.0</v>
      </c>
      <c r="G693" s="5">
        <f t="shared" si="1"/>
        <v>1760</v>
      </c>
      <c r="H693" s="10">
        <f t="shared" si="2"/>
        <v>0.5988636364</v>
      </c>
      <c r="I693" s="10">
        <v>0.1243</v>
      </c>
      <c r="J693" s="10">
        <v>0.8353</v>
      </c>
      <c r="K693" s="5">
        <f t="shared" si="3"/>
        <v>1</v>
      </c>
    </row>
    <row r="694" ht="15.0" customHeight="1">
      <c r="A694" s="5">
        <v>2018.0</v>
      </c>
      <c r="B694" s="5" t="s">
        <v>143</v>
      </c>
      <c r="C694" s="5" t="s">
        <v>235</v>
      </c>
      <c r="D694" s="5" t="s">
        <v>242</v>
      </c>
      <c r="E694" s="5">
        <v>355.0</v>
      </c>
      <c r="F694" s="5">
        <v>298.0</v>
      </c>
      <c r="G694" s="5">
        <f t="shared" si="1"/>
        <v>653</v>
      </c>
      <c r="H694" s="10">
        <f t="shared" si="2"/>
        <v>0.5436447167</v>
      </c>
      <c r="I694" s="10">
        <v>0.073</v>
      </c>
      <c r="J694" s="10">
        <v>0.674</v>
      </c>
      <c r="K694" s="5">
        <f t="shared" si="3"/>
        <v>0</v>
      </c>
    </row>
    <row r="695" ht="15.0" customHeight="1">
      <c r="A695" s="5">
        <v>2020.0</v>
      </c>
      <c r="B695" s="5" t="s">
        <v>143</v>
      </c>
      <c r="C695" s="5" t="s">
        <v>235</v>
      </c>
      <c r="D695" s="5" t="s">
        <v>242</v>
      </c>
      <c r="E695" s="5">
        <v>462.0</v>
      </c>
      <c r="F695" s="5">
        <v>425.0</v>
      </c>
      <c r="G695" s="5">
        <f t="shared" si="1"/>
        <v>887</v>
      </c>
      <c r="H695" s="10">
        <f t="shared" si="2"/>
        <v>0.5208568207</v>
      </c>
      <c r="I695" s="10">
        <v>0.0731</v>
      </c>
      <c r="J695" s="10">
        <v>0.8313</v>
      </c>
      <c r="K695" s="5">
        <f t="shared" si="3"/>
        <v>1</v>
      </c>
    </row>
    <row r="696" ht="15.0" customHeight="1">
      <c r="A696" s="5">
        <v>2022.0</v>
      </c>
      <c r="B696" s="5" t="s">
        <v>143</v>
      </c>
      <c r="C696" s="5" t="s">
        <v>235</v>
      </c>
      <c r="D696" s="5" t="s">
        <v>242</v>
      </c>
      <c r="E696" s="5">
        <v>424.0</v>
      </c>
      <c r="F696" s="5">
        <v>334.0</v>
      </c>
      <c r="G696" s="5">
        <f t="shared" si="1"/>
        <v>758</v>
      </c>
      <c r="H696" s="10">
        <f t="shared" si="2"/>
        <v>0.5593667546</v>
      </c>
      <c r="I696" s="10">
        <v>0.0947</v>
      </c>
      <c r="J696" s="10">
        <v>0.7038</v>
      </c>
      <c r="K696" s="5">
        <f t="shared" si="3"/>
        <v>0</v>
      </c>
    </row>
    <row r="697" ht="15.0" customHeight="1">
      <c r="A697" s="5">
        <v>2024.0</v>
      </c>
      <c r="B697" s="5" t="s">
        <v>143</v>
      </c>
      <c r="C697" s="5" t="s">
        <v>235</v>
      </c>
      <c r="D697" s="5" t="s">
        <v>242</v>
      </c>
      <c r="E697" s="5">
        <v>469.0</v>
      </c>
      <c r="F697" s="5">
        <v>468.0</v>
      </c>
      <c r="G697" s="5">
        <f t="shared" si="1"/>
        <v>937</v>
      </c>
      <c r="H697" s="10">
        <f t="shared" si="2"/>
        <v>0.5005336179</v>
      </c>
      <c r="I697" s="10">
        <v>0.0404</v>
      </c>
      <c r="J697" s="10">
        <v>0.8404</v>
      </c>
      <c r="K697" s="5">
        <f t="shared" si="3"/>
        <v>1</v>
      </c>
    </row>
    <row r="698" ht="15.0" customHeight="1">
      <c r="A698" s="5">
        <v>2018.0</v>
      </c>
      <c r="B698" s="5" t="s">
        <v>143</v>
      </c>
      <c r="C698" s="5" t="s">
        <v>235</v>
      </c>
      <c r="D698" s="5" t="s">
        <v>243</v>
      </c>
      <c r="E698" s="5">
        <v>834.0</v>
      </c>
      <c r="F698" s="5">
        <v>745.0</v>
      </c>
      <c r="G698" s="5">
        <f t="shared" si="1"/>
        <v>1579</v>
      </c>
      <c r="H698" s="10">
        <f t="shared" si="2"/>
        <v>0.5281823939</v>
      </c>
      <c r="I698" s="10">
        <v>-0.0121</v>
      </c>
      <c r="J698" s="10">
        <v>0.6152</v>
      </c>
      <c r="K698" s="5">
        <f t="shared" si="3"/>
        <v>0</v>
      </c>
    </row>
    <row r="699" ht="15.0" customHeight="1">
      <c r="A699" s="5">
        <v>2020.0</v>
      </c>
      <c r="B699" s="5" t="s">
        <v>143</v>
      </c>
      <c r="C699" s="5" t="s">
        <v>235</v>
      </c>
      <c r="D699" s="5" t="s">
        <v>243</v>
      </c>
      <c r="E699" s="5">
        <v>1169.0</v>
      </c>
      <c r="F699" s="5">
        <v>1215.0</v>
      </c>
      <c r="G699" s="5">
        <f t="shared" si="1"/>
        <v>2384</v>
      </c>
      <c r="H699" s="10">
        <f t="shared" si="2"/>
        <v>0.490352349</v>
      </c>
      <c r="I699" s="10">
        <v>-0.0098</v>
      </c>
      <c r="J699" s="10">
        <v>0.8049</v>
      </c>
      <c r="K699" s="5">
        <f t="shared" si="3"/>
        <v>1</v>
      </c>
    </row>
    <row r="700" ht="15.0" customHeight="1">
      <c r="A700" s="5">
        <v>2022.0</v>
      </c>
      <c r="B700" s="5" t="s">
        <v>143</v>
      </c>
      <c r="C700" s="5" t="s">
        <v>235</v>
      </c>
      <c r="D700" s="5" t="s">
        <v>243</v>
      </c>
      <c r="E700" s="5">
        <v>1062.0</v>
      </c>
      <c r="F700" s="5">
        <v>971.0</v>
      </c>
      <c r="G700" s="5">
        <f t="shared" si="1"/>
        <v>2033</v>
      </c>
      <c r="H700" s="10">
        <f t="shared" si="2"/>
        <v>0.5223807182</v>
      </c>
      <c r="I700" s="10">
        <v>0.0078</v>
      </c>
      <c r="J700" s="10">
        <v>0.6588</v>
      </c>
      <c r="K700" s="5">
        <f t="shared" si="3"/>
        <v>0</v>
      </c>
    </row>
    <row r="701" ht="15.0" customHeight="1">
      <c r="A701" s="5">
        <v>2024.0</v>
      </c>
      <c r="B701" s="5" t="s">
        <v>143</v>
      </c>
      <c r="C701" s="5" t="s">
        <v>235</v>
      </c>
      <c r="D701" s="5" t="s">
        <v>243</v>
      </c>
      <c r="E701" s="5">
        <v>1317.0</v>
      </c>
      <c r="F701" s="5">
        <v>1291.0</v>
      </c>
      <c r="G701" s="5">
        <f t="shared" si="1"/>
        <v>2608</v>
      </c>
      <c r="H701" s="10">
        <f t="shared" si="2"/>
        <v>0.5049846626</v>
      </c>
      <c r="I701" s="10">
        <v>-0.0117</v>
      </c>
      <c r="J701" s="10">
        <v>0.8015</v>
      </c>
      <c r="K701" s="5">
        <f t="shared" si="3"/>
        <v>1</v>
      </c>
    </row>
    <row r="702" ht="15.0" customHeight="1">
      <c r="A702" s="5">
        <v>2018.0</v>
      </c>
      <c r="B702" s="5" t="s">
        <v>143</v>
      </c>
      <c r="C702" s="5" t="s">
        <v>244</v>
      </c>
      <c r="D702" s="5" t="s">
        <v>245</v>
      </c>
      <c r="E702" s="5">
        <v>725.0</v>
      </c>
      <c r="F702" s="5">
        <v>672.0</v>
      </c>
      <c r="G702" s="5">
        <f t="shared" si="1"/>
        <v>1397</v>
      </c>
      <c r="H702" s="10">
        <f t="shared" si="2"/>
        <v>0.5189692198</v>
      </c>
      <c r="I702" s="10">
        <v>-0.0678</v>
      </c>
      <c r="J702" s="10">
        <v>0.6454</v>
      </c>
      <c r="K702" s="5">
        <f t="shared" si="3"/>
        <v>0</v>
      </c>
    </row>
    <row r="703" ht="15.0" customHeight="1">
      <c r="A703" s="5">
        <v>2020.0</v>
      </c>
      <c r="B703" s="5" t="s">
        <v>143</v>
      </c>
      <c r="C703" s="5" t="s">
        <v>244</v>
      </c>
      <c r="D703" s="5" t="s">
        <v>245</v>
      </c>
      <c r="E703" s="5">
        <v>985.0</v>
      </c>
      <c r="F703" s="5">
        <v>971.0</v>
      </c>
      <c r="G703" s="5">
        <f t="shared" si="1"/>
        <v>1956</v>
      </c>
      <c r="H703" s="10">
        <f t="shared" si="2"/>
        <v>0.5035787321</v>
      </c>
      <c r="I703" s="10">
        <v>-0.0249</v>
      </c>
      <c r="J703" s="10">
        <v>0.8109</v>
      </c>
      <c r="K703" s="5">
        <f t="shared" si="3"/>
        <v>1</v>
      </c>
    </row>
    <row r="704" ht="15.0" customHeight="1">
      <c r="A704" s="5">
        <v>2022.0</v>
      </c>
      <c r="B704" s="5" t="s">
        <v>143</v>
      </c>
      <c r="C704" s="5" t="s">
        <v>244</v>
      </c>
      <c r="D704" s="5" t="s">
        <v>245</v>
      </c>
      <c r="E704" s="5">
        <v>812.0</v>
      </c>
      <c r="F704" s="5">
        <v>703.0</v>
      </c>
      <c r="G704" s="5">
        <f t="shared" si="1"/>
        <v>1515</v>
      </c>
      <c r="H704" s="10">
        <f t="shared" si="2"/>
        <v>0.5359735974</v>
      </c>
      <c r="I704" s="10">
        <v>-0.0101</v>
      </c>
      <c r="J704" s="10">
        <v>0.639</v>
      </c>
      <c r="K704" s="5">
        <f t="shared" si="3"/>
        <v>0</v>
      </c>
    </row>
    <row r="705" ht="15.0" customHeight="1">
      <c r="A705" s="5">
        <v>2024.0</v>
      </c>
      <c r="B705" s="5" t="s">
        <v>143</v>
      </c>
      <c r="C705" s="5" t="s">
        <v>244</v>
      </c>
      <c r="D705" s="5" t="s">
        <v>245</v>
      </c>
      <c r="E705" s="5">
        <v>992.0</v>
      </c>
      <c r="F705" s="5">
        <v>983.0</v>
      </c>
      <c r="G705" s="5">
        <f t="shared" si="1"/>
        <v>1975</v>
      </c>
      <c r="H705" s="10">
        <f t="shared" si="2"/>
        <v>0.502278481</v>
      </c>
      <c r="I705" s="10">
        <v>-0.0233</v>
      </c>
      <c r="J705" s="10">
        <v>0.8074</v>
      </c>
      <c r="K705" s="5">
        <f t="shared" si="3"/>
        <v>1</v>
      </c>
    </row>
    <row r="706" ht="15.0" customHeight="1">
      <c r="A706" s="5">
        <v>2018.0</v>
      </c>
      <c r="B706" s="5" t="s">
        <v>143</v>
      </c>
      <c r="C706" s="5" t="s">
        <v>244</v>
      </c>
      <c r="D706" s="5" t="s">
        <v>246</v>
      </c>
      <c r="E706" s="5">
        <v>1001.0</v>
      </c>
      <c r="F706" s="5">
        <v>938.0</v>
      </c>
      <c r="G706" s="5">
        <f t="shared" si="1"/>
        <v>1939</v>
      </c>
      <c r="H706" s="10">
        <f t="shared" si="2"/>
        <v>0.5162454874</v>
      </c>
      <c r="I706" s="10">
        <v>-0.1204</v>
      </c>
      <c r="J706" s="10">
        <v>0.6746</v>
      </c>
      <c r="K706" s="5">
        <f t="shared" si="3"/>
        <v>0</v>
      </c>
    </row>
    <row r="707" ht="15.0" customHeight="1">
      <c r="A707" s="5">
        <v>2020.0</v>
      </c>
      <c r="B707" s="5" t="s">
        <v>143</v>
      </c>
      <c r="C707" s="5" t="s">
        <v>244</v>
      </c>
      <c r="D707" s="5" t="s">
        <v>246</v>
      </c>
      <c r="E707" s="5">
        <v>1275.0</v>
      </c>
      <c r="F707" s="5">
        <v>1300.0</v>
      </c>
      <c r="G707" s="5">
        <f t="shared" si="1"/>
        <v>2575</v>
      </c>
      <c r="H707" s="10">
        <f t="shared" si="2"/>
        <v>0.4951456311</v>
      </c>
      <c r="I707" s="10">
        <v>-0.0963</v>
      </c>
      <c r="J707" s="10">
        <v>0.8325</v>
      </c>
      <c r="K707" s="5">
        <f t="shared" si="3"/>
        <v>1</v>
      </c>
    </row>
    <row r="708" ht="15.0" customHeight="1">
      <c r="A708" s="5">
        <v>2022.0</v>
      </c>
      <c r="B708" s="5" t="s">
        <v>143</v>
      </c>
      <c r="C708" s="5" t="s">
        <v>244</v>
      </c>
      <c r="D708" s="5" t="s">
        <v>246</v>
      </c>
      <c r="E708" s="5">
        <v>1089.0</v>
      </c>
      <c r="F708" s="5">
        <v>1003.0</v>
      </c>
      <c r="G708" s="5">
        <f t="shared" si="1"/>
        <v>2092</v>
      </c>
      <c r="H708" s="10">
        <f t="shared" si="2"/>
        <v>0.5205544933</v>
      </c>
      <c r="I708" s="10">
        <v>-0.0558</v>
      </c>
      <c r="J708" s="10">
        <v>0.6828</v>
      </c>
      <c r="K708" s="5">
        <f t="shared" si="3"/>
        <v>0</v>
      </c>
    </row>
    <row r="709" ht="15.0" customHeight="1">
      <c r="A709" s="5">
        <v>2024.0</v>
      </c>
      <c r="B709" s="5" t="s">
        <v>143</v>
      </c>
      <c r="C709" s="5" t="s">
        <v>244</v>
      </c>
      <c r="D709" s="5" t="s">
        <v>246</v>
      </c>
      <c r="E709" s="5">
        <v>1311.0</v>
      </c>
      <c r="F709" s="5">
        <v>1258.0</v>
      </c>
      <c r="G709" s="5">
        <f t="shared" si="1"/>
        <v>2569</v>
      </c>
      <c r="H709" s="10">
        <f t="shared" si="2"/>
        <v>0.5103152978</v>
      </c>
      <c r="I709" s="10">
        <v>-0.0619</v>
      </c>
      <c r="J709" s="10">
        <v>0.8376</v>
      </c>
      <c r="K709" s="5">
        <f t="shared" si="3"/>
        <v>1</v>
      </c>
    </row>
    <row r="710" ht="15.0" customHeight="1">
      <c r="A710" s="5">
        <v>2018.0</v>
      </c>
      <c r="B710" s="5" t="s">
        <v>143</v>
      </c>
      <c r="C710" s="5" t="s">
        <v>244</v>
      </c>
      <c r="D710" s="5" t="s">
        <v>247</v>
      </c>
      <c r="E710" s="5">
        <v>582.0</v>
      </c>
      <c r="F710" s="5">
        <v>595.0</v>
      </c>
      <c r="G710" s="5">
        <f t="shared" si="1"/>
        <v>1177</v>
      </c>
      <c r="H710" s="10">
        <f t="shared" si="2"/>
        <v>0.4944774851</v>
      </c>
      <c r="I710" s="10">
        <v>-0.0982</v>
      </c>
      <c r="J710" s="10">
        <v>0.6498</v>
      </c>
      <c r="K710" s="5">
        <f t="shared" si="3"/>
        <v>0</v>
      </c>
    </row>
    <row r="711" ht="15.0" customHeight="1">
      <c r="A711" s="5">
        <v>2020.0</v>
      </c>
      <c r="B711" s="5" t="s">
        <v>143</v>
      </c>
      <c r="C711" s="5" t="s">
        <v>244</v>
      </c>
      <c r="D711" s="5" t="s">
        <v>247</v>
      </c>
      <c r="E711" s="5">
        <v>774.0</v>
      </c>
      <c r="F711" s="5">
        <v>872.0</v>
      </c>
      <c r="G711" s="5">
        <f t="shared" si="1"/>
        <v>1646</v>
      </c>
      <c r="H711" s="10">
        <f t="shared" si="2"/>
        <v>0.4702308627</v>
      </c>
      <c r="I711" s="10">
        <v>-0.0827</v>
      </c>
      <c r="J711" s="10">
        <v>0.81</v>
      </c>
      <c r="K711" s="5">
        <f t="shared" si="3"/>
        <v>1</v>
      </c>
    </row>
    <row r="712" ht="15.0" customHeight="1">
      <c r="A712" s="5">
        <v>2022.0</v>
      </c>
      <c r="B712" s="5" t="s">
        <v>143</v>
      </c>
      <c r="C712" s="5" t="s">
        <v>244</v>
      </c>
      <c r="D712" s="5" t="s">
        <v>247</v>
      </c>
      <c r="E712" s="5">
        <v>658.0</v>
      </c>
      <c r="F712" s="5">
        <v>705.0</v>
      </c>
      <c r="G712" s="5">
        <f t="shared" si="1"/>
        <v>1363</v>
      </c>
      <c r="H712" s="10">
        <f t="shared" si="2"/>
        <v>0.4827586207</v>
      </c>
      <c r="I712" s="10">
        <v>-0.0617</v>
      </c>
      <c r="J712" s="10">
        <v>0.6515</v>
      </c>
      <c r="K712" s="5">
        <f t="shared" si="3"/>
        <v>0</v>
      </c>
    </row>
    <row r="713" ht="15.0" customHeight="1">
      <c r="A713" s="5">
        <v>2024.0</v>
      </c>
      <c r="B713" s="5" t="s">
        <v>143</v>
      </c>
      <c r="C713" s="5" t="s">
        <v>244</v>
      </c>
      <c r="D713" s="5" t="s">
        <v>247</v>
      </c>
      <c r="E713" s="5">
        <v>914.0</v>
      </c>
      <c r="F713" s="5">
        <v>1075.0</v>
      </c>
      <c r="G713" s="5">
        <f t="shared" si="1"/>
        <v>1989</v>
      </c>
      <c r="H713" s="10">
        <f t="shared" si="2"/>
        <v>0.4595274007</v>
      </c>
      <c r="I713" s="10">
        <v>-0.0778</v>
      </c>
      <c r="J713" s="10">
        <v>0.7937</v>
      </c>
      <c r="K713" s="5">
        <f t="shared" si="3"/>
        <v>1</v>
      </c>
    </row>
    <row r="714" ht="15.0" customHeight="1">
      <c r="A714" s="5">
        <v>2018.0</v>
      </c>
      <c r="B714" s="5" t="s">
        <v>143</v>
      </c>
      <c r="C714" s="5" t="s">
        <v>244</v>
      </c>
      <c r="D714" s="5" t="s">
        <v>248</v>
      </c>
      <c r="E714" s="5">
        <v>456.0</v>
      </c>
      <c r="F714" s="5">
        <v>276.0</v>
      </c>
      <c r="G714" s="5">
        <f t="shared" si="1"/>
        <v>732</v>
      </c>
      <c r="H714" s="10">
        <f t="shared" si="2"/>
        <v>0.6229508197</v>
      </c>
      <c r="I714" s="10">
        <v>0.0822</v>
      </c>
      <c r="J714" s="10">
        <v>0.6212</v>
      </c>
      <c r="K714" s="5">
        <f t="shared" si="3"/>
        <v>0</v>
      </c>
    </row>
    <row r="715" ht="15.0" customHeight="1">
      <c r="A715" s="5">
        <v>2020.0</v>
      </c>
      <c r="B715" s="5" t="s">
        <v>143</v>
      </c>
      <c r="C715" s="5" t="s">
        <v>244</v>
      </c>
      <c r="D715" s="5" t="s">
        <v>248</v>
      </c>
      <c r="E715" s="5">
        <v>624.0</v>
      </c>
      <c r="F715" s="5">
        <v>456.0</v>
      </c>
      <c r="G715" s="5">
        <f t="shared" si="1"/>
        <v>1080</v>
      </c>
      <c r="H715" s="10">
        <f t="shared" si="2"/>
        <v>0.5777777778</v>
      </c>
      <c r="I715" s="10">
        <v>0.0958</v>
      </c>
      <c r="J715" s="10">
        <v>0.8145</v>
      </c>
      <c r="K715" s="5">
        <f t="shared" si="3"/>
        <v>1</v>
      </c>
    </row>
    <row r="716" ht="15.0" customHeight="1">
      <c r="A716" s="5">
        <v>2022.0</v>
      </c>
      <c r="B716" s="5" t="s">
        <v>143</v>
      </c>
      <c r="C716" s="5" t="s">
        <v>244</v>
      </c>
      <c r="D716" s="5" t="s">
        <v>248</v>
      </c>
      <c r="E716" s="5">
        <v>516.0</v>
      </c>
      <c r="F716" s="5">
        <v>400.0</v>
      </c>
      <c r="G716" s="5">
        <f t="shared" si="1"/>
        <v>916</v>
      </c>
      <c r="H716" s="10">
        <f t="shared" si="2"/>
        <v>0.5633187773</v>
      </c>
      <c r="I716" s="10">
        <v>0.0748</v>
      </c>
      <c r="J716" s="10">
        <v>0.6401</v>
      </c>
      <c r="K716" s="5">
        <f t="shared" si="3"/>
        <v>0</v>
      </c>
    </row>
    <row r="717" ht="15.0" customHeight="1">
      <c r="A717" s="5">
        <v>2024.0</v>
      </c>
      <c r="B717" s="5" t="s">
        <v>143</v>
      </c>
      <c r="C717" s="5" t="s">
        <v>244</v>
      </c>
      <c r="D717" s="5" t="s">
        <v>248</v>
      </c>
      <c r="E717" s="5">
        <v>735.0</v>
      </c>
      <c r="F717" s="5">
        <v>653.0</v>
      </c>
      <c r="G717" s="5">
        <f t="shared" si="1"/>
        <v>1388</v>
      </c>
      <c r="H717" s="10">
        <f t="shared" si="2"/>
        <v>0.5295389049</v>
      </c>
      <c r="I717" s="10">
        <v>0.0413</v>
      </c>
      <c r="J717" s="10">
        <v>0.807</v>
      </c>
      <c r="K717" s="5">
        <f t="shared" si="3"/>
        <v>1</v>
      </c>
    </row>
    <row r="718" ht="15.0" customHeight="1">
      <c r="A718" s="5">
        <v>2018.0</v>
      </c>
      <c r="B718" s="5" t="s">
        <v>143</v>
      </c>
      <c r="C718" s="5" t="s">
        <v>244</v>
      </c>
      <c r="D718" s="5" t="s">
        <v>249</v>
      </c>
      <c r="E718" s="5">
        <v>1053.0</v>
      </c>
      <c r="F718" s="5">
        <v>954.0</v>
      </c>
      <c r="G718" s="5">
        <f t="shared" si="1"/>
        <v>2007</v>
      </c>
      <c r="H718" s="10">
        <f t="shared" si="2"/>
        <v>0.5246636771</v>
      </c>
      <c r="I718" s="10">
        <v>-0.0386</v>
      </c>
      <c r="J718" s="10">
        <v>0.5962</v>
      </c>
      <c r="K718" s="5">
        <f t="shared" si="3"/>
        <v>0</v>
      </c>
    </row>
    <row r="719" ht="15.0" customHeight="1">
      <c r="A719" s="5">
        <v>2020.0</v>
      </c>
      <c r="B719" s="5" t="s">
        <v>143</v>
      </c>
      <c r="C719" s="5" t="s">
        <v>244</v>
      </c>
      <c r="D719" s="5" t="s">
        <v>249</v>
      </c>
      <c r="E719" s="5">
        <v>1738.0</v>
      </c>
      <c r="F719" s="5">
        <v>1571.0</v>
      </c>
      <c r="G719" s="5">
        <f t="shared" si="1"/>
        <v>3309</v>
      </c>
      <c r="H719" s="10">
        <f t="shared" si="2"/>
        <v>0.5252342097</v>
      </c>
      <c r="I719" s="10">
        <v>0.0034</v>
      </c>
      <c r="J719" s="10">
        <v>0.796</v>
      </c>
      <c r="K719" s="5">
        <f t="shared" si="3"/>
        <v>1</v>
      </c>
    </row>
    <row r="720" ht="15.0" customHeight="1">
      <c r="A720" s="5">
        <v>2022.0</v>
      </c>
      <c r="B720" s="5" t="s">
        <v>143</v>
      </c>
      <c r="C720" s="5" t="s">
        <v>244</v>
      </c>
      <c r="D720" s="5" t="s">
        <v>249</v>
      </c>
      <c r="E720" s="5">
        <v>1409.0</v>
      </c>
      <c r="F720" s="5">
        <v>1142.0</v>
      </c>
      <c r="G720" s="5">
        <f t="shared" si="1"/>
        <v>2551</v>
      </c>
      <c r="H720" s="10">
        <f t="shared" si="2"/>
        <v>0.5523324187</v>
      </c>
      <c r="I720" s="10">
        <v>0.0214</v>
      </c>
      <c r="J720" s="10">
        <v>0.5926</v>
      </c>
      <c r="K720" s="5">
        <f t="shared" si="3"/>
        <v>0</v>
      </c>
    </row>
    <row r="721" ht="15.0" customHeight="1">
      <c r="A721" s="5">
        <v>2024.0</v>
      </c>
      <c r="B721" s="5" t="s">
        <v>143</v>
      </c>
      <c r="C721" s="5" t="s">
        <v>244</v>
      </c>
      <c r="D721" s="5" t="s">
        <v>249</v>
      </c>
      <c r="E721" s="5">
        <v>1929.0</v>
      </c>
      <c r="F721" s="5">
        <v>1679.0</v>
      </c>
      <c r="G721" s="5">
        <f t="shared" si="1"/>
        <v>3608</v>
      </c>
      <c r="H721" s="10">
        <f t="shared" si="2"/>
        <v>0.5346452328</v>
      </c>
      <c r="I721" s="10">
        <v>0.0348</v>
      </c>
      <c r="J721" s="10">
        <v>0.766</v>
      </c>
      <c r="K721" s="5">
        <f t="shared" si="3"/>
        <v>1</v>
      </c>
    </row>
    <row r="722" ht="15.0" customHeight="1">
      <c r="A722" s="5">
        <v>2018.0</v>
      </c>
      <c r="B722" s="5" t="s">
        <v>143</v>
      </c>
      <c r="C722" s="5" t="s">
        <v>244</v>
      </c>
      <c r="D722" s="5" t="s">
        <v>250</v>
      </c>
      <c r="E722" s="5">
        <v>445.0</v>
      </c>
      <c r="F722" s="5">
        <v>325.0</v>
      </c>
      <c r="G722" s="5">
        <f t="shared" si="1"/>
        <v>770</v>
      </c>
      <c r="H722" s="10">
        <f t="shared" si="2"/>
        <v>0.5779220779</v>
      </c>
      <c r="I722" s="10">
        <v>0.0673</v>
      </c>
      <c r="J722" s="10">
        <v>0.4848</v>
      </c>
      <c r="K722" s="5">
        <f t="shared" si="3"/>
        <v>0</v>
      </c>
    </row>
    <row r="723" ht="15.0" customHeight="1">
      <c r="A723" s="5">
        <v>2020.0</v>
      </c>
      <c r="B723" s="5" t="s">
        <v>143</v>
      </c>
      <c r="C723" s="5" t="s">
        <v>244</v>
      </c>
      <c r="D723" s="5" t="s">
        <v>250</v>
      </c>
      <c r="E723" s="5">
        <v>712.0</v>
      </c>
      <c r="F723" s="5">
        <v>569.0</v>
      </c>
      <c r="G723" s="5">
        <f t="shared" si="1"/>
        <v>1281</v>
      </c>
      <c r="H723" s="10">
        <f t="shared" si="2"/>
        <v>0.5558157689</v>
      </c>
      <c r="I723" s="10">
        <v>0.0684</v>
      </c>
      <c r="J723" s="10">
        <v>0.7491</v>
      </c>
      <c r="K723" s="5">
        <f t="shared" si="3"/>
        <v>1</v>
      </c>
    </row>
    <row r="724" ht="15.0" customHeight="1">
      <c r="A724" s="5">
        <v>2022.0</v>
      </c>
      <c r="B724" s="5" t="s">
        <v>143</v>
      </c>
      <c r="C724" s="5" t="s">
        <v>244</v>
      </c>
      <c r="D724" s="5" t="s">
        <v>250</v>
      </c>
      <c r="E724" s="5">
        <v>513.0</v>
      </c>
      <c r="F724" s="5">
        <v>429.0</v>
      </c>
      <c r="G724" s="5">
        <f t="shared" si="1"/>
        <v>942</v>
      </c>
      <c r="H724" s="10">
        <f t="shared" si="2"/>
        <v>0.5445859873</v>
      </c>
      <c r="I724" s="10">
        <v>0.0334</v>
      </c>
      <c r="J724" s="10">
        <v>0.5433</v>
      </c>
      <c r="K724" s="5">
        <f t="shared" si="3"/>
        <v>0</v>
      </c>
    </row>
    <row r="725" ht="15.0" customHeight="1">
      <c r="A725" s="5">
        <v>2024.0</v>
      </c>
      <c r="B725" s="5" t="s">
        <v>143</v>
      </c>
      <c r="C725" s="5" t="s">
        <v>244</v>
      </c>
      <c r="D725" s="5" t="s">
        <v>250</v>
      </c>
      <c r="E725" s="5">
        <v>696.0</v>
      </c>
      <c r="F725" s="5">
        <v>666.0</v>
      </c>
      <c r="G725" s="5">
        <f t="shared" si="1"/>
        <v>1362</v>
      </c>
      <c r="H725" s="10">
        <f t="shared" si="2"/>
        <v>0.5110132159</v>
      </c>
      <c r="I725" s="10">
        <v>0.008</v>
      </c>
      <c r="J725" s="10">
        <v>0.7299</v>
      </c>
      <c r="K725" s="5">
        <f t="shared" si="3"/>
        <v>1</v>
      </c>
    </row>
    <row r="726" ht="15.0" customHeight="1">
      <c r="A726" s="5">
        <v>2018.0</v>
      </c>
      <c r="B726" s="5" t="s">
        <v>143</v>
      </c>
      <c r="C726" s="5" t="s">
        <v>244</v>
      </c>
      <c r="D726" s="5" t="s">
        <v>251</v>
      </c>
      <c r="E726" s="5">
        <v>437.0</v>
      </c>
      <c r="F726" s="5">
        <v>362.0</v>
      </c>
      <c r="G726" s="5">
        <f t="shared" si="1"/>
        <v>799</v>
      </c>
      <c r="H726" s="10">
        <f t="shared" si="2"/>
        <v>0.5469336671</v>
      </c>
      <c r="I726" s="10">
        <v>0.0978</v>
      </c>
      <c r="J726" s="10">
        <v>0.489</v>
      </c>
      <c r="K726" s="5">
        <f t="shared" si="3"/>
        <v>0</v>
      </c>
    </row>
    <row r="727" ht="15.0" customHeight="1">
      <c r="A727" s="5">
        <v>2020.0</v>
      </c>
      <c r="B727" s="5" t="s">
        <v>143</v>
      </c>
      <c r="C727" s="5" t="s">
        <v>244</v>
      </c>
      <c r="D727" s="5" t="s">
        <v>251</v>
      </c>
      <c r="E727" s="5">
        <v>681.0</v>
      </c>
      <c r="F727" s="5">
        <v>643.0</v>
      </c>
      <c r="G727" s="5">
        <f t="shared" si="1"/>
        <v>1324</v>
      </c>
      <c r="H727" s="10">
        <f t="shared" si="2"/>
        <v>0.5143504532</v>
      </c>
      <c r="I727" s="10">
        <v>0.0956</v>
      </c>
      <c r="J727" s="10">
        <v>0.7271</v>
      </c>
      <c r="K727" s="5">
        <f t="shared" si="3"/>
        <v>1</v>
      </c>
    </row>
    <row r="728" ht="15.0" customHeight="1">
      <c r="A728" s="5">
        <v>2022.0</v>
      </c>
      <c r="B728" s="5" t="s">
        <v>143</v>
      </c>
      <c r="C728" s="5" t="s">
        <v>244</v>
      </c>
      <c r="D728" s="5" t="s">
        <v>251</v>
      </c>
      <c r="E728" s="5">
        <v>494.0</v>
      </c>
      <c r="F728" s="5">
        <v>404.0</v>
      </c>
      <c r="G728" s="5">
        <f t="shared" si="1"/>
        <v>898</v>
      </c>
      <c r="H728" s="10">
        <f t="shared" si="2"/>
        <v>0.5501113586</v>
      </c>
      <c r="I728" s="10">
        <v>0.1057</v>
      </c>
      <c r="J728" s="10">
        <v>0.497</v>
      </c>
      <c r="K728" s="5">
        <f t="shared" si="3"/>
        <v>0</v>
      </c>
    </row>
    <row r="729" ht="15.0" customHeight="1">
      <c r="A729" s="5">
        <v>2024.0</v>
      </c>
      <c r="B729" s="5" t="s">
        <v>143</v>
      </c>
      <c r="C729" s="5" t="s">
        <v>244</v>
      </c>
      <c r="D729" s="5" t="s">
        <v>251</v>
      </c>
      <c r="E729" s="5">
        <v>715.0</v>
      </c>
      <c r="F729" s="5">
        <v>601.0</v>
      </c>
      <c r="G729" s="5">
        <f t="shared" si="1"/>
        <v>1316</v>
      </c>
      <c r="H729" s="10">
        <f t="shared" si="2"/>
        <v>0.5433130699</v>
      </c>
      <c r="I729" s="10">
        <v>0.1102</v>
      </c>
      <c r="J729" s="10">
        <v>0.7004</v>
      </c>
      <c r="K729" s="5">
        <f t="shared" si="3"/>
        <v>1</v>
      </c>
    </row>
    <row r="730" ht="15.0" customHeight="1">
      <c r="A730" s="5">
        <v>2018.0</v>
      </c>
      <c r="B730" s="5" t="s">
        <v>143</v>
      </c>
      <c r="C730" s="5" t="s">
        <v>244</v>
      </c>
      <c r="D730" s="5" t="s">
        <v>252</v>
      </c>
      <c r="E730" s="5">
        <v>438.0</v>
      </c>
      <c r="F730" s="5">
        <v>373.0</v>
      </c>
      <c r="G730" s="5">
        <f t="shared" si="1"/>
        <v>811</v>
      </c>
      <c r="H730" s="10">
        <f t="shared" si="2"/>
        <v>0.5400739827</v>
      </c>
      <c r="I730" s="10">
        <v>0.0124</v>
      </c>
      <c r="J730" s="10">
        <v>0.6095</v>
      </c>
      <c r="K730" s="5">
        <f t="shared" si="3"/>
        <v>0</v>
      </c>
    </row>
    <row r="731" ht="15.0" customHeight="1">
      <c r="A731" s="5">
        <v>2020.0</v>
      </c>
      <c r="B731" s="5" t="s">
        <v>143</v>
      </c>
      <c r="C731" s="5" t="s">
        <v>244</v>
      </c>
      <c r="D731" s="5" t="s">
        <v>252</v>
      </c>
      <c r="E731" s="5">
        <v>706.0</v>
      </c>
      <c r="F731" s="5">
        <v>629.0</v>
      </c>
      <c r="G731" s="5">
        <f t="shared" si="1"/>
        <v>1335</v>
      </c>
      <c r="H731" s="10">
        <f t="shared" si="2"/>
        <v>0.5288389513</v>
      </c>
      <c r="I731" s="10">
        <v>0.0401</v>
      </c>
      <c r="J731" s="10">
        <v>0.837</v>
      </c>
      <c r="K731" s="5">
        <f t="shared" si="3"/>
        <v>1</v>
      </c>
    </row>
    <row r="732" ht="15.0" customHeight="1">
      <c r="A732" s="5">
        <v>2022.0</v>
      </c>
      <c r="B732" s="5" t="s">
        <v>143</v>
      </c>
      <c r="C732" s="5" t="s">
        <v>244</v>
      </c>
      <c r="D732" s="5" t="s">
        <v>252</v>
      </c>
      <c r="E732" s="5">
        <v>518.0</v>
      </c>
      <c r="F732" s="5">
        <v>471.0</v>
      </c>
      <c r="G732" s="5">
        <f t="shared" si="1"/>
        <v>989</v>
      </c>
      <c r="H732" s="10">
        <f t="shared" si="2"/>
        <v>0.5237613751</v>
      </c>
      <c r="I732" s="10">
        <v>0.0467</v>
      </c>
      <c r="J732" s="10">
        <v>0.5994</v>
      </c>
      <c r="K732" s="5">
        <f t="shared" si="3"/>
        <v>0</v>
      </c>
    </row>
    <row r="733" ht="15.0" customHeight="1">
      <c r="A733" s="5">
        <v>2024.0</v>
      </c>
      <c r="B733" s="5" t="s">
        <v>143</v>
      </c>
      <c r="C733" s="5" t="s">
        <v>244</v>
      </c>
      <c r="D733" s="5" t="s">
        <v>252</v>
      </c>
      <c r="E733" s="5">
        <v>728.0</v>
      </c>
      <c r="F733" s="5">
        <v>692.0</v>
      </c>
      <c r="G733" s="5">
        <f t="shared" si="1"/>
        <v>1420</v>
      </c>
      <c r="H733" s="10">
        <f t="shared" si="2"/>
        <v>0.5126760563</v>
      </c>
      <c r="I733" s="10">
        <v>0.0531</v>
      </c>
      <c r="J733" s="10">
        <v>0.8018</v>
      </c>
      <c r="K733" s="5">
        <f t="shared" si="3"/>
        <v>1</v>
      </c>
    </row>
    <row r="734" ht="15.0" customHeight="1">
      <c r="A734" s="5">
        <v>2018.0</v>
      </c>
      <c r="B734" s="5" t="s">
        <v>143</v>
      </c>
      <c r="C734" s="5" t="s">
        <v>253</v>
      </c>
      <c r="D734" s="5" t="s">
        <v>254</v>
      </c>
      <c r="E734" s="5">
        <v>927.0</v>
      </c>
      <c r="F734" s="5">
        <v>970.0</v>
      </c>
      <c r="G734" s="5">
        <f t="shared" si="1"/>
        <v>1897</v>
      </c>
      <c r="H734" s="10">
        <f t="shared" si="2"/>
        <v>0.4886663152</v>
      </c>
      <c r="I734" s="10">
        <v>-0.0813</v>
      </c>
      <c r="J734" s="10">
        <v>0.6588</v>
      </c>
      <c r="K734" s="5">
        <f t="shared" si="3"/>
        <v>0</v>
      </c>
    </row>
    <row r="735" ht="15.0" customHeight="1">
      <c r="A735" s="5">
        <v>2020.0</v>
      </c>
      <c r="B735" s="5" t="s">
        <v>143</v>
      </c>
      <c r="C735" s="5" t="s">
        <v>253</v>
      </c>
      <c r="D735" s="5" t="s">
        <v>254</v>
      </c>
      <c r="E735" s="5">
        <v>1314.0</v>
      </c>
      <c r="F735" s="5">
        <v>1541.0</v>
      </c>
      <c r="G735" s="5">
        <f t="shared" si="1"/>
        <v>2855</v>
      </c>
      <c r="H735" s="10">
        <f t="shared" si="2"/>
        <v>0.4602451839</v>
      </c>
      <c r="I735" s="10">
        <v>-0.0765</v>
      </c>
      <c r="J735" s="10">
        <v>0.8434</v>
      </c>
      <c r="K735" s="5">
        <f t="shared" si="3"/>
        <v>1</v>
      </c>
    </row>
    <row r="736" ht="15.0" customHeight="1">
      <c r="A736" s="5">
        <v>2022.0</v>
      </c>
      <c r="B736" s="5" t="s">
        <v>143</v>
      </c>
      <c r="C736" s="5" t="s">
        <v>253</v>
      </c>
      <c r="D736" s="5" t="s">
        <v>254</v>
      </c>
      <c r="E736" s="5">
        <v>1212.0</v>
      </c>
      <c r="F736" s="5">
        <v>1282.0</v>
      </c>
      <c r="G736" s="5">
        <f t="shared" si="1"/>
        <v>2494</v>
      </c>
      <c r="H736" s="10">
        <f t="shared" si="2"/>
        <v>0.4859663192</v>
      </c>
      <c r="I736" s="10">
        <v>-0.0941</v>
      </c>
      <c r="J736" s="10">
        <v>0.7047</v>
      </c>
      <c r="K736" s="5">
        <f t="shared" si="3"/>
        <v>0</v>
      </c>
    </row>
    <row r="737" ht="15.0" customHeight="1">
      <c r="A737" s="5">
        <v>2024.0</v>
      </c>
      <c r="B737" s="5" t="s">
        <v>143</v>
      </c>
      <c r="C737" s="5" t="s">
        <v>253</v>
      </c>
      <c r="D737" s="5" t="s">
        <v>254</v>
      </c>
      <c r="E737" s="5">
        <v>1473.0</v>
      </c>
      <c r="F737" s="5">
        <v>1690.0</v>
      </c>
      <c r="G737" s="5">
        <f t="shared" si="1"/>
        <v>3163</v>
      </c>
      <c r="H737" s="10">
        <f t="shared" si="2"/>
        <v>0.465697123</v>
      </c>
      <c r="I737" s="10">
        <v>-0.1153</v>
      </c>
      <c r="J737" s="10">
        <v>0.8464</v>
      </c>
      <c r="K737" s="5">
        <f t="shared" si="3"/>
        <v>1</v>
      </c>
    </row>
    <row r="738" ht="15.0" customHeight="1">
      <c r="A738" s="5">
        <v>2018.0</v>
      </c>
      <c r="B738" s="5" t="s">
        <v>143</v>
      </c>
      <c r="C738" s="5" t="s">
        <v>253</v>
      </c>
      <c r="D738" s="5" t="s">
        <v>255</v>
      </c>
      <c r="E738" s="5">
        <v>736.0</v>
      </c>
      <c r="F738" s="5">
        <v>1004.0</v>
      </c>
      <c r="G738" s="5">
        <f t="shared" si="1"/>
        <v>1740</v>
      </c>
      <c r="H738" s="10">
        <f t="shared" si="2"/>
        <v>0.4229885057</v>
      </c>
      <c r="I738" s="10">
        <v>-0.1672</v>
      </c>
      <c r="J738" s="10">
        <v>0.6932</v>
      </c>
      <c r="K738" s="5">
        <f t="shared" si="3"/>
        <v>0</v>
      </c>
    </row>
    <row r="739" ht="15.0" customHeight="1">
      <c r="A739" s="5">
        <v>2020.0</v>
      </c>
      <c r="B739" s="5" t="s">
        <v>143</v>
      </c>
      <c r="C739" s="5" t="s">
        <v>253</v>
      </c>
      <c r="D739" s="5" t="s">
        <v>255</v>
      </c>
      <c r="E739" s="5">
        <v>908.0</v>
      </c>
      <c r="F739" s="5">
        <v>1414.0</v>
      </c>
      <c r="G739" s="5">
        <f t="shared" si="1"/>
        <v>2322</v>
      </c>
      <c r="H739" s="10">
        <f t="shared" si="2"/>
        <v>0.391042205</v>
      </c>
      <c r="I739" s="10">
        <v>-0.1837</v>
      </c>
      <c r="J739" s="10">
        <v>0.835</v>
      </c>
      <c r="K739" s="5">
        <f t="shared" si="3"/>
        <v>1</v>
      </c>
    </row>
    <row r="740" ht="15.0" customHeight="1">
      <c r="A740" s="5">
        <v>2022.0</v>
      </c>
      <c r="B740" s="5" t="s">
        <v>143</v>
      </c>
      <c r="C740" s="5" t="s">
        <v>253</v>
      </c>
      <c r="D740" s="5" t="s">
        <v>255</v>
      </c>
      <c r="E740" s="5">
        <v>820.0</v>
      </c>
      <c r="F740" s="5">
        <v>1168.0</v>
      </c>
      <c r="G740" s="5">
        <f t="shared" si="1"/>
        <v>1988</v>
      </c>
      <c r="H740" s="10">
        <f t="shared" si="2"/>
        <v>0.4124748491</v>
      </c>
      <c r="I740" s="10">
        <v>-0.1956</v>
      </c>
      <c r="J740" s="10">
        <v>0.7187</v>
      </c>
      <c r="K740" s="5">
        <f t="shared" si="3"/>
        <v>0</v>
      </c>
    </row>
    <row r="741" ht="15.0" customHeight="1">
      <c r="A741" s="5">
        <v>2024.0</v>
      </c>
      <c r="B741" s="5" t="s">
        <v>143</v>
      </c>
      <c r="C741" s="5" t="s">
        <v>253</v>
      </c>
      <c r="D741" s="5" t="s">
        <v>255</v>
      </c>
      <c r="E741" s="5">
        <v>907.0</v>
      </c>
      <c r="F741" s="5">
        <v>1445.0</v>
      </c>
      <c r="G741" s="5">
        <f t="shared" si="1"/>
        <v>2352</v>
      </c>
      <c r="H741" s="10">
        <f t="shared" si="2"/>
        <v>0.3856292517</v>
      </c>
      <c r="I741" s="10">
        <v>-0.2211</v>
      </c>
      <c r="J741" s="10">
        <v>0.8525</v>
      </c>
      <c r="K741" s="5">
        <f t="shared" si="3"/>
        <v>1</v>
      </c>
    </row>
    <row r="742" ht="15.0" customHeight="1">
      <c r="A742" s="5">
        <v>2018.0</v>
      </c>
      <c r="B742" s="5" t="s">
        <v>143</v>
      </c>
      <c r="C742" s="5" t="s">
        <v>256</v>
      </c>
      <c r="D742" s="5" t="s">
        <v>257</v>
      </c>
      <c r="E742" s="5">
        <v>762.0</v>
      </c>
      <c r="F742" s="5">
        <v>808.0</v>
      </c>
      <c r="G742" s="5">
        <f t="shared" si="1"/>
        <v>1570</v>
      </c>
      <c r="H742" s="10">
        <f t="shared" si="2"/>
        <v>0.4853503185</v>
      </c>
      <c r="I742" s="10">
        <v>-0.0637</v>
      </c>
      <c r="J742" s="10">
        <v>0.7319</v>
      </c>
      <c r="K742" s="5">
        <f t="shared" si="3"/>
        <v>0</v>
      </c>
    </row>
    <row r="743" ht="15.0" customHeight="1">
      <c r="A743" s="5">
        <v>2020.0</v>
      </c>
      <c r="B743" s="5" t="s">
        <v>143</v>
      </c>
      <c r="C743" s="5" t="s">
        <v>256</v>
      </c>
      <c r="D743" s="5" t="s">
        <v>257</v>
      </c>
      <c r="E743" s="5">
        <v>967.0</v>
      </c>
      <c r="F743" s="5">
        <v>1075.0</v>
      </c>
      <c r="G743" s="5">
        <f t="shared" si="1"/>
        <v>2042</v>
      </c>
      <c r="H743" s="10">
        <f t="shared" si="2"/>
        <v>0.4735553379</v>
      </c>
      <c r="I743" s="10">
        <v>-0.0702</v>
      </c>
      <c r="J743" s="10">
        <v>0.8741</v>
      </c>
      <c r="K743" s="5">
        <f t="shared" si="3"/>
        <v>1</v>
      </c>
    </row>
    <row r="744" ht="15.0" customHeight="1">
      <c r="A744" s="5">
        <v>2022.0</v>
      </c>
      <c r="B744" s="5" t="s">
        <v>143</v>
      </c>
      <c r="C744" s="5" t="s">
        <v>256</v>
      </c>
      <c r="D744" s="5" t="s">
        <v>257</v>
      </c>
      <c r="E744" s="5">
        <v>888.0</v>
      </c>
      <c r="F744" s="5">
        <v>859.0</v>
      </c>
      <c r="G744" s="5">
        <f t="shared" si="1"/>
        <v>1747</v>
      </c>
      <c r="H744" s="10">
        <f t="shared" si="2"/>
        <v>0.5082999428</v>
      </c>
      <c r="I744" s="10">
        <v>-0.0535</v>
      </c>
      <c r="J744" s="10">
        <v>0.7606</v>
      </c>
      <c r="K744" s="5">
        <f t="shared" si="3"/>
        <v>0</v>
      </c>
    </row>
    <row r="745" ht="15.0" customHeight="1">
      <c r="A745" s="5">
        <v>2024.0</v>
      </c>
      <c r="B745" s="5" t="s">
        <v>143</v>
      </c>
      <c r="C745" s="5" t="s">
        <v>256</v>
      </c>
      <c r="D745" s="5" t="s">
        <v>257</v>
      </c>
      <c r="E745" s="5">
        <v>1017.0</v>
      </c>
      <c r="F745" s="5">
        <v>1074.0</v>
      </c>
      <c r="G745" s="5">
        <f t="shared" si="1"/>
        <v>2091</v>
      </c>
      <c r="H745" s="10">
        <f t="shared" si="2"/>
        <v>0.4863701578</v>
      </c>
      <c r="I745" s="10">
        <v>-0.0789</v>
      </c>
      <c r="J745" s="10">
        <v>0.8827</v>
      </c>
      <c r="K745" s="5">
        <f t="shared" si="3"/>
        <v>1</v>
      </c>
    </row>
    <row r="746" ht="15.0" customHeight="1">
      <c r="A746" s="5">
        <v>2018.0</v>
      </c>
      <c r="B746" s="5" t="s">
        <v>143</v>
      </c>
      <c r="C746" s="5" t="s">
        <v>256</v>
      </c>
      <c r="D746" s="5" t="s">
        <v>258</v>
      </c>
      <c r="E746" s="5">
        <v>473.0</v>
      </c>
      <c r="F746" s="5">
        <v>524.0</v>
      </c>
      <c r="G746" s="5">
        <f t="shared" si="1"/>
        <v>997</v>
      </c>
      <c r="H746" s="10">
        <f t="shared" si="2"/>
        <v>0.4744232698</v>
      </c>
      <c r="I746" s="10">
        <v>-0.0538</v>
      </c>
      <c r="J746" s="10">
        <v>0.6091</v>
      </c>
      <c r="K746" s="5">
        <f t="shared" si="3"/>
        <v>0</v>
      </c>
    </row>
    <row r="747" ht="15.0" customHeight="1">
      <c r="A747" s="5">
        <v>2020.0</v>
      </c>
      <c r="B747" s="5" t="s">
        <v>143</v>
      </c>
      <c r="C747" s="5" t="s">
        <v>256</v>
      </c>
      <c r="D747" s="5" t="s">
        <v>258</v>
      </c>
      <c r="E747" s="5">
        <v>633.0</v>
      </c>
      <c r="F747" s="5">
        <v>829.0</v>
      </c>
      <c r="G747" s="5">
        <f t="shared" si="1"/>
        <v>1462</v>
      </c>
      <c r="H747" s="10">
        <f t="shared" si="2"/>
        <v>0.4329685363</v>
      </c>
      <c r="I747" s="10">
        <v>-0.0713</v>
      </c>
      <c r="J747" s="10">
        <v>0.802</v>
      </c>
      <c r="K747" s="5">
        <f t="shared" si="3"/>
        <v>1</v>
      </c>
    </row>
    <row r="748" ht="15.0" customHeight="1">
      <c r="A748" s="5">
        <v>2022.0</v>
      </c>
      <c r="B748" s="5" t="s">
        <v>143</v>
      </c>
      <c r="C748" s="5" t="s">
        <v>256</v>
      </c>
      <c r="D748" s="5" t="s">
        <v>258</v>
      </c>
      <c r="E748" s="5">
        <v>590.0</v>
      </c>
      <c r="F748" s="5">
        <v>646.0</v>
      </c>
      <c r="G748" s="5">
        <f t="shared" si="1"/>
        <v>1236</v>
      </c>
      <c r="H748" s="10">
        <f t="shared" si="2"/>
        <v>0.4773462783</v>
      </c>
      <c r="I748" s="10">
        <v>-0.0464</v>
      </c>
      <c r="J748" s="10">
        <v>0.6663</v>
      </c>
      <c r="K748" s="5">
        <f t="shared" si="3"/>
        <v>0</v>
      </c>
    </row>
    <row r="749" ht="15.0" customHeight="1">
      <c r="A749" s="5">
        <v>2024.0</v>
      </c>
      <c r="B749" s="5" t="s">
        <v>143</v>
      </c>
      <c r="C749" s="5" t="s">
        <v>256</v>
      </c>
      <c r="D749" s="5" t="s">
        <v>258</v>
      </c>
      <c r="E749" s="5">
        <v>753.0</v>
      </c>
      <c r="F749" s="5">
        <v>851.0</v>
      </c>
      <c r="G749" s="5">
        <f t="shared" si="1"/>
        <v>1604</v>
      </c>
      <c r="H749" s="10">
        <f t="shared" si="2"/>
        <v>0.4694513716</v>
      </c>
      <c r="I749" s="10">
        <v>-0.0599</v>
      </c>
      <c r="J749" s="10">
        <v>0.8138</v>
      </c>
      <c r="K749" s="5">
        <f t="shared" si="3"/>
        <v>1</v>
      </c>
    </row>
    <row r="750" ht="15.0" customHeight="1">
      <c r="A750" s="5">
        <v>2018.0</v>
      </c>
      <c r="B750" s="5" t="s">
        <v>143</v>
      </c>
      <c r="C750" s="5" t="s">
        <v>256</v>
      </c>
      <c r="D750" s="5" t="s">
        <v>259</v>
      </c>
      <c r="E750" s="5">
        <v>388.0</v>
      </c>
      <c r="F750" s="5">
        <v>404.0</v>
      </c>
      <c r="G750" s="5">
        <f t="shared" si="1"/>
        <v>792</v>
      </c>
      <c r="H750" s="10">
        <f t="shared" si="2"/>
        <v>0.4898989899</v>
      </c>
      <c r="I750" s="10">
        <v>-0.1357</v>
      </c>
      <c r="J750" s="10">
        <v>0.6918</v>
      </c>
      <c r="K750" s="5">
        <f t="shared" si="3"/>
        <v>0</v>
      </c>
    </row>
    <row r="751" ht="15.0" customHeight="1">
      <c r="A751" s="5">
        <v>2020.0</v>
      </c>
      <c r="B751" s="5" t="s">
        <v>143</v>
      </c>
      <c r="C751" s="5" t="s">
        <v>256</v>
      </c>
      <c r="D751" s="5" t="s">
        <v>259</v>
      </c>
      <c r="E751" s="5">
        <v>512.0</v>
      </c>
      <c r="F751" s="5">
        <v>584.0</v>
      </c>
      <c r="G751" s="5">
        <f t="shared" si="1"/>
        <v>1096</v>
      </c>
      <c r="H751" s="10">
        <f t="shared" si="2"/>
        <v>0.4671532847</v>
      </c>
      <c r="I751" s="10">
        <v>-0.1214</v>
      </c>
      <c r="J751" s="10">
        <v>0.8583</v>
      </c>
      <c r="K751" s="5">
        <f t="shared" si="3"/>
        <v>1</v>
      </c>
    </row>
    <row r="752" ht="15.0" customHeight="1">
      <c r="A752" s="5">
        <v>2022.0</v>
      </c>
      <c r="B752" s="5" t="s">
        <v>143</v>
      </c>
      <c r="C752" s="5" t="s">
        <v>256</v>
      </c>
      <c r="D752" s="5" t="s">
        <v>259</v>
      </c>
      <c r="E752" s="5">
        <v>498.0</v>
      </c>
      <c r="F752" s="5">
        <v>506.0</v>
      </c>
      <c r="G752" s="5">
        <f t="shared" si="1"/>
        <v>1004</v>
      </c>
      <c r="H752" s="10">
        <f t="shared" si="2"/>
        <v>0.4960159363</v>
      </c>
      <c r="I752" s="10">
        <v>-0.1122</v>
      </c>
      <c r="J752" s="10">
        <v>0.756</v>
      </c>
      <c r="K752" s="5">
        <f t="shared" si="3"/>
        <v>0</v>
      </c>
    </row>
    <row r="753" ht="15.0" customHeight="1">
      <c r="A753" s="5">
        <v>2024.0</v>
      </c>
      <c r="B753" s="5" t="s">
        <v>143</v>
      </c>
      <c r="C753" s="5" t="s">
        <v>256</v>
      </c>
      <c r="D753" s="5" t="s">
        <v>259</v>
      </c>
      <c r="E753" s="5">
        <v>713.0</v>
      </c>
      <c r="F753" s="5">
        <v>780.0</v>
      </c>
      <c r="G753" s="5">
        <f t="shared" si="1"/>
        <v>1493</v>
      </c>
      <c r="H753" s="10">
        <f t="shared" si="2"/>
        <v>0.4775619558</v>
      </c>
      <c r="I753" s="10">
        <v>-0.103</v>
      </c>
      <c r="J753" s="10">
        <v>0.8834</v>
      </c>
      <c r="K753" s="5">
        <f t="shared" si="3"/>
        <v>1</v>
      </c>
    </row>
    <row r="754" ht="15.0" customHeight="1">
      <c r="A754" s="5">
        <v>2018.0</v>
      </c>
      <c r="B754" s="5" t="s">
        <v>143</v>
      </c>
      <c r="C754" s="5" t="s">
        <v>256</v>
      </c>
      <c r="D754" s="5" t="s">
        <v>260</v>
      </c>
      <c r="E754" s="5">
        <v>1052.0</v>
      </c>
      <c r="F754" s="5">
        <v>1135.0</v>
      </c>
      <c r="G754" s="5">
        <f t="shared" si="1"/>
        <v>2187</v>
      </c>
      <c r="H754" s="10">
        <f t="shared" si="2"/>
        <v>0.4810242341</v>
      </c>
      <c r="I754" s="10">
        <v>-0.1066</v>
      </c>
      <c r="J754" s="10">
        <v>0.6382</v>
      </c>
      <c r="K754" s="5">
        <f t="shared" si="3"/>
        <v>0</v>
      </c>
    </row>
    <row r="755" ht="15.0" customHeight="1">
      <c r="A755" s="5">
        <v>2020.0</v>
      </c>
      <c r="B755" s="5" t="s">
        <v>143</v>
      </c>
      <c r="C755" s="5" t="s">
        <v>256</v>
      </c>
      <c r="D755" s="5" t="s">
        <v>260</v>
      </c>
      <c r="E755" s="5">
        <v>1456.0</v>
      </c>
      <c r="F755" s="5">
        <v>1724.0</v>
      </c>
      <c r="G755" s="5">
        <f t="shared" si="1"/>
        <v>3180</v>
      </c>
      <c r="H755" s="10">
        <f t="shared" si="2"/>
        <v>0.4578616352</v>
      </c>
      <c r="I755" s="10">
        <v>-0.0895</v>
      </c>
      <c r="J755" s="10">
        <v>0.8042</v>
      </c>
      <c r="K755" s="5">
        <f t="shared" si="3"/>
        <v>1</v>
      </c>
    </row>
    <row r="756" ht="15.0" customHeight="1">
      <c r="A756" s="5">
        <v>2022.0</v>
      </c>
      <c r="B756" s="5" t="s">
        <v>143</v>
      </c>
      <c r="C756" s="5" t="s">
        <v>256</v>
      </c>
      <c r="D756" s="5" t="s">
        <v>260</v>
      </c>
      <c r="E756" s="5">
        <v>1289.0</v>
      </c>
      <c r="F756" s="5">
        <v>1351.0</v>
      </c>
      <c r="G756" s="5">
        <f t="shared" si="1"/>
        <v>2640</v>
      </c>
      <c r="H756" s="10">
        <f t="shared" si="2"/>
        <v>0.4882575758</v>
      </c>
      <c r="I756" s="10">
        <v>-0.0711</v>
      </c>
      <c r="J756" s="10">
        <v>0.6704</v>
      </c>
      <c r="K756" s="5">
        <f t="shared" si="3"/>
        <v>0</v>
      </c>
    </row>
    <row r="757" ht="15.0" customHeight="1">
      <c r="A757" s="5">
        <v>2024.0</v>
      </c>
      <c r="B757" s="5" t="s">
        <v>143</v>
      </c>
      <c r="C757" s="5" t="s">
        <v>256</v>
      </c>
      <c r="D757" s="5" t="s">
        <v>260</v>
      </c>
      <c r="E757" s="5">
        <v>1648.0</v>
      </c>
      <c r="F757" s="5">
        <v>1789.0</v>
      </c>
      <c r="G757" s="5">
        <f t="shared" si="1"/>
        <v>3437</v>
      </c>
      <c r="H757" s="10">
        <f t="shared" si="2"/>
        <v>0.4794879255</v>
      </c>
      <c r="I757" s="10">
        <v>-0.077</v>
      </c>
      <c r="J757" s="10">
        <v>0.8023</v>
      </c>
      <c r="K757" s="5">
        <f t="shared" si="3"/>
        <v>1</v>
      </c>
    </row>
    <row r="758" ht="15.0" customHeight="1">
      <c r="A758" s="5">
        <v>2018.0</v>
      </c>
      <c r="B758" s="5" t="s">
        <v>143</v>
      </c>
      <c r="C758" s="5" t="s">
        <v>256</v>
      </c>
      <c r="D758" s="5" t="s">
        <v>261</v>
      </c>
      <c r="E758" s="5">
        <v>472.0</v>
      </c>
      <c r="F758" s="5">
        <v>494.0</v>
      </c>
      <c r="G758" s="5">
        <f t="shared" si="1"/>
        <v>966</v>
      </c>
      <c r="H758" s="10">
        <f t="shared" si="2"/>
        <v>0.4886128364</v>
      </c>
      <c r="I758" s="10">
        <v>-0.1307</v>
      </c>
      <c r="J758" s="10">
        <v>0.6536</v>
      </c>
      <c r="K758" s="5">
        <f t="shared" si="3"/>
        <v>0</v>
      </c>
    </row>
    <row r="759" ht="15.0" customHeight="1">
      <c r="A759" s="5">
        <v>2020.0</v>
      </c>
      <c r="B759" s="5" t="s">
        <v>143</v>
      </c>
      <c r="C759" s="5" t="s">
        <v>256</v>
      </c>
      <c r="D759" s="5" t="s">
        <v>261</v>
      </c>
      <c r="E759" s="5">
        <v>629.0</v>
      </c>
      <c r="F759" s="5">
        <v>702.0</v>
      </c>
      <c r="G759" s="5">
        <f t="shared" si="1"/>
        <v>1331</v>
      </c>
      <c r="H759" s="10">
        <f t="shared" si="2"/>
        <v>0.4725770098</v>
      </c>
      <c r="I759" s="10">
        <v>-0.0834</v>
      </c>
      <c r="J759" s="10">
        <v>0.8226</v>
      </c>
      <c r="K759" s="5">
        <f t="shared" si="3"/>
        <v>1</v>
      </c>
    </row>
    <row r="760" ht="15.0" customHeight="1">
      <c r="A760" s="5">
        <v>2022.0</v>
      </c>
      <c r="B760" s="5" t="s">
        <v>143</v>
      </c>
      <c r="C760" s="5" t="s">
        <v>256</v>
      </c>
      <c r="D760" s="5" t="s">
        <v>261</v>
      </c>
      <c r="E760" s="5">
        <v>559.0</v>
      </c>
      <c r="F760" s="5">
        <v>520.0</v>
      </c>
      <c r="G760" s="5">
        <f t="shared" si="1"/>
        <v>1079</v>
      </c>
      <c r="H760" s="10">
        <f t="shared" si="2"/>
        <v>0.5180722892</v>
      </c>
      <c r="I760" s="10">
        <v>-0.0626</v>
      </c>
      <c r="J760" s="10">
        <v>0.6685</v>
      </c>
      <c r="K760" s="5">
        <f t="shared" si="3"/>
        <v>0</v>
      </c>
    </row>
    <row r="761" ht="15.0" customHeight="1">
      <c r="A761" s="5">
        <v>2024.0</v>
      </c>
      <c r="B761" s="5" t="s">
        <v>143</v>
      </c>
      <c r="C761" s="5" t="s">
        <v>256</v>
      </c>
      <c r="D761" s="5" t="s">
        <v>261</v>
      </c>
      <c r="E761" s="5">
        <v>683.0</v>
      </c>
      <c r="F761" s="5">
        <v>663.0</v>
      </c>
      <c r="G761" s="5">
        <f t="shared" si="1"/>
        <v>1346</v>
      </c>
      <c r="H761" s="10">
        <f t="shared" si="2"/>
        <v>0.5074294205</v>
      </c>
      <c r="I761" s="10">
        <v>-0.0759</v>
      </c>
      <c r="J761" s="10">
        <v>0.7983</v>
      </c>
      <c r="K761" s="5">
        <f t="shared" si="3"/>
        <v>1</v>
      </c>
    </row>
    <row r="762" ht="15.0" customHeight="1">
      <c r="A762" s="5">
        <v>2018.0</v>
      </c>
      <c r="B762" s="5" t="s">
        <v>143</v>
      </c>
      <c r="C762" s="5" t="s">
        <v>256</v>
      </c>
      <c r="D762" s="5" t="s">
        <v>262</v>
      </c>
      <c r="E762" s="5">
        <v>505.0</v>
      </c>
      <c r="F762" s="5">
        <v>403.0</v>
      </c>
      <c r="G762" s="5">
        <f t="shared" si="1"/>
        <v>908</v>
      </c>
      <c r="H762" s="10">
        <f t="shared" si="2"/>
        <v>0.5561674009</v>
      </c>
      <c r="I762" s="10">
        <v>-0.071</v>
      </c>
      <c r="J762" s="10">
        <v>0.6886</v>
      </c>
      <c r="K762" s="5">
        <f t="shared" si="3"/>
        <v>0</v>
      </c>
    </row>
    <row r="763" ht="15.0" customHeight="1">
      <c r="A763" s="5">
        <v>2020.0</v>
      </c>
      <c r="B763" s="5" t="s">
        <v>143</v>
      </c>
      <c r="C763" s="5" t="s">
        <v>256</v>
      </c>
      <c r="D763" s="5" t="s">
        <v>262</v>
      </c>
      <c r="E763" s="5">
        <v>620.0</v>
      </c>
      <c r="F763" s="5">
        <v>587.0</v>
      </c>
      <c r="G763" s="5">
        <f t="shared" si="1"/>
        <v>1207</v>
      </c>
      <c r="H763" s="10">
        <f t="shared" si="2"/>
        <v>0.5136702568</v>
      </c>
      <c r="I763" s="10">
        <v>-0.0452</v>
      </c>
      <c r="J763" s="10">
        <v>0.8518</v>
      </c>
      <c r="K763" s="5">
        <f t="shared" si="3"/>
        <v>1</v>
      </c>
    </row>
    <row r="764" ht="15.0" customHeight="1">
      <c r="A764" s="5">
        <v>2022.0</v>
      </c>
      <c r="B764" s="5" t="s">
        <v>143</v>
      </c>
      <c r="C764" s="5" t="s">
        <v>256</v>
      </c>
      <c r="D764" s="5" t="s">
        <v>262</v>
      </c>
      <c r="E764" s="5">
        <v>582.0</v>
      </c>
      <c r="F764" s="5">
        <v>487.0</v>
      </c>
      <c r="G764" s="5">
        <f t="shared" si="1"/>
        <v>1069</v>
      </c>
      <c r="H764" s="10">
        <f t="shared" si="2"/>
        <v>0.5444340505</v>
      </c>
      <c r="I764" s="10">
        <v>-0.0418</v>
      </c>
      <c r="J764" s="10">
        <v>0.7317</v>
      </c>
      <c r="K764" s="5">
        <f t="shared" si="3"/>
        <v>0</v>
      </c>
    </row>
    <row r="765" ht="15.0" customHeight="1">
      <c r="A765" s="5">
        <v>2024.0</v>
      </c>
      <c r="B765" s="5" t="s">
        <v>143</v>
      </c>
      <c r="C765" s="5" t="s">
        <v>256</v>
      </c>
      <c r="D765" s="5" t="s">
        <v>262</v>
      </c>
      <c r="E765" s="5">
        <v>648.0</v>
      </c>
      <c r="F765" s="5">
        <v>583.0</v>
      </c>
      <c r="G765" s="5">
        <f t="shared" si="1"/>
        <v>1231</v>
      </c>
      <c r="H765" s="10">
        <f t="shared" si="2"/>
        <v>0.5264012998</v>
      </c>
      <c r="I765" s="10">
        <v>-0.0565</v>
      </c>
      <c r="J765" s="10">
        <v>0.8374</v>
      </c>
      <c r="K765" s="5">
        <f t="shared" si="3"/>
        <v>1</v>
      </c>
    </row>
    <row r="766" ht="15.0" customHeight="1">
      <c r="A766" s="5">
        <v>2018.0</v>
      </c>
      <c r="B766" s="5" t="s">
        <v>143</v>
      </c>
      <c r="C766" s="5" t="s">
        <v>263</v>
      </c>
      <c r="D766" s="5" t="s">
        <v>264</v>
      </c>
      <c r="E766" s="5">
        <v>149.0</v>
      </c>
      <c r="F766" s="5">
        <v>312.0</v>
      </c>
      <c r="G766" s="5">
        <f t="shared" si="1"/>
        <v>461</v>
      </c>
      <c r="H766" s="10">
        <f t="shared" si="2"/>
        <v>0.3232104121</v>
      </c>
      <c r="I766" s="10">
        <v>-0.1702</v>
      </c>
      <c r="J766" s="10">
        <v>0.5895</v>
      </c>
      <c r="K766" s="5">
        <f t="shared" si="3"/>
        <v>0</v>
      </c>
    </row>
    <row r="767" ht="15.0" customHeight="1">
      <c r="A767" s="5">
        <v>2020.0</v>
      </c>
      <c r="B767" s="5" t="s">
        <v>143</v>
      </c>
      <c r="C767" s="5" t="s">
        <v>263</v>
      </c>
      <c r="D767" s="5" t="s">
        <v>264</v>
      </c>
      <c r="E767" s="5">
        <v>217.0</v>
      </c>
      <c r="F767" s="5">
        <v>510.0</v>
      </c>
      <c r="G767" s="5">
        <f t="shared" si="1"/>
        <v>727</v>
      </c>
      <c r="H767" s="10">
        <f t="shared" si="2"/>
        <v>0.2984869326</v>
      </c>
      <c r="I767" s="10">
        <v>-0.2258</v>
      </c>
      <c r="J767" s="10">
        <v>0.829</v>
      </c>
      <c r="K767" s="5">
        <f t="shared" si="3"/>
        <v>1</v>
      </c>
    </row>
    <row r="768" ht="15.0" customHeight="1">
      <c r="A768" s="5">
        <v>2022.0</v>
      </c>
      <c r="B768" s="5" t="s">
        <v>143</v>
      </c>
      <c r="C768" s="5" t="s">
        <v>263</v>
      </c>
      <c r="D768" s="5" t="s">
        <v>264</v>
      </c>
      <c r="E768" s="5">
        <v>188.0</v>
      </c>
      <c r="F768" s="5">
        <v>395.0</v>
      </c>
      <c r="G768" s="5">
        <f t="shared" si="1"/>
        <v>583</v>
      </c>
      <c r="H768" s="10">
        <f t="shared" si="2"/>
        <v>0.3224699828</v>
      </c>
      <c r="I768" s="10">
        <v>-0.2342</v>
      </c>
      <c r="J768" s="10">
        <v>0.6471</v>
      </c>
      <c r="K768" s="5">
        <f t="shared" si="3"/>
        <v>0</v>
      </c>
    </row>
    <row r="769" ht="15.0" customHeight="1">
      <c r="A769" s="5">
        <v>2024.0</v>
      </c>
      <c r="B769" s="5" t="s">
        <v>143</v>
      </c>
      <c r="C769" s="5" t="s">
        <v>263</v>
      </c>
      <c r="D769" s="5" t="s">
        <v>264</v>
      </c>
      <c r="E769" s="5">
        <v>243.0</v>
      </c>
      <c r="F769" s="5">
        <v>532.0</v>
      </c>
      <c r="G769" s="5">
        <f t="shared" si="1"/>
        <v>775</v>
      </c>
      <c r="H769" s="10">
        <f t="shared" si="2"/>
        <v>0.3135483871</v>
      </c>
      <c r="I769" s="10">
        <v>-0.2606</v>
      </c>
      <c r="J769" s="10">
        <v>0.821</v>
      </c>
      <c r="K769" s="5">
        <f t="shared" si="3"/>
        <v>1</v>
      </c>
    </row>
    <row r="770" ht="15.0" customHeight="1">
      <c r="A770" s="5">
        <v>2018.0</v>
      </c>
      <c r="B770" s="5" t="s">
        <v>143</v>
      </c>
      <c r="C770" s="5" t="s">
        <v>263</v>
      </c>
      <c r="D770" s="5" t="s">
        <v>265</v>
      </c>
      <c r="E770" s="5">
        <v>590.0</v>
      </c>
      <c r="F770" s="5">
        <v>1006.0</v>
      </c>
      <c r="G770" s="5">
        <f t="shared" si="1"/>
        <v>1596</v>
      </c>
      <c r="H770" s="10">
        <f t="shared" si="2"/>
        <v>0.3696741855</v>
      </c>
      <c r="I770" s="10">
        <v>-0.1451</v>
      </c>
      <c r="J770" s="10">
        <v>0.5933</v>
      </c>
      <c r="K770" s="5">
        <f t="shared" si="3"/>
        <v>0</v>
      </c>
    </row>
    <row r="771" ht="15.0" customHeight="1">
      <c r="A771" s="5">
        <v>2020.0</v>
      </c>
      <c r="B771" s="5" t="s">
        <v>143</v>
      </c>
      <c r="C771" s="5" t="s">
        <v>263</v>
      </c>
      <c r="D771" s="5" t="s">
        <v>265</v>
      </c>
      <c r="E771" s="5">
        <v>804.0</v>
      </c>
      <c r="F771" s="5">
        <v>1644.0</v>
      </c>
      <c r="G771" s="5">
        <f t="shared" si="1"/>
        <v>2448</v>
      </c>
      <c r="H771" s="10">
        <f t="shared" si="2"/>
        <v>0.3284313725</v>
      </c>
      <c r="I771" s="10">
        <v>-0.1748</v>
      </c>
      <c r="J771" s="10">
        <v>0.8045</v>
      </c>
      <c r="K771" s="5">
        <f t="shared" si="3"/>
        <v>1</v>
      </c>
    </row>
    <row r="772" ht="15.0" customHeight="1">
      <c r="A772" s="5">
        <v>2022.0</v>
      </c>
      <c r="B772" s="5" t="s">
        <v>143</v>
      </c>
      <c r="C772" s="5" t="s">
        <v>263</v>
      </c>
      <c r="D772" s="5" t="s">
        <v>265</v>
      </c>
      <c r="E772" s="5">
        <v>697.0</v>
      </c>
      <c r="F772" s="5">
        <v>1216.0</v>
      </c>
      <c r="G772" s="5">
        <f t="shared" si="1"/>
        <v>1913</v>
      </c>
      <c r="H772" s="10">
        <f t="shared" si="2"/>
        <v>0.3643491898</v>
      </c>
      <c r="I772" s="10">
        <v>-0.2089</v>
      </c>
      <c r="J772" s="10">
        <v>0.6415</v>
      </c>
      <c r="K772" s="5">
        <f t="shared" si="3"/>
        <v>0</v>
      </c>
    </row>
    <row r="773" ht="15.0" customHeight="1">
      <c r="A773" s="5">
        <v>2024.0</v>
      </c>
      <c r="B773" s="5" t="s">
        <v>143</v>
      </c>
      <c r="C773" s="5" t="s">
        <v>263</v>
      </c>
      <c r="D773" s="5" t="s">
        <v>265</v>
      </c>
      <c r="E773" s="5">
        <v>841.0</v>
      </c>
      <c r="F773" s="5">
        <v>1653.0</v>
      </c>
      <c r="G773" s="5">
        <f t="shared" si="1"/>
        <v>2494</v>
      </c>
      <c r="H773" s="10">
        <f t="shared" si="2"/>
        <v>0.3372093023</v>
      </c>
      <c r="I773" s="10">
        <v>-0.2587</v>
      </c>
      <c r="J773" s="10">
        <v>0.8095</v>
      </c>
      <c r="K773" s="5">
        <f t="shared" si="3"/>
        <v>1</v>
      </c>
    </row>
    <row r="774" ht="15.0" customHeight="1">
      <c r="A774" s="5">
        <v>2018.0</v>
      </c>
      <c r="B774" s="5" t="s">
        <v>143</v>
      </c>
      <c r="C774" s="5" t="s">
        <v>263</v>
      </c>
      <c r="D774" s="5" t="s">
        <v>266</v>
      </c>
      <c r="E774" s="5">
        <v>136.0</v>
      </c>
      <c r="F774" s="5">
        <v>274.0</v>
      </c>
      <c r="G774" s="5">
        <f t="shared" si="1"/>
        <v>410</v>
      </c>
      <c r="H774" s="10">
        <f t="shared" si="2"/>
        <v>0.3317073171</v>
      </c>
      <c r="I774" s="10">
        <v>-0.2209</v>
      </c>
      <c r="J774" s="10">
        <v>0.5705</v>
      </c>
      <c r="K774" s="5">
        <f t="shared" si="3"/>
        <v>0</v>
      </c>
    </row>
    <row r="775" ht="15.0" customHeight="1">
      <c r="A775" s="5">
        <v>2020.0</v>
      </c>
      <c r="B775" s="5" t="s">
        <v>143</v>
      </c>
      <c r="C775" s="5" t="s">
        <v>263</v>
      </c>
      <c r="D775" s="5" t="s">
        <v>266</v>
      </c>
      <c r="E775" s="5">
        <v>210.0</v>
      </c>
      <c r="F775" s="5">
        <v>424.0</v>
      </c>
      <c r="G775" s="5">
        <f t="shared" si="1"/>
        <v>634</v>
      </c>
      <c r="H775" s="10">
        <f t="shared" si="2"/>
        <v>0.3312302839</v>
      </c>
      <c r="I775" s="10">
        <v>-0.2603</v>
      </c>
      <c r="J775" s="10">
        <v>0.8128</v>
      </c>
      <c r="K775" s="5">
        <f t="shared" si="3"/>
        <v>1</v>
      </c>
    </row>
    <row r="776" ht="15.0" customHeight="1">
      <c r="A776" s="5">
        <v>2022.0</v>
      </c>
      <c r="B776" s="5" t="s">
        <v>143</v>
      </c>
      <c r="C776" s="5" t="s">
        <v>263</v>
      </c>
      <c r="D776" s="5" t="s">
        <v>266</v>
      </c>
      <c r="E776" s="5">
        <v>169.0</v>
      </c>
      <c r="F776" s="5">
        <v>341.0</v>
      </c>
      <c r="G776" s="5">
        <f t="shared" si="1"/>
        <v>510</v>
      </c>
      <c r="H776" s="10">
        <f t="shared" si="2"/>
        <v>0.331372549</v>
      </c>
      <c r="I776" s="10">
        <v>-0.3225</v>
      </c>
      <c r="J776" s="10">
        <v>0.6606</v>
      </c>
      <c r="K776" s="5">
        <f t="shared" si="3"/>
        <v>0</v>
      </c>
    </row>
    <row r="777" ht="15.0" customHeight="1">
      <c r="A777" s="5">
        <v>2024.0</v>
      </c>
      <c r="B777" s="5" t="s">
        <v>143</v>
      </c>
      <c r="C777" s="5" t="s">
        <v>263</v>
      </c>
      <c r="D777" s="5" t="s">
        <v>266</v>
      </c>
      <c r="E777" s="5">
        <v>182.0</v>
      </c>
      <c r="F777" s="5">
        <v>484.0</v>
      </c>
      <c r="G777" s="5">
        <f t="shared" si="1"/>
        <v>666</v>
      </c>
      <c r="H777" s="10">
        <f t="shared" si="2"/>
        <v>0.2732732733</v>
      </c>
      <c r="I777" s="10">
        <v>-0.372</v>
      </c>
      <c r="J777" s="10">
        <v>0.8043</v>
      </c>
      <c r="K777" s="5">
        <f t="shared" si="3"/>
        <v>1</v>
      </c>
    </row>
    <row r="778" ht="15.0" customHeight="1">
      <c r="A778" s="5">
        <v>2018.0</v>
      </c>
      <c r="B778" s="5" t="s">
        <v>143</v>
      </c>
      <c r="C778" s="5" t="s">
        <v>267</v>
      </c>
      <c r="D778" s="5" t="s">
        <v>268</v>
      </c>
      <c r="E778" s="5">
        <v>822.0</v>
      </c>
      <c r="F778" s="5">
        <v>1519.0</v>
      </c>
      <c r="G778" s="5">
        <f t="shared" si="1"/>
        <v>2341</v>
      </c>
      <c r="H778" s="10">
        <f t="shared" si="2"/>
        <v>0.3511319949</v>
      </c>
      <c r="I778" s="10">
        <v>-0.2723</v>
      </c>
      <c r="J778" s="10">
        <v>0.6842</v>
      </c>
      <c r="K778" s="5">
        <f t="shared" si="3"/>
        <v>0</v>
      </c>
    </row>
    <row r="779" ht="15.0" customHeight="1">
      <c r="A779" s="5">
        <v>2020.0</v>
      </c>
      <c r="B779" s="5" t="s">
        <v>143</v>
      </c>
      <c r="C779" s="5" t="s">
        <v>267</v>
      </c>
      <c r="D779" s="5" t="s">
        <v>268</v>
      </c>
      <c r="E779" s="5">
        <v>1073.0</v>
      </c>
      <c r="F779" s="5">
        <v>2156.0</v>
      </c>
      <c r="G779" s="5">
        <f t="shared" si="1"/>
        <v>3229</v>
      </c>
      <c r="H779" s="10">
        <f t="shared" si="2"/>
        <v>0.332301022</v>
      </c>
      <c r="I779" s="10">
        <v>-0.2807</v>
      </c>
      <c r="J779" s="10">
        <v>0.8592</v>
      </c>
      <c r="K779" s="5">
        <f t="shared" si="3"/>
        <v>1</v>
      </c>
    </row>
    <row r="780" ht="15.0" customHeight="1">
      <c r="A780" s="5">
        <v>2022.0</v>
      </c>
      <c r="B780" s="5" t="s">
        <v>143</v>
      </c>
      <c r="C780" s="5" t="s">
        <v>267</v>
      </c>
      <c r="D780" s="5" t="s">
        <v>268</v>
      </c>
      <c r="E780" s="5">
        <v>981.0</v>
      </c>
      <c r="F780" s="5">
        <v>1711.0</v>
      </c>
      <c r="G780" s="5">
        <f t="shared" si="1"/>
        <v>2692</v>
      </c>
      <c r="H780" s="10">
        <f t="shared" si="2"/>
        <v>0.3644130758</v>
      </c>
      <c r="I780" s="10">
        <v>-0.2921</v>
      </c>
      <c r="J780" s="10">
        <v>0.709</v>
      </c>
      <c r="K780" s="5">
        <f t="shared" si="3"/>
        <v>0</v>
      </c>
    </row>
    <row r="781" ht="15.0" customHeight="1">
      <c r="A781" s="5">
        <v>2024.0</v>
      </c>
      <c r="B781" s="5" t="s">
        <v>143</v>
      </c>
      <c r="C781" s="5" t="s">
        <v>267</v>
      </c>
      <c r="D781" s="5" t="s">
        <v>268</v>
      </c>
      <c r="E781" s="5">
        <v>1172.0</v>
      </c>
      <c r="F781" s="5">
        <v>2201.0</v>
      </c>
      <c r="G781" s="5">
        <f t="shared" si="1"/>
        <v>3373</v>
      </c>
      <c r="H781" s="10">
        <f t="shared" si="2"/>
        <v>0.3474651645</v>
      </c>
      <c r="I781" s="10">
        <v>-0.3261</v>
      </c>
      <c r="J781" s="10">
        <v>0.8581</v>
      </c>
      <c r="K781" s="5">
        <f t="shared" si="3"/>
        <v>1</v>
      </c>
    </row>
    <row r="782" ht="15.0" customHeight="1">
      <c r="A782" s="5">
        <v>2018.0</v>
      </c>
      <c r="B782" s="5" t="s">
        <v>143</v>
      </c>
      <c r="C782" s="5" t="s">
        <v>269</v>
      </c>
      <c r="D782" s="5" t="s">
        <v>270</v>
      </c>
      <c r="E782" s="5">
        <v>626.0</v>
      </c>
      <c r="F782" s="5">
        <v>318.0</v>
      </c>
      <c r="G782" s="5">
        <f t="shared" si="1"/>
        <v>944</v>
      </c>
      <c r="H782" s="10">
        <f t="shared" si="2"/>
        <v>0.6631355932</v>
      </c>
      <c r="I782" s="10">
        <v>0.3071</v>
      </c>
      <c r="J782" s="10">
        <v>0.4903</v>
      </c>
      <c r="K782" s="5">
        <f t="shared" si="3"/>
        <v>0</v>
      </c>
    </row>
    <row r="783" ht="15.0" customHeight="1">
      <c r="A783" s="5">
        <v>2020.0</v>
      </c>
      <c r="B783" s="5" t="s">
        <v>143</v>
      </c>
      <c r="C783" s="5" t="s">
        <v>269</v>
      </c>
      <c r="D783" s="5" t="s">
        <v>270</v>
      </c>
      <c r="E783" s="5">
        <v>918.0</v>
      </c>
      <c r="F783" s="5">
        <v>541.0</v>
      </c>
      <c r="G783" s="5">
        <f t="shared" si="1"/>
        <v>1459</v>
      </c>
      <c r="H783" s="10">
        <f t="shared" si="2"/>
        <v>0.6291980809</v>
      </c>
      <c r="I783" s="10">
        <v>0.2919</v>
      </c>
      <c r="J783" s="10">
        <v>0.6902</v>
      </c>
      <c r="K783" s="5">
        <f t="shared" si="3"/>
        <v>1</v>
      </c>
    </row>
    <row r="784" ht="15.0" customHeight="1">
      <c r="A784" s="5">
        <v>2022.0</v>
      </c>
      <c r="B784" s="5" t="s">
        <v>143</v>
      </c>
      <c r="C784" s="5" t="s">
        <v>269</v>
      </c>
      <c r="D784" s="5" t="s">
        <v>270</v>
      </c>
      <c r="E784" s="5">
        <v>613.0</v>
      </c>
      <c r="F784" s="5">
        <v>381.0</v>
      </c>
      <c r="G784" s="5">
        <f t="shared" si="1"/>
        <v>994</v>
      </c>
      <c r="H784" s="10">
        <f t="shared" si="2"/>
        <v>0.6167002012</v>
      </c>
      <c r="I784" s="10">
        <v>0.3232</v>
      </c>
      <c r="J784" s="10">
        <v>0.4738</v>
      </c>
      <c r="K784" s="5">
        <f t="shared" si="3"/>
        <v>0</v>
      </c>
    </row>
    <row r="785" ht="15.0" customHeight="1">
      <c r="A785" s="5">
        <v>2024.0</v>
      </c>
      <c r="B785" s="5" t="s">
        <v>143</v>
      </c>
      <c r="C785" s="5" t="s">
        <v>269</v>
      </c>
      <c r="D785" s="5" t="s">
        <v>270</v>
      </c>
      <c r="E785" s="5">
        <v>871.0</v>
      </c>
      <c r="F785" s="5">
        <v>616.0</v>
      </c>
      <c r="G785" s="5">
        <f t="shared" si="1"/>
        <v>1487</v>
      </c>
      <c r="H785" s="10">
        <f t="shared" si="2"/>
        <v>0.5857431069</v>
      </c>
      <c r="I785" s="10">
        <v>0.254</v>
      </c>
      <c r="J785" s="10">
        <v>0.6674</v>
      </c>
      <c r="K785" s="5">
        <f t="shared" si="3"/>
        <v>1</v>
      </c>
    </row>
    <row r="786" ht="15.0" customHeight="1">
      <c r="A786" s="5">
        <v>2018.0</v>
      </c>
      <c r="B786" s="5" t="s">
        <v>143</v>
      </c>
      <c r="C786" s="5" t="s">
        <v>269</v>
      </c>
      <c r="D786" s="5" t="s">
        <v>271</v>
      </c>
      <c r="E786" s="5">
        <v>234.0</v>
      </c>
      <c r="F786" s="5">
        <v>159.0</v>
      </c>
      <c r="G786" s="5">
        <f t="shared" si="1"/>
        <v>393</v>
      </c>
      <c r="H786" s="10">
        <f t="shared" si="2"/>
        <v>0.5954198473</v>
      </c>
      <c r="I786" s="10">
        <v>0.2914</v>
      </c>
      <c r="J786" s="10">
        <v>0.5608</v>
      </c>
      <c r="K786" s="5">
        <f t="shared" si="3"/>
        <v>0</v>
      </c>
    </row>
    <row r="787" ht="15.0" customHeight="1">
      <c r="A787" s="5">
        <v>2020.0</v>
      </c>
      <c r="B787" s="5" t="s">
        <v>143</v>
      </c>
      <c r="C787" s="5" t="s">
        <v>269</v>
      </c>
      <c r="D787" s="5" t="s">
        <v>271</v>
      </c>
      <c r="E787" s="5">
        <v>308.0</v>
      </c>
      <c r="F787" s="5">
        <v>263.0</v>
      </c>
      <c r="G787" s="5">
        <f t="shared" si="1"/>
        <v>571</v>
      </c>
      <c r="H787" s="10">
        <f t="shared" si="2"/>
        <v>0.5394045534</v>
      </c>
      <c r="I787" s="10">
        <v>0.2428</v>
      </c>
      <c r="J787" s="10">
        <v>0.7493</v>
      </c>
      <c r="K787" s="5">
        <f t="shared" si="3"/>
        <v>1</v>
      </c>
    </row>
    <row r="788" ht="15.0" customHeight="1">
      <c r="A788" s="5">
        <v>2022.0</v>
      </c>
      <c r="B788" s="5" t="s">
        <v>143</v>
      </c>
      <c r="C788" s="5" t="s">
        <v>269</v>
      </c>
      <c r="D788" s="5" t="s">
        <v>271</v>
      </c>
      <c r="E788" s="5">
        <v>219.0</v>
      </c>
      <c r="F788" s="5">
        <v>164.0</v>
      </c>
      <c r="G788" s="5">
        <f t="shared" si="1"/>
        <v>383</v>
      </c>
      <c r="H788" s="10">
        <f t="shared" si="2"/>
        <v>0.5718015666</v>
      </c>
      <c r="I788" s="10">
        <v>0.2237</v>
      </c>
      <c r="J788" s="10">
        <v>0.5225</v>
      </c>
      <c r="K788" s="5">
        <f t="shared" si="3"/>
        <v>0</v>
      </c>
    </row>
    <row r="789" ht="15.0" customHeight="1">
      <c r="A789" s="5">
        <v>2024.0</v>
      </c>
      <c r="B789" s="5" t="s">
        <v>143</v>
      </c>
      <c r="C789" s="5" t="s">
        <v>269</v>
      </c>
      <c r="D789" s="5" t="s">
        <v>271</v>
      </c>
      <c r="E789" s="5">
        <v>305.0</v>
      </c>
      <c r="F789" s="5">
        <v>262.0</v>
      </c>
      <c r="G789" s="5">
        <f t="shared" si="1"/>
        <v>567</v>
      </c>
      <c r="H789" s="10">
        <f t="shared" si="2"/>
        <v>0.5379188713</v>
      </c>
      <c r="I789" s="10">
        <v>0.1875</v>
      </c>
      <c r="J789" s="10">
        <v>0.7383</v>
      </c>
      <c r="K789" s="5">
        <f t="shared" si="3"/>
        <v>1</v>
      </c>
    </row>
    <row r="790" ht="15.0" customHeight="1">
      <c r="A790" s="5">
        <v>2018.0</v>
      </c>
      <c r="B790" s="5" t="s">
        <v>143</v>
      </c>
      <c r="C790" s="5" t="s">
        <v>269</v>
      </c>
      <c r="D790" s="5" t="s">
        <v>272</v>
      </c>
      <c r="E790" s="5">
        <v>359.0</v>
      </c>
      <c r="F790" s="5">
        <v>144.0</v>
      </c>
      <c r="G790" s="5">
        <f t="shared" si="1"/>
        <v>503</v>
      </c>
      <c r="H790" s="10">
        <f t="shared" si="2"/>
        <v>0.7137176938</v>
      </c>
      <c r="I790" s="10">
        <v>0.4449</v>
      </c>
      <c r="J790" s="10">
        <v>0.3862</v>
      </c>
      <c r="K790" s="5">
        <f t="shared" si="3"/>
        <v>0</v>
      </c>
    </row>
    <row r="791" ht="15.0" customHeight="1">
      <c r="A791" s="5">
        <v>2020.0</v>
      </c>
      <c r="B791" s="5" t="s">
        <v>143</v>
      </c>
      <c r="C791" s="5" t="s">
        <v>269</v>
      </c>
      <c r="D791" s="5" t="s">
        <v>272</v>
      </c>
      <c r="E791" s="5">
        <v>601.0</v>
      </c>
      <c r="F791" s="5">
        <v>269.0</v>
      </c>
      <c r="G791" s="5">
        <f t="shared" si="1"/>
        <v>870</v>
      </c>
      <c r="H791" s="10">
        <f t="shared" si="2"/>
        <v>0.6908045977</v>
      </c>
      <c r="I791" s="10">
        <v>0.4405</v>
      </c>
      <c r="J791" s="10">
        <v>0.6017</v>
      </c>
      <c r="K791" s="5">
        <f t="shared" si="3"/>
        <v>1</v>
      </c>
    </row>
    <row r="792" ht="15.0" customHeight="1">
      <c r="A792" s="5">
        <v>2022.0</v>
      </c>
      <c r="B792" s="5" t="s">
        <v>143</v>
      </c>
      <c r="C792" s="5" t="s">
        <v>269</v>
      </c>
      <c r="D792" s="5" t="s">
        <v>272</v>
      </c>
      <c r="E792" s="5">
        <v>356.0</v>
      </c>
      <c r="F792" s="5">
        <v>169.0</v>
      </c>
      <c r="G792" s="5">
        <f t="shared" si="1"/>
        <v>525</v>
      </c>
      <c r="H792" s="10">
        <f t="shared" si="2"/>
        <v>0.6780952381</v>
      </c>
      <c r="I792" s="10">
        <v>0.3923</v>
      </c>
      <c r="J792" s="10">
        <v>0.3671</v>
      </c>
      <c r="K792" s="5">
        <f t="shared" si="3"/>
        <v>0</v>
      </c>
    </row>
    <row r="793" ht="15.0" customHeight="1">
      <c r="A793" s="5">
        <v>2024.0</v>
      </c>
      <c r="B793" s="5" t="s">
        <v>143</v>
      </c>
      <c r="C793" s="5" t="s">
        <v>269</v>
      </c>
      <c r="D793" s="5" t="s">
        <v>272</v>
      </c>
      <c r="E793" s="5">
        <v>535.0</v>
      </c>
      <c r="F793" s="5">
        <v>364.0</v>
      </c>
      <c r="G793" s="5">
        <f t="shared" si="1"/>
        <v>899</v>
      </c>
      <c r="H793" s="10">
        <f t="shared" si="2"/>
        <v>0.595105673</v>
      </c>
      <c r="I793" s="10">
        <v>0.2946</v>
      </c>
      <c r="J793" s="10">
        <v>0.6034</v>
      </c>
      <c r="K793" s="5">
        <f t="shared" si="3"/>
        <v>1</v>
      </c>
    </row>
    <row r="794" ht="15.0" customHeight="1">
      <c r="A794" s="5">
        <v>2018.0</v>
      </c>
      <c r="B794" s="5" t="s">
        <v>143</v>
      </c>
      <c r="C794" s="5" t="s">
        <v>269</v>
      </c>
      <c r="D794" s="5" t="s">
        <v>273</v>
      </c>
      <c r="E794" s="5">
        <v>362.0</v>
      </c>
      <c r="F794" s="5">
        <v>257.0</v>
      </c>
      <c r="G794" s="5">
        <f t="shared" si="1"/>
        <v>619</v>
      </c>
      <c r="H794" s="10">
        <f t="shared" si="2"/>
        <v>0.5848142165</v>
      </c>
      <c r="I794" s="10">
        <v>0.2385</v>
      </c>
      <c r="J794" s="10">
        <v>0.5198</v>
      </c>
      <c r="K794" s="5">
        <f t="shared" si="3"/>
        <v>0</v>
      </c>
    </row>
    <row r="795" ht="15.0" customHeight="1">
      <c r="A795" s="5">
        <v>2020.0</v>
      </c>
      <c r="B795" s="5" t="s">
        <v>143</v>
      </c>
      <c r="C795" s="5" t="s">
        <v>269</v>
      </c>
      <c r="D795" s="5" t="s">
        <v>273</v>
      </c>
      <c r="E795" s="5">
        <v>510.0</v>
      </c>
      <c r="F795" s="5">
        <v>445.0</v>
      </c>
      <c r="G795" s="5">
        <f t="shared" si="1"/>
        <v>955</v>
      </c>
      <c r="H795" s="10">
        <f t="shared" si="2"/>
        <v>0.5340314136</v>
      </c>
      <c r="I795" s="10">
        <v>0.2056</v>
      </c>
      <c r="J795" s="10">
        <v>0.7012</v>
      </c>
      <c r="K795" s="5">
        <f t="shared" si="3"/>
        <v>1</v>
      </c>
    </row>
    <row r="796" ht="15.0" customHeight="1">
      <c r="A796" s="5">
        <v>2022.0</v>
      </c>
      <c r="B796" s="5" t="s">
        <v>143</v>
      </c>
      <c r="C796" s="5" t="s">
        <v>269</v>
      </c>
      <c r="D796" s="5" t="s">
        <v>273</v>
      </c>
      <c r="E796" s="5">
        <v>392.0</v>
      </c>
      <c r="F796" s="5">
        <v>296.0</v>
      </c>
      <c r="G796" s="5">
        <f t="shared" si="1"/>
        <v>688</v>
      </c>
      <c r="H796" s="10">
        <f t="shared" si="2"/>
        <v>0.5697674419</v>
      </c>
      <c r="I796" s="10">
        <v>0.1869</v>
      </c>
      <c r="J796" s="10">
        <v>0.5104</v>
      </c>
      <c r="K796" s="5">
        <f t="shared" si="3"/>
        <v>0</v>
      </c>
    </row>
    <row r="797" ht="15.0" customHeight="1">
      <c r="A797" s="5">
        <v>2024.0</v>
      </c>
      <c r="B797" s="5" t="s">
        <v>143</v>
      </c>
      <c r="C797" s="5" t="s">
        <v>269</v>
      </c>
      <c r="D797" s="5" t="s">
        <v>273</v>
      </c>
      <c r="E797" s="5">
        <v>564.0</v>
      </c>
      <c r="F797" s="5">
        <v>451.0</v>
      </c>
      <c r="G797" s="5">
        <f t="shared" si="1"/>
        <v>1015</v>
      </c>
      <c r="H797" s="10">
        <f t="shared" si="2"/>
        <v>0.5556650246</v>
      </c>
      <c r="I797" s="10">
        <v>0.1798</v>
      </c>
      <c r="J797" s="10">
        <v>0.736</v>
      </c>
      <c r="K797" s="5">
        <f t="shared" si="3"/>
        <v>1</v>
      </c>
    </row>
    <row r="798" ht="15.0" customHeight="1">
      <c r="A798" s="5">
        <v>2018.0</v>
      </c>
      <c r="B798" s="5" t="s">
        <v>143</v>
      </c>
      <c r="C798" s="5" t="s">
        <v>269</v>
      </c>
      <c r="D798" s="5" t="s">
        <v>274</v>
      </c>
      <c r="E798" s="5">
        <v>222.0</v>
      </c>
      <c r="F798" s="5">
        <v>172.0</v>
      </c>
      <c r="G798" s="5">
        <f t="shared" si="1"/>
        <v>394</v>
      </c>
      <c r="H798" s="10">
        <f t="shared" si="2"/>
        <v>0.5634517766</v>
      </c>
      <c r="I798" s="10">
        <v>0.2623</v>
      </c>
      <c r="J798" s="10">
        <v>0.5642</v>
      </c>
      <c r="K798" s="5">
        <f t="shared" si="3"/>
        <v>0</v>
      </c>
    </row>
    <row r="799" ht="15.0" customHeight="1">
      <c r="A799" s="5">
        <v>2020.0</v>
      </c>
      <c r="B799" s="5" t="s">
        <v>143</v>
      </c>
      <c r="C799" s="5" t="s">
        <v>269</v>
      </c>
      <c r="D799" s="5" t="s">
        <v>274</v>
      </c>
      <c r="E799" s="5">
        <v>275.0</v>
      </c>
      <c r="F799" s="5">
        <v>301.0</v>
      </c>
      <c r="G799" s="5">
        <f t="shared" si="1"/>
        <v>576</v>
      </c>
      <c r="H799" s="10">
        <f t="shared" si="2"/>
        <v>0.4774305556</v>
      </c>
      <c r="I799" s="10">
        <v>0.169</v>
      </c>
      <c r="J799" s="10">
        <v>0.7319</v>
      </c>
      <c r="K799" s="5">
        <f t="shared" si="3"/>
        <v>1</v>
      </c>
    </row>
    <row r="800" ht="15.0" customHeight="1">
      <c r="A800" s="5">
        <v>2022.0</v>
      </c>
      <c r="B800" s="5" t="s">
        <v>143</v>
      </c>
      <c r="C800" s="5" t="s">
        <v>269</v>
      </c>
      <c r="D800" s="5" t="s">
        <v>274</v>
      </c>
      <c r="E800" s="5">
        <v>212.0</v>
      </c>
      <c r="F800" s="5">
        <v>217.0</v>
      </c>
      <c r="G800" s="5">
        <f t="shared" si="1"/>
        <v>429</v>
      </c>
      <c r="H800" s="10">
        <f t="shared" si="2"/>
        <v>0.4941724942</v>
      </c>
      <c r="I800" s="10">
        <v>0.1496</v>
      </c>
      <c r="J800" s="10">
        <v>0.563</v>
      </c>
      <c r="K800" s="5">
        <f t="shared" si="3"/>
        <v>0</v>
      </c>
    </row>
    <row r="801" ht="15.0" customHeight="1">
      <c r="A801" s="5">
        <v>2024.0</v>
      </c>
      <c r="B801" s="5" t="s">
        <v>143</v>
      </c>
      <c r="C801" s="5" t="s">
        <v>269</v>
      </c>
      <c r="D801" s="5" t="s">
        <v>274</v>
      </c>
      <c r="E801" s="5">
        <v>279.0</v>
      </c>
      <c r="F801" s="5">
        <v>318.0</v>
      </c>
      <c r="G801" s="5">
        <f t="shared" si="1"/>
        <v>597</v>
      </c>
      <c r="H801" s="10">
        <f t="shared" si="2"/>
        <v>0.4673366834</v>
      </c>
      <c r="I801" s="10">
        <v>0.0489</v>
      </c>
      <c r="J801" s="10">
        <v>0.7491</v>
      </c>
      <c r="K801" s="5">
        <f t="shared" si="3"/>
        <v>1</v>
      </c>
    </row>
    <row r="802" ht="15.0" customHeight="1">
      <c r="A802" s="5">
        <v>2018.0</v>
      </c>
      <c r="B802" s="5" t="s">
        <v>143</v>
      </c>
      <c r="C802" s="5" t="s">
        <v>269</v>
      </c>
      <c r="D802" s="5" t="s">
        <v>275</v>
      </c>
      <c r="E802" s="5">
        <v>364.0</v>
      </c>
      <c r="F802" s="5">
        <v>269.0</v>
      </c>
      <c r="G802" s="5">
        <f t="shared" si="1"/>
        <v>633</v>
      </c>
      <c r="H802" s="10">
        <f t="shared" si="2"/>
        <v>0.5750394945</v>
      </c>
      <c r="I802" s="10">
        <v>0.2453</v>
      </c>
      <c r="J802" s="10">
        <v>0.5101</v>
      </c>
      <c r="K802" s="5">
        <f t="shared" si="3"/>
        <v>0</v>
      </c>
    </row>
    <row r="803" ht="15.0" customHeight="1">
      <c r="A803" s="5">
        <v>2020.0</v>
      </c>
      <c r="B803" s="5" t="s">
        <v>143</v>
      </c>
      <c r="C803" s="5" t="s">
        <v>269</v>
      </c>
      <c r="D803" s="5" t="s">
        <v>275</v>
      </c>
      <c r="E803" s="5">
        <v>586.0</v>
      </c>
      <c r="F803" s="5">
        <v>475.0</v>
      </c>
      <c r="G803" s="5">
        <f t="shared" si="1"/>
        <v>1061</v>
      </c>
      <c r="H803" s="10">
        <f t="shared" si="2"/>
        <v>0.5523091423</v>
      </c>
      <c r="I803" s="10">
        <v>0.1995</v>
      </c>
      <c r="J803" s="10">
        <v>0.7126</v>
      </c>
      <c r="K803" s="5">
        <f t="shared" si="3"/>
        <v>1</v>
      </c>
    </row>
    <row r="804" ht="15.0" customHeight="1">
      <c r="A804" s="5">
        <v>2022.0</v>
      </c>
      <c r="B804" s="5" t="s">
        <v>143</v>
      </c>
      <c r="C804" s="5" t="s">
        <v>269</v>
      </c>
      <c r="D804" s="5" t="s">
        <v>275</v>
      </c>
      <c r="E804" s="5">
        <v>399.0</v>
      </c>
      <c r="F804" s="5">
        <v>329.0</v>
      </c>
      <c r="G804" s="5">
        <f t="shared" si="1"/>
        <v>728</v>
      </c>
      <c r="H804" s="10">
        <f t="shared" si="2"/>
        <v>0.5480769231</v>
      </c>
      <c r="I804" s="10">
        <v>0.1865</v>
      </c>
      <c r="J804" s="10">
        <v>0.4956</v>
      </c>
      <c r="K804" s="5">
        <f t="shared" si="3"/>
        <v>0</v>
      </c>
    </row>
    <row r="805" ht="15.0" customHeight="1">
      <c r="A805" s="5">
        <v>2024.0</v>
      </c>
      <c r="B805" s="5" t="s">
        <v>143</v>
      </c>
      <c r="C805" s="5" t="s">
        <v>269</v>
      </c>
      <c r="D805" s="5" t="s">
        <v>275</v>
      </c>
      <c r="E805" s="5">
        <v>571.0</v>
      </c>
      <c r="F805" s="5">
        <v>544.0</v>
      </c>
      <c r="G805" s="5">
        <f t="shared" si="1"/>
        <v>1115</v>
      </c>
      <c r="H805" s="10">
        <f t="shared" si="2"/>
        <v>0.5121076233</v>
      </c>
      <c r="I805" s="10">
        <v>0.1157</v>
      </c>
      <c r="J805" s="10">
        <v>0.7013</v>
      </c>
      <c r="K805" s="5">
        <f t="shared" si="3"/>
        <v>1</v>
      </c>
    </row>
    <row r="806" ht="15.0" customHeight="1">
      <c r="A806" s="5">
        <v>2018.0</v>
      </c>
      <c r="B806" s="5" t="s">
        <v>143</v>
      </c>
      <c r="C806" s="5" t="s">
        <v>269</v>
      </c>
      <c r="D806" s="5" t="s">
        <v>276</v>
      </c>
      <c r="E806" s="5">
        <v>605.0</v>
      </c>
      <c r="F806" s="5">
        <v>619.0</v>
      </c>
      <c r="G806" s="5">
        <f t="shared" si="1"/>
        <v>1224</v>
      </c>
      <c r="H806" s="10">
        <f t="shared" si="2"/>
        <v>0.4942810458</v>
      </c>
      <c r="I806" s="10">
        <v>0.0305</v>
      </c>
      <c r="J806" s="10">
        <v>0.6221</v>
      </c>
      <c r="K806" s="5">
        <f t="shared" si="3"/>
        <v>0</v>
      </c>
    </row>
    <row r="807" ht="15.0" customHeight="1">
      <c r="A807" s="5">
        <v>2020.0</v>
      </c>
      <c r="B807" s="5" t="s">
        <v>143</v>
      </c>
      <c r="C807" s="5" t="s">
        <v>269</v>
      </c>
      <c r="D807" s="5" t="s">
        <v>276</v>
      </c>
      <c r="E807" s="5">
        <v>819.0</v>
      </c>
      <c r="F807" s="5">
        <v>946.0</v>
      </c>
      <c r="G807" s="5">
        <f t="shared" si="1"/>
        <v>1765</v>
      </c>
      <c r="H807" s="10">
        <f t="shared" si="2"/>
        <v>0.4640226629</v>
      </c>
      <c r="I807" s="10">
        <v>0.0092</v>
      </c>
      <c r="J807" s="10">
        <v>0.8119</v>
      </c>
      <c r="K807" s="5">
        <f t="shared" si="3"/>
        <v>1</v>
      </c>
    </row>
    <row r="808" ht="15.0" customHeight="1">
      <c r="A808" s="5">
        <v>2022.0</v>
      </c>
      <c r="B808" s="5" t="s">
        <v>143</v>
      </c>
      <c r="C808" s="5" t="s">
        <v>269</v>
      </c>
      <c r="D808" s="5" t="s">
        <v>276</v>
      </c>
      <c r="E808" s="5">
        <v>664.0</v>
      </c>
      <c r="F808" s="5">
        <v>709.0</v>
      </c>
      <c r="G808" s="5">
        <f t="shared" si="1"/>
        <v>1373</v>
      </c>
      <c r="H808" s="10">
        <f t="shared" si="2"/>
        <v>0.4836125273</v>
      </c>
      <c r="I808" s="10">
        <v>-0.0089</v>
      </c>
      <c r="J808" s="10">
        <v>0.6422</v>
      </c>
      <c r="K808" s="5">
        <f t="shared" si="3"/>
        <v>0</v>
      </c>
    </row>
    <row r="809" ht="15.0" customHeight="1">
      <c r="A809" s="5">
        <v>2024.0</v>
      </c>
      <c r="B809" s="5" t="s">
        <v>143</v>
      </c>
      <c r="C809" s="5" t="s">
        <v>269</v>
      </c>
      <c r="D809" s="5" t="s">
        <v>276</v>
      </c>
      <c r="E809" s="5">
        <v>829.0</v>
      </c>
      <c r="F809" s="5">
        <v>968.0</v>
      </c>
      <c r="G809" s="5">
        <f t="shared" si="1"/>
        <v>1797</v>
      </c>
      <c r="H809" s="10">
        <f t="shared" si="2"/>
        <v>0.4613244296</v>
      </c>
      <c r="I809" s="10">
        <v>-0.029</v>
      </c>
      <c r="J809" s="10">
        <v>0.8135</v>
      </c>
      <c r="K809" s="5">
        <f t="shared" si="3"/>
        <v>1</v>
      </c>
    </row>
    <row r="810" ht="15.0" customHeight="1">
      <c r="A810" s="5">
        <v>2018.0</v>
      </c>
      <c r="B810" s="5" t="s">
        <v>143</v>
      </c>
      <c r="C810" s="5" t="s">
        <v>269</v>
      </c>
      <c r="D810" s="5" t="s">
        <v>277</v>
      </c>
      <c r="E810" s="5">
        <v>491.0</v>
      </c>
      <c r="F810" s="5">
        <v>458.0</v>
      </c>
      <c r="G810" s="5">
        <f t="shared" si="1"/>
        <v>949</v>
      </c>
      <c r="H810" s="10">
        <f t="shared" si="2"/>
        <v>0.5173867229</v>
      </c>
      <c r="I810" s="10">
        <v>0.1571</v>
      </c>
      <c r="J810" s="10">
        <v>0.6131</v>
      </c>
      <c r="K810" s="5">
        <f t="shared" si="3"/>
        <v>0</v>
      </c>
    </row>
    <row r="811" ht="15.0" customHeight="1">
      <c r="A811" s="5">
        <v>2020.0</v>
      </c>
      <c r="B811" s="5" t="s">
        <v>143</v>
      </c>
      <c r="C811" s="5" t="s">
        <v>269</v>
      </c>
      <c r="D811" s="5" t="s">
        <v>277</v>
      </c>
      <c r="E811" s="5">
        <v>664.0</v>
      </c>
      <c r="F811" s="5">
        <v>763.0</v>
      </c>
      <c r="G811" s="5">
        <f t="shared" si="1"/>
        <v>1427</v>
      </c>
      <c r="H811" s="10">
        <f t="shared" si="2"/>
        <v>0.465311843</v>
      </c>
      <c r="I811" s="10">
        <v>0.1277</v>
      </c>
      <c r="J811" s="10">
        <v>0.8099</v>
      </c>
      <c r="K811" s="5">
        <f t="shared" si="3"/>
        <v>1</v>
      </c>
    </row>
    <row r="812" ht="15.0" customHeight="1">
      <c r="A812" s="5">
        <v>2022.0</v>
      </c>
      <c r="B812" s="5" t="s">
        <v>143</v>
      </c>
      <c r="C812" s="5" t="s">
        <v>269</v>
      </c>
      <c r="D812" s="5" t="s">
        <v>277</v>
      </c>
      <c r="E812" s="5">
        <v>577.0</v>
      </c>
      <c r="F812" s="5">
        <v>567.0</v>
      </c>
      <c r="G812" s="5">
        <f t="shared" si="1"/>
        <v>1144</v>
      </c>
      <c r="H812" s="10">
        <f t="shared" si="2"/>
        <v>0.5043706294</v>
      </c>
      <c r="I812" s="10">
        <v>0.1072</v>
      </c>
      <c r="J812" s="10">
        <v>0.6522</v>
      </c>
      <c r="K812" s="5">
        <f t="shared" si="3"/>
        <v>0</v>
      </c>
    </row>
    <row r="813" ht="15.0" customHeight="1">
      <c r="A813" s="5">
        <v>2024.0</v>
      </c>
      <c r="B813" s="5" t="s">
        <v>143</v>
      </c>
      <c r="C813" s="5" t="s">
        <v>269</v>
      </c>
      <c r="D813" s="5" t="s">
        <v>277</v>
      </c>
      <c r="E813" s="5">
        <v>698.0</v>
      </c>
      <c r="F813" s="5">
        <v>748.0</v>
      </c>
      <c r="G813" s="5">
        <f t="shared" si="1"/>
        <v>1446</v>
      </c>
      <c r="H813" s="10">
        <f t="shared" si="2"/>
        <v>0.4827109267</v>
      </c>
      <c r="I813" s="10">
        <v>0.059</v>
      </c>
      <c r="J813" s="10">
        <v>0.8128</v>
      </c>
      <c r="K813" s="5">
        <f t="shared" si="3"/>
        <v>1</v>
      </c>
    </row>
    <row r="814" ht="15.0" customHeight="1">
      <c r="A814" s="5">
        <v>2018.0</v>
      </c>
      <c r="B814" s="5" t="s">
        <v>143</v>
      </c>
      <c r="C814" s="5" t="s">
        <v>269</v>
      </c>
      <c r="D814" s="5" t="s">
        <v>278</v>
      </c>
      <c r="E814" s="5">
        <v>463.0</v>
      </c>
      <c r="F814" s="5">
        <v>368.0</v>
      </c>
      <c r="G814" s="5">
        <f t="shared" si="1"/>
        <v>831</v>
      </c>
      <c r="H814" s="10">
        <f t="shared" si="2"/>
        <v>0.5571600481</v>
      </c>
      <c r="I814" s="10">
        <v>0.193</v>
      </c>
      <c r="J814" s="10">
        <v>0.6429</v>
      </c>
      <c r="K814" s="5">
        <f t="shared" si="3"/>
        <v>0</v>
      </c>
    </row>
    <row r="815" ht="15.0" customHeight="1">
      <c r="A815" s="5">
        <v>2020.0</v>
      </c>
      <c r="B815" s="5" t="s">
        <v>143</v>
      </c>
      <c r="C815" s="5" t="s">
        <v>269</v>
      </c>
      <c r="D815" s="5" t="s">
        <v>278</v>
      </c>
      <c r="E815" s="5">
        <v>621.0</v>
      </c>
      <c r="F815" s="5">
        <v>568.0</v>
      </c>
      <c r="G815" s="5">
        <f t="shared" si="1"/>
        <v>1189</v>
      </c>
      <c r="H815" s="10">
        <f t="shared" si="2"/>
        <v>0.5222876367</v>
      </c>
      <c r="I815" s="10">
        <v>0.1862</v>
      </c>
      <c r="J815" s="10">
        <v>0.7937</v>
      </c>
      <c r="K815" s="5">
        <f t="shared" si="3"/>
        <v>1</v>
      </c>
    </row>
    <row r="816" ht="15.0" customHeight="1">
      <c r="A816" s="5">
        <v>2022.0</v>
      </c>
      <c r="B816" s="5" t="s">
        <v>143</v>
      </c>
      <c r="C816" s="5" t="s">
        <v>269</v>
      </c>
      <c r="D816" s="5" t="s">
        <v>278</v>
      </c>
      <c r="E816" s="5">
        <v>470.0</v>
      </c>
      <c r="F816" s="5">
        <v>394.0</v>
      </c>
      <c r="G816" s="5">
        <f t="shared" si="1"/>
        <v>864</v>
      </c>
      <c r="H816" s="10">
        <f t="shared" si="2"/>
        <v>0.5439814815</v>
      </c>
      <c r="I816" s="10">
        <v>0.1678</v>
      </c>
      <c r="J816" s="10">
        <v>0.5894</v>
      </c>
      <c r="K816" s="5">
        <f t="shared" si="3"/>
        <v>0</v>
      </c>
    </row>
    <row r="817" ht="15.0" customHeight="1">
      <c r="A817" s="5">
        <v>2024.0</v>
      </c>
      <c r="B817" s="5" t="s">
        <v>143</v>
      </c>
      <c r="C817" s="5" t="s">
        <v>269</v>
      </c>
      <c r="D817" s="5" t="s">
        <v>278</v>
      </c>
      <c r="E817" s="5">
        <v>582.0</v>
      </c>
      <c r="F817" s="5">
        <v>562.0</v>
      </c>
      <c r="G817" s="5">
        <f t="shared" si="1"/>
        <v>1144</v>
      </c>
      <c r="H817" s="10">
        <f t="shared" si="2"/>
        <v>0.5087412587</v>
      </c>
      <c r="I817" s="10">
        <v>0.1155</v>
      </c>
      <c r="J817" s="10">
        <v>0.7725</v>
      </c>
      <c r="K817" s="5">
        <f t="shared" si="3"/>
        <v>1</v>
      </c>
    </row>
    <row r="818" ht="15.0" customHeight="1">
      <c r="A818" s="5">
        <v>2018.0</v>
      </c>
      <c r="B818" s="5" t="s">
        <v>143</v>
      </c>
      <c r="C818" s="5" t="s">
        <v>269</v>
      </c>
      <c r="D818" s="5" t="s">
        <v>279</v>
      </c>
      <c r="E818" s="5">
        <v>519.0</v>
      </c>
      <c r="F818" s="5">
        <v>590.0</v>
      </c>
      <c r="G818" s="5">
        <f t="shared" si="1"/>
        <v>1109</v>
      </c>
      <c r="H818" s="10">
        <f t="shared" si="2"/>
        <v>0.4679891794</v>
      </c>
      <c r="I818" s="10">
        <v>0.0892</v>
      </c>
      <c r="J818" s="10">
        <v>0.6511</v>
      </c>
      <c r="K818" s="5">
        <f t="shared" si="3"/>
        <v>0</v>
      </c>
    </row>
    <row r="819" ht="15.0" customHeight="1">
      <c r="A819" s="5">
        <v>2020.0</v>
      </c>
      <c r="B819" s="5" t="s">
        <v>143</v>
      </c>
      <c r="C819" s="5" t="s">
        <v>269</v>
      </c>
      <c r="D819" s="5" t="s">
        <v>279</v>
      </c>
      <c r="E819" s="5">
        <v>708.0</v>
      </c>
      <c r="F819" s="5">
        <v>922.0</v>
      </c>
      <c r="G819" s="5">
        <f t="shared" si="1"/>
        <v>1630</v>
      </c>
      <c r="H819" s="10">
        <f t="shared" si="2"/>
        <v>0.4343558282</v>
      </c>
      <c r="I819" s="10">
        <v>0.0443</v>
      </c>
      <c r="J819" s="10">
        <v>0.8295</v>
      </c>
      <c r="K819" s="5">
        <f t="shared" si="3"/>
        <v>1</v>
      </c>
    </row>
    <row r="820" ht="15.0" customHeight="1">
      <c r="A820" s="5">
        <v>2022.0</v>
      </c>
      <c r="B820" s="5" t="s">
        <v>143</v>
      </c>
      <c r="C820" s="5" t="s">
        <v>269</v>
      </c>
      <c r="D820" s="5" t="s">
        <v>279</v>
      </c>
      <c r="E820" s="5">
        <v>616.0</v>
      </c>
      <c r="F820" s="5">
        <v>685.0</v>
      </c>
      <c r="G820" s="5">
        <f t="shared" si="1"/>
        <v>1301</v>
      </c>
      <c r="H820" s="10">
        <f t="shared" si="2"/>
        <v>0.473481937</v>
      </c>
      <c r="I820" s="10">
        <v>0.0196</v>
      </c>
      <c r="J820" s="10">
        <v>0.671</v>
      </c>
      <c r="K820" s="5">
        <f t="shared" si="3"/>
        <v>0</v>
      </c>
    </row>
    <row r="821" ht="15.0" customHeight="1">
      <c r="A821" s="5">
        <v>2024.0</v>
      </c>
      <c r="B821" s="5" t="s">
        <v>143</v>
      </c>
      <c r="C821" s="5" t="s">
        <v>269</v>
      </c>
      <c r="D821" s="5" t="s">
        <v>279</v>
      </c>
      <c r="E821" s="5">
        <v>811.0</v>
      </c>
      <c r="F821" s="5">
        <v>918.0</v>
      </c>
      <c r="G821" s="5">
        <f t="shared" si="1"/>
        <v>1729</v>
      </c>
      <c r="H821" s="10">
        <f t="shared" si="2"/>
        <v>0.4690572585</v>
      </c>
      <c r="I821" s="10">
        <v>-0.0169</v>
      </c>
      <c r="J821" s="10">
        <v>0.8373</v>
      </c>
      <c r="K821" s="5">
        <f t="shared" si="3"/>
        <v>1</v>
      </c>
    </row>
    <row r="822" ht="15.0" customHeight="1">
      <c r="A822" s="5">
        <v>2018.0</v>
      </c>
      <c r="B822" s="5" t="s">
        <v>143</v>
      </c>
      <c r="C822" s="5" t="s">
        <v>269</v>
      </c>
      <c r="D822" s="5" t="s">
        <v>280</v>
      </c>
      <c r="E822" s="5">
        <v>401.0</v>
      </c>
      <c r="F822" s="5">
        <v>384.0</v>
      </c>
      <c r="G822" s="5">
        <f t="shared" si="1"/>
        <v>785</v>
      </c>
      <c r="H822" s="10">
        <f t="shared" si="2"/>
        <v>0.5108280255</v>
      </c>
      <c r="I822" s="10">
        <v>0.2137</v>
      </c>
      <c r="J822" s="10">
        <v>0.5424</v>
      </c>
      <c r="K822" s="5">
        <f t="shared" si="3"/>
        <v>0</v>
      </c>
    </row>
    <row r="823" ht="15.0" customHeight="1">
      <c r="A823" s="5">
        <v>2020.0</v>
      </c>
      <c r="B823" s="5" t="s">
        <v>143</v>
      </c>
      <c r="C823" s="5" t="s">
        <v>269</v>
      </c>
      <c r="D823" s="5" t="s">
        <v>280</v>
      </c>
      <c r="E823" s="5">
        <v>629.0</v>
      </c>
      <c r="F823" s="5">
        <v>686.0</v>
      </c>
      <c r="G823" s="5">
        <f t="shared" si="1"/>
        <v>1315</v>
      </c>
      <c r="H823" s="10">
        <f t="shared" si="2"/>
        <v>0.4783269962</v>
      </c>
      <c r="I823" s="10">
        <v>0.1423</v>
      </c>
      <c r="J823" s="10">
        <v>0.7832</v>
      </c>
      <c r="K823" s="5">
        <f t="shared" si="3"/>
        <v>1</v>
      </c>
    </row>
    <row r="824" ht="15.0" customHeight="1">
      <c r="A824" s="5">
        <v>2022.0</v>
      </c>
      <c r="B824" s="5" t="s">
        <v>143</v>
      </c>
      <c r="C824" s="5" t="s">
        <v>269</v>
      </c>
      <c r="D824" s="5" t="s">
        <v>280</v>
      </c>
      <c r="E824" s="5">
        <v>446.0</v>
      </c>
      <c r="F824" s="5">
        <v>517.0</v>
      </c>
      <c r="G824" s="5">
        <f t="shared" si="1"/>
        <v>963</v>
      </c>
      <c r="H824" s="10">
        <f t="shared" si="2"/>
        <v>0.4631360332</v>
      </c>
      <c r="I824" s="10">
        <v>0.1034</v>
      </c>
      <c r="J824" s="10">
        <v>0.5996</v>
      </c>
      <c r="K824" s="5">
        <f t="shared" si="3"/>
        <v>0</v>
      </c>
    </row>
    <row r="825" ht="15.0" customHeight="1">
      <c r="A825" s="5">
        <v>2024.0</v>
      </c>
      <c r="B825" s="5" t="s">
        <v>143</v>
      </c>
      <c r="C825" s="5" t="s">
        <v>269</v>
      </c>
      <c r="D825" s="5" t="s">
        <v>280</v>
      </c>
      <c r="E825" s="5">
        <v>606.0</v>
      </c>
      <c r="F825" s="5">
        <v>669.0</v>
      </c>
      <c r="G825" s="5">
        <f t="shared" si="1"/>
        <v>1275</v>
      </c>
      <c r="H825" s="10">
        <f t="shared" si="2"/>
        <v>0.4752941176</v>
      </c>
      <c r="I825" s="10">
        <v>0.0688</v>
      </c>
      <c r="J825" s="10">
        <v>0.769</v>
      </c>
      <c r="K825" s="5">
        <f t="shared" si="3"/>
        <v>1</v>
      </c>
    </row>
    <row r="826" ht="15.0" customHeight="1">
      <c r="A826" s="5">
        <v>2018.0</v>
      </c>
      <c r="B826" s="5" t="s">
        <v>143</v>
      </c>
      <c r="C826" s="5" t="s">
        <v>269</v>
      </c>
      <c r="D826" s="5" t="s">
        <v>281</v>
      </c>
      <c r="E826" s="5">
        <v>549.0</v>
      </c>
      <c r="F826" s="5">
        <v>332.0</v>
      </c>
      <c r="G826" s="5">
        <f t="shared" si="1"/>
        <v>881</v>
      </c>
      <c r="H826" s="10">
        <f t="shared" si="2"/>
        <v>0.6231555051</v>
      </c>
      <c r="I826" s="10">
        <v>0.2291</v>
      </c>
      <c r="J826" s="10">
        <v>0.5234</v>
      </c>
      <c r="K826" s="5">
        <f t="shared" si="3"/>
        <v>0</v>
      </c>
    </row>
    <row r="827" ht="15.0" customHeight="1">
      <c r="A827" s="5">
        <v>2020.0</v>
      </c>
      <c r="B827" s="5" t="s">
        <v>143</v>
      </c>
      <c r="C827" s="5" t="s">
        <v>269</v>
      </c>
      <c r="D827" s="5" t="s">
        <v>281</v>
      </c>
      <c r="E827" s="5">
        <v>819.0</v>
      </c>
      <c r="F827" s="5">
        <v>552.0</v>
      </c>
      <c r="G827" s="5">
        <f t="shared" si="1"/>
        <v>1371</v>
      </c>
      <c r="H827" s="10">
        <f t="shared" si="2"/>
        <v>0.5973741794</v>
      </c>
      <c r="I827" s="10">
        <v>0.2479</v>
      </c>
      <c r="J827" s="10">
        <v>0.7216</v>
      </c>
      <c r="K827" s="5">
        <f t="shared" si="3"/>
        <v>1</v>
      </c>
    </row>
    <row r="828" ht="15.0" customHeight="1">
      <c r="A828" s="5">
        <v>2022.0</v>
      </c>
      <c r="B828" s="5" t="s">
        <v>143</v>
      </c>
      <c r="C828" s="5" t="s">
        <v>269</v>
      </c>
      <c r="D828" s="5" t="s">
        <v>281</v>
      </c>
      <c r="E828" s="5">
        <v>544.0</v>
      </c>
      <c r="F828" s="5">
        <v>356.0</v>
      </c>
      <c r="G828" s="5">
        <f t="shared" si="1"/>
        <v>900</v>
      </c>
      <c r="H828" s="10">
        <f t="shared" si="2"/>
        <v>0.6044444444</v>
      </c>
      <c r="I828" s="10">
        <v>0.2579</v>
      </c>
      <c r="J828" s="10">
        <v>0.5068</v>
      </c>
      <c r="K828" s="5">
        <f t="shared" si="3"/>
        <v>0</v>
      </c>
    </row>
    <row r="829" ht="15.0" customHeight="1">
      <c r="A829" s="5">
        <v>2024.0</v>
      </c>
      <c r="B829" s="5" t="s">
        <v>143</v>
      </c>
      <c r="C829" s="5" t="s">
        <v>269</v>
      </c>
      <c r="D829" s="5" t="s">
        <v>281</v>
      </c>
      <c r="E829" s="5">
        <v>732.0</v>
      </c>
      <c r="F829" s="5">
        <v>616.0</v>
      </c>
      <c r="G829" s="5">
        <f t="shared" si="1"/>
        <v>1348</v>
      </c>
      <c r="H829" s="10">
        <f t="shared" si="2"/>
        <v>0.5430267062</v>
      </c>
      <c r="I829" s="10">
        <v>0.1922</v>
      </c>
      <c r="J829" s="10">
        <v>0.7159</v>
      </c>
      <c r="K829" s="5">
        <f t="shared" si="3"/>
        <v>1</v>
      </c>
    </row>
    <row r="830" ht="15.0" customHeight="1">
      <c r="A830" s="5">
        <v>2018.0</v>
      </c>
      <c r="B830" s="5" t="s">
        <v>282</v>
      </c>
      <c r="C830" s="5" t="s">
        <v>283</v>
      </c>
      <c r="D830" s="5" t="s">
        <v>284</v>
      </c>
      <c r="E830" s="5">
        <v>266.0</v>
      </c>
      <c r="F830" s="5">
        <v>298.0</v>
      </c>
      <c r="G830" s="5">
        <f t="shared" si="1"/>
        <v>564</v>
      </c>
      <c r="H830" s="10">
        <f t="shared" si="2"/>
        <v>0.4716312057</v>
      </c>
      <c r="I830" s="10">
        <v>-0.083</v>
      </c>
      <c r="J830" s="10">
        <v>0.5508</v>
      </c>
      <c r="K830" s="5">
        <f t="shared" si="3"/>
        <v>0</v>
      </c>
    </row>
    <row r="831" ht="15.0" customHeight="1">
      <c r="A831" s="5">
        <v>2020.0</v>
      </c>
      <c r="B831" s="5" t="s">
        <v>282</v>
      </c>
      <c r="C831" s="5" t="s">
        <v>283</v>
      </c>
      <c r="D831" s="5" t="s">
        <v>284</v>
      </c>
      <c r="E831" s="5">
        <v>409.0</v>
      </c>
      <c r="F831" s="5">
        <v>449.0</v>
      </c>
      <c r="G831" s="5">
        <f t="shared" si="1"/>
        <v>858</v>
      </c>
      <c r="H831" s="10">
        <f t="shared" si="2"/>
        <v>0.4766899767</v>
      </c>
      <c r="I831" s="10">
        <v>-0.0613</v>
      </c>
      <c r="J831" s="10">
        <v>0.7513</v>
      </c>
      <c r="K831" s="5">
        <f t="shared" si="3"/>
        <v>1</v>
      </c>
    </row>
    <row r="832" ht="15.0" customHeight="1">
      <c r="A832" s="5">
        <v>2022.0</v>
      </c>
      <c r="B832" s="5" t="s">
        <v>282</v>
      </c>
      <c r="C832" s="5" t="s">
        <v>283</v>
      </c>
      <c r="D832" s="5" t="s">
        <v>284</v>
      </c>
      <c r="E832" s="5">
        <v>326.0</v>
      </c>
      <c r="F832" s="5">
        <v>348.0</v>
      </c>
      <c r="G832" s="5">
        <f t="shared" si="1"/>
        <v>674</v>
      </c>
      <c r="H832" s="10">
        <f t="shared" si="2"/>
        <v>0.4836795252</v>
      </c>
      <c r="I832" s="10">
        <v>-0.0671</v>
      </c>
      <c r="J832" s="10">
        <v>0.5722</v>
      </c>
      <c r="K832" s="5">
        <f t="shared" si="3"/>
        <v>0</v>
      </c>
    </row>
    <row r="833" ht="15.0" customHeight="1">
      <c r="A833" s="5">
        <v>2024.0</v>
      </c>
      <c r="B833" s="5" t="s">
        <v>282</v>
      </c>
      <c r="C833" s="5" t="s">
        <v>283</v>
      </c>
      <c r="D833" s="5" t="s">
        <v>284</v>
      </c>
      <c r="E833" s="5">
        <v>446.0</v>
      </c>
      <c r="F833" s="5">
        <v>483.0</v>
      </c>
      <c r="G833" s="5">
        <f t="shared" si="1"/>
        <v>929</v>
      </c>
      <c r="H833" s="10">
        <f t="shared" si="2"/>
        <v>0.4800861141</v>
      </c>
      <c r="I833" s="10">
        <v>-0.1249</v>
      </c>
      <c r="J833" s="10">
        <v>0.7391</v>
      </c>
      <c r="K833" s="5">
        <f t="shared" si="3"/>
        <v>1</v>
      </c>
    </row>
    <row r="834" ht="15.0" customHeight="1">
      <c r="A834" s="5">
        <v>2018.0</v>
      </c>
      <c r="B834" s="5" t="s">
        <v>282</v>
      </c>
      <c r="C834" s="5" t="s">
        <v>283</v>
      </c>
      <c r="D834" s="5" t="s">
        <v>285</v>
      </c>
      <c r="E834" s="5">
        <v>514.0</v>
      </c>
      <c r="F834" s="5">
        <v>541.0</v>
      </c>
      <c r="G834" s="5">
        <f t="shared" si="1"/>
        <v>1055</v>
      </c>
      <c r="H834" s="10">
        <f t="shared" si="2"/>
        <v>0.4872037915</v>
      </c>
      <c r="I834" s="10">
        <v>-0.0028</v>
      </c>
      <c r="J834" s="10">
        <v>0.5809</v>
      </c>
      <c r="K834" s="5">
        <f t="shared" si="3"/>
        <v>0</v>
      </c>
    </row>
    <row r="835" ht="15.0" customHeight="1">
      <c r="A835" s="5">
        <v>2020.0</v>
      </c>
      <c r="B835" s="5" t="s">
        <v>282</v>
      </c>
      <c r="C835" s="5" t="s">
        <v>283</v>
      </c>
      <c r="D835" s="5" t="s">
        <v>285</v>
      </c>
      <c r="E835" s="5">
        <v>694.0</v>
      </c>
      <c r="F835" s="5">
        <v>744.0</v>
      </c>
      <c r="G835" s="5">
        <f t="shared" si="1"/>
        <v>1438</v>
      </c>
      <c r="H835" s="10">
        <f t="shared" si="2"/>
        <v>0.4826147427</v>
      </c>
      <c r="I835" s="10">
        <v>-0.0389</v>
      </c>
      <c r="J835" s="10">
        <v>0.7259</v>
      </c>
      <c r="K835" s="5">
        <f t="shared" si="3"/>
        <v>1</v>
      </c>
    </row>
    <row r="836" ht="15.0" customHeight="1">
      <c r="A836" s="5">
        <v>2022.0</v>
      </c>
      <c r="B836" s="5" t="s">
        <v>282</v>
      </c>
      <c r="C836" s="5" t="s">
        <v>283</v>
      </c>
      <c r="D836" s="5" t="s">
        <v>285</v>
      </c>
      <c r="E836" s="5">
        <v>546.0</v>
      </c>
      <c r="F836" s="5">
        <v>584.0</v>
      </c>
      <c r="G836" s="5">
        <f t="shared" si="1"/>
        <v>1130</v>
      </c>
      <c r="H836" s="10">
        <f t="shared" si="2"/>
        <v>0.4831858407</v>
      </c>
      <c r="I836" s="10">
        <v>-0.0469</v>
      </c>
      <c r="J836" s="10">
        <v>0.6095</v>
      </c>
      <c r="K836" s="5">
        <f t="shared" si="3"/>
        <v>0</v>
      </c>
    </row>
    <row r="837" ht="15.0" customHeight="1">
      <c r="A837" s="5">
        <v>2024.0</v>
      </c>
      <c r="B837" s="5" t="s">
        <v>282</v>
      </c>
      <c r="C837" s="5" t="s">
        <v>283</v>
      </c>
      <c r="D837" s="5" t="s">
        <v>285</v>
      </c>
      <c r="E837" s="5">
        <v>664.0</v>
      </c>
      <c r="F837" s="5">
        <v>792.0</v>
      </c>
      <c r="G837" s="5">
        <f t="shared" si="1"/>
        <v>1456</v>
      </c>
      <c r="H837" s="10">
        <f t="shared" si="2"/>
        <v>0.456043956</v>
      </c>
      <c r="I837" s="10">
        <v>-0.0985</v>
      </c>
      <c r="J837" s="10">
        <v>0.7587</v>
      </c>
      <c r="K837" s="5">
        <f t="shared" si="3"/>
        <v>1</v>
      </c>
    </row>
    <row r="838" ht="15.0" customHeight="1">
      <c r="A838" s="5">
        <v>2018.0</v>
      </c>
      <c r="B838" s="5" t="s">
        <v>282</v>
      </c>
      <c r="C838" s="5" t="s">
        <v>286</v>
      </c>
      <c r="D838" s="5" t="s">
        <v>287</v>
      </c>
      <c r="E838" s="5">
        <v>899.0</v>
      </c>
      <c r="F838" s="5">
        <v>908.0</v>
      </c>
      <c r="G838" s="5">
        <f t="shared" si="1"/>
        <v>1807</v>
      </c>
      <c r="H838" s="10">
        <f t="shared" si="2"/>
        <v>0.4975096846</v>
      </c>
      <c r="I838" s="10">
        <v>0.0693</v>
      </c>
      <c r="J838" s="10">
        <v>0.4933</v>
      </c>
      <c r="K838" s="5">
        <f t="shared" si="3"/>
        <v>0</v>
      </c>
    </row>
    <row r="839" ht="15.0" customHeight="1">
      <c r="A839" s="5">
        <v>2020.0</v>
      </c>
      <c r="B839" s="5" t="s">
        <v>282</v>
      </c>
      <c r="C839" s="5" t="s">
        <v>286</v>
      </c>
      <c r="D839" s="5" t="s">
        <v>287</v>
      </c>
      <c r="E839" s="5">
        <v>1340.0</v>
      </c>
      <c r="F839" s="5">
        <v>1452.0</v>
      </c>
      <c r="G839" s="5">
        <f t="shared" si="1"/>
        <v>2792</v>
      </c>
      <c r="H839" s="10">
        <f t="shared" si="2"/>
        <v>0.4799426934</v>
      </c>
      <c r="I839" s="10">
        <v>0.0296</v>
      </c>
      <c r="J839" s="10">
        <v>0.6942</v>
      </c>
      <c r="K839" s="5">
        <f t="shared" si="3"/>
        <v>1</v>
      </c>
    </row>
    <row r="840" ht="15.0" customHeight="1">
      <c r="A840" s="5">
        <v>2022.0</v>
      </c>
      <c r="B840" s="5" t="s">
        <v>282</v>
      </c>
      <c r="C840" s="5" t="s">
        <v>286</v>
      </c>
      <c r="D840" s="5" t="s">
        <v>287</v>
      </c>
      <c r="E840" s="5">
        <v>938.0</v>
      </c>
      <c r="F840" s="5">
        <v>1109.0</v>
      </c>
      <c r="G840" s="5">
        <f t="shared" si="1"/>
        <v>2047</v>
      </c>
      <c r="H840" s="10">
        <f t="shared" si="2"/>
        <v>0.4582315584</v>
      </c>
      <c r="I840" s="10">
        <v>0.0025</v>
      </c>
      <c r="J840" s="10">
        <v>0.5168</v>
      </c>
      <c r="K840" s="5">
        <f t="shared" si="3"/>
        <v>0</v>
      </c>
    </row>
    <row r="841" ht="15.0" customHeight="1">
      <c r="A841" s="5">
        <v>2024.0</v>
      </c>
      <c r="B841" s="5" t="s">
        <v>282</v>
      </c>
      <c r="C841" s="5" t="s">
        <v>286</v>
      </c>
      <c r="D841" s="5" t="s">
        <v>287</v>
      </c>
      <c r="E841" s="5">
        <v>1343.0</v>
      </c>
      <c r="F841" s="5">
        <v>1699.0</v>
      </c>
      <c r="G841" s="5">
        <f t="shared" si="1"/>
        <v>3042</v>
      </c>
      <c r="H841" s="10">
        <f t="shared" si="2"/>
        <v>0.4414858646</v>
      </c>
      <c r="I841" s="10">
        <v>-0.0363</v>
      </c>
      <c r="J841" s="10">
        <v>0.7168</v>
      </c>
      <c r="K841" s="5">
        <f t="shared" si="3"/>
        <v>1</v>
      </c>
    </row>
    <row r="842" ht="15.0" customHeight="1">
      <c r="A842" s="5">
        <v>2018.0</v>
      </c>
      <c r="B842" s="5" t="s">
        <v>282</v>
      </c>
      <c r="C842" s="5" t="s">
        <v>286</v>
      </c>
      <c r="D842" s="5" t="s">
        <v>288</v>
      </c>
      <c r="E842" s="5">
        <v>784.0</v>
      </c>
      <c r="F842" s="5">
        <v>855.0</v>
      </c>
      <c r="G842" s="5">
        <f t="shared" si="1"/>
        <v>1639</v>
      </c>
      <c r="H842" s="10">
        <f t="shared" si="2"/>
        <v>0.4783404515</v>
      </c>
      <c r="I842" s="10">
        <v>0.0013</v>
      </c>
      <c r="J842" s="10">
        <v>0.5388</v>
      </c>
      <c r="K842" s="5">
        <f t="shared" si="3"/>
        <v>0</v>
      </c>
    </row>
    <row r="843" ht="15.0" customHeight="1">
      <c r="A843" s="5">
        <v>2020.0</v>
      </c>
      <c r="B843" s="5" t="s">
        <v>282</v>
      </c>
      <c r="C843" s="5" t="s">
        <v>286</v>
      </c>
      <c r="D843" s="5" t="s">
        <v>288</v>
      </c>
      <c r="E843" s="5">
        <v>1103.0</v>
      </c>
      <c r="F843" s="5">
        <v>1294.0</v>
      </c>
      <c r="G843" s="5">
        <f t="shared" si="1"/>
        <v>2397</v>
      </c>
      <c r="H843" s="10">
        <f t="shared" si="2"/>
        <v>0.4601585315</v>
      </c>
      <c r="I843" s="10">
        <v>-0.014</v>
      </c>
      <c r="J843" s="10">
        <v>0.7281</v>
      </c>
      <c r="K843" s="5">
        <f t="shared" si="3"/>
        <v>1</v>
      </c>
    </row>
    <row r="844" ht="15.0" customHeight="1">
      <c r="A844" s="5">
        <v>2022.0</v>
      </c>
      <c r="B844" s="5" t="s">
        <v>282</v>
      </c>
      <c r="C844" s="5" t="s">
        <v>286</v>
      </c>
      <c r="D844" s="5" t="s">
        <v>288</v>
      </c>
      <c r="E844" s="5">
        <v>792.0</v>
      </c>
      <c r="F844" s="5">
        <v>995.0</v>
      </c>
      <c r="G844" s="5">
        <f t="shared" si="1"/>
        <v>1787</v>
      </c>
      <c r="H844" s="10">
        <f t="shared" si="2"/>
        <v>0.4432008954</v>
      </c>
      <c r="I844" s="10">
        <v>-0.0351</v>
      </c>
      <c r="J844" s="10">
        <v>0.565</v>
      </c>
      <c r="K844" s="5">
        <f t="shared" si="3"/>
        <v>0</v>
      </c>
    </row>
    <row r="845" ht="15.0" customHeight="1">
      <c r="A845" s="5">
        <v>2024.0</v>
      </c>
      <c r="B845" s="5" t="s">
        <v>282</v>
      </c>
      <c r="C845" s="5" t="s">
        <v>286</v>
      </c>
      <c r="D845" s="5" t="s">
        <v>288</v>
      </c>
      <c r="E845" s="5">
        <v>1037.0</v>
      </c>
      <c r="F845" s="5">
        <v>1380.0</v>
      </c>
      <c r="G845" s="5">
        <f t="shared" si="1"/>
        <v>2417</v>
      </c>
      <c r="H845" s="10">
        <f t="shared" si="2"/>
        <v>0.4290442698</v>
      </c>
      <c r="I845" s="10">
        <v>-0.0894</v>
      </c>
      <c r="J845" s="10">
        <v>0.7376</v>
      </c>
      <c r="K845" s="5">
        <f t="shared" si="3"/>
        <v>1</v>
      </c>
    </row>
    <row r="846" ht="15.0" customHeight="1">
      <c r="A846" s="5">
        <v>2018.0</v>
      </c>
      <c r="B846" s="5" t="s">
        <v>282</v>
      </c>
      <c r="C846" s="5" t="s">
        <v>286</v>
      </c>
      <c r="D846" s="5" t="s">
        <v>289</v>
      </c>
      <c r="E846" s="5">
        <v>469.0</v>
      </c>
      <c r="F846" s="5">
        <v>457.0</v>
      </c>
      <c r="G846" s="5">
        <f t="shared" si="1"/>
        <v>926</v>
      </c>
      <c r="H846" s="10">
        <f t="shared" si="2"/>
        <v>0.5064794816</v>
      </c>
      <c r="I846" s="10">
        <v>0.0023</v>
      </c>
      <c r="J846" s="10">
        <v>0.5232</v>
      </c>
      <c r="K846" s="5">
        <f t="shared" si="3"/>
        <v>0</v>
      </c>
    </row>
    <row r="847" ht="15.0" customHeight="1">
      <c r="A847" s="5">
        <v>2020.0</v>
      </c>
      <c r="B847" s="5" t="s">
        <v>282</v>
      </c>
      <c r="C847" s="5" t="s">
        <v>286</v>
      </c>
      <c r="D847" s="5" t="s">
        <v>289</v>
      </c>
      <c r="E847" s="5">
        <v>661.0</v>
      </c>
      <c r="F847" s="5">
        <v>734.0</v>
      </c>
      <c r="G847" s="5">
        <f t="shared" si="1"/>
        <v>1395</v>
      </c>
      <c r="H847" s="10">
        <f t="shared" si="2"/>
        <v>0.4738351254</v>
      </c>
      <c r="I847" s="10">
        <v>-0.0168</v>
      </c>
      <c r="J847" s="10">
        <v>0.7099</v>
      </c>
      <c r="K847" s="5">
        <f t="shared" si="3"/>
        <v>1</v>
      </c>
    </row>
    <row r="848" ht="15.0" customHeight="1">
      <c r="A848" s="5">
        <v>2022.0</v>
      </c>
      <c r="B848" s="5" t="s">
        <v>282</v>
      </c>
      <c r="C848" s="5" t="s">
        <v>286</v>
      </c>
      <c r="D848" s="5" t="s">
        <v>289</v>
      </c>
      <c r="E848" s="5">
        <v>520.0</v>
      </c>
      <c r="F848" s="5">
        <v>572.0</v>
      </c>
      <c r="G848" s="5">
        <f t="shared" si="1"/>
        <v>1092</v>
      </c>
      <c r="H848" s="10">
        <f t="shared" si="2"/>
        <v>0.4761904762</v>
      </c>
      <c r="I848" s="10">
        <v>-0.0412</v>
      </c>
      <c r="J848" s="10">
        <v>0.5769</v>
      </c>
      <c r="K848" s="5">
        <f t="shared" si="3"/>
        <v>0</v>
      </c>
    </row>
    <row r="849" ht="15.0" customHeight="1">
      <c r="A849" s="5">
        <v>2024.0</v>
      </c>
      <c r="B849" s="5" t="s">
        <v>282</v>
      </c>
      <c r="C849" s="5" t="s">
        <v>286</v>
      </c>
      <c r="D849" s="5" t="s">
        <v>289</v>
      </c>
      <c r="E849" s="5">
        <v>653.0</v>
      </c>
      <c r="F849" s="5">
        <v>795.0</v>
      </c>
      <c r="G849" s="5">
        <f t="shared" si="1"/>
        <v>1448</v>
      </c>
      <c r="H849" s="10">
        <f t="shared" si="2"/>
        <v>0.4509668508</v>
      </c>
      <c r="I849" s="10">
        <v>-0.0853</v>
      </c>
      <c r="J849" s="10">
        <v>0.7269</v>
      </c>
      <c r="K849" s="5">
        <f t="shared" si="3"/>
        <v>1</v>
      </c>
    </row>
    <row r="850" ht="15.0" customHeight="1">
      <c r="A850" s="5">
        <v>2018.0</v>
      </c>
      <c r="B850" s="5" t="s">
        <v>282</v>
      </c>
      <c r="C850" s="5" t="s">
        <v>286</v>
      </c>
      <c r="D850" s="5" t="s">
        <v>290</v>
      </c>
      <c r="E850" s="5">
        <v>520.0</v>
      </c>
      <c r="F850" s="5">
        <v>749.0</v>
      </c>
      <c r="G850" s="5">
        <f t="shared" si="1"/>
        <v>1269</v>
      </c>
      <c r="H850" s="10">
        <f t="shared" si="2"/>
        <v>0.4097714736</v>
      </c>
      <c r="I850" s="10">
        <v>-0.0816</v>
      </c>
      <c r="J850" s="10">
        <v>0.5421</v>
      </c>
      <c r="K850" s="5">
        <f t="shared" si="3"/>
        <v>0</v>
      </c>
    </row>
    <row r="851" ht="15.0" customHeight="1">
      <c r="A851" s="5">
        <v>2020.0</v>
      </c>
      <c r="B851" s="5" t="s">
        <v>282</v>
      </c>
      <c r="C851" s="5" t="s">
        <v>286</v>
      </c>
      <c r="D851" s="5" t="s">
        <v>290</v>
      </c>
      <c r="E851" s="5">
        <v>726.0</v>
      </c>
      <c r="F851" s="5">
        <v>1098.0</v>
      </c>
      <c r="G851" s="5">
        <f t="shared" si="1"/>
        <v>1824</v>
      </c>
      <c r="H851" s="10">
        <f t="shared" si="2"/>
        <v>0.3980263158</v>
      </c>
      <c r="I851" s="10">
        <v>-0.1094</v>
      </c>
      <c r="J851" s="10">
        <v>0.7103</v>
      </c>
      <c r="K851" s="5">
        <f t="shared" si="3"/>
        <v>1</v>
      </c>
    </row>
    <row r="852" ht="15.0" customHeight="1">
      <c r="A852" s="5">
        <v>2022.0</v>
      </c>
      <c r="B852" s="5" t="s">
        <v>282</v>
      </c>
      <c r="C852" s="5" t="s">
        <v>286</v>
      </c>
      <c r="D852" s="5" t="s">
        <v>290</v>
      </c>
      <c r="E852" s="5">
        <v>545.0</v>
      </c>
      <c r="F852" s="5">
        <v>872.0</v>
      </c>
      <c r="G852" s="5">
        <f t="shared" si="1"/>
        <v>1417</v>
      </c>
      <c r="H852" s="10">
        <f t="shared" si="2"/>
        <v>0.3846153846</v>
      </c>
      <c r="I852" s="10">
        <v>-0.1429</v>
      </c>
      <c r="J852" s="10">
        <v>0.5488</v>
      </c>
      <c r="K852" s="5">
        <f t="shared" si="3"/>
        <v>0</v>
      </c>
    </row>
    <row r="853" ht="15.0" customHeight="1">
      <c r="A853" s="5">
        <v>2024.0</v>
      </c>
      <c r="B853" s="5" t="s">
        <v>282</v>
      </c>
      <c r="C853" s="5" t="s">
        <v>286</v>
      </c>
      <c r="D853" s="5" t="s">
        <v>290</v>
      </c>
      <c r="E853" s="5">
        <v>748.0</v>
      </c>
      <c r="F853" s="5">
        <v>1200.0</v>
      </c>
      <c r="G853" s="5">
        <f t="shared" si="1"/>
        <v>1948</v>
      </c>
      <c r="H853" s="10">
        <f t="shared" si="2"/>
        <v>0.3839835729</v>
      </c>
      <c r="I853" s="10">
        <v>-0.1853</v>
      </c>
      <c r="J853" s="10">
        <v>0.7337</v>
      </c>
      <c r="K853" s="5">
        <f t="shared" si="3"/>
        <v>1</v>
      </c>
    </row>
    <row r="854" ht="15.0" customHeight="1">
      <c r="A854" s="5">
        <v>2018.0</v>
      </c>
      <c r="B854" s="5" t="s">
        <v>282</v>
      </c>
      <c r="C854" s="5" t="s">
        <v>291</v>
      </c>
      <c r="D854" s="5" t="s">
        <v>292</v>
      </c>
      <c r="E854" s="5">
        <v>626.0</v>
      </c>
      <c r="F854" s="5">
        <v>509.0</v>
      </c>
      <c r="G854" s="5">
        <f t="shared" si="1"/>
        <v>1135</v>
      </c>
      <c r="H854" s="10">
        <f t="shared" si="2"/>
        <v>0.5515418502</v>
      </c>
      <c r="I854" s="10">
        <v>0.1034</v>
      </c>
      <c r="J854" s="10">
        <v>0.495</v>
      </c>
      <c r="K854" s="5">
        <f t="shared" si="3"/>
        <v>0</v>
      </c>
    </row>
    <row r="855" ht="15.0" customHeight="1">
      <c r="A855" s="5">
        <v>2020.0</v>
      </c>
      <c r="B855" s="5" t="s">
        <v>282</v>
      </c>
      <c r="C855" s="5" t="s">
        <v>291</v>
      </c>
      <c r="D855" s="5" t="s">
        <v>292</v>
      </c>
      <c r="E855" s="5">
        <v>908.0</v>
      </c>
      <c r="F855" s="5">
        <v>816.0</v>
      </c>
      <c r="G855" s="5">
        <f t="shared" si="1"/>
        <v>1724</v>
      </c>
      <c r="H855" s="10">
        <f t="shared" si="2"/>
        <v>0.5266821346</v>
      </c>
      <c r="I855" s="10">
        <v>0.0865</v>
      </c>
      <c r="J855" s="10">
        <v>0.6654</v>
      </c>
      <c r="K855" s="5">
        <f t="shared" si="3"/>
        <v>1</v>
      </c>
    </row>
    <row r="856" ht="15.0" customHeight="1">
      <c r="A856" s="5">
        <v>2022.0</v>
      </c>
      <c r="B856" s="5" t="s">
        <v>282</v>
      </c>
      <c r="C856" s="5" t="s">
        <v>291</v>
      </c>
      <c r="D856" s="5" t="s">
        <v>292</v>
      </c>
      <c r="E856" s="5">
        <v>649.0</v>
      </c>
      <c r="F856" s="5">
        <v>585.0</v>
      </c>
      <c r="G856" s="5">
        <f t="shared" si="1"/>
        <v>1234</v>
      </c>
      <c r="H856" s="10">
        <f t="shared" si="2"/>
        <v>0.5259319287</v>
      </c>
      <c r="I856" s="10">
        <v>0.0601</v>
      </c>
      <c r="J856" s="10">
        <v>0.4851</v>
      </c>
      <c r="K856" s="5">
        <f t="shared" si="3"/>
        <v>0</v>
      </c>
    </row>
    <row r="857" ht="15.0" customHeight="1">
      <c r="A857" s="5">
        <v>2024.0</v>
      </c>
      <c r="B857" s="5" t="s">
        <v>282</v>
      </c>
      <c r="C857" s="5" t="s">
        <v>291</v>
      </c>
      <c r="D857" s="5" t="s">
        <v>292</v>
      </c>
      <c r="E857" s="5">
        <v>971.0</v>
      </c>
      <c r="F857" s="5">
        <v>849.0</v>
      </c>
      <c r="G857" s="5">
        <f t="shared" si="1"/>
        <v>1820</v>
      </c>
      <c r="H857" s="10">
        <f t="shared" si="2"/>
        <v>0.5335164835</v>
      </c>
      <c r="I857" s="10">
        <v>0.0368</v>
      </c>
      <c r="J857" s="10">
        <v>0.6827</v>
      </c>
      <c r="K857" s="5">
        <f t="shared" si="3"/>
        <v>1</v>
      </c>
    </row>
    <row r="858" ht="15.0" customHeight="1">
      <c r="A858" s="5">
        <v>2018.0</v>
      </c>
      <c r="B858" s="5" t="s">
        <v>282</v>
      </c>
      <c r="C858" s="5" t="s">
        <v>291</v>
      </c>
      <c r="D858" s="5" t="s">
        <v>293</v>
      </c>
      <c r="E858" s="5">
        <v>522.0</v>
      </c>
      <c r="F858" s="5">
        <v>335.0</v>
      </c>
      <c r="G858" s="5">
        <f t="shared" si="1"/>
        <v>857</v>
      </c>
      <c r="H858" s="10">
        <f t="shared" si="2"/>
        <v>0.6091015169</v>
      </c>
      <c r="I858" s="10">
        <v>0.2311</v>
      </c>
      <c r="J858" s="10">
        <v>0.4988</v>
      </c>
      <c r="K858" s="5">
        <f t="shared" si="3"/>
        <v>0</v>
      </c>
    </row>
    <row r="859" ht="15.0" customHeight="1">
      <c r="A859" s="5">
        <v>2020.0</v>
      </c>
      <c r="B859" s="5" t="s">
        <v>282</v>
      </c>
      <c r="C859" s="5" t="s">
        <v>291</v>
      </c>
      <c r="D859" s="5" t="s">
        <v>293</v>
      </c>
      <c r="E859" s="5">
        <v>739.0</v>
      </c>
      <c r="F859" s="5">
        <v>465.0</v>
      </c>
      <c r="G859" s="5">
        <f t="shared" si="1"/>
        <v>1204</v>
      </c>
      <c r="H859" s="10">
        <f t="shared" si="2"/>
        <v>0.6137873754</v>
      </c>
      <c r="I859" s="10">
        <v>0.2172</v>
      </c>
      <c r="J859" s="10">
        <v>0.6619</v>
      </c>
      <c r="K859" s="5">
        <f t="shared" si="3"/>
        <v>1</v>
      </c>
    </row>
    <row r="860" ht="15.0" customHeight="1">
      <c r="A860" s="5">
        <v>2022.0</v>
      </c>
      <c r="B860" s="5" t="s">
        <v>282</v>
      </c>
      <c r="C860" s="5" t="s">
        <v>291</v>
      </c>
      <c r="D860" s="5" t="s">
        <v>293</v>
      </c>
      <c r="E860" s="5">
        <v>521.0</v>
      </c>
      <c r="F860" s="5">
        <v>327.0</v>
      </c>
      <c r="G860" s="5">
        <f t="shared" si="1"/>
        <v>848</v>
      </c>
      <c r="H860" s="10">
        <f t="shared" si="2"/>
        <v>0.6143867925</v>
      </c>
      <c r="I860" s="10">
        <v>0.1899</v>
      </c>
      <c r="J860" s="10">
        <v>0.4777</v>
      </c>
      <c r="K860" s="5">
        <f t="shared" si="3"/>
        <v>0</v>
      </c>
    </row>
    <row r="861" ht="15.0" customHeight="1">
      <c r="A861" s="5">
        <v>2024.0</v>
      </c>
      <c r="B861" s="5" t="s">
        <v>282</v>
      </c>
      <c r="C861" s="5" t="s">
        <v>291</v>
      </c>
      <c r="D861" s="5" t="s">
        <v>293</v>
      </c>
      <c r="E861" s="5">
        <v>666.0</v>
      </c>
      <c r="F861" s="5">
        <v>469.0</v>
      </c>
      <c r="G861" s="5">
        <f t="shared" si="1"/>
        <v>1135</v>
      </c>
      <c r="H861" s="10">
        <f t="shared" si="2"/>
        <v>0.586784141</v>
      </c>
      <c r="I861" s="10">
        <v>0.1508</v>
      </c>
      <c r="J861" s="10">
        <v>0.6508</v>
      </c>
      <c r="K861" s="5">
        <f t="shared" si="3"/>
        <v>1</v>
      </c>
    </row>
    <row r="862" ht="15.0" customHeight="1">
      <c r="A862" s="5">
        <v>2018.0</v>
      </c>
      <c r="B862" s="5" t="s">
        <v>282</v>
      </c>
      <c r="C862" s="5" t="s">
        <v>291</v>
      </c>
      <c r="D862" s="5" t="s">
        <v>294</v>
      </c>
      <c r="E862" s="5">
        <v>1362.0</v>
      </c>
      <c r="F862" s="5">
        <v>392.0</v>
      </c>
      <c r="G862" s="5">
        <f t="shared" si="1"/>
        <v>1754</v>
      </c>
      <c r="H862" s="10">
        <f t="shared" si="2"/>
        <v>0.7765108324</v>
      </c>
      <c r="I862" s="10">
        <v>0.489</v>
      </c>
      <c r="J862" s="10">
        <v>0.3492</v>
      </c>
      <c r="K862" s="5">
        <f t="shared" si="3"/>
        <v>0</v>
      </c>
    </row>
    <row r="863" ht="15.0" customHeight="1">
      <c r="A863" s="5">
        <v>2020.0</v>
      </c>
      <c r="B863" s="5" t="s">
        <v>282</v>
      </c>
      <c r="C863" s="5" t="s">
        <v>291</v>
      </c>
      <c r="D863" s="5" t="s">
        <v>294</v>
      </c>
      <c r="E863" s="5">
        <v>2310.0</v>
      </c>
      <c r="F863" s="5">
        <v>710.0</v>
      </c>
      <c r="G863" s="5">
        <f t="shared" si="1"/>
        <v>3020</v>
      </c>
      <c r="H863" s="10">
        <f t="shared" si="2"/>
        <v>0.7649006623</v>
      </c>
      <c r="I863" s="10">
        <v>0.4749</v>
      </c>
      <c r="J863" s="10">
        <v>0.5356</v>
      </c>
      <c r="K863" s="5">
        <f t="shared" si="3"/>
        <v>1</v>
      </c>
    </row>
    <row r="864" ht="15.0" customHeight="1">
      <c r="A864" s="5">
        <v>2022.0</v>
      </c>
      <c r="B864" s="5" t="s">
        <v>282</v>
      </c>
      <c r="C864" s="5" t="s">
        <v>291</v>
      </c>
      <c r="D864" s="5" t="s">
        <v>294</v>
      </c>
      <c r="E864" s="5">
        <v>1228.0</v>
      </c>
      <c r="F864" s="5">
        <v>454.0</v>
      </c>
      <c r="G864" s="5">
        <f t="shared" si="1"/>
        <v>1682</v>
      </c>
      <c r="H864" s="10">
        <f t="shared" si="2"/>
        <v>0.7300832342</v>
      </c>
      <c r="I864" s="10">
        <v>0.452</v>
      </c>
      <c r="J864" s="10">
        <v>0.3352</v>
      </c>
      <c r="K864" s="5">
        <f t="shared" si="3"/>
        <v>0</v>
      </c>
    </row>
    <row r="865" ht="15.0" customHeight="1">
      <c r="A865" s="5">
        <v>2024.0</v>
      </c>
      <c r="B865" s="5" t="s">
        <v>282</v>
      </c>
      <c r="C865" s="5" t="s">
        <v>291</v>
      </c>
      <c r="D865" s="5" t="s">
        <v>294</v>
      </c>
      <c r="E865" s="5">
        <v>2074.0</v>
      </c>
      <c r="F865" s="5">
        <v>808.0</v>
      </c>
      <c r="G865" s="5">
        <f t="shared" si="1"/>
        <v>2882</v>
      </c>
      <c r="H865" s="10">
        <f t="shared" si="2"/>
        <v>0.7196391395</v>
      </c>
      <c r="I865" s="10">
        <v>0.4006</v>
      </c>
      <c r="J865" s="10">
        <v>0.5485</v>
      </c>
      <c r="K865" s="5">
        <f t="shared" si="3"/>
        <v>1</v>
      </c>
    </row>
    <row r="866" ht="15.0" customHeight="1">
      <c r="A866" s="5">
        <v>2018.0</v>
      </c>
      <c r="B866" s="5" t="s">
        <v>282</v>
      </c>
      <c r="C866" s="5" t="s">
        <v>291</v>
      </c>
      <c r="D866" s="5" t="s">
        <v>295</v>
      </c>
      <c r="E866" s="5">
        <v>1003.0</v>
      </c>
      <c r="F866" s="5">
        <v>415.0</v>
      </c>
      <c r="G866" s="5">
        <f t="shared" si="1"/>
        <v>1418</v>
      </c>
      <c r="H866" s="10">
        <f t="shared" si="2"/>
        <v>0.7073342736</v>
      </c>
      <c r="I866" s="10">
        <v>0.3456</v>
      </c>
      <c r="J866" s="10">
        <v>0.4185</v>
      </c>
      <c r="K866" s="5">
        <f t="shared" si="3"/>
        <v>0</v>
      </c>
    </row>
    <row r="867" ht="15.0" customHeight="1">
      <c r="A867" s="5">
        <v>2020.0</v>
      </c>
      <c r="B867" s="5" t="s">
        <v>282</v>
      </c>
      <c r="C867" s="5" t="s">
        <v>291</v>
      </c>
      <c r="D867" s="5" t="s">
        <v>295</v>
      </c>
      <c r="E867" s="5">
        <v>1598.0</v>
      </c>
      <c r="F867" s="5">
        <v>720.0</v>
      </c>
      <c r="G867" s="5">
        <f t="shared" si="1"/>
        <v>2318</v>
      </c>
      <c r="H867" s="10">
        <f t="shared" si="2"/>
        <v>0.6893874029</v>
      </c>
      <c r="I867" s="10">
        <v>0.3544</v>
      </c>
      <c r="J867" s="10">
        <v>0.6393</v>
      </c>
      <c r="K867" s="5">
        <f t="shared" si="3"/>
        <v>1</v>
      </c>
    </row>
    <row r="868" ht="15.0" customHeight="1">
      <c r="A868" s="5">
        <v>2022.0</v>
      </c>
      <c r="B868" s="5" t="s">
        <v>282</v>
      </c>
      <c r="C868" s="5" t="s">
        <v>291</v>
      </c>
      <c r="D868" s="5" t="s">
        <v>295</v>
      </c>
      <c r="E868" s="5">
        <v>989.0</v>
      </c>
      <c r="F868" s="5">
        <v>471.0</v>
      </c>
      <c r="G868" s="5">
        <f t="shared" si="1"/>
        <v>1460</v>
      </c>
      <c r="H868" s="10">
        <f t="shared" si="2"/>
        <v>0.6773972603</v>
      </c>
      <c r="I868" s="10">
        <v>0.3457</v>
      </c>
      <c r="J868" s="10">
        <v>0.4206</v>
      </c>
      <c r="K868" s="5">
        <f t="shared" si="3"/>
        <v>0</v>
      </c>
    </row>
    <row r="869" ht="15.0" customHeight="1">
      <c r="A869" s="5">
        <v>2024.0</v>
      </c>
      <c r="B869" s="5" t="s">
        <v>282</v>
      </c>
      <c r="C869" s="5" t="s">
        <v>291</v>
      </c>
      <c r="D869" s="5" t="s">
        <v>295</v>
      </c>
      <c r="E869" s="5">
        <v>1512.0</v>
      </c>
      <c r="F869" s="5">
        <v>759.0</v>
      </c>
      <c r="G869" s="5">
        <f t="shared" si="1"/>
        <v>2271</v>
      </c>
      <c r="H869" s="10">
        <f t="shared" si="2"/>
        <v>0.6657859974</v>
      </c>
      <c r="I869" s="10">
        <v>0.2983</v>
      </c>
      <c r="J869" s="10">
        <v>0.6227</v>
      </c>
      <c r="K869" s="5">
        <f t="shared" si="3"/>
        <v>1</v>
      </c>
    </row>
    <row r="870" ht="15.0" customHeight="1">
      <c r="A870" s="5">
        <v>2018.0</v>
      </c>
      <c r="B870" s="5" t="s">
        <v>282</v>
      </c>
      <c r="C870" s="5" t="s">
        <v>296</v>
      </c>
      <c r="D870" s="5" t="s">
        <v>59</v>
      </c>
      <c r="E870" s="5">
        <v>197.0</v>
      </c>
      <c r="F870" s="5">
        <v>115.0</v>
      </c>
      <c r="G870" s="5">
        <f t="shared" si="1"/>
        <v>312</v>
      </c>
      <c r="H870" s="10">
        <f t="shared" si="2"/>
        <v>0.6314102564</v>
      </c>
      <c r="I870" s="10">
        <v>0.1879</v>
      </c>
      <c r="J870" s="10">
        <v>0.6576</v>
      </c>
      <c r="K870" s="5">
        <f t="shared" si="3"/>
        <v>0</v>
      </c>
    </row>
    <row r="871" ht="15.0" customHeight="1">
      <c r="A871" s="5">
        <v>2020.0</v>
      </c>
      <c r="B871" s="5" t="s">
        <v>282</v>
      </c>
      <c r="C871" s="5" t="s">
        <v>296</v>
      </c>
      <c r="D871" s="5" t="s">
        <v>59</v>
      </c>
      <c r="E871" s="5">
        <v>228.0</v>
      </c>
      <c r="F871" s="5">
        <v>159.0</v>
      </c>
      <c r="G871" s="5">
        <f t="shared" si="1"/>
        <v>387</v>
      </c>
      <c r="H871" s="10">
        <f t="shared" si="2"/>
        <v>0.5891472868</v>
      </c>
      <c r="I871" s="10">
        <v>0.1931</v>
      </c>
      <c r="J871" s="10">
        <v>0.74</v>
      </c>
      <c r="K871" s="5">
        <f t="shared" si="3"/>
        <v>1</v>
      </c>
    </row>
    <row r="872" ht="15.0" customHeight="1">
      <c r="A872" s="5">
        <v>2022.0</v>
      </c>
      <c r="B872" s="5" t="s">
        <v>282</v>
      </c>
      <c r="C872" s="5" t="s">
        <v>296</v>
      </c>
      <c r="D872" s="5" t="s">
        <v>59</v>
      </c>
      <c r="E872" s="5">
        <v>200.0</v>
      </c>
      <c r="F872" s="5">
        <v>104.0</v>
      </c>
      <c r="G872" s="5">
        <f t="shared" si="1"/>
        <v>304</v>
      </c>
      <c r="H872" s="10">
        <f t="shared" si="2"/>
        <v>0.6578947368</v>
      </c>
      <c r="I872" s="10">
        <v>0.2446</v>
      </c>
      <c r="J872" s="10">
        <v>0.5949</v>
      </c>
      <c r="K872" s="5">
        <f t="shared" si="3"/>
        <v>0</v>
      </c>
    </row>
    <row r="873" ht="15.0" customHeight="1">
      <c r="A873" s="5">
        <v>2024.0</v>
      </c>
      <c r="B873" s="5" t="s">
        <v>282</v>
      </c>
      <c r="C873" s="5" t="s">
        <v>296</v>
      </c>
      <c r="D873" s="5" t="s">
        <v>59</v>
      </c>
      <c r="E873" s="5">
        <v>252.0</v>
      </c>
      <c r="F873" s="5">
        <v>131.0</v>
      </c>
      <c r="G873" s="5">
        <f t="shared" si="1"/>
        <v>383</v>
      </c>
      <c r="H873" s="10">
        <f t="shared" si="2"/>
        <v>0.6579634465</v>
      </c>
      <c r="I873" s="10">
        <v>0.2289</v>
      </c>
      <c r="J873" s="10">
        <v>0.7015</v>
      </c>
      <c r="K873" s="5">
        <f t="shared" si="3"/>
        <v>1</v>
      </c>
    </row>
    <row r="874" ht="15.0" customHeight="1">
      <c r="A874" s="5">
        <v>2018.0</v>
      </c>
      <c r="B874" s="5" t="s">
        <v>282</v>
      </c>
      <c r="C874" s="5" t="s">
        <v>297</v>
      </c>
      <c r="D874" s="5" t="s">
        <v>63</v>
      </c>
      <c r="E874" s="5">
        <v>245.0</v>
      </c>
      <c r="F874" s="5">
        <v>99.0</v>
      </c>
      <c r="G874" s="5">
        <f t="shared" si="1"/>
        <v>344</v>
      </c>
      <c r="H874" s="10">
        <f t="shared" si="2"/>
        <v>0.7122093023</v>
      </c>
      <c r="I874" s="10">
        <v>0.3283</v>
      </c>
      <c r="J874" s="10">
        <v>0.4056</v>
      </c>
      <c r="K874" s="5">
        <f t="shared" si="3"/>
        <v>0</v>
      </c>
    </row>
    <row r="875" ht="15.0" customHeight="1">
      <c r="A875" s="5">
        <v>2020.0</v>
      </c>
      <c r="B875" s="5" t="s">
        <v>282</v>
      </c>
      <c r="C875" s="5" t="s">
        <v>297</v>
      </c>
      <c r="D875" s="5" t="s">
        <v>63</v>
      </c>
      <c r="E875" s="5">
        <v>422.0</v>
      </c>
      <c r="F875" s="5">
        <v>183.0</v>
      </c>
      <c r="G875" s="5">
        <f t="shared" si="1"/>
        <v>605</v>
      </c>
      <c r="H875" s="10">
        <f t="shared" si="2"/>
        <v>0.6975206612</v>
      </c>
      <c r="I875" s="10">
        <v>0.3751</v>
      </c>
      <c r="J875" s="10">
        <v>0.6218</v>
      </c>
      <c r="K875" s="5">
        <f t="shared" si="3"/>
        <v>1</v>
      </c>
    </row>
    <row r="876" ht="15.0" customHeight="1">
      <c r="A876" s="5">
        <v>2022.0</v>
      </c>
      <c r="B876" s="5" t="s">
        <v>282</v>
      </c>
      <c r="C876" s="5" t="s">
        <v>297</v>
      </c>
      <c r="D876" s="5" t="s">
        <v>63</v>
      </c>
      <c r="E876" s="5">
        <v>276.0</v>
      </c>
      <c r="F876" s="5">
        <v>119.0</v>
      </c>
      <c r="G876" s="5">
        <f t="shared" si="1"/>
        <v>395</v>
      </c>
      <c r="H876" s="10">
        <f t="shared" si="2"/>
        <v>0.6987341772</v>
      </c>
      <c r="I876" s="10">
        <v>0.369</v>
      </c>
      <c r="J876" s="10">
        <v>0.4225</v>
      </c>
      <c r="K876" s="5">
        <f t="shared" si="3"/>
        <v>0</v>
      </c>
    </row>
    <row r="877" ht="15.0" customHeight="1">
      <c r="A877" s="5">
        <v>2024.0</v>
      </c>
      <c r="B877" s="5" t="s">
        <v>282</v>
      </c>
      <c r="C877" s="5" t="s">
        <v>297</v>
      </c>
      <c r="D877" s="5" t="s">
        <v>63</v>
      </c>
      <c r="E877" s="5">
        <v>444.0</v>
      </c>
      <c r="F877" s="5">
        <v>211.0</v>
      </c>
      <c r="G877" s="5">
        <f t="shared" si="1"/>
        <v>655</v>
      </c>
      <c r="H877" s="10">
        <f t="shared" si="2"/>
        <v>0.6778625954</v>
      </c>
      <c r="I877" s="10">
        <v>0.3114</v>
      </c>
      <c r="J877" s="10">
        <v>0.5998</v>
      </c>
      <c r="K877" s="5">
        <f t="shared" si="3"/>
        <v>1</v>
      </c>
    </row>
    <row r="878" ht="15.0" customHeight="1">
      <c r="A878" s="5">
        <v>2018.0</v>
      </c>
      <c r="B878" s="5" t="s">
        <v>282</v>
      </c>
      <c r="C878" s="5" t="s">
        <v>297</v>
      </c>
      <c r="D878" s="5" t="s">
        <v>73</v>
      </c>
      <c r="E878" s="5">
        <v>562.0</v>
      </c>
      <c r="F878" s="5">
        <v>140.0</v>
      </c>
      <c r="G878" s="5">
        <f t="shared" si="1"/>
        <v>702</v>
      </c>
      <c r="H878" s="10">
        <f t="shared" si="2"/>
        <v>0.8005698006</v>
      </c>
      <c r="I878" s="10">
        <v>0.337</v>
      </c>
      <c r="J878" s="10">
        <v>0.4345</v>
      </c>
      <c r="K878" s="5">
        <f t="shared" si="3"/>
        <v>0</v>
      </c>
    </row>
    <row r="879" ht="15.0" customHeight="1">
      <c r="A879" s="5">
        <v>2020.0</v>
      </c>
      <c r="B879" s="5" t="s">
        <v>282</v>
      </c>
      <c r="C879" s="5" t="s">
        <v>297</v>
      </c>
      <c r="D879" s="5" t="s">
        <v>73</v>
      </c>
      <c r="E879" s="5">
        <v>313.0</v>
      </c>
      <c r="F879" s="5">
        <v>122.0</v>
      </c>
      <c r="G879" s="5">
        <f t="shared" si="1"/>
        <v>435</v>
      </c>
      <c r="H879" s="10">
        <f t="shared" si="2"/>
        <v>0.7195402299</v>
      </c>
      <c r="I879" s="10">
        <v>0.3025</v>
      </c>
      <c r="J879" s="10">
        <v>0.387</v>
      </c>
      <c r="K879" s="5">
        <f t="shared" si="3"/>
        <v>1</v>
      </c>
    </row>
    <row r="880" ht="15.0" customHeight="1">
      <c r="A880" s="5">
        <v>2022.0</v>
      </c>
      <c r="B880" s="5" t="s">
        <v>282</v>
      </c>
      <c r="C880" s="5" t="s">
        <v>297</v>
      </c>
      <c r="D880" s="5" t="s">
        <v>73</v>
      </c>
      <c r="E880" s="5">
        <v>217.0</v>
      </c>
      <c r="F880" s="5">
        <v>82.0</v>
      </c>
      <c r="G880" s="5">
        <f t="shared" si="1"/>
        <v>299</v>
      </c>
      <c r="H880" s="10">
        <f t="shared" si="2"/>
        <v>0.7257525084</v>
      </c>
      <c r="I880" s="10">
        <v>0.3011</v>
      </c>
      <c r="J880" s="10">
        <v>0.2923</v>
      </c>
      <c r="K880" s="5">
        <f t="shared" si="3"/>
        <v>0</v>
      </c>
    </row>
    <row r="881" ht="15.0" customHeight="1">
      <c r="A881" s="5">
        <v>2024.0</v>
      </c>
      <c r="B881" s="5" t="s">
        <v>282</v>
      </c>
      <c r="C881" s="5" t="s">
        <v>297</v>
      </c>
      <c r="D881" s="5" t="s">
        <v>73</v>
      </c>
      <c r="E881" s="5">
        <v>471.0</v>
      </c>
      <c r="F881" s="5">
        <v>179.0</v>
      </c>
      <c r="G881" s="5">
        <f t="shared" si="1"/>
        <v>650</v>
      </c>
      <c r="H881" s="10">
        <f t="shared" si="2"/>
        <v>0.7246153846</v>
      </c>
      <c r="I881" s="10">
        <v>0.2952</v>
      </c>
      <c r="J881" s="10">
        <v>0.5345</v>
      </c>
      <c r="K881" s="5">
        <f t="shared" si="3"/>
        <v>1</v>
      </c>
    </row>
    <row r="882" ht="15.0" customHeight="1">
      <c r="A882" s="5">
        <v>2018.0</v>
      </c>
      <c r="B882" s="5" t="s">
        <v>282</v>
      </c>
      <c r="C882" s="5" t="s">
        <v>297</v>
      </c>
      <c r="D882" s="5" t="s">
        <v>74</v>
      </c>
      <c r="E882" s="5">
        <v>147.0</v>
      </c>
      <c r="F882" s="5">
        <v>80.0</v>
      </c>
      <c r="G882" s="5">
        <f t="shared" si="1"/>
        <v>227</v>
      </c>
      <c r="H882" s="10">
        <f t="shared" si="2"/>
        <v>0.6475770925</v>
      </c>
      <c r="I882" s="10">
        <v>0.2774</v>
      </c>
      <c r="J882" s="10">
        <v>0.4046</v>
      </c>
      <c r="K882" s="5">
        <f t="shared" si="3"/>
        <v>0</v>
      </c>
    </row>
    <row r="883" ht="15.0" customHeight="1">
      <c r="A883" s="5">
        <v>2020.0</v>
      </c>
      <c r="B883" s="5" t="s">
        <v>282</v>
      </c>
      <c r="C883" s="5" t="s">
        <v>297</v>
      </c>
      <c r="D883" s="5" t="s">
        <v>74</v>
      </c>
      <c r="E883" s="5">
        <v>188.0</v>
      </c>
      <c r="F883" s="5">
        <v>114.0</v>
      </c>
      <c r="G883" s="5">
        <f t="shared" si="1"/>
        <v>302</v>
      </c>
      <c r="H883" s="10">
        <f t="shared" si="2"/>
        <v>0.6225165563</v>
      </c>
      <c r="I883" s="10">
        <v>0.2678</v>
      </c>
      <c r="J883" s="10">
        <v>0.5119</v>
      </c>
      <c r="K883" s="5">
        <f t="shared" si="3"/>
        <v>1</v>
      </c>
    </row>
    <row r="884" ht="15.0" customHeight="1">
      <c r="A884" s="5">
        <v>2022.0</v>
      </c>
      <c r="B884" s="5" t="s">
        <v>282</v>
      </c>
      <c r="C884" s="5" t="s">
        <v>297</v>
      </c>
      <c r="D884" s="5" t="s">
        <v>74</v>
      </c>
      <c r="E884" s="5">
        <v>126.0</v>
      </c>
      <c r="F884" s="5">
        <v>78.0</v>
      </c>
      <c r="G884" s="5">
        <f t="shared" si="1"/>
        <v>204</v>
      </c>
      <c r="H884" s="10">
        <f t="shared" si="2"/>
        <v>0.6176470588</v>
      </c>
      <c r="I884" s="10">
        <v>0.2969</v>
      </c>
      <c r="J884" s="10">
        <v>0.3984</v>
      </c>
      <c r="K884" s="5">
        <f t="shared" si="3"/>
        <v>0</v>
      </c>
    </row>
    <row r="885" ht="15.0" customHeight="1">
      <c r="A885" s="5">
        <v>2024.0</v>
      </c>
      <c r="B885" s="5" t="s">
        <v>282</v>
      </c>
      <c r="C885" s="5" t="s">
        <v>297</v>
      </c>
      <c r="D885" s="5" t="s">
        <v>74</v>
      </c>
      <c r="E885" s="5">
        <v>164.0</v>
      </c>
      <c r="F885" s="5">
        <v>105.0</v>
      </c>
      <c r="G885" s="5">
        <f t="shared" si="1"/>
        <v>269</v>
      </c>
      <c r="H885" s="10">
        <f t="shared" si="2"/>
        <v>0.6096654275</v>
      </c>
      <c r="I885" s="10">
        <v>0.2667</v>
      </c>
      <c r="J885" s="10">
        <v>0.5434</v>
      </c>
      <c r="K885" s="5">
        <f t="shared" si="3"/>
        <v>1</v>
      </c>
    </row>
    <row r="886" ht="15.0" customHeight="1">
      <c r="A886" s="5">
        <v>2018.0</v>
      </c>
      <c r="B886" s="5" t="s">
        <v>282</v>
      </c>
      <c r="C886" s="5" t="s">
        <v>297</v>
      </c>
      <c r="D886" s="5" t="s">
        <v>76</v>
      </c>
      <c r="E886" s="5">
        <v>321.0</v>
      </c>
      <c r="F886" s="5">
        <v>182.0</v>
      </c>
      <c r="G886" s="5">
        <f t="shared" si="1"/>
        <v>503</v>
      </c>
      <c r="H886" s="10">
        <f t="shared" si="2"/>
        <v>0.6381709742</v>
      </c>
      <c r="I886" s="10">
        <v>0.205</v>
      </c>
      <c r="J886" s="10">
        <v>0.5415</v>
      </c>
      <c r="K886" s="5">
        <f t="shared" si="3"/>
        <v>0</v>
      </c>
    </row>
    <row r="887" ht="15.0" customHeight="1">
      <c r="A887" s="5">
        <v>2020.0</v>
      </c>
      <c r="B887" s="5" t="s">
        <v>282</v>
      </c>
      <c r="C887" s="5" t="s">
        <v>297</v>
      </c>
      <c r="D887" s="5" t="s">
        <v>76</v>
      </c>
      <c r="E887" s="5">
        <v>432.0</v>
      </c>
      <c r="F887" s="5">
        <v>292.0</v>
      </c>
      <c r="G887" s="5">
        <f t="shared" si="1"/>
        <v>724</v>
      </c>
      <c r="H887" s="10">
        <f t="shared" si="2"/>
        <v>0.5966850829</v>
      </c>
      <c r="I887" s="10">
        <v>0.1876</v>
      </c>
      <c r="J887" s="10">
        <v>0.7147</v>
      </c>
      <c r="K887" s="5">
        <f t="shared" si="3"/>
        <v>1</v>
      </c>
    </row>
    <row r="888" ht="15.0" customHeight="1">
      <c r="A888" s="5">
        <v>2022.0</v>
      </c>
      <c r="B888" s="5" t="s">
        <v>282</v>
      </c>
      <c r="C888" s="5" t="s">
        <v>297</v>
      </c>
      <c r="D888" s="5" t="s">
        <v>76</v>
      </c>
      <c r="E888" s="5">
        <v>302.0</v>
      </c>
      <c r="F888" s="5">
        <v>220.0</v>
      </c>
      <c r="G888" s="5">
        <f t="shared" si="1"/>
        <v>522</v>
      </c>
      <c r="H888" s="10">
        <f t="shared" si="2"/>
        <v>0.5785440613</v>
      </c>
      <c r="I888" s="10">
        <v>0.188</v>
      </c>
      <c r="J888" s="10">
        <v>0.5483</v>
      </c>
      <c r="K888" s="5">
        <f t="shared" si="3"/>
        <v>0</v>
      </c>
    </row>
    <row r="889" ht="15.0" customHeight="1">
      <c r="A889" s="5">
        <v>2024.0</v>
      </c>
      <c r="B889" s="5" t="s">
        <v>282</v>
      </c>
      <c r="C889" s="5" t="s">
        <v>297</v>
      </c>
      <c r="D889" s="5" t="s">
        <v>76</v>
      </c>
      <c r="E889" s="5">
        <v>411.0</v>
      </c>
      <c r="F889" s="5">
        <v>284.0</v>
      </c>
      <c r="G889" s="5">
        <f t="shared" si="1"/>
        <v>695</v>
      </c>
      <c r="H889" s="10">
        <f t="shared" si="2"/>
        <v>0.5913669065</v>
      </c>
      <c r="I889" s="10">
        <v>0.175</v>
      </c>
      <c r="J889" s="10">
        <v>0.707</v>
      </c>
      <c r="K889" s="5">
        <f t="shared" si="3"/>
        <v>1</v>
      </c>
    </row>
    <row r="890" ht="15.0" customHeight="1">
      <c r="A890" s="5">
        <v>2018.0</v>
      </c>
      <c r="B890" s="5" t="s">
        <v>282</v>
      </c>
      <c r="C890" s="5" t="s">
        <v>297</v>
      </c>
      <c r="D890" s="5" t="s">
        <v>78</v>
      </c>
      <c r="E890" s="5">
        <v>271.0</v>
      </c>
      <c r="F890" s="5">
        <v>145.0</v>
      </c>
      <c r="G890" s="5">
        <f t="shared" si="1"/>
        <v>416</v>
      </c>
      <c r="H890" s="10">
        <f t="shared" si="2"/>
        <v>0.6514423077</v>
      </c>
      <c r="I890" s="10">
        <v>0.32</v>
      </c>
      <c r="J890" s="10">
        <v>0.458</v>
      </c>
      <c r="K890" s="5">
        <f t="shared" si="3"/>
        <v>0</v>
      </c>
    </row>
    <row r="891" ht="15.0" customHeight="1">
      <c r="A891" s="5">
        <v>2020.0</v>
      </c>
      <c r="B891" s="5" t="s">
        <v>282</v>
      </c>
      <c r="C891" s="5" t="s">
        <v>297</v>
      </c>
      <c r="D891" s="5" t="s">
        <v>78</v>
      </c>
      <c r="E891" s="5">
        <v>379.0</v>
      </c>
      <c r="F891" s="5">
        <v>250.0</v>
      </c>
      <c r="G891" s="5">
        <f t="shared" si="1"/>
        <v>629</v>
      </c>
      <c r="H891" s="10">
        <f t="shared" si="2"/>
        <v>0.6025437202</v>
      </c>
      <c r="I891" s="10">
        <v>0.274</v>
      </c>
      <c r="J891" s="10">
        <v>0.6222</v>
      </c>
      <c r="K891" s="5">
        <f t="shared" si="3"/>
        <v>1</v>
      </c>
    </row>
    <row r="892" ht="15.0" customHeight="1">
      <c r="A892" s="5">
        <v>2022.0</v>
      </c>
      <c r="B892" s="5" t="s">
        <v>282</v>
      </c>
      <c r="C892" s="5" t="s">
        <v>297</v>
      </c>
      <c r="D892" s="5" t="s">
        <v>78</v>
      </c>
      <c r="E892" s="5">
        <v>270.0</v>
      </c>
      <c r="F892" s="5">
        <v>169.0</v>
      </c>
      <c r="G892" s="5">
        <f t="shared" si="1"/>
        <v>439</v>
      </c>
      <c r="H892" s="10">
        <f t="shared" si="2"/>
        <v>0.6150341686</v>
      </c>
      <c r="I892" s="10">
        <v>0.2379</v>
      </c>
      <c r="J892" s="10">
        <v>0.4334</v>
      </c>
      <c r="K892" s="5">
        <f t="shared" si="3"/>
        <v>0</v>
      </c>
    </row>
    <row r="893" ht="15.0" customHeight="1">
      <c r="A893" s="5">
        <v>2024.0</v>
      </c>
      <c r="B893" s="5" t="s">
        <v>282</v>
      </c>
      <c r="C893" s="5" t="s">
        <v>297</v>
      </c>
      <c r="D893" s="5" t="s">
        <v>78</v>
      </c>
      <c r="E893" s="5">
        <v>379.0</v>
      </c>
      <c r="F893" s="5">
        <v>307.0</v>
      </c>
      <c r="G893" s="5">
        <f t="shared" si="1"/>
        <v>686</v>
      </c>
      <c r="H893" s="10">
        <f t="shared" si="2"/>
        <v>0.5524781341</v>
      </c>
      <c r="I893" s="10">
        <v>0.178</v>
      </c>
      <c r="J893" s="10">
        <v>0.6393</v>
      </c>
      <c r="K893" s="5">
        <f t="shared" si="3"/>
        <v>1</v>
      </c>
    </row>
    <row r="894" ht="15.0" customHeight="1">
      <c r="A894" s="5">
        <v>2018.0</v>
      </c>
      <c r="B894" s="5" t="s">
        <v>282</v>
      </c>
      <c r="C894" s="5" t="s">
        <v>297</v>
      </c>
      <c r="D894" s="5" t="s">
        <v>79</v>
      </c>
      <c r="E894" s="5">
        <v>282.0</v>
      </c>
      <c r="F894" s="5">
        <v>159.0</v>
      </c>
      <c r="G894" s="5">
        <f t="shared" si="1"/>
        <v>441</v>
      </c>
      <c r="H894" s="10">
        <f t="shared" si="2"/>
        <v>0.6394557823</v>
      </c>
      <c r="I894" s="10">
        <v>0.2456</v>
      </c>
      <c r="J894" s="10">
        <v>0.4622</v>
      </c>
      <c r="K894" s="5">
        <f t="shared" si="3"/>
        <v>0</v>
      </c>
    </row>
    <row r="895" ht="15.0" customHeight="1">
      <c r="A895" s="5">
        <v>2020.0</v>
      </c>
      <c r="B895" s="5" t="s">
        <v>282</v>
      </c>
      <c r="C895" s="5" t="s">
        <v>297</v>
      </c>
      <c r="D895" s="5" t="s">
        <v>79</v>
      </c>
      <c r="E895" s="5">
        <v>439.0</v>
      </c>
      <c r="F895" s="5">
        <v>288.0</v>
      </c>
      <c r="G895" s="5">
        <f t="shared" si="1"/>
        <v>727</v>
      </c>
      <c r="H895" s="10">
        <f t="shared" si="2"/>
        <v>0.6038514443</v>
      </c>
      <c r="I895" s="10">
        <v>0.2365</v>
      </c>
      <c r="J895" s="10">
        <v>0.6439</v>
      </c>
      <c r="K895" s="5">
        <f t="shared" si="3"/>
        <v>1</v>
      </c>
    </row>
    <row r="896" ht="15.0" customHeight="1">
      <c r="A896" s="5">
        <v>2022.0</v>
      </c>
      <c r="B896" s="5" t="s">
        <v>282</v>
      </c>
      <c r="C896" s="5" t="s">
        <v>297</v>
      </c>
      <c r="D896" s="5" t="s">
        <v>79</v>
      </c>
      <c r="E896" s="5">
        <v>300.0</v>
      </c>
      <c r="F896" s="5">
        <v>205.0</v>
      </c>
      <c r="G896" s="5">
        <f t="shared" si="1"/>
        <v>505</v>
      </c>
      <c r="H896" s="10">
        <f t="shared" si="2"/>
        <v>0.5940594059</v>
      </c>
      <c r="I896" s="10">
        <v>0.21</v>
      </c>
      <c r="J896" s="10">
        <v>0.4755</v>
      </c>
      <c r="K896" s="5">
        <f t="shared" si="3"/>
        <v>0</v>
      </c>
    </row>
    <row r="897" ht="15.0" customHeight="1">
      <c r="A897" s="5">
        <v>2024.0</v>
      </c>
      <c r="B897" s="5" t="s">
        <v>282</v>
      </c>
      <c r="C897" s="5" t="s">
        <v>297</v>
      </c>
      <c r="D897" s="5" t="s">
        <v>79</v>
      </c>
      <c r="E897" s="5">
        <v>447.0</v>
      </c>
      <c r="F897" s="5">
        <v>287.0</v>
      </c>
      <c r="G897" s="5">
        <f t="shared" si="1"/>
        <v>734</v>
      </c>
      <c r="H897" s="10">
        <f t="shared" si="2"/>
        <v>0.6089918256</v>
      </c>
      <c r="I897" s="10">
        <v>0.1676</v>
      </c>
      <c r="J897" s="10">
        <v>0.6649</v>
      </c>
      <c r="K897" s="5">
        <f t="shared" si="3"/>
        <v>1</v>
      </c>
    </row>
    <row r="898" ht="15.0" customHeight="1">
      <c r="A898" s="5">
        <v>2018.0</v>
      </c>
      <c r="B898" s="5" t="s">
        <v>282</v>
      </c>
      <c r="C898" s="5" t="s">
        <v>298</v>
      </c>
      <c r="D898" s="5" t="s">
        <v>87</v>
      </c>
      <c r="E898" s="5">
        <v>330.0</v>
      </c>
      <c r="F898" s="5">
        <v>632.0</v>
      </c>
      <c r="G898" s="5">
        <f t="shared" si="1"/>
        <v>962</v>
      </c>
      <c r="H898" s="10">
        <f t="shared" si="2"/>
        <v>0.343035343</v>
      </c>
      <c r="I898" s="10">
        <v>-0.0847</v>
      </c>
      <c r="J898" s="10">
        <v>0.5625</v>
      </c>
      <c r="K898" s="5">
        <f t="shared" si="3"/>
        <v>0</v>
      </c>
    </row>
    <row r="899" ht="15.0" customHeight="1">
      <c r="A899" s="5">
        <v>2020.0</v>
      </c>
      <c r="B899" s="5" t="s">
        <v>282</v>
      </c>
      <c r="C899" s="5" t="s">
        <v>298</v>
      </c>
      <c r="D899" s="5" t="s">
        <v>87</v>
      </c>
      <c r="E899" s="5">
        <v>482.0</v>
      </c>
      <c r="F899" s="5">
        <v>987.0</v>
      </c>
      <c r="G899" s="5">
        <f t="shared" si="1"/>
        <v>1469</v>
      </c>
      <c r="H899" s="10">
        <f t="shared" si="2"/>
        <v>0.3281143635</v>
      </c>
      <c r="I899" s="10">
        <v>-0.1393</v>
      </c>
      <c r="J899" s="10">
        <v>0.7607</v>
      </c>
      <c r="K899" s="5">
        <f t="shared" si="3"/>
        <v>1</v>
      </c>
    </row>
    <row r="900" ht="15.0" customHeight="1">
      <c r="A900" s="5">
        <v>2022.0</v>
      </c>
      <c r="B900" s="5" t="s">
        <v>282</v>
      </c>
      <c r="C900" s="5" t="s">
        <v>298</v>
      </c>
      <c r="D900" s="5" t="s">
        <v>87</v>
      </c>
      <c r="E900" s="5">
        <v>361.0</v>
      </c>
      <c r="F900" s="5">
        <v>824.0</v>
      </c>
      <c r="G900" s="5">
        <f t="shared" si="1"/>
        <v>1185</v>
      </c>
      <c r="H900" s="10">
        <f t="shared" si="2"/>
        <v>0.3046413502</v>
      </c>
      <c r="I900" s="10">
        <v>-0.2008</v>
      </c>
      <c r="J900" s="10">
        <v>0.6182</v>
      </c>
      <c r="K900" s="5">
        <f t="shared" si="3"/>
        <v>0</v>
      </c>
    </row>
    <row r="901" ht="15.0" customHeight="1">
      <c r="A901" s="5">
        <v>2024.0</v>
      </c>
      <c r="B901" s="5" t="s">
        <v>282</v>
      </c>
      <c r="C901" s="5" t="s">
        <v>298</v>
      </c>
      <c r="D901" s="5" t="s">
        <v>87</v>
      </c>
      <c r="E901" s="5">
        <v>471.0</v>
      </c>
      <c r="F901" s="5">
        <v>1124.0</v>
      </c>
      <c r="G901" s="5">
        <f t="shared" si="1"/>
        <v>1595</v>
      </c>
      <c r="H901" s="10">
        <f t="shared" si="2"/>
        <v>0.2952978056</v>
      </c>
      <c r="I901" s="10">
        <v>-0.2706</v>
      </c>
      <c r="J901" s="10">
        <v>0.7861</v>
      </c>
      <c r="K901" s="5">
        <f t="shared" si="3"/>
        <v>1</v>
      </c>
    </row>
    <row r="902" ht="15.0" customHeight="1">
      <c r="A902" s="5">
        <v>2018.0</v>
      </c>
      <c r="B902" s="5" t="s">
        <v>282</v>
      </c>
      <c r="C902" s="5" t="s">
        <v>299</v>
      </c>
      <c r="D902" s="5" t="s">
        <v>88</v>
      </c>
      <c r="E902" s="5">
        <v>909.0</v>
      </c>
      <c r="F902" s="5">
        <v>1087.0</v>
      </c>
      <c r="G902" s="5">
        <f t="shared" si="1"/>
        <v>1996</v>
      </c>
      <c r="H902" s="10">
        <f t="shared" si="2"/>
        <v>0.4554108216</v>
      </c>
      <c r="I902" s="10">
        <v>-0.028</v>
      </c>
      <c r="J902" s="10">
        <v>0.5666</v>
      </c>
      <c r="K902" s="5">
        <f t="shared" si="3"/>
        <v>0</v>
      </c>
    </row>
    <row r="903" ht="15.0" customHeight="1">
      <c r="A903" s="5">
        <v>2020.0</v>
      </c>
      <c r="B903" s="5" t="s">
        <v>282</v>
      </c>
      <c r="C903" s="5" t="s">
        <v>299</v>
      </c>
      <c r="D903" s="5" t="s">
        <v>88</v>
      </c>
      <c r="E903" s="5">
        <v>1242.0</v>
      </c>
      <c r="F903" s="5">
        <v>1560.0</v>
      </c>
      <c r="G903" s="5">
        <f t="shared" si="1"/>
        <v>2802</v>
      </c>
      <c r="H903" s="10">
        <f t="shared" si="2"/>
        <v>0.443254818</v>
      </c>
      <c r="I903" s="10">
        <v>-0.0459</v>
      </c>
      <c r="J903" s="10">
        <v>0.7397</v>
      </c>
      <c r="K903" s="5">
        <f t="shared" si="3"/>
        <v>1</v>
      </c>
    </row>
    <row r="904" ht="15.0" customHeight="1">
      <c r="A904" s="5">
        <v>2022.0</v>
      </c>
      <c r="B904" s="5" t="s">
        <v>282</v>
      </c>
      <c r="C904" s="5" t="s">
        <v>299</v>
      </c>
      <c r="D904" s="5" t="s">
        <v>88</v>
      </c>
      <c r="E904" s="5">
        <v>1070.0</v>
      </c>
      <c r="F904" s="5">
        <v>1116.0</v>
      </c>
      <c r="G904" s="5">
        <f t="shared" si="1"/>
        <v>2186</v>
      </c>
      <c r="H904" s="10">
        <f t="shared" si="2"/>
        <v>0.4894784995</v>
      </c>
      <c r="I904" s="10">
        <v>-0.0541</v>
      </c>
      <c r="J904" s="10">
        <v>0.5859</v>
      </c>
      <c r="K904" s="5">
        <f t="shared" si="3"/>
        <v>0</v>
      </c>
    </row>
    <row r="905" ht="15.0" customHeight="1">
      <c r="A905" s="5">
        <v>2024.0</v>
      </c>
      <c r="B905" s="5" t="s">
        <v>282</v>
      </c>
      <c r="C905" s="5" t="s">
        <v>299</v>
      </c>
      <c r="D905" s="5" t="s">
        <v>88</v>
      </c>
      <c r="E905" s="5">
        <v>1393.0</v>
      </c>
      <c r="F905" s="5">
        <v>1560.0</v>
      </c>
      <c r="G905" s="5">
        <f t="shared" si="1"/>
        <v>2953</v>
      </c>
      <c r="H905" s="10">
        <f t="shared" si="2"/>
        <v>0.4717236708</v>
      </c>
      <c r="I905" s="10">
        <v>-0.0839</v>
      </c>
      <c r="J905" s="10">
        <v>0.758</v>
      </c>
      <c r="K905" s="5">
        <f t="shared" si="3"/>
        <v>1</v>
      </c>
    </row>
    <row r="906" ht="15.0" customHeight="1">
      <c r="A906" s="5">
        <v>2018.0</v>
      </c>
      <c r="B906" s="5" t="s">
        <v>282</v>
      </c>
      <c r="C906" s="5" t="s">
        <v>299</v>
      </c>
      <c r="D906" s="5" t="s">
        <v>89</v>
      </c>
      <c r="E906" s="5">
        <v>607.0</v>
      </c>
      <c r="F906" s="5">
        <v>711.0</v>
      </c>
      <c r="G906" s="5">
        <f t="shared" si="1"/>
        <v>1318</v>
      </c>
      <c r="H906" s="10">
        <f t="shared" si="2"/>
        <v>0.4605462822</v>
      </c>
      <c r="I906" s="10">
        <v>-0.0251</v>
      </c>
      <c r="J906" s="10">
        <v>0.5752</v>
      </c>
      <c r="K906" s="5">
        <f t="shared" si="3"/>
        <v>0</v>
      </c>
    </row>
    <row r="907" ht="15.0" customHeight="1">
      <c r="A907" s="5">
        <v>2020.0</v>
      </c>
      <c r="B907" s="5" t="s">
        <v>282</v>
      </c>
      <c r="C907" s="5" t="s">
        <v>299</v>
      </c>
      <c r="D907" s="5" t="s">
        <v>89</v>
      </c>
      <c r="E907" s="5">
        <v>857.0</v>
      </c>
      <c r="F907" s="5">
        <v>1092.0</v>
      </c>
      <c r="G907" s="5">
        <f t="shared" si="1"/>
        <v>1949</v>
      </c>
      <c r="H907" s="10">
        <f t="shared" si="2"/>
        <v>0.4397126732</v>
      </c>
      <c r="I907" s="10">
        <v>-0.0593</v>
      </c>
      <c r="J907" s="10">
        <v>0.7658</v>
      </c>
      <c r="K907" s="5">
        <f t="shared" si="3"/>
        <v>1</v>
      </c>
    </row>
    <row r="908" ht="15.0" customHeight="1">
      <c r="A908" s="5">
        <v>2022.0</v>
      </c>
      <c r="B908" s="5" t="s">
        <v>282</v>
      </c>
      <c r="C908" s="5" t="s">
        <v>299</v>
      </c>
      <c r="D908" s="5" t="s">
        <v>89</v>
      </c>
      <c r="E908" s="5">
        <v>647.0</v>
      </c>
      <c r="F908" s="5">
        <v>824.0</v>
      </c>
      <c r="G908" s="5">
        <f t="shared" si="1"/>
        <v>1471</v>
      </c>
      <c r="H908" s="10">
        <f t="shared" si="2"/>
        <v>0.4398368457</v>
      </c>
      <c r="I908" s="10">
        <v>-0.0937</v>
      </c>
      <c r="J908" s="10">
        <v>0.5917</v>
      </c>
      <c r="K908" s="5">
        <f t="shared" si="3"/>
        <v>0</v>
      </c>
    </row>
    <row r="909" ht="15.0" customHeight="1">
      <c r="A909" s="5">
        <v>2024.0</v>
      </c>
      <c r="B909" s="5" t="s">
        <v>282</v>
      </c>
      <c r="C909" s="5" t="s">
        <v>299</v>
      </c>
      <c r="D909" s="5" t="s">
        <v>89</v>
      </c>
      <c r="E909" s="5">
        <v>852.0</v>
      </c>
      <c r="F909" s="5">
        <v>1085.0</v>
      </c>
      <c r="G909" s="5">
        <f t="shared" si="1"/>
        <v>1937</v>
      </c>
      <c r="H909" s="10">
        <f t="shared" si="2"/>
        <v>0.4398554466</v>
      </c>
      <c r="I909" s="10">
        <v>-0.1248</v>
      </c>
      <c r="J909" s="10">
        <v>0.7751</v>
      </c>
      <c r="K909" s="5">
        <f t="shared" si="3"/>
        <v>1</v>
      </c>
    </row>
    <row r="910" ht="15.0" customHeight="1">
      <c r="A910" s="5">
        <v>2018.0</v>
      </c>
      <c r="B910" s="5" t="s">
        <v>282</v>
      </c>
      <c r="C910" s="5" t="s">
        <v>300</v>
      </c>
      <c r="D910" s="5" t="s">
        <v>91</v>
      </c>
      <c r="E910" s="5">
        <v>1207.0</v>
      </c>
      <c r="F910" s="5">
        <v>1170.0</v>
      </c>
      <c r="G910" s="5">
        <f t="shared" si="1"/>
        <v>2377</v>
      </c>
      <c r="H910" s="10">
        <f t="shared" si="2"/>
        <v>0.5077829196</v>
      </c>
      <c r="I910" s="10">
        <v>0.0132</v>
      </c>
      <c r="J910" s="10">
        <v>0.5144</v>
      </c>
      <c r="K910" s="5">
        <f t="shared" si="3"/>
        <v>0</v>
      </c>
    </row>
    <row r="911" ht="15.0" customHeight="1">
      <c r="A911" s="5">
        <v>2020.0</v>
      </c>
      <c r="B911" s="5" t="s">
        <v>282</v>
      </c>
      <c r="C911" s="5" t="s">
        <v>300</v>
      </c>
      <c r="D911" s="5" t="s">
        <v>91</v>
      </c>
      <c r="E911" s="5">
        <v>880.0</v>
      </c>
      <c r="F911" s="5">
        <v>860.0</v>
      </c>
      <c r="G911" s="5">
        <f t="shared" si="1"/>
        <v>1740</v>
      </c>
      <c r="H911" s="10">
        <f t="shared" si="2"/>
        <v>0.5057471264</v>
      </c>
      <c r="I911" s="10">
        <v>0.0167</v>
      </c>
      <c r="J911" s="10">
        <v>0.7256</v>
      </c>
      <c r="K911" s="5">
        <f t="shared" si="3"/>
        <v>1</v>
      </c>
    </row>
    <row r="912" ht="15.0" customHeight="1">
      <c r="A912" s="5">
        <v>2022.0</v>
      </c>
      <c r="B912" s="5" t="s">
        <v>282</v>
      </c>
      <c r="C912" s="5" t="s">
        <v>300</v>
      </c>
      <c r="D912" s="5" t="s">
        <v>91</v>
      </c>
      <c r="E912" s="5">
        <v>616.0</v>
      </c>
      <c r="F912" s="5">
        <v>674.0</v>
      </c>
      <c r="G912" s="5">
        <f t="shared" si="1"/>
        <v>1290</v>
      </c>
      <c r="H912" s="10">
        <f t="shared" si="2"/>
        <v>0.4775193798</v>
      </c>
      <c r="I912" s="10">
        <v>-0.0136</v>
      </c>
      <c r="J912" s="10">
        <v>0.5496</v>
      </c>
      <c r="K912" s="5">
        <f t="shared" si="3"/>
        <v>0</v>
      </c>
    </row>
    <row r="913" ht="15.0" customHeight="1">
      <c r="A913" s="5">
        <v>2024.0</v>
      </c>
      <c r="B913" s="5" t="s">
        <v>282</v>
      </c>
      <c r="C913" s="5" t="s">
        <v>300</v>
      </c>
      <c r="D913" s="5" t="s">
        <v>91</v>
      </c>
      <c r="E913" s="5">
        <v>842.0</v>
      </c>
      <c r="F913" s="5">
        <v>918.0</v>
      </c>
      <c r="G913" s="5">
        <f t="shared" si="1"/>
        <v>1760</v>
      </c>
      <c r="H913" s="10">
        <f t="shared" si="2"/>
        <v>0.4784090909</v>
      </c>
      <c r="I913" s="10">
        <v>-0.0376</v>
      </c>
      <c r="J913" s="10">
        <v>0.727</v>
      </c>
      <c r="K913" s="5">
        <f t="shared" si="3"/>
        <v>1</v>
      </c>
    </row>
    <row r="914" ht="15.0" customHeight="1">
      <c r="A914" s="5">
        <v>2018.0</v>
      </c>
      <c r="B914" s="5" t="s">
        <v>282</v>
      </c>
      <c r="C914" s="5" t="s">
        <v>301</v>
      </c>
      <c r="D914" s="5" t="s">
        <v>302</v>
      </c>
      <c r="E914" s="5">
        <v>1556.0</v>
      </c>
      <c r="F914" s="5">
        <v>897.0</v>
      </c>
      <c r="G914" s="5">
        <f t="shared" si="1"/>
        <v>2453</v>
      </c>
      <c r="H914" s="10">
        <f t="shared" si="2"/>
        <v>0.6343253159</v>
      </c>
      <c r="I914" s="10">
        <v>0.2419</v>
      </c>
      <c r="J914" s="10">
        <v>0.4821</v>
      </c>
      <c r="K914" s="5">
        <f t="shared" si="3"/>
        <v>0</v>
      </c>
    </row>
    <row r="915" ht="15.0" customHeight="1">
      <c r="A915" s="5">
        <v>2020.0</v>
      </c>
      <c r="B915" s="5" t="s">
        <v>282</v>
      </c>
      <c r="C915" s="5" t="s">
        <v>301</v>
      </c>
      <c r="D915" s="5" t="s">
        <v>302</v>
      </c>
      <c r="E915" s="5">
        <v>2389.0</v>
      </c>
      <c r="F915" s="5">
        <v>1340.0</v>
      </c>
      <c r="G915" s="5">
        <f t="shared" si="1"/>
        <v>3729</v>
      </c>
      <c r="H915" s="10">
        <f t="shared" si="2"/>
        <v>0.6406543309</v>
      </c>
      <c r="I915" s="10">
        <v>0.2463</v>
      </c>
      <c r="J915" s="10">
        <v>0.6463</v>
      </c>
      <c r="K915" s="5">
        <f t="shared" si="3"/>
        <v>1</v>
      </c>
    </row>
    <row r="916" ht="15.0" customHeight="1">
      <c r="A916" s="5">
        <v>2022.0</v>
      </c>
      <c r="B916" s="5" t="s">
        <v>282</v>
      </c>
      <c r="C916" s="5" t="s">
        <v>301</v>
      </c>
      <c r="D916" s="5" t="s">
        <v>302</v>
      </c>
      <c r="E916" s="5">
        <v>1571.0</v>
      </c>
      <c r="F916" s="5">
        <v>985.0</v>
      </c>
      <c r="G916" s="5">
        <f t="shared" si="1"/>
        <v>2556</v>
      </c>
      <c r="H916" s="10">
        <f t="shared" si="2"/>
        <v>0.6146322379</v>
      </c>
      <c r="I916" s="10">
        <v>0.241</v>
      </c>
      <c r="J916" s="10">
        <v>0.4442</v>
      </c>
      <c r="K916" s="5">
        <f t="shared" si="3"/>
        <v>0</v>
      </c>
    </row>
    <row r="917" ht="15.0" customHeight="1">
      <c r="A917" s="5">
        <v>2024.0</v>
      </c>
      <c r="B917" s="5" t="s">
        <v>282</v>
      </c>
      <c r="C917" s="5" t="s">
        <v>301</v>
      </c>
      <c r="D917" s="5" t="s">
        <v>302</v>
      </c>
      <c r="E917" s="5">
        <v>978.0</v>
      </c>
      <c r="F917" s="5">
        <v>737.0</v>
      </c>
      <c r="G917" s="5">
        <f t="shared" si="1"/>
        <v>1715</v>
      </c>
      <c r="H917" s="10">
        <f t="shared" si="2"/>
        <v>0.5702623907</v>
      </c>
      <c r="I917" s="10">
        <v>0.1641</v>
      </c>
      <c r="J917" s="10">
        <v>0.6655</v>
      </c>
      <c r="K917" s="5">
        <f t="shared" si="3"/>
        <v>1</v>
      </c>
    </row>
    <row r="918" ht="15.0" customHeight="1">
      <c r="A918" s="5">
        <v>2018.0</v>
      </c>
      <c r="B918" s="5" t="s">
        <v>282</v>
      </c>
      <c r="C918" s="5" t="s">
        <v>303</v>
      </c>
      <c r="D918" s="5" t="s">
        <v>94</v>
      </c>
      <c r="E918" s="5">
        <v>569.0</v>
      </c>
      <c r="F918" s="5">
        <v>368.0</v>
      </c>
      <c r="G918" s="5">
        <f t="shared" si="1"/>
        <v>937</v>
      </c>
      <c r="H918" s="10">
        <f t="shared" si="2"/>
        <v>0.6072572038</v>
      </c>
      <c r="I918" s="10">
        <v>0.2565</v>
      </c>
      <c r="J918" s="10">
        <v>0.4604</v>
      </c>
      <c r="K918" s="5">
        <f t="shared" si="3"/>
        <v>0</v>
      </c>
    </row>
    <row r="919" ht="15.0" customHeight="1">
      <c r="A919" s="5">
        <v>2020.0</v>
      </c>
      <c r="B919" s="5" t="s">
        <v>282</v>
      </c>
      <c r="C919" s="5" t="s">
        <v>303</v>
      </c>
      <c r="D919" s="5" t="s">
        <v>94</v>
      </c>
      <c r="E919" s="5">
        <v>994.0</v>
      </c>
      <c r="F919" s="5">
        <v>530.0</v>
      </c>
      <c r="G919" s="5">
        <f t="shared" si="1"/>
        <v>1524</v>
      </c>
      <c r="H919" s="10">
        <f t="shared" si="2"/>
        <v>0.6522309711</v>
      </c>
      <c r="I919" s="10">
        <v>0.2487</v>
      </c>
      <c r="J919" s="10">
        <v>0.6943</v>
      </c>
      <c r="K919" s="5">
        <f t="shared" si="3"/>
        <v>1</v>
      </c>
    </row>
    <row r="920" ht="15.0" customHeight="1">
      <c r="A920" s="5">
        <v>2022.0</v>
      </c>
      <c r="B920" s="5" t="s">
        <v>282</v>
      </c>
      <c r="C920" s="5" t="s">
        <v>303</v>
      </c>
      <c r="D920" s="5" t="s">
        <v>94</v>
      </c>
      <c r="E920" s="5">
        <v>551.0</v>
      </c>
      <c r="F920" s="5">
        <v>340.0</v>
      </c>
      <c r="G920" s="5">
        <f t="shared" si="1"/>
        <v>891</v>
      </c>
      <c r="H920" s="10">
        <f t="shared" si="2"/>
        <v>0.6184062851</v>
      </c>
      <c r="I920" s="10">
        <v>0.2281</v>
      </c>
      <c r="J920" s="10">
        <v>0.4486</v>
      </c>
      <c r="K920" s="5">
        <f t="shared" si="3"/>
        <v>0</v>
      </c>
    </row>
    <row r="921" ht="15.0" customHeight="1">
      <c r="A921" s="5">
        <v>2024.0</v>
      </c>
      <c r="B921" s="5" t="s">
        <v>282</v>
      </c>
      <c r="C921" s="5" t="s">
        <v>303</v>
      </c>
      <c r="D921" s="5" t="s">
        <v>94</v>
      </c>
      <c r="E921" s="5">
        <v>770.0</v>
      </c>
      <c r="F921" s="5">
        <v>527.0</v>
      </c>
      <c r="G921" s="5">
        <f t="shared" si="1"/>
        <v>1297</v>
      </c>
      <c r="H921" s="10">
        <f t="shared" si="2"/>
        <v>0.5936777178</v>
      </c>
      <c r="I921" s="10">
        <v>0.1744</v>
      </c>
      <c r="J921" s="10">
        <v>0.6355</v>
      </c>
      <c r="K921" s="5">
        <f t="shared" si="3"/>
        <v>1</v>
      </c>
    </row>
    <row r="922" ht="15.0" customHeight="1">
      <c r="A922" s="5">
        <v>2018.0</v>
      </c>
      <c r="B922" s="5" t="s">
        <v>282</v>
      </c>
      <c r="C922" s="5" t="s">
        <v>304</v>
      </c>
      <c r="D922" s="5" t="s">
        <v>95</v>
      </c>
      <c r="E922" s="5">
        <v>589.0</v>
      </c>
      <c r="F922" s="5">
        <v>604.0</v>
      </c>
      <c r="G922" s="5">
        <f t="shared" si="1"/>
        <v>1193</v>
      </c>
      <c r="H922" s="10">
        <f t="shared" si="2"/>
        <v>0.4937133277</v>
      </c>
      <c r="I922" s="10">
        <v>0.0319</v>
      </c>
      <c r="J922" s="10">
        <v>0.5598</v>
      </c>
      <c r="K922" s="5">
        <f t="shared" si="3"/>
        <v>0</v>
      </c>
    </row>
    <row r="923" ht="15.0" customHeight="1">
      <c r="A923" s="5">
        <v>2020.0</v>
      </c>
      <c r="B923" s="5" t="s">
        <v>282</v>
      </c>
      <c r="C923" s="5" t="s">
        <v>304</v>
      </c>
      <c r="D923" s="5" t="s">
        <v>95</v>
      </c>
      <c r="E923" s="5">
        <v>796.0</v>
      </c>
      <c r="F923" s="5">
        <v>889.0</v>
      </c>
      <c r="G923" s="5">
        <f t="shared" si="1"/>
        <v>1685</v>
      </c>
      <c r="H923" s="10">
        <f t="shared" si="2"/>
        <v>0.4724035608</v>
      </c>
      <c r="I923" s="10">
        <v>0.0017</v>
      </c>
      <c r="J923" s="10">
        <v>0.732</v>
      </c>
      <c r="K923" s="5">
        <f t="shared" si="3"/>
        <v>1</v>
      </c>
    </row>
    <row r="924" ht="15.0" customHeight="1">
      <c r="A924" s="5">
        <v>2022.0</v>
      </c>
      <c r="B924" s="5" t="s">
        <v>282</v>
      </c>
      <c r="C924" s="5" t="s">
        <v>304</v>
      </c>
      <c r="D924" s="5" t="s">
        <v>95</v>
      </c>
      <c r="E924" s="5">
        <v>603.0</v>
      </c>
      <c r="F924" s="5">
        <v>675.0</v>
      </c>
      <c r="G924" s="5">
        <f t="shared" si="1"/>
        <v>1278</v>
      </c>
      <c r="H924" s="10">
        <f t="shared" si="2"/>
        <v>0.4718309859</v>
      </c>
      <c r="I924" s="10">
        <v>-0.005</v>
      </c>
      <c r="J924" s="10">
        <v>0.5806</v>
      </c>
      <c r="K924" s="5">
        <f t="shared" si="3"/>
        <v>0</v>
      </c>
    </row>
    <row r="925" ht="15.0" customHeight="1">
      <c r="A925" s="5">
        <v>2024.0</v>
      </c>
      <c r="B925" s="5" t="s">
        <v>282</v>
      </c>
      <c r="C925" s="5" t="s">
        <v>304</v>
      </c>
      <c r="D925" s="5" t="s">
        <v>95</v>
      </c>
      <c r="E925" s="5">
        <v>788.0</v>
      </c>
      <c r="F925" s="5">
        <v>925.0</v>
      </c>
      <c r="G925" s="5">
        <f t="shared" si="1"/>
        <v>1713</v>
      </c>
      <c r="H925" s="10">
        <f t="shared" si="2"/>
        <v>0.4600116754</v>
      </c>
      <c r="I925" s="10">
        <v>-0.0648</v>
      </c>
      <c r="J925" s="10">
        <v>0.755</v>
      </c>
      <c r="K925" s="5">
        <f t="shared" si="3"/>
        <v>1</v>
      </c>
    </row>
    <row r="926" ht="15.0" customHeight="1">
      <c r="A926" s="5">
        <v>2018.0</v>
      </c>
      <c r="B926" s="5" t="s">
        <v>282</v>
      </c>
      <c r="C926" s="5" t="s">
        <v>305</v>
      </c>
      <c r="D926" s="5" t="s">
        <v>306</v>
      </c>
      <c r="E926" s="5">
        <v>382.0</v>
      </c>
      <c r="F926" s="5">
        <v>363.0</v>
      </c>
      <c r="G926" s="5">
        <f t="shared" si="1"/>
        <v>745</v>
      </c>
      <c r="H926" s="10">
        <f t="shared" si="2"/>
        <v>0.5127516779</v>
      </c>
      <c r="I926" s="10">
        <v>0.0194</v>
      </c>
      <c r="J926" s="10">
        <v>0.556</v>
      </c>
      <c r="K926" s="5">
        <f t="shared" si="3"/>
        <v>0</v>
      </c>
    </row>
    <row r="927" ht="15.0" customHeight="1">
      <c r="A927" s="5">
        <v>2020.0</v>
      </c>
      <c r="B927" s="5" t="s">
        <v>282</v>
      </c>
      <c r="C927" s="5" t="s">
        <v>305</v>
      </c>
      <c r="D927" s="5" t="s">
        <v>306</v>
      </c>
      <c r="E927" s="5">
        <v>533.0</v>
      </c>
      <c r="F927" s="5">
        <v>511.0</v>
      </c>
      <c r="G927" s="5">
        <f t="shared" si="1"/>
        <v>1044</v>
      </c>
      <c r="H927" s="10">
        <f t="shared" si="2"/>
        <v>0.5105363985</v>
      </c>
      <c r="I927" s="10">
        <v>-7.0E-4</v>
      </c>
      <c r="J927" s="10">
        <v>0.7175</v>
      </c>
      <c r="K927" s="5">
        <f t="shared" si="3"/>
        <v>1</v>
      </c>
    </row>
    <row r="928" ht="15.0" customHeight="1">
      <c r="A928" s="5">
        <v>2022.0</v>
      </c>
      <c r="B928" s="5" t="s">
        <v>282</v>
      </c>
      <c r="C928" s="5" t="s">
        <v>305</v>
      </c>
      <c r="D928" s="5" t="s">
        <v>306</v>
      </c>
      <c r="E928" s="5">
        <v>408.0</v>
      </c>
      <c r="F928" s="5">
        <v>397.0</v>
      </c>
      <c r="G928" s="5">
        <f t="shared" si="1"/>
        <v>805</v>
      </c>
      <c r="H928" s="10">
        <f t="shared" si="2"/>
        <v>0.5068322981</v>
      </c>
      <c r="I928" s="10">
        <v>-0.0083</v>
      </c>
      <c r="J928" s="10">
        <v>0.554</v>
      </c>
      <c r="K928" s="5">
        <f t="shared" si="3"/>
        <v>0</v>
      </c>
    </row>
    <row r="929" ht="15.0" customHeight="1">
      <c r="A929" s="5">
        <v>2024.0</v>
      </c>
      <c r="B929" s="5" t="s">
        <v>282</v>
      </c>
      <c r="C929" s="5" t="s">
        <v>305</v>
      </c>
      <c r="D929" s="5" t="s">
        <v>306</v>
      </c>
      <c r="E929" s="5">
        <v>551.0</v>
      </c>
      <c r="F929" s="5">
        <v>523.0</v>
      </c>
      <c r="G929" s="5">
        <f t="shared" si="1"/>
        <v>1074</v>
      </c>
      <c r="H929" s="10">
        <f t="shared" si="2"/>
        <v>0.5130353818</v>
      </c>
      <c r="I929" s="10">
        <v>-0.0531</v>
      </c>
      <c r="J929" s="10">
        <v>0.6956</v>
      </c>
      <c r="K929" s="5">
        <f t="shared" si="3"/>
        <v>1</v>
      </c>
    </row>
    <row r="930" ht="15.0" customHeight="1">
      <c r="A930" s="5">
        <v>2018.0</v>
      </c>
      <c r="B930" s="5" t="s">
        <v>282</v>
      </c>
      <c r="C930" s="5" t="s">
        <v>305</v>
      </c>
      <c r="D930" s="5" t="s">
        <v>307</v>
      </c>
      <c r="E930" s="5">
        <v>491.0</v>
      </c>
      <c r="F930" s="5">
        <v>399.0</v>
      </c>
      <c r="G930" s="5">
        <f t="shared" si="1"/>
        <v>890</v>
      </c>
      <c r="H930" s="10">
        <f t="shared" si="2"/>
        <v>0.5516853933</v>
      </c>
      <c r="I930" s="10">
        <v>0.0686</v>
      </c>
      <c r="J930" s="10">
        <v>0.4967</v>
      </c>
      <c r="K930" s="5">
        <f t="shared" si="3"/>
        <v>0</v>
      </c>
    </row>
    <row r="931" ht="15.0" customHeight="1">
      <c r="A931" s="5">
        <v>2020.0</v>
      </c>
      <c r="B931" s="5" t="s">
        <v>282</v>
      </c>
      <c r="C931" s="5" t="s">
        <v>305</v>
      </c>
      <c r="D931" s="5" t="s">
        <v>307</v>
      </c>
      <c r="E931" s="5">
        <v>736.0</v>
      </c>
      <c r="F931" s="5">
        <v>608.0</v>
      </c>
      <c r="G931" s="5">
        <f t="shared" si="1"/>
        <v>1344</v>
      </c>
      <c r="H931" s="10">
        <f t="shared" si="2"/>
        <v>0.5476190476</v>
      </c>
      <c r="I931" s="10">
        <v>0.054</v>
      </c>
      <c r="J931" s="10">
        <v>0.6982</v>
      </c>
      <c r="K931" s="5">
        <f t="shared" si="3"/>
        <v>1</v>
      </c>
    </row>
    <row r="932" ht="15.0" customHeight="1">
      <c r="A932" s="5">
        <v>2022.0</v>
      </c>
      <c r="B932" s="5" t="s">
        <v>282</v>
      </c>
      <c r="C932" s="5" t="s">
        <v>305</v>
      </c>
      <c r="D932" s="5" t="s">
        <v>307</v>
      </c>
      <c r="E932" s="5">
        <v>521.0</v>
      </c>
      <c r="F932" s="5">
        <v>463.0</v>
      </c>
      <c r="G932" s="5">
        <f t="shared" si="1"/>
        <v>984</v>
      </c>
      <c r="H932" s="10">
        <f t="shared" si="2"/>
        <v>0.5294715447</v>
      </c>
      <c r="I932" s="10">
        <v>0.046</v>
      </c>
      <c r="J932" s="10">
        <v>0.5259</v>
      </c>
      <c r="K932" s="5">
        <f t="shared" si="3"/>
        <v>0</v>
      </c>
    </row>
    <row r="933" ht="15.0" customHeight="1">
      <c r="A933" s="5">
        <v>2024.0</v>
      </c>
      <c r="B933" s="5" t="s">
        <v>282</v>
      </c>
      <c r="C933" s="5" t="s">
        <v>305</v>
      </c>
      <c r="D933" s="5" t="s">
        <v>307</v>
      </c>
      <c r="E933" s="5">
        <v>757.0</v>
      </c>
      <c r="F933" s="5">
        <v>655.0</v>
      </c>
      <c r="G933" s="5">
        <f t="shared" si="1"/>
        <v>1412</v>
      </c>
      <c r="H933" s="10">
        <f t="shared" si="2"/>
        <v>0.5361189802</v>
      </c>
      <c r="I933" s="10">
        <v>0.0528</v>
      </c>
      <c r="J933" s="10">
        <v>0.7175</v>
      </c>
      <c r="K933" s="5">
        <f t="shared" si="3"/>
        <v>1</v>
      </c>
    </row>
    <row r="934" ht="15.0" customHeight="1">
      <c r="A934" s="5">
        <v>2018.0</v>
      </c>
      <c r="B934" s="5" t="s">
        <v>282</v>
      </c>
      <c r="C934" s="5" t="s">
        <v>305</v>
      </c>
      <c r="D934" s="5" t="s">
        <v>308</v>
      </c>
      <c r="E934" s="5">
        <v>600.0</v>
      </c>
      <c r="F934" s="5">
        <v>490.0</v>
      </c>
      <c r="G934" s="5">
        <f t="shared" si="1"/>
        <v>1090</v>
      </c>
      <c r="H934" s="10">
        <f t="shared" si="2"/>
        <v>0.5504587156</v>
      </c>
      <c r="I934" s="10">
        <v>0.0988</v>
      </c>
      <c r="J934" s="10">
        <v>0.5917</v>
      </c>
      <c r="K934" s="5">
        <f t="shared" si="3"/>
        <v>0</v>
      </c>
    </row>
    <row r="935" ht="15.0" customHeight="1">
      <c r="A935" s="5">
        <v>2020.0</v>
      </c>
      <c r="B935" s="5" t="s">
        <v>282</v>
      </c>
      <c r="C935" s="5" t="s">
        <v>305</v>
      </c>
      <c r="D935" s="5" t="s">
        <v>308</v>
      </c>
      <c r="E935" s="5">
        <v>780.0</v>
      </c>
      <c r="F935" s="5">
        <v>688.0</v>
      </c>
      <c r="G935" s="5">
        <f t="shared" si="1"/>
        <v>1468</v>
      </c>
      <c r="H935" s="10">
        <f t="shared" si="2"/>
        <v>0.5313351499</v>
      </c>
      <c r="I935" s="10">
        <v>0.0875</v>
      </c>
      <c r="J935" s="10">
        <v>0.7513</v>
      </c>
      <c r="K935" s="5">
        <f t="shared" si="3"/>
        <v>1</v>
      </c>
    </row>
    <row r="936" ht="15.0" customHeight="1">
      <c r="A936" s="5">
        <v>2022.0</v>
      </c>
      <c r="B936" s="5" t="s">
        <v>282</v>
      </c>
      <c r="C936" s="5" t="s">
        <v>305</v>
      </c>
      <c r="D936" s="5" t="s">
        <v>308</v>
      </c>
      <c r="E936" s="5">
        <v>576.0</v>
      </c>
      <c r="F936" s="5">
        <v>495.0</v>
      </c>
      <c r="G936" s="5">
        <f t="shared" si="1"/>
        <v>1071</v>
      </c>
      <c r="H936" s="10">
        <f t="shared" si="2"/>
        <v>0.5378151261</v>
      </c>
      <c r="I936" s="10">
        <v>0.072</v>
      </c>
      <c r="J936" s="10">
        <v>0.5715</v>
      </c>
      <c r="K936" s="5">
        <f t="shared" si="3"/>
        <v>0</v>
      </c>
    </row>
    <row r="937" ht="15.0" customHeight="1">
      <c r="A937" s="5">
        <v>2024.0</v>
      </c>
      <c r="B937" s="5" t="s">
        <v>282</v>
      </c>
      <c r="C937" s="5" t="s">
        <v>305</v>
      </c>
      <c r="D937" s="5" t="s">
        <v>308</v>
      </c>
      <c r="E937" s="5">
        <v>769.0</v>
      </c>
      <c r="F937" s="5">
        <v>737.0</v>
      </c>
      <c r="G937" s="5">
        <f t="shared" si="1"/>
        <v>1506</v>
      </c>
      <c r="H937" s="10">
        <f t="shared" si="2"/>
        <v>0.51062417</v>
      </c>
      <c r="I937" s="10">
        <v>0.0497</v>
      </c>
      <c r="J937" s="10">
        <v>0.7641</v>
      </c>
      <c r="K937" s="5">
        <f t="shared" si="3"/>
        <v>1</v>
      </c>
    </row>
    <row r="938" ht="15.0" customHeight="1">
      <c r="A938" s="5">
        <v>2018.0</v>
      </c>
      <c r="B938" s="5" t="s">
        <v>282</v>
      </c>
      <c r="C938" s="5" t="s">
        <v>305</v>
      </c>
      <c r="D938" s="5" t="s">
        <v>309</v>
      </c>
      <c r="E938" s="5">
        <v>644.0</v>
      </c>
      <c r="F938" s="5">
        <v>574.0</v>
      </c>
      <c r="G938" s="5">
        <f t="shared" si="1"/>
        <v>1218</v>
      </c>
      <c r="H938" s="10">
        <f t="shared" si="2"/>
        <v>0.5287356322</v>
      </c>
      <c r="I938" s="10">
        <v>0.1205</v>
      </c>
      <c r="J938" s="10">
        <v>0.5225</v>
      </c>
      <c r="K938" s="5">
        <f t="shared" si="3"/>
        <v>0</v>
      </c>
    </row>
    <row r="939" ht="15.0" customHeight="1">
      <c r="A939" s="5">
        <v>2020.0</v>
      </c>
      <c r="B939" s="5" t="s">
        <v>282</v>
      </c>
      <c r="C939" s="5" t="s">
        <v>305</v>
      </c>
      <c r="D939" s="5" t="s">
        <v>309</v>
      </c>
      <c r="E939" s="5">
        <v>1000.0</v>
      </c>
      <c r="F939" s="5">
        <v>843.0</v>
      </c>
      <c r="G939" s="5">
        <f t="shared" si="1"/>
        <v>1843</v>
      </c>
      <c r="H939" s="10">
        <f t="shared" si="2"/>
        <v>0.5425935974</v>
      </c>
      <c r="I939" s="10">
        <v>0.0966</v>
      </c>
      <c r="J939" s="10">
        <v>0.7293</v>
      </c>
      <c r="K939" s="5">
        <f t="shared" si="3"/>
        <v>1</v>
      </c>
    </row>
    <row r="940" ht="15.0" customHeight="1">
      <c r="A940" s="5">
        <v>2022.0</v>
      </c>
      <c r="B940" s="5" t="s">
        <v>282</v>
      </c>
      <c r="C940" s="5" t="s">
        <v>305</v>
      </c>
      <c r="D940" s="5" t="s">
        <v>309</v>
      </c>
      <c r="E940" s="5">
        <v>747.0</v>
      </c>
      <c r="F940" s="5">
        <v>613.0</v>
      </c>
      <c r="G940" s="5">
        <f t="shared" si="1"/>
        <v>1360</v>
      </c>
      <c r="H940" s="10">
        <f t="shared" si="2"/>
        <v>0.5492647059</v>
      </c>
      <c r="I940" s="10">
        <v>0.1005</v>
      </c>
      <c r="J940" s="10">
        <v>0.5403</v>
      </c>
      <c r="K940" s="5">
        <f t="shared" si="3"/>
        <v>0</v>
      </c>
    </row>
    <row r="941" ht="15.0" customHeight="1">
      <c r="A941" s="5">
        <v>2024.0</v>
      </c>
      <c r="B941" s="5" t="s">
        <v>282</v>
      </c>
      <c r="C941" s="5" t="s">
        <v>305</v>
      </c>
      <c r="D941" s="5" t="s">
        <v>309</v>
      </c>
      <c r="E941" s="5">
        <v>1034.0</v>
      </c>
      <c r="F941" s="5">
        <v>909.0</v>
      </c>
      <c r="G941" s="5">
        <f t="shared" si="1"/>
        <v>1943</v>
      </c>
      <c r="H941" s="10">
        <f t="shared" si="2"/>
        <v>0.5321667524</v>
      </c>
      <c r="I941" s="10">
        <v>0.0679</v>
      </c>
      <c r="J941" s="10">
        <v>0.7368</v>
      </c>
      <c r="K941" s="5">
        <f t="shared" si="3"/>
        <v>1</v>
      </c>
    </row>
    <row r="942" ht="15.0" customHeight="1">
      <c r="A942" s="5">
        <v>2018.0</v>
      </c>
      <c r="B942" s="5" t="s">
        <v>282</v>
      </c>
      <c r="C942" s="5" t="s">
        <v>310</v>
      </c>
      <c r="D942" s="5" t="s">
        <v>100</v>
      </c>
      <c r="E942" s="5">
        <v>1009.0</v>
      </c>
      <c r="F942" s="5">
        <v>1471.0</v>
      </c>
      <c r="G942" s="5">
        <f t="shared" si="1"/>
        <v>2480</v>
      </c>
      <c r="H942" s="10">
        <f t="shared" si="2"/>
        <v>0.4068548387</v>
      </c>
      <c r="I942" s="10">
        <v>-0.0622</v>
      </c>
      <c r="J942" s="10">
        <v>0.521</v>
      </c>
      <c r="K942" s="5">
        <f t="shared" si="3"/>
        <v>0</v>
      </c>
    </row>
    <row r="943" ht="15.0" customHeight="1">
      <c r="A943" s="5">
        <v>2020.0</v>
      </c>
      <c r="B943" s="5" t="s">
        <v>282</v>
      </c>
      <c r="C943" s="5" t="s">
        <v>310</v>
      </c>
      <c r="D943" s="5" t="s">
        <v>100</v>
      </c>
      <c r="E943" s="5">
        <v>1425.0</v>
      </c>
      <c r="F943" s="5">
        <v>2491.0</v>
      </c>
      <c r="G943" s="5">
        <f t="shared" si="1"/>
        <v>3916</v>
      </c>
      <c r="H943" s="10">
        <f t="shared" si="2"/>
        <v>0.3638917263</v>
      </c>
      <c r="I943" s="10">
        <v>-0.1237</v>
      </c>
      <c r="J943" s="10">
        <v>0.7342</v>
      </c>
      <c r="K943" s="5">
        <f t="shared" si="3"/>
        <v>1</v>
      </c>
    </row>
    <row r="944" ht="15.0" customHeight="1">
      <c r="A944" s="5">
        <v>2022.0</v>
      </c>
      <c r="B944" s="5" t="s">
        <v>282</v>
      </c>
      <c r="C944" s="5" t="s">
        <v>310</v>
      </c>
      <c r="D944" s="5" t="s">
        <v>100</v>
      </c>
      <c r="E944" s="5">
        <v>1021.0</v>
      </c>
      <c r="F944" s="5">
        <v>1984.0</v>
      </c>
      <c r="G944" s="5">
        <f t="shared" si="1"/>
        <v>3005</v>
      </c>
      <c r="H944" s="10">
        <f t="shared" si="2"/>
        <v>0.3397670549</v>
      </c>
      <c r="I944" s="10">
        <v>-0.1521</v>
      </c>
      <c r="J944" s="10">
        <v>0.5616</v>
      </c>
      <c r="K944" s="5">
        <f t="shared" si="3"/>
        <v>0</v>
      </c>
    </row>
    <row r="945" ht="15.0" customHeight="1">
      <c r="A945" s="5">
        <v>2024.0</v>
      </c>
      <c r="B945" s="5" t="s">
        <v>282</v>
      </c>
      <c r="C945" s="5" t="s">
        <v>310</v>
      </c>
      <c r="D945" s="5" t="s">
        <v>100</v>
      </c>
      <c r="E945" s="5">
        <v>1414.0</v>
      </c>
      <c r="F945" s="5">
        <v>2894.0</v>
      </c>
      <c r="G945" s="5">
        <f t="shared" si="1"/>
        <v>4308</v>
      </c>
      <c r="H945" s="10">
        <f t="shared" si="2"/>
        <v>0.3282265552</v>
      </c>
      <c r="I945" s="10">
        <v>-0.2038</v>
      </c>
      <c r="J945" s="10">
        <v>0.7587</v>
      </c>
      <c r="K945" s="5">
        <f t="shared" si="3"/>
        <v>1</v>
      </c>
    </row>
    <row r="946" ht="15.0" customHeight="1">
      <c r="A946" s="5">
        <v>2018.0</v>
      </c>
      <c r="B946" s="5" t="s">
        <v>282</v>
      </c>
      <c r="C946" s="5" t="s">
        <v>311</v>
      </c>
      <c r="D946" s="5" t="s">
        <v>102</v>
      </c>
      <c r="E946" s="5">
        <v>683.0</v>
      </c>
      <c r="F946" s="5">
        <v>514.0</v>
      </c>
      <c r="G946" s="5">
        <f t="shared" si="1"/>
        <v>1197</v>
      </c>
      <c r="H946" s="10">
        <f t="shared" si="2"/>
        <v>0.5705931495</v>
      </c>
      <c r="I946" s="10">
        <v>0.1336</v>
      </c>
      <c r="J946" s="10">
        <v>0.5157</v>
      </c>
      <c r="K946" s="5">
        <f t="shared" si="3"/>
        <v>0</v>
      </c>
    </row>
    <row r="947" ht="15.0" customHeight="1">
      <c r="A947" s="5">
        <v>2020.0</v>
      </c>
      <c r="B947" s="5" t="s">
        <v>282</v>
      </c>
      <c r="C947" s="5" t="s">
        <v>311</v>
      </c>
      <c r="D947" s="5" t="s">
        <v>102</v>
      </c>
      <c r="E947" s="5">
        <v>1044.0</v>
      </c>
      <c r="F947" s="5">
        <v>813.0</v>
      </c>
      <c r="G947" s="5">
        <f t="shared" si="1"/>
        <v>1857</v>
      </c>
      <c r="H947" s="10">
        <f t="shared" si="2"/>
        <v>0.5621970921</v>
      </c>
      <c r="I947" s="10">
        <v>0.1337</v>
      </c>
      <c r="J947" s="10">
        <v>0.7093</v>
      </c>
      <c r="K947" s="5">
        <f t="shared" si="3"/>
        <v>1</v>
      </c>
    </row>
    <row r="948" ht="15.0" customHeight="1">
      <c r="A948" s="5">
        <v>2022.0</v>
      </c>
      <c r="B948" s="5" t="s">
        <v>282</v>
      </c>
      <c r="C948" s="5" t="s">
        <v>311</v>
      </c>
      <c r="D948" s="5" t="s">
        <v>102</v>
      </c>
      <c r="E948" s="5">
        <v>718.0</v>
      </c>
      <c r="F948" s="5">
        <v>674.0</v>
      </c>
      <c r="G948" s="5">
        <f t="shared" si="1"/>
        <v>1392</v>
      </c>
      <c r="H948" s="10">
        <f t="shared" si="2"/>
        <v>0.5158045977</v>
      </c>
      <c r="I948" s="10">
        <v>0.095</v>
      </c>
      <c r="J948" s="10">
        <v>0.5352</v>
      </c>
      <c r="K948" s="5">
        <f t="shared" si="3"/>
        <v>0</v>
      </c>
    </row>
    <row r="949" ht="15.0" customHeight="1">
      <c r="A949" s="5">
        <v>2024.0</v>
      </c>
      <c r="B949" s="5" t="s">
        <v>282</v>
      </c>
      <c r="C949" s="5" t="s">
        <v>311</v>
      </c>
      <c r="D949" s="5" t="s">
        <v>102</v>
      </c>
      <c r="E949" s="5">
        <v>1059.0</v>
      </c>
      <c r="F949" s="5">
        <v>946.0</v>
      </c>
      <c r="G949" s="5">
        <f t="shared" si="1"/>
        <v>2005</v>
      </c>
      <c r="H949" s="10">
        <f t="shared" si="2"/>
        <v>0.5281795511</v>
      </c>
      <c r="I949" s="10">
        <v>0.0726</v>
      </c>
      <c r="J949" s="10">
        <v>0.7241</v>
      </c>
      <c r="K949" s="5">
        <f t="shared" si="3"/>
        <v>1</v>
      </c>
    </row>
    <row r="950" ht="15.0" customHeight="1">
      <c r="A950" s="5">
        <v>2018.0</v>
      </c>
      <c r="B950" s="5" t="s">
        <v>282</v>
      </c>
      <c r="C950" s="5" t="s">
        <v>312</v>
      </c>
      <c r="D950" s="5" t="s">
        <v>313</v>
      </c>
      <c r="E950" s="5">
        <v>473.0</v>
      </c>
      <c r="F950" s="5">
        <v>310.0</v>
      </c>
      <c r="G950" s="5">
        <f t="shared" si="1"/>
        <v>783</v>
      </c>
      <c r="H950" s="10">
        <f t="shared" si="2"/>
        <v>0.6040868455</v>
      </c>
      <c r="I950" s="10">
        <v>0.2008</v>
      </c>
      <c r="J950" s="10">
        <v>0.5499</v>
      </c>
      <c r="K950" s="5">
        <f t="shared" si="3"/>
        <v>0</v>
      </c>
    </row>
    <row r="951" ht="15.0" customHeight="1">
      <c r="A951" s="5">
        <v>2020.0</v>
      </c>
      <c r="B951" s="5" t="s">
        <v>282</v>
      </c>
      <c r="C951" s="5" t="s">
        <v>312</v>
      </c>
      <c r="D951" s="5" t="s">
        <v>313</v>
      </c>
      <c r="E951" s="5">
        <v>733.0</v>
      </c>
      <c r="F951" s="5">
        <v>514.0</v>
      </c>
      <c r="G951" s="5">
        <f t="shared" si="1"/>
        <v>1247</v>
      </c>
      <c r="H951" s="10">
        <f t="shared" si="2"/>
        <v>0.5878107458</v>
      </c>
      <c r="I951" s="10">
        <v>0.1906</v>
      </c>
      <c r="J951" s="10">
        <v>0.7073</v>
      </c>
      <c r="K951" s="5">
        <f t="shared" si="3"/>
        <v>1</v>
      </c>
    </row>
    <row r="952" ht="15.0" customHeight="1">
      <c r="A952" s="5">
        <v>2022.0</v>
      </c>
      <c r="B952" s="5" t="s">
        <v>282</v>
      </c>
      <c r="C952" s="5" t="s">
        <v>312</v>
      </c>
      <c r="D952" s="5" t="s">
        <v>313</v>
      </c>
      <c r="E952" s="5">
        <v>657.0</v>
      </c>
      <c r="F952" s="5">
        <v>464.0</v>
      </c>
      <c r="G952" s="5">
        <f t="shared" si="1"/>
        <v>1121</v>
      </c>
      <c r="H952" s="10">
        <f t="shared" si="2"/>
        <v>0.5860838537</v>
      </c>
      <c r="I952" s="10">
        <v>0.2396</v>
      </c>
      <c r="J952" s="10">
        <v>0.5145</v>
      </c>
      <c r="K952" s="5">
        <f t="shared" si="3"/>
        <v>0</v>
      </c>
    </row>
    <row r="953" ht="15.0" customHeight="1">
      <c r="A953" s="5">
        <v>2024.0</v>
      </c>
      <c r="B953" s="5" t="s">
        <v>282</v>
      </c>
      <c r="C953" s="5" t="s">
        <v>312</v>
      </c>
      <c r="D953" s="5" t="s">
        <v>313</v>
      </c>
      <c r="E953" s="5">
        <v>969.0</v>
      </c>
      <c r="F953" s="5">
        <v>645.0</v>
      </c>
      <c r="G953" s="5">
        <f t="shared" si="1"/>
        <v>1614</v>
      </c>
      <c r="H953" s="10">
        <f t="shared" si="2"/>
        <v>0.6003717472</v>
      </c>
      <c r="I953" s="10">
        <v>0.2034</v>
      </c>
      <c r="J953" s="10">
        <v>0.6927</v>
      </c>
      <c r="K953" s="5">
        <f t="shared" si="3"/>
        <v>1</v>
      </c>
    </row>
    <row r="954" ht="15.0" customHeight="1">
      <c r="A954" s="5">
        <v>2018.0</v>
      </c>
      <c r="B954" s="5" t="s">
        <v>282</v>
      </c>
      <c r="C954" s="5" t="s">
        <v>312</v>
      </c>
      <c r="D954" s="5" t="s">
        <v>314</v>
      </c>
      <c r="E954" s="5">
        <v>687.0</v>
      </c>
      <c r="F954" s="5">
        <v>389.0</v>
      </c>
      <c r="G954" s="5">
        <f t="shared" si="1"/>
        <v>1076</v>
      </c>
      <c r="H954" s="10">
        <f t="shared" si="2"/>
        <v>0.6384758364</v>
      </c>
      <c r="I954" s="10">
        <v>0.2207</v>
      </c>
      <c r="J954" s="10">
        <v>0.5422</v>
      </c>
      <c r="K954" s="5">
        <f t="shared" si="3"/>
        <v>0</v>
      </c>
    </row>
    <row r="955" ht="15.0" customHeight="1">
      <c r="A955" s="5">
        <v>2020.0</v>
      </c>
      <c r="B955" s="5" t="s">
        <v>282</v>
      </c>
      <c r="C955" s="5" t="s">
        <v>312</v>
      </c>
      <c r="D955" s="5" t="s">
        <v>314</v>
      </c>
      <c r="E955" s="5">
        <v>771.0</v>
      </c>
      <c r="F955" s="5">
        <v>583.0</v>
      </c>
      <c r="G955" s="5">
        <f t="shared" si="1"/>
        <v>1354</v>
      </c>
      <c r="H955" s="10">
        <f t="shared" si="2"/>
        <v>0.5694239291</v>
      </c>
      <c r="I955" s="10">
        <v>0.156</v>
      </c>
      <c r="J955" s="10">
        <v>0.677</v>
      </c>
      <c r="K955" s="5">
        <f t="shared" si="3"/>
        <v>1</v>
      </c>
    </row>
    <row r="956" ht="15.0" customHeight="1">
      <c r="A956" s="5">
        <v>2022.0</v>
      </c>
      <c r="B956" s="5" t="s">
        <v>282</v>
      </c>
      <c r="C956" s="5" t="s">
        <v>312</v>
      </c>
      <c r="D956" s="5" t="s">
        <v>314</v>
      </c>
      <c r="E956" s="5">
        <v>571.0</v>
      </c>
      <c r="F956" s="5">
        <v>423.0</v>
      </c>
      <c r="G956" s="5">
        <f t="shared" si="1"/>
        <v>994</v>
      </c>
      <c r="H956" s="10">
        <f t="shared" si="2"/>
        <v>0.5744466801</v>
      </c>
      <c r="I956" s="10">
        <v>0.1574</v>
      </c>
      <c r="J956" s="10">
        <v>0.5215</v>
      </c>
      <c r="K956" s="5">
        <f t="shared" si="3"/>
        <v>0</v>
      </c>
    </row>
    <row r="957" ht="15.0" customHeight="1">
      <c r="A957" s="5">
        <v>2024.0</v>
      </c>
      <c r="B957" s="5" t="s">
        <v>282</v>
      </c>
      <c r="C957" s="5" t="s">
        <v>312</v>
      </c>
      <c r="D957" s="5" t="s">
        <v>314</v>
      </c>
      <c r="E957" s="5">
        <v>763.0</v>
      </c>
      <c r="F957" s="5">
        <v>661.0</v>
      </c>
      <c r="G957" s="5">
        <f t="shared" si="1"/>
        <v>1424</v>
      </c>
      <c r="H957" s="10">
        <f t="shared" si="2"/>
        <v>0.5358146067</v>
      </c>
      <c r="I957" s="10">
        <v>0.1085</v>
      </c>
      <c r="J957" s="10">
        <v>0.6991</v>
      </c>
      <c r="K957" s="5">
        <f t="shared" si="3"/>
        <v>1</v>
      </c>
    </row>
    <row r="958" ht="15.0" customHeight="1">
      <c r="A958" s="5">
        <v>2018.0</v>
      </c>
      <c r="B958" s="5" t="s">
        <v>282</v>
      </c>
      <c r="C958" s="5" t="s">
        <v>312</v>
      </c>
      <c r="D958" s="5" t="s">
        <v>315</v>
      </c>
      <c r="E958" s="5">
        <v>388.0</v>
      </c>
      <c r="F958" s="5">
        <v>239.0</v>
      </c>
      <c r="G958" s="5">
        <f t="shared" si="1"/>
        <v>627</v>
      </c>
      <c r="H958" s="10">
        <f t="shared" si="2"/>
        <v>0.6188197767</v>
      </c>
      <c r="I958" s="10">
        <v>0.1626</v>
      </c>
      <c r="J958" s="10">
        <v>0.6015</v>
      </c>
      <c r="K958" s="5">
        <f t="shared" si="3"/>
        <v>0</v>
      </c>
    </row>
    <row r="959" ht="15.0" customHeight="1">
      <c r="A959" s="5">
        <v>2020.0</v>
      </c>
      <c r="B959" s="5" t="s">
        <v>282</v>
      </c>
      <c r="C959" s="5" t="s">
        <v>312</v>
      </c>
      <c r="D959" s="5" t="s">
        <v>315</v>
      </c>
      <c r="E959" s="5">
        <v>527.0</v>
      </c>
      <c r="F959" s="5">
        <v>340.0</v>
      </c>
      <c r="G959" s="5">
        <f t="shared" si="1"/>
        <v>867</v>
      </c>
      <c r="H959" s="10">
        <f t="shared" si="2"/>
        <v>0.6078431373</v>
      </c>
      <c r="I959" s="10">
        <v>0.1896</v>
      </c>
      <c r="J959" s="10">
        <v>0.7273</v>
      </c>
      <c r="K959" s="5">
        <f t="shared" si="3"/>
        <v>1</v>
      </c>
    </row>
    <row r="960" ht="15.0" customHeight="1">
      <c r="A960" s="5">
        <v>2022.0</v>
      </c>
      <c r="B960" s="5" t="s">
        <v>282</v>
      </c>
      <c r="C960" s="5" t="s">
        <v>312</v>
      </c>
      <c r="D960" s="5" t="s">
        <v>315</v>
      </c>
      <c r="E960" s="5">
        <v>401.0</v>
      </c>
      <c r="F960" s="5">
        <v>282.0</v>
      </c>
      <c r="G960" s="5">
        <f t="shared" si="1"/>
        <v>683</v>
      </c>
      <c r="H960" s="10">
        <f t="shared" si="2"/>
        <v>0.5871156662</v>
      </c>
      <c r="I960" s="10">
        <v>0.1722</v>
      </c>
      <c r="J960" s="10">
        <v>0.5626</v>
      </c>
      <c r="K960" s="5">
        <f t="shared" si="3"/>
        <v>0</v>
      </c>
    </row>
    <row r="961" ht="15.0" customHeight="1">
      <c r="A961" s="5">
        <v>2024.0</v>
      </c>
      <c r="B961" s="5" t="s">
        <v>282</v>
      </c>
      <c r="C961" s="5" t="s">
        <v>312</v>
      </c>
      <c r="D961" s="5" t="s">
        <v>315</v>
      </c>
      <c r="E961" s="5">
        <v>546.0</v>
      </c>
      <c r="F961" s="5">
        <v>356.0</v>
      </c>
      <c r="G961" s="5">
        <f t="shared" si="1"/>
        <v>902</v>
      </c>
      <c r="H961" s="10">
        <f t="shared" si="2"/>
        <v>0.6053215078</v>
      </c>
      <c r="I961" s="10">
        <v>0.1632</v>
      </c>
      <c r="J961" s="10">
        <v>0.7114</v>
      </c>
      <c r="K961" s="5">
        <f t="shared" si="3"/>
        <v>1</v>
      </c>
    </row>
    <row r="962" ht="15.0" customHeight="1">
      <c r="A962" s="5">
        <v>2018.0</v>
      </c>
      <c r="B962" s="5" t="s">
        <v>282</v>
      </c>
      <c r="C962" s="5" t="s">
        <v>316</v>
      </c>
      <c r="D962" s="5" t="s">
        <v>317</v>
      </c>
      <c r="E962" s="5">
        <v>1006.0</v>
      </c>
      <c r="F962" s="5">
        <v>491.0</v>
      </c>
      <c r="G962" s="5">
        <f t="shared" si="1"/>
        <v>1497</v>
      </c>
      <c r="H962" s="10">
        <f t="shared" si="2"/>
        <v>0.672010688</v>
      </c>
      <c r="I962" s="10">
        <v>0.283</v>
      </c>
      <c r="J962" s="10">
        <v>0.5229</v>
      </c>
      <c r="K962" s="5">
        <f t="shared" si="3"/>
        <v>0</v>
      </c>
    </row>
    <row r="963" ht="15.0" customHeight="1">
      <c r="A963" s="5">
        <v>2020.0</v>
      </c>
      <c r="B963" s="5" t="s">
        <v>282</v>
      </c>
      <c r="C963" s="5" t="s">
        <v>316</v>
      </c>
      <c r="D963" s="5" t="s">
        <v>317</v>
      </c>
      <c r="E963" s="5">
        <v>1509.0</v>
      </c>
      <c r="F963" s="5">
        <v>779.0</v>
      </c>
      <c r="G963" s="5">
        <f t="shared" si="1"/>
        <v>2288</v>
      </c>
      <c r="H963" s="10">
        <f t="shared" si="2"/>
        <v>0.659527972</v>
      </c>
      <c r="I963" s="10">
        <v>0.2908</v>
      </c>
      <c r="J963" s="10">
        <v>0.7025</v>
      </c>
      <c r="K963" s="5">
        <f t="shared" si="3"/>
        <v>1</v>
      </c>
    </row>
    <row r="964" ht="15.0" customHeight="1">
      <c r="A964" s="5">
        <v>2022.0</v>
      </c>
      <c r="B964" s="5" t="s">
        <v>282</v>
      </c>
      <c r="C964" s="5" t="s">
        <v>316</v>
      </c>
      <c r="D964" s="5" t="s">
        <v>317</v>
      </c>
      <c r="E964" s="5">
        <v>1020.0</v>
      </c>
      <c r="F964" s="5">
        <v>534.0</v>
      </c>
      <c r="G964" s="5">
        <f t="shared" si="1"/>
        <v>1554</v>
      </c>
      <c r="H964" s="10">
        <f t="shared" si="2"/>
        <v>0.6563706564</v>
      </c>
      <c r="I964" s="10">
        <v>0.2989</v>
      </c>
      <c r="J964" s="10">
        <v>0.4864</v>
      </c>
      <c r="K964" s="5">
        <f t="shared" si="3"/>
        <v>0</v>
      </c>
    </row>
    <row r="965" ht="15.0" customHeight="1">
      <c r="A965" s="5">
        <v>2024.0</v>
      </c>
      <c r="B965" s="5" t="s">
        <v>282</v>
      </c>
      <c r="C965" s="5" t="s">
        <v>316</v>
      </c>
      <c r="D965" s="5" t="s">
        <v>317</v>
      </c>
      <c r="E965" s="5">
        <v>1399.0</v>
      </c>
      <c r="F965" s="5">
        <v>763.0</v>
      </c>
      <c r="G965" s="5">
        <f t="shared" si="1"/>
        <v>2162</v>
      </c>
      <c r="H965" s="10">
        <f t="shared" si="2"/>
        <v>0.6470860315</v>
      </c>
      <c r="I965" s="10">
        <v>0.2787</v>
      </c>
      <c r="J965" s="10">
        <v>0.6702</v>
      </c>
      <c r="K965" s="5">
        <f t="shared" si="3"/>
        <v>1</v>
      </c>
    </row>
    <row r="966" ht="15.0" customHeight="1">
      <c r="A966" s="5">
        <v>2018.0</v>
      </c>
      <c r="B966" s="5" t="s">
        <v>282</v>
      </c>
      <c r="C966" s="5" t="s">
        <v>316</v>
      </c>
      <c r="D966" s="5" t="s">
        <v>318</v>
      </c>
      <c r="E966" s="5">
        <v>1072.0</v>
      </c>
      <c r="F966" s="5">
        <v>420.0</v>
      </c>
      <c r="G966" s="5">
        <f t="shared" si="1"/>
        <v>1492</v>
      </c>
      <c r="H966" s="10">
        <f t="shared" si="2"/>
        <v>0.7184986595</v>
      </c>
      <c r="I966" s="10">
        <v>0.3733</v>
      </c>
      <c r="J966" s="10">
        <v>0.505</v>
      </c>
      <c r="K966" s="5">
        <f t="shared" si="3"/>
        <v>0</v>
      </c>
    </row>
    <row r="967" ht="15.0" customHeight="1">
      <c r="A967" s="5">
        <v>2020.0</v>
      </c>
      <c r="B967" s="5" t="s">
        <v>282</v>
      </c>
      <c r="C967" s="5" t="s">
        <v>316</v>
      </c>
      <c r="D967" s="5" t="s">
        <v>318</v>
      </c>
      <c r="E967" s="5">
        <v>1580.0</v>
      </c>
      <c r="F967" s="5">
        <v>666.0</v>
      </c>
      <c r="G967" s="5">
        <f t="shared" si="1"/>
        <v>2246</v>
      </c>
      <c r="H967" s="10">
        <f t="shared" si="2"/>
        <v>0.7034728406</v>
      </c>
      <c r="I967" s="10">
        <v>0.3885</v>
      </c>
      <c r="J967" s="10">
        <v>0.6739</v>
      </c>
      <c r="K967" s="5">
        <f t="shared" si="3"/>
        <v>1</v>
      </c>
    </row>
    <row r="968" ht="15.0" customHeight="1">
      <c r="A968" s="5">
        <v>2022.0</v>
      </c>
      <c r="B968" s="5" t="s">
        <v>282</v>
      </c>
      <c r="C968" s="5" t="s">
        <v>316</v>
      </c>
      <c r="D968" s="5" t="s">
        <v>318</v>
      </c>
      <c r="E968" s="5">
        <v>995.0</v>
      </c>
      <c r="F968" s="5">
        <v>478.0</v>
      </c>
      <c r="G968" s="5">
        <f t="shared" si="1"/>
        <v>1473</v>
      </c>
      <c r="H968" s="10">
        <f t="shared" si="2"/>
        <v>0.6754921928</v>
      </c>
      <c r="I968" s="10">
        <v>0.3599</v>
      </c>
      <c r="J968" s="10">
        <v>0.4618</v>
      </c>
      <c r="K968" s="5">
        <f t="shared" si="3"/>
        <v>0</v>
      </c>
    </row>
    <row r="969" ht="15.0" customHeight="1">
      <c r="A969" s="5">
        <v>2024.0</v>
      </c>
      <c r="B969" s="5" t="s">
        <v>282</v>
      </c>
      <c r="C969" s="5" t="s">
        <v>316</v>
      </c>
      <c r="D969" s="5" t="s">
        <v>318</v>
      </c>
      <c r="E969" s="5">
        <v>1435.0</v>
      </c>
      <c r="F969" s="5">
        <v>700.0</v>
      </c>
      <c r="G969" s="5">
        <f t="shared" si="1"/>
        <v>2135</v>
      </c>
      <c r="H969" s="10">
        <f t="shared" si="2"/>
        <v>0.6721311475</v>
      </c>
      <c r="I969" s="10">
        <v>0.3199</v>
      </c>
      <c r="J969" s="10">
        <v>0.6579</v>
      </c>
      <c r="K969" s="5">
        <f t="shared" si="3"/>
        <v>1</v>
      </c>
    </row>
    <row r="970" ht="15.0" customHeight="1">
      <c r="A970" s="5">
        <v>2018.0</v>
      </c>
      <c r="B970" s="5" t="s">
        <v>282</v>
      </c>
      <c r="C970" s="5" t="s">
        <v>316</v>
      </c>
      <c r="D970" s="5" t="s">
        <v>319</v>
      </c>
      <c r="E970" s="5">
        <v>700.0</v>
      </c>
      <c r="F970" s="5">
        <v>401.0</v>
      </c>
      <c r="G970" s="5">
        <f t="shared" si="1"/>
        <v>1101</v>
      </c>
      <c r="H970" s="10">
        <f t="shared" si="2"/>
        <v>0.6357856494</v>
      </c>
      <c r="I970" s="10">
        <v>0.2018</v>
      </c>
      <c r="J970" s="10">
        <v>0.5803</v>
      </c>
      <c r="K970" s="5">
        <f t="shared" si="3"/>
        <v>0</v>
      </c>
    </row>
    <row r="971" ht="15.0" customHeight="1">
      <c r="A971" s="5">
        <v>2020.0</v>
      </c>
      <c r="B971" s="5" t="s">
        <v>282</v>
      </c>
      <c r="C971" s="5" t="s">
        <v>316</v>
      </c>
      <c r="D971" s="5" t="s">
        <v>319</v>
      </c>
      <c r="E971" s="5">
        <v>899.0</v>
      </c>
      <c r="F971" s="5">
        <v>615.0</v>
      </c>
      <c r="G971" s="5">
        <f t="shared" si="1"/>
        <v>1514</v>
      </c>
      <c r="H971" s="10">
        <f t="shared" si="2"/>
        <v>0.5937912814</v>
      </c>
      <c r="I971" s="10">
        <v>0.2046</v>
      </c>
      <c r="J971" s="10">
        <v>0.7411</v>
      </c>
      <c r="K971" s="5">
        <f t="shared" si="3"/>
        <v>1</v>
      </c>
    </row>
    <row r="972" ht="15.0" customHeight="1">
      <c r="A972" s="5">
        <v>2022.0</v>
      </c>
      <c r="B972" s="5" t="s">
        <v>282</v>
      </c>
      <c r="C972" s="5" t="s">
        <v>316</v>
      </c>
      <c r="D972" s="5" t="s">
        <v>319</v>
      </c>
      <c r="E972" s="5">
        <v>715.0</v>
      </c>
      <c r="F972" s="5">
        <v>441.0</v>
      </c>
      <c r="G972" s="5">
        <f t="shared" si="1"/>
        <v>1156</v>
      </c>
      <c r="H972" s="10">
        <f t="shared" si="2"/>
        <v>0.6185121107</v>
      </c>
      <c r="I972" s="10">
        <v>0.1993</v>
      </c>
      <c r="J972" s="10">
        <v>0.5731</v>
      </c>
      <c r="K972" s="5">
        <f t="shared" si="3"/>
        <v>0</v>
      </c>
    </row>
    <row r="973" ht="15.0" customHeight="1">
      <c r="A973" s="5">
        <v>2024.0</v>
      </c>
      <c r="B973" s="5" t="s">
        <v>282</v>
      </c>
      <c r="C973" s="5" t="s">
        <v>316</v>
      </c>
      <c r="D973" s="5" t="s">
        <v>319</v>
      </c>
      <c r="E973" s="5">
        <v>935.0</v>
      </c>
      <c r="F973" s="5">
        <v>628.0</v>
      </c>
      <c r="G973" s="5">
        <f t="shared" si="1"/>
        <v>1563</v>
      </c>
      <c r="H973" s="10">
        <f t="shared" si="2"/>
        <v>0.5982085733</v>
      </c>
      <c r="I973" s="10">
        <v>0.184</v>
      </c>
      <c r="J973" s="10">
        <v>0.7373</v>
      </c>
      <c r="K973" s="5">
        <f t="shared" si="3"/>
        <v>1</v>
      </c>
    </row>
    <row r="974" ht="15.0" customHeight="1">
      <c r="A974" s="5">
        <v>2018.0</v>
      </c>
      <c r="B974" s="5" t="s">
        <v>282</v>
      </c>
      <c r="C974" s="5" t="s">
        <v>316</v>
      </c>
      <c r="D974" s="5" t="s">
        <v>320</v>
      </c>
      <c r="E974" s="5">
        <v>540.0</v>
      </c>
      <c r="F974" s="5">
        <v>435.0</v>
      </c>
      <c r="G974" s="5">
        <f t="shared" si="1"/>
        <v>975</v>
      </c>
      <c r="H974" s="10">
        <f t="shared" si="2"/>
        <v>0.5538461538</v>
      </c>
      <c r="I974" s="10">
        <v>0.1084</v>
      </c>
      <c r="J974" s="10">
        <v>0.5662</v>
      </c>
      <c r="K974" s="5">
        <f t="shared" si="3"/>
        <v>0</v>
      </c>
    </row>
    <row r="975" ht="15.0" customHeight="1">
      <c r="A975" s="5">
        <v>2020.0</v>
      </c>
      <c r="B975" s="5" t="s">
        <v>282</v>
      </c>
      <c r="C975" s="5" t="s">
        <v>316</v>
      </c>
      <c r="D975" s="5" t="s">
        <v>320</v>
      </c>
      <c r="E975" s="5">
        <v>759.0</v>
      </c>
      <c r="F975" s="5">
        <v>670.0</v>
      </c>
      <c r="G975" s="5">
        <f t="shared" si="1"/>
        <v>1429</v>
      </c>
      <c r="H975" s="10">
        <f t="shared" si="2"/>
        <v>0.5311406578</v>
      </c>
      <c r="I975" s="10">
        <v>0.1027</v>
      </c>
      <c r="J975" s="10">
        <v>0.7525</v>
      </c>
      <c r="K975" s="5">
        <f t="shared" si="3"/>
        <v>1</v>
      </c>
    </row>
    <row r="976" ht="15.0" customHeight="1">
      <c r="A976" s="5">
        <v>2022.0</v>
      </c>
      <c r="B976" s="5" t="s">
        <v>282</v>
      </c>
      <c r="C976" s="5" t="s">
        <v>316</v>
      </c>
      <c r="D976" s="5" t="s">
        <v>320</v>
      </c>
      <c r="E976" s="5">
        <v>573.0</v>
      </c>
      <c r="F976" s="5">
        <v>489.0</v>
      </c>
      <c r="G976" s="5">
        <f t="shared" si="1"/>
        <v>1062</v>
      </c>
      <c r="H976" s="10">
        <f t="shared" si="2"/>
        <v>0.5395480226</v>
      </c>
      <c r="I976" s="10">
        <v>0.0873</v>
      </c>
      <c r="J976" s="10">
        <v>0.5759</v>
      </c>
      <c r="K976" s="5">
        <f t="shared" si="3"/>
        <v>0</v>
      </c>
    </row>
    <row r="977" ht="15.0" customHeight="1">
      <c r="A977" s="5">
        <v>2024.0</v>
      </c>
      <c r="B977" s="5" t="s">
        <v>282</v>
      </c>
      <c r="C977" s="5" t="s">
        <v>316</v>
      </c>
      <c r="D977" s="5" t="s">
        <v>320</v>
      </c>
      <c r="E977" s="5">
        <v>801.0</v>
      </c>
      <c r="F977" s="5">
        <v>689.0</v>
      </c>
      <c r="G977" s="5">
        <f t="shared" si="1"/>
        <v>1490</v>
      </c>
      <c r="H977" s="10">
        <f t="shared" si="2"/>
        <v>0.5375838926</v>
      </c>
      <c r="I977" s="10">
        <v>0.0561</v>
      </c>
      <c r="J977" s="10">
        <v>0.7669</v>
      </c>
      <c r="K977" s="5">
        <f t="shared" si="3"/>
        <v>1</v>
      </c>
    </row>
    <row r="978" ht="15.0" customHeight="1">
      <c r="A978" s="5">
        <v>2018.0</v>
      </c>
      <c r="B978" s="5" t="s">
        <v>282</v>
      </c>
      <c r="C978" s="5" t="s">
        <v>316</v>
      </c>
      <c r="D978" s="5" t="s">
        <v>321</v>
      </c>
      <c r="E978" s="5">
        <v>408.0</v>
      </c>
      <c r="F978" s="5">
        <v>253.0</v>
      </c>
      <c r="G978" s="5">
        <f t="shared" si="1"/>
        <v>661</v>
      </c>
      <c r="H978" s="10">
        <f t="shared" si="2"/>
        <v>0.6172465961</v>
      </c>
      <c r="I978" s="10">
        <v>0.2317</v>
      </c>
      <c r="J978" s="10">
        <v>0.522</v>
      </c>
      <c r="K978" s="5">
        <f t="shared" si="3"/>
        <v>0</v>
      </c>
    </row>
    <row r="979" ht="15.0" customHeight="1">
      <c r="A979" s="5">
        <v>2020.0</v>
      </c>
      <c r="B979" s="5" t="s">
        <v>282</v>
      </c>
      <c r="C979" s="5" t="s">
        <v>316</v>
      </c>
      <c r="D979" s="5" t="s">
        <v>321</v>
      </c>
      <c r="E979" s="5">
        <v>546.0</v>
      </c>
      <c r="F979" s="5">
        <v>415.0</v>
      </c>
      <c r="G979" s="5">
        <f t="shared" si="1"/>
        <v>961</v>
      </c>
      <c r="H979" s="10">
        <f t="shared" si="2"/>
        <v>0.5681581686</v>
      </c>
      <c r="I979" s="10">
        <v>0.2154</v>
      </c>
      <c r="J979" s="10">
        <v>0.6994</v>
      </c>
      <c r="K979" s="5">
        <f t="shared" si="3"/>
        <v>1</v>
      </c>
    </row>
    <row r="980" ht="15.0" customHeight="1">
      <c r="A980" s="5">
        <v>2022.0</v>
      </c>
      <c r="B980" s="5" t="s">
        <v>282</v>
      </c>
      <c r="C980" s="5" t="s">
        <v>316</v>
      </c>
      <c r="D980" s="5" t="s">
        <v>321</v>
      </c>
      <c r="E980" s="5">
        <v>392.0</v>
      </c>
      <c r="F980" s="5">
        <v>287.0</v>
      </c>
      <c r="G980" s="5">
        <f t="shared" si="1"/>
        <v>679</v>
      </c>
      <c r="H980" s="10">
        <f t="shared" si="2"/>
        <v>0.5773195876</v>
      </c>
      <c r="I980" s="10">
        <v>0.1794</v>
      </c>
      <c r="J980" s="10">
        <v>0.5075</v>
      </c>
      <c r="K980" s="5">
        <f t="shared" si="3"/>
        <v>0</v>
      </c>
    </row>
    <row r="981" ht="15.0" customHeight="1">
      <c r="A981" s="5">
        <v>2024.0</v>
      </c>
      <c r="B981" s="5" t="s">
        <v>282</v>
      </c>
      <c r="C981" s="5" t="s">
        <v>316</v>
      </c>
      <c r="D981" s="5" t="s">
        <v>321</v>
      </c>
      <c r="E981" s="5">
        <v>545.0</v>
      </c>
      <c r="F981" s="5">
        <v>408.0</v>
      </c>
      <c r="G981" s="5">
        <f t="shared" si="1"/>
        <v>953</v>
      </c>
      <c r="H981" s="10">
        <f t="shared" si="2"/>
        <v>0.5718782791</v>
      </c>
      <c r="I981" s="10">
        <v>0.1683</v>
      </c>
      <c r="J981" s="10">
        <v>0.6655</v>
      </c>
      <c r="K981" s="5">
        <f t="shared" si="3"/>
        <v>1</v>
      </c>
    </row>
    <row r="982" ht="15.0" customHeight="1">
      <c r="A982" s="5">
        <v>2018.0</v>
      </c>
      <c r="B982" s="5" t="s">
        <v>282</v>
      </c>
      <c r="C982" s="5" t="s">
        <v>316</v>
      </c>
      <c r="D982" s="5" t="s">
        <v>322</v>
      </c>
      <c r="E982" s="5">
        <v>479.0</v>
      </c>
      <c r="F982" s="5">
        <v>380.0</v>
      </c>
      <c r="G982" s="5">
        <f t="shared" si="1"/>
        <v>859</v>
      </c>
      <c r="H982" s="10">
        <f t="shared" si="2"/>
        <v>0.5576251455</v>
      </c>
      <c r="I982" s="10">
        <v>0.0889</v>
      </c>
      <c r="J982" s="10">
        <v>0.5936</v>
      </c>
      <c r="K982" s="5">
        <f t="shared" si="3"/>
        <v>0</v>
      </c>
    </row>
    <row r="983" ht="15.0" customHeight="1">
      <c r="A983" s="5">
        <v>2020.0</v>
      </c>
      <c r="B983" s="5" t="s">
        <v>282</v>
      </c>
      <c r="C983" s="5" t="s">
        <v>316</v>
      </c>
      <c r="D983" s="5" t="s">
        <v>322</v>
      </c>
      <c r="E983" s="5">
        <v>654.0</v>
      </c>
      <c r="F983" s="5">
        <v>535.0</v>
      </c>
      <c r="G983" s="5">
        <f t="shared" si="1"/>
        <v>1189</v>
      </c>
      <c r="H983" s="10">
        <f t="shared" si="2"/>
        <v>0.5500420521</v>
      </c>
      <c r="I983" s="10">
        <v>0.1172</v>
      </c>
      <c r="J983" s="10">
        <v>0.7455</v>
      </c>
      <c r="K983" s="5">
        <f t="shared" si="3"/>
        <v>1</v>
      </c>
    </row>
    <row r="984" ht="15.0" customHeight="1">
      <c r="A984" s="5">
        <v>2022.0</v>
      </c>
      <c r="B984" s="5" t="s">
        <v>282</v>
      </c>
      <c r="C984" s="5" t="s">
        <v>316</v>
      </c>
      <c r="D984" s="5" t="s">
        <v>322</v>
      </c>
      <c r="E984" s="5">
        <v>492.0</v>
      </c>
      <c r="F984" s="5">
        <v>423.0</v>
      </c>
      <c r="G984" s="5">
        <f t="shared" si="1"/>
        <v>915</v>
      </c>
      <c r="H984" s="10">
        <f t="shared" si="2"/>
        <v>0.537704918</v>
      </c>
      <c r="I984" s="10">
        <v>0.1132</v>
      </c>
      <c r="J984" s="10">
        <v>0.5953</v>
      </c>
      <c r="K984" s="5">
        <f t="shared" si="3"/>
        <v>0</v>
      </c>
    </row>
    <row r="985" ht="15.0" customHeight="1">
      <c r="A985" s="5">
        <v>2024.0</v>
      </c>
      <c r="B985" s="5" t="s">
        <v>282</v>
      </c>
      <c r="C985" s="5" t="s">
        <v>316</v>
      </c>
      <c r="D985" s="5" t="s">
        <v>322</v>
      </c>
      <c r="E985" s="5">
        <v>684.0</v>
      </c>
      <c r="F985" s="5">
        <v>546.0</v>
      </c>
      <c r="G985" s="5">
        <f t="shared" si="1"/>
        <v>1230</v>
      </c>
      <c r="H985" s="10">
        <f t="shared" si="2"/>
        <v>0.556097561</v>
      </c>
      <c r="I985" s="10">
        <v>0.0944</v>
      </c>
      <c r="J985" s="10">
        <v>0.7396</v>
      </c>
      <c r="K985" s="5">
        <f t="shared" si="3"/>
        <v>1</v>
      </c>
    </row>
    <row r="986" ht="15.0" customHeight="1">
      <c r="A986" s="5">
        <v>2018.0</v>
      </c>
      <c r="B986" s="5" t="s">
        <v>282</v>
      </c>
      <c r="C986" s="5" t="s">
        <v>316</v>
      </c>
      <c r="D986" s="5" t="s">
        <v>323</v>
      </c>
      <c r="E986" s="5">
        <v>157.0</v>
      </c>
      <c r="F986" s="5">
        <v>138.0</v>
      </c>
      <c r="G986" s="5">
        <f t="shared" si="1"/>
        <v>295</v>
      </c>
      <c r="H986" s="10">
        <f t="shared" si="2"/>
        <v>0.5322033898</v>
      </c>
      <c r="I986" s="10">
        <v>-0.0161</v>
      </c>
      <c r="J986" s="10">
        <v>0.6124</v>
      </c>
      <c r="K986" s="5">
        <f t="shared" si="3"/>
        <v>0</v>
      </c>
    </row>
    <row r="987" ht="15.0" customHeight="1">
      <c r="A987" s="5">
        <v>2020.0</v>
      </c>
      <c r="B987" s="5" t="s">
        <v>282</v>
      </c>
      <c r="C987" s="5" t="s">
        <v>316</v>
      </c>
      <c r="D987" s="5" t="s">
        <v>323</v>
      </c>
      <c r="E987" s="5">
        <v>185.0</v>
      </c>
      <c r="F987" s="5">
        <v>197.0</v>
      </c>
      <c r="G987" s="5">
        <f t="shared" si="1"/>
        <v>382</v>
      </c>
      <c r="H987" s="10">
        <f t="shared" si="2"/>
        <v>0.4842931937</v>
      </c>
      <c r="I987" s="10">
        <v>-0.0376</v>
      </c>
      <c r="J987" s="10">
        <v>0.7564</v>
      </c>
      <c r="K987" s="5">
        <f t="shared" si="3"/>
        <v>1</v>
      </c>
    </row>
    <row r="988" ht="15.0" customHeight="1">
      <c r="A988" s="5">
        <v>2022.0</v>
      </c>
      <c r="B988" s="5" t="s">
        <v>282</v>
      </c>
      <c r="C988" s="5" t="s">
        <v>316</v>
      </c>
      <c r="D988" s="5" t="s">
        <v>323</v>
      </c>
      <c r="E988" s="5">
        <v>164.0</v>
      </c>
      <c r="F988" s="5">
        <v>149.0</v>
      </c>
      <c r="G988" s="5">
        <f t="shared" si="1"/>
        <v>313</v>
      </c>
      <c r="H988" s="10">
        <f t="shared" si="2"/>
        <v>0.5239616613</v>
      </c>
      <c r="I988" s="10">
        <v>-0.0476</v>
      </c>
      <c r="J988" s="10">
        <v>0.648</v>
      </c>
      <c r="K988" s="5">
        <f t="shared" si="3"/>
        <v>0</v>
      </c>
    </row>
    <row r="989" ht="15.0" customHeight="1">
      <c r="A989" s="5">
        <v>2024.0</v>
      </c>
      <c r="B989" s="5" t="s">
        <v>282</v>
      </c>
      <c r="C989" s="5" t="s">
        <v>316</v>
      </c>
      <c r="D989" s="5" t="s">
        <v>323</v>
      </c>
      <c r="E989" s="5">
        <v>190.0</v>
      </c>
      <c r="F989" s="5">
        <v>200.0</v>
      </c>
      <c r="G989" s="5">
        <f t="shared" si="1"/>
        <v>390</v>
      </c>
      <c r="H989" s="10">
        <f t="shared" si="2"/>
        <v>0.4871794872</v>
      </c>
      <c r="I989" s="10">
        <v>-0.0954</v>
      </c>
      <c r="J989" s="10">
        <v>0.8091</v>
      </c>
      <c r="K989" s="5">
        <f t="shared" si="3"/>
        <v>1</v>
      </c>
    </row>
    <row r="990" ht="15.0" customHeight="1">
      <c r="A990" s="5">
        <v>2018.0</v>
      </c>
      <c r="B990" s="5" t="s">
        <v>282</v>
      </c>
      <c r="C990" s="5" t="s">
        <v>324</v>
      </c>
      <c r="D990" s="5" t="s">
        <v>113</v>
      </c>
      <c r="E990" s="5">
        <v>106.0</v>
      </c>
      <c r="F990" s="5">
        <v>31.0</v>
      </c>
      <c r="G990" s="5">
        <f t="shared" si="1"/>
        <v>137</v>
      </c>
      <c r="H990" s="10">
        <f t="shared" si="2"/>
        <v>0.7737226277</v>
      </c>
      <c r="I990" s="10">
        <v>0.4384</v>
      </c>
      <c r="J990" s="10">
        <v>0.3448</v>
      </c>
      <c r="K990" s="5">
        <f t="shared" si="3"/>
        <v>0</v>
      </c>
    </row>
    <row r="991" ht="15.0" customHeight="1">
      <c r="A991" s="5">
        <v>2020.0</v>
      </c>
      <c r="B991" s="5" t="s">
        <v>282</v>
      </c>
      <c r="C991" s="5" t="s">
        <v>324</v>
      </c>
      <c r="D991" s="5" t="s">
        <v>113</v>
      </c>
      <c r="E991" s="5">
        <v>161.0</v>
      </c>
      <c r="F991" s="5">
        <v>51.0</v>
      </c>
      <c r="G991" s="5">
        <f t="shared" si="1"/>
        <v>212</v>
      </c>
      <c r="H991" s="10">
        <f t="shared" si="2"/>
        <v>0.7594339623</v>
      </c>
      <c r="I991" s="10">
        <v>0.461</v>
      </c>
      <c r="J991" s="10">
        <v>0.5012</v>
      </c>
      <c r="K991" s="5">
        <f t="shared" si="3"/>
        <v>1</v>
      </c>
    </row>
    <row r="992" ht="15.0" customHeight="1">
      <c r="A992" s="5">
        <v>2022.0</v>
      </c>
      <c r="B992" s="5" t="s">
        <v>282</v>
      </c>
      <c r="C992" s="5" t="s">
        <v>324</v>
      </c>
      <c r="D992" s="5" t="s">
        <v>113</v>
      </c>
      <c r="E992" s="5">
        <v>106.0</v>
      </c>
      <c r="F992" s="5">
        <v>23.0</v>
      </c>
      <c r="G992" s="5">
        <f t="shared" si="1"/>
        <v>129</v>
      </c>
      <c r="H992" s="10">
        <f t="shared" si="2"/>
        <v>0.8217054264</v>
      </c>
      <c r="I992" s="10">
        <v>0.4768</v>
      </c>
      <c r="J992" s="10">
        <v>0.3154</v>
      </c>
      <c r="K992" s="5">
        <f t="shared" si="3"/>
        <v>0</v>
      </c>
    </row>
    <row r="993" ht="15.0" customHeight="1">
      <c r="A993" s="5">
        <v>2024.0</v>
      </c>
      <c r="B993" s="5" t="s">
        <v>282</v>
      </c>
      <c r="C993" s="5" t="s">
        <v>324</v>
      </c>
      <c r="D993" s="5" t="s">
        <v>113</v>
      </c>
      <c r="E993" s="5">
        <v>172.0</v>
      </c>
      <c r="F993" s="5">
        <v>61.0</v>
      </c>
      <c r="G993" s="5">
        <f t="shared" si="1"/>
        <v>233</v>
      </c>
      <c r="H993" s="10">
        <f t="shared" si="2"/>
        <v>0.7381974249</v>
      </c>
      <c r="I993" s="10">
        <v>0.4305</v>
      </c>
      <c r="J993" s="10">
        <v>0.5143</v>
      </c>
      <c r="K993" s="5">
        <f t="shared" si="3"/>
        <v>1</v>
      </c>
    </row>
    <row r="994" ht="15.0" customHeight="1">
      <c r="A994" s="5">
        <v>2018.0</v>
      </c>
      <c r="B994" s="5" t="s">
        <v>282</v>
      </c>
      <c r="C994" s="5" t="s">
        <v>324</v>
      </c>
      <c r="D994" s="5" t="s">
        <v>114</v>
      </c>
      <c r="E994" s="5">
        <v>258.0</v>
      </c>
      <c r="F994" s="5">
        <v>96.0</v>
      </c>
      <c r="G994" s="5">
        <f t="shared" si="1"/>
        <v>354</v>
      </c>
      <c r="H994" s="10">
        <f t="shared" si="2"/>
        <v>0.7288135593</v>
      </c>
      <c r="I994" s="10">
        <v>0.3016</v>
      </c>
      <c r="J994" s="10">
        <v>0.5423</v>
      </c>
      <c r="K994" s="5">
        <f t="shared" si="3"/>
        <v>0</v>
      </c>
    </row>
    <row r="995" ht="15.0" customHeight="1">
      <c r="A995" s="5">
        <v>2020.0</v>
      </c>
      <c r="B995" s="5" t="s">
        <v>282</v>
      </c>
      <c r="C995" s="5" t="s">
        <v>324</v>
      </c>
      <c r="D995" s="5" t="s">
        <v>114</v>
      </c>
      <c r="E995" s="5">
        <v>336.0</v>
      </c>
      <c r="F995" s="5">
        <v>138.0</v>
      </c>
      <c r="G995" s="5">
        <f t="shared" si="1"/>
        <v>474</v>
      </c>
      <c r="H995" s="10">
        <f t="shared" si="2"/>
        <v>0.7088607595</v>
      </c>
      <c r="I995" s="10">
        <v>0.2944</v>
      </c>
      <c r="J995" s="10">
        <v>0.6371</v>
      </c>
      <c r="K995" s="5">
        <f t="shared" si="3"/>
        <v>1</v>
      </c>
    </row>
    <row r="996" ht="15.0" customHeight="1">
      <c r="A996" s="5">
        <v>2022.0</v>
      </c>
      <c r="B996" s="5" t="s">
        <v>282</v>
      </c>
      <c r="C996" s="5" t="s">
        <v>324</v>
      </c>
      <c r="D996" s="5" t="s">
        <v>114</v>
      </c>
      <c r="E996" s="5">
        <v>246.0</v>
      </c>
      <c r="F996" s="5">
        <v>94.0</v>
      </c>
      <c r="G996" s="5">
        <f t="shared" si="1"/>
        <v>340</v>
      </c>
      <c r="H996" s="10">
        <f t="shared" si="2"/>
        <v>0.7235294118</v>
      </c>
      <c r="I996" s="10">
        <v>0.3101</v>
      </c>
      <c r="J996" s="10">
        <v>0.5045</v>
      </c>
      <c r="K996" s="5">
        <f t="shared" si="3"/>
        <v>0</v>
      </c>
    </row>
    <row r="997" ht="15.0" customHeight="1">
      <c r="A997" s="5">
        <v>2024.0</v>
      </c>
      <c r="B997" s="5" t="s">
        <v>282</v>
      </c>
      <c r="C997" s="5" t="s">
        <v>324</v>
      </c>
      <c r="D997" s="5" t="s">
        <v>114</v>
      </c>
      <c r="E997" s="5">
        <v>331.0</v>
      </c>
      <c r="F997" s="5">
        <v>142.0</v>
      </c>
      <c r="G997" s="5">
        <f t="shared" si="1"/>
        <v>473</v>
      </c>
      <c r="H997" s="10">
        <f t="shared" si="2"/>
        <v>0.6997885835</v>
      </c>
      <c r="I997" s="10">
        <v>0.2857</v>
      </c>
      <c r="J997" s="10">
        <v>0.6435</v>
      </c>
      <c r="K997" s="5">
        <f t="shared" si="3"/>
        <v>1</v>
      </c>
    </row>
    <row r="998" ht="15.0" customHeight="1">
      <c r="A998" s="5">
        <v>2018.0</v>
      </c>
      <c r="B998" s="5" t="s">
        <v>282</v>
      </c>
      <c r="C998" s="5" t="s">
        <v>324</v>
      </c>
      <c r="D998" s="5" t="s">
        <v>116</v>
      </c>
      <c r="E998" s="5">
        <v>202.0</v>
      </c>
      <c r="F998" s="5">
        <v>106.0</v>
      </c>
      <c r="G998" s="5">
        <f t="shared" si="1"/>
        <v>308</v>
      </c>
      <c r="H998" s="10">
        <f t="shared" si="2"/>
        <v>0.6558441558</v>
      </c>
      <c r="I998" s="10">
        <v>0.1933</v>
      </c>
      <c r="J998" s="10">
        <v>0.4855</v>
      </c>
      <c r="K998" s="5">
        <f t="shared" si="3"/>
        <v>0</v>
      </c>
    </row>
    <row r="999" ht="15.0" customHeight="1">
      <c r="A999" s="5">
        <v>2020.0</v>
      </c>
      <c r="B999" s="5" t="s">
        <v>282</v>
      </c>
      <c r="C999" s="5" t="s">
        <v>324</v>
      </c>
      <c r="D999" s="5" t="s">
        <v>116</v>
      </c>
      <c r="E999" s="5">
        <v>283.0</v>
      </c>
      <c r="F999" s="5">
        <v>170.0</v>
      </c>
      <c r="G999" s="5">
        <f t="shared" si="1"/>
        <v>453</v>
      </c>
      <c r="H999" s="10">
        <f t="shared" si="2"/>
        <v>0.6247240618</v>
      </c>
      <c r="I999" s="10">
        <v>0.2217</v>
      </c>
      <c r="J999" s="10">
        <v>0.6565</v>
      </c>
      <c r="K999" s="5">
        <f t="shared" si="3"/>
        <v>1</v>
      </c>
    </row>
    <row r="1000" ht="15.0" customHeight="1">
      <c r="A1000" s="5">
        <v>2022.0</v>
      </c>
      <c r="B1000" s="5" t="s">
        <v>282</v>
      </c>
      <c r="C1000" s="5" t="s">
        <v>324</v>
      </c>
      <c r="D1000" s="5" t="s">
        <v>116</v>
      </c>
      <c r="E1000" s="5">
        <v>207.0</v>
      </c>
      <c r="F1000" s="5">
        <v>118.0</v>
      </c>
      <c r="G1000" s="5">
        <f t="shared" si="1"/>
        <v>325</v>
      </c>
      <c r="H1000" s="10">
        <f t="shared" si="2"/>
        <v>0.6369230769</v>
      </c>
      <c r="I1000" s="10">
        <v>0.2473</v>
      </c>
      <c r="J1000" s="10">
        <v>0.5054</v>
      </c>
      <c r="K1000" s="5">
        <f t="shared" si="3"/>
        <v>0</v>
      </c>
    </row>
    <row r="1001" ht="15.0" customHeight="1">
      <c r="A1001" s="5">
        <v>2024.0</v>
      </c>
      <c r="B1001" s="5" t="s">
        <v>282</v>
      </c>
      <c r="C1001" s="5" t="s">
        <v>324</v>
      </c>
      <c r="D1001" s="5" t="s">
        <v>116</v>
      </c>
      <c r="E1001" s="5">
        <v>265.0</v>
      </c>
      <c r="F1001" s="5">
        <v>154.0</v>
      </c>
      <c r="G1001" s="5">
        <f t="shared" si="1"/>
        <v>419</v>
      </c>
      <c r="H1001" s="10">
        <f t="shared" si="2"/>
        <v>0.6324582339</v>
      </c>
      <c r="I1001" s="10">
        <v>0.2033</v>
      </c>
      <c r="J1001" s="10">
        <v>0.6263</v>
      </c>
      <c r="K1001" s="5">
        <f t="shared" si="3"/>
        <v>1</v>
      </c>
    </row>
    <row r="1002" ht="15.0" customHeight="1">
      <c r="A1002" s="5">
        <v>2018.0</v>
      </c>
      <c r="B1002" s="5" t="s">
        <v>282</v>
      </c>
      <c r="C1002" s="5" t="s">
        <v>324</v>
      </c>
      <c r="D1002" s="5" t="s">
        <v>118</v>
      </c>
      <c r="E1002" s="5">
        <v>278.0</v>
      </c>
      <c r="F1002" s="5">
        <v>106.0</v>
      </c>
      <c r="G1002" s="5">
        <f t="shared" si="1"/>
        <v>384</v>
      </c>
      <c r="H1002" s="10">
        <f t="shared" si="2"/>
        <v>0.7239583333</v>
      </c>
      <c r="I1002" s="10">
        <v>0.3879</v>
      </c>
      <c r="J1002" s="10">
        <v>0.4225</v>
      </c>
      <c r="K1002" s="5">
        <f t="shared" si="3"/>
        <v>0</v>
      </c>
    </row>
    <row r="1003" ht="15.0" customHeight="1">
      <c r="A1003" s="5">
        <v>2020.0</v>
      </c>
      <c r="B1003" s="5" t="s">
        <v>282</v>
      </c>
      <c r="C1003" s="5" t="s">
        <v>324</v>
      </c>
      <c r="D1003" s="5" t="s">
        <v>118</v>
      </c>
      <c r="E1003" s="5">
        <v>483.0</v>
      </c>
      <c r="F1003" s="5">
        <v>199.0</v>
      </c>
      <c r="G1003" s="5">
        <f t="shared" si="1"/>
        <v>682</v>
      </c>
      <c r="H1003" s="10">
        <f t="shared" si="2"/>
        <v>0.7082111437</v>
      </c>
      <c r="I1003" s="10">
        <v>0.3912</v>
      </c>
      <c r="J1003" s="10">
        <v>0.6508</v>
      </c>
      <c r="K1003" s="5">
        <f t="shared" si="3"/>
        <v>1</v>
      </c>
    </row>
    <row r="1004" ht="15.0" customHeight="1">
      <c r="A1004" s="5">
        <v>2022.0</v>
      </c>
      <c r="B1004" s="5" t="s">
        <v>282</v>
      </c>
      <c r="C1004" s="5" t="s">
        <v>324</v>
      </c>
      <c r="D1004" s="5" t="s">
        <v>118</v>
      </c>
      <c r="E1004" s="5">
        <v>312.0</v>
      </c>
      <c r="F1004" s="5">
        <v>122.0</v>
      </c>
      <c r="G1004" s="5">
        <f t="shared" si="1"/>
        <v>434</v>
      </c>
      <c r="H1004" s="10">
        <f t="shared" si="2"/>
        <v>0.7188940092</v>
      </c>
      <c r="I1004" s="10">
        <v>0.4033</v>
      </c>
      <c r="J1004" s="10">
        <v>0.4238</v>
      </c>
      <c r="K1004" s="5">
        <f t="shared" si="3"/>
        <v>0</v>
      </c>
    </row>
    <row r="1005" ht="15.0" customHeight="1">
      <c r="A1005" s="5">
        <v>2024.0</v>
      </c>
      <c r="B1005" s="5" t="s">
        <v>282</v>
      </c>
      <c r="C1005" s="5" t="s">
        <v>324</v>
      </c>
      <c r="D1005" s="5" t="s">
        <v>118</v>
      </c>
      <c r="E1005" s="5">
        <v>441.0</v>
      </c>
      <c r="F1005" s="5">
        <v>201.0</v>
      </c>
      <c r="G1005" s="5">
        <f t="shared" si="1"/>
        <v>642</v>
      </c>
      <c r="H1005" s="10">
        <f t="shared" si="2"/>
        <v>0.6869158879</v>
      </c>
      <c r="I1005" s="10">
        <v>0.3552</v>
      </c>
      <c r="J1005" s="10">
        <v>0.5939</v>
      </c>
      <c r="K1005" s="5">
        <f t="shared" si="3"/>
        <v>1</v>
      </c>
    </row>
    <row r="1006" ht="15.0" customHeight="1">
      <c r="A1006" s="5">
        <v>2018.0</v>
      </c>
      <c r="B1006" s="5" t="s">
        <v>282</v>
      </c>
      <c r="C1006" s="5" t="s">
        <v>324</v>
      </c>
      <c r="D1006" s="5" t="s">
        <v>119</v>
      </c>
      <c r="E1006" s="5">
        <v>356.0</v>
      </c>
      <c r="F1006" s="5">
        <v>204.0</v>
      </c>
      <c r="G1006" s="5">
        <f t="shared" si="1"/>
        <v>560</v>
      </c>
      <c r="H1006" s="10">
        <f t="shared" si="2"/>
        <v>0.6357142857</v>
      </c>
      <c r="I1006" s="10">
        <v>0.1766</v>
      </c>
      <c r="J1006" s="10">
        <v>0.5554</v>
      </c>
      <c r="K1006" s="5">
        <f t="shared" si="3"/>
        <v>0</v>
      </c>
    </row>
    <row r="1007" ht="15.0" customHeight="1">
      <c r="A1007" s="5">
        <v>2020.0</v>
      </c>
      <c r="B1007" s="5" t="s">
        <v>282</v>
      </c>
      <c r="C1007" s="5" t="s">
        <v>324</v>
      </c>
      <c r="D1007" s="5" t="s">
        <v>119</v>
      </c>
      <c r="E1007" s="5">
        <v>504.0</v>
      </c>
      <c r="F1007" s="5">
        <v>293.0</v>
      </c>
      <c r="G1007" s="5">
        <f t="shared" si="1"/>
        <v>797</v>
      </c>
      <c r="H1007" s="10">
        <f t="shared" si="2"/>
        <v>0.6323713927</v>
      </c>
      <c r="I1007" s="10">
        <v>0.1925</v>
      </c>
      <c r="J1007" s="10">
        <v>0.7135</v>
      </c>
      <c r="K1007" s="5">
        <f t="shared" si="3"/>
        <v>1</v>
      </c>
    </row>
    <row r="1008" ht="15.0" customHeight="1">
      <c r="A1008" s="5">
        <v>2022.0</v>
      </c>
      <c r="B1008" s="5" t="s">
        <v>282</v>
      </c>
      <c r="C1008" s="5" t="s">
        <v>324</v>
      </c>
      <c r="D1008" s="5" t="s">
        <v>119</v>
      </c>
      <c r="E1008" s="5">
        <v>380.0</v>
      </c>
      <c r="F1008" s="5">
        <v>222.0</v>
      </c>
      <c r="G1008" s="5">
        <f t="shared" si="1"/>
        <v>602</v>
      </c>
      <c r="H1008" s="10">
        <f t="shared" si="2"/>
        <v>0.6312292359</v>
      </c>
      <c r="I1008" s="10">
        <v>0.1752</v>
      </c>
      <c r="J1008" s="10">
        <v>0.5733</v>
      </c>
      <c r="K1008" s="5">
        <f t="shared" si="3"/>
        <v>0</v>
      </c>
    </row>
    <row r="1009" ht="15.0" customHeight="1">
      <c r="A1009" s="5">
        <v>2024.0</v>
      </c>
      <c r="B1009" s="5" t="s">
        <v>282</v>
      </c>
      <c r="C1009" s="5" t="s">
        <v>324</v>
      </c>
      <c r="D1009" s="5" t="s">
        <v>119</v>
      </c>
      <c r="E1009" s="5">
        <v>509.0</v>
      </c>
      <c r="F1009" s="5">
        <v>268.0</v>
      </c>
      <c r="G1009" s="5">
        <f t="shared" si="1"/>
        <v>777</v>
      </c>
      <c r="H1009" s="10">
        <f t="shared" si="2"/>
        <v>0.6550836551</v>
      </c>
      <c r="I1009" s="10">
        <v>0.1625</v>
      </c>
      <c r="J1009" s="10">
        <v>0.6975</v>
      </c>
      <c r="K1009" s="5">
        <f t="shared" si="3"/>
        <v>1</v>
      </c>
    </row>
    <row r="1010" ht="15.0" customHeight="1">
      <c r="A1010" s="5">
        <v>2018.0</v>
      </c>
      <c r="B1010" s="5" t="s">
        <v>282</v>
      </c>
      <c r="C1010" s="5" t="s">
        <v>325</v>
      </c>
      <c r="D1010" s="5" t="s">
        <v>120</v>
      </c>
      <c r="E1010" s="5">
        <v>1019.0</v>
      </c>
      <c r="F1010" s="5">
        <v>773.0</v>
      </c>
      <c r="G1010" s="5">
        <f t="shared" si="1"/>
        <v>1792</v>
      </c>
      <c r="H1010" s="10">
        <f t="shared" si="2"/>
        <v>0.5686383929</v>
      </c>
      <c r="I1010" s="10">
        <v>0.0995</v>
      </c>
      <c r="J1010" s="10">
        <v>0.5079</v>
      </c>
      <c r="K1010" s="5">
        <f t="shared" si="3"/>
        <v>0</v>
      </c>
    </row>
    <row r="1011" ht="15.0" customHeight="1">
      <c r="A1011" s="5">
        <v>2020.0</v>
      </c>
      <c r="B1011" s="5" t="s">
        <v>282</v>
      </c>
      <c r="C1011" s="5" t="s">
        <v>325</v>
      </c>
      <c r="D1011" s="5" t="s">
        <v>120</v>
      </c>
      <c r="E1011" s="5">
        <v>1584.0</v>
      </c>
      <c r="F1011" s="5">
        <v>1128.0</v>
      </c>
      <c r="G1011" s="5">
        <f t="shared" si="1"/>
        <v>2712</v>
      </c>
      <c r="H1011" s="10">
        <f t="shared" si="2"/>
        <v>0.5840707965</v>
      </c>
      <c r="I1011" s="10">
        <v>0.1085</v>
      </c>
      <c r="J1011" s="10">
        <v>0.6703</v>
      </c>
      <c r="K1011" s="5">
        <f t="shared" si="3"/>
        <v>1</v>
      </c>
    </row>
    <row r="1012" ht="15.0" customHeight="1">
      <c r="A1012" s="5">
        <v>2022.0</v>
      </c>
      <c r="B1012" s="5" t="s">
        <v>282</v>
      </c>
      <c r="C1012" s="5" t="s">
        <v>325</v>
      </c>
      <c r="D1012" s="5" t="s">
        <v>120</v>
      </c>
      <c r="E1012" s="5">
        <v>1119.0</v>
      </c>
      <c r="F1012" s="5">
        <v>814.0</v>
      </c>
      <c r="G1012" s="5">
        <f t="shared" si="1"/>
        <v>1933</v>
      </c>
      <c r="H1012" s="10">
        <f t="shared" si="2"/>
        <v>0.5788929126</v>
      </c>
      <c r="I1012" s="10">
        <v>0.1037</v>
      </c>
      <c r="J1012" s="10">
        <v>0.4817</v>
      </c>
      <c r="K1012" s="5">
        <f t="shared" si="3"/>
        <v>0</v>
      </c>
    </row>
    <row r="1013" ht="15.0" customHeight="1">
      <c r="A1013" s="5">
        <v>2024.0</v>
      </c>
      <c r="B1013" s="5" t="s">
        <v>282</v>
      </c>
      <c r="C1013" s="5" t="s">
        <v>325</v>
      </c>
      <c r="D1013" s="5" t="s">
        <v>120</v>
      </c>
      <c r="E1013" s="5">
        <v>1587.0</v>
      </c>
      <c r="F1013" s="5">
        <v>1156.0</v>
      </c>
      <c r="G1013" s="5">
        <f t="shared" si="1"/>
        <v>2743</v>
      </c>
      <c r="H1013" s="10">
        <f t="shared" si="2"/>
        <v>0.5785636165</v>
      </c>
      <c r="I1013" s="10">
        <v>0.0815</v>
      </c>
      <c r="J1013" s="10">
        <v>0.6677</v>
      </c>
      <c r="K1013" s="5">
        <f t="shared" si="3"/>
        <v>1</v>
      </c>
    </row>
    <row r="1014" ht="15.0" customHeight="1">
      <c r="A1014" s="5">
        <v>2018.0</v>
      </c>
      <c r="B1014" s="5" t="s">
        <v>282</v>
      </c>
      <c r="C1014" s="5" t="s">
        <v>325</v>
      </c>
      <c r="D1014" s="5" t="s">
        <v>122</v>
      </c>
      <c r="E1014" s="5">
        <v>516.0</v>
      </c>
      <c r="F1014" s="5">
        <v>564.0</v>
      </c>
      <c r="G1014" s="5">
        <f t="shared" si="1"/>
        <v>1080</v>
      </c>
      <c r="H1014" s="10">
        <f t="shared" si="2"/>
        <v>0.4777777778</v>
      </c>
      <c r="I1014" s="10">
        <v>-0.0671</v>
      </c>
      <c r="J1014" s="10">
        <v>0.5452</v>
      </c>
      <c r="K1014" s="5">
        <f t="shared" si="3"/>
        <v>0</v>
      </c>
    </row>
    <row r="1015" ht="15.0" customHeight="1">
      <c r="A1015" s="5">
        <v>2020.0</v>
      </c>
      <c r="B1015" s="5" t="s">
        <v>282</v>
      </c>
      <c r="C1015" s="5" t="s">
        <v>325</v>
      </c>
      <c r="D1015" s="5" t="s">
        <v>122</v>
      </c>
      <c r="E1015" s="5">
        <v>694.0</v>
      </c>
      <c r="F1015" s="5">
        <v>835.0</v>
      </c>
      <c r="G1015" s="5">
        <f t="shared" si="1"/>
        <v>1529</v>
      </c>
      <c r="H1015" s="10">
        <f t="shared" si="2"/>
        <v>0.4538914323</v>
      </c>
      <c r="I1015" s="10">
        <v>-0.0769</v>
      </c>
      <c r="J1015" s="10">
        <v>0.7302</v>
      </c>
      <c r="K1015" s="5">
        <f t="shared" si="3"/>
        <v>1</v>
      </c>
    </row>
    <row r="1016" ht="15.0" customHeight="1">
      <c r="A1016" s="5">
        <v>2022.0</v>
      </c>
      <c r="B1016" s="5" t="s">
        <v>282</v>
      </c>
      <c r="C1016" s="5" t="s">
        <v>325</v>
      </c>
      <c r="D1016" s="5" t="s">
        <v>122</v>
      </c>
      <c r="E1016" s="5">
        <v>500.0</v>
      </c>
      <c r="F1016" s="5">
        <v>673.0</v>
      </c>
      <c r="G1016" s="5">
        <f t="shared" si="1"/>
        <v>1173</v>
      </c>
      <c r="H1016" s="10">
        <f t="shared" si="2"/>
        <v>0.4262574595</v>
      </c>
      <c r="I1016" s="10">
        <v>-0.1225</v>
      </c>
      <c r="J1016" s="10">
        <v>0.5818</v>
      </c>
      <c r="K1016" s="5">
        <f t="shared" si="3"/>
        <v>0</v>
      </c>
    </row>
    <row r="1017" ht="15.0" customHeight="1">
      <c r="A1017" s="5">
        <v>2024.0</v>
      </c>
      <c r="B1017" s="5" t="s">
        <v>282</v>
      </c>
      <c r="C1017" s="5" t="s">
        <v>325</v>
      </c>
      <c r="D1017" s="5" t="s">
        <v>122</v>
      </c>
      <c r="E1017" s="5">
        <v>701.0</v>
      </c>
      <c r="F1017" s="5">
        <v>912.0</v>
      </c>
      <c r="G1017" s="5">
        <f t="shared" si="1"/>
        <v>1613</v>
      </c>
      <c r="H1017" s="10">
        <f t="shared" si="2"/>
        <v>0.4345939244</v>
      </c>
      <c r="I1017" s="10">
        <v>-0.1521</v>
      </c>
      <c r="J1017" s="10">
        <v>0.7279</v>
      </c>
      <c r="K1017" s="5">
        <f t="shared" si="3"/>
        <v>1</v>
      </c>
    </row>
    <row r="1018" ht="15.0" customHeight="1">
      <c r="A1018" s="5">
        <v>2018.0</v>
      </c>
      <c r="B1018" s="5" t="s">
        <v>282</v>
      </c>
      <c r="C1018" s="5" t="s">
        <v>326</v>
      </c>
      <c r="D1018" s="5" t="s">
        <v>124</v>
      </c>
      <c r="E1018" s="5">
        <v>1092.0</v>
      </c>
      <c r="F1018" s="5">
        <v>873.0</v>
      </c>
      <c r="G1018" s="5">
        <f t="shared" si="1"/>
        <v>1965</v>
      </c>
      <c r="H1018" s="10">
        <f t="shared" si="2"/>
        <v>0.5557251908</v>
      </c>
      <c r="I1018" s="10">
        <v>0.1464</v>
      </c>
      <c r="J1018" s="10">
        <v>0.4553</v>
      </c>
      <c r="K1018" s="5">
        <f t="shared" si="3"/>
        <v>0</v>
      </c>
    </row>
    <row r="1019" ht="15.0" customHeight="1">
      <c r="A1019" s="5">
        <v>2020.0</v>
      </c>
      <c r="B1019" s="5" t="s">
        <v>282</v>
      </c>
      <c r="C1019" s="5" t="s">
        <v>326</v>
      </c>
      <c r="D1019" s="5" t="s">
        <v>124</v>
      </c>
      <c r="E1019" s="5">
        <v>1713.0</v>
      </c>
      <c r="F1019" s="5">
        <v>1460.0</v>
      </c>
      <c r="G1019" s="5">
        <f t="shared" si="1"/>
        <v>3173</v>
      </c>
      <c r="H1019" s="10">
        <f t="shared" si="2"/>
        <v>0.5398676332</v>
      </c>
      <c r="I1019" s="10">
        <v>0.1111</v>
      </c>
      <c r="J1019" s="10">
        <v>0.6431</v>
      </c>
      <c r="K1019" s="5">
        <f t="shared" si="3"/>
        <v>1</v>
      </c>
    </row>
    <row r="1020" ht="15.0" customHeight="1">
      <c r="A1020" s="5">
        <v>2022.0</v>
      </c>
      <c r="B1020" s="5" t="s">
        <v>282</v>
      </c>
      <c r="C1020" s="5" t="s">
        <v>326</v>
      </c>
      <c r="D1020" s="5" t="s">
        <v>124</v>
      </c>
      <c r="E1020" s="5">
        <v>994.0</v>
      </c>
      <c r="F1020" s="5">
        <v>964.0</v>
      </c>
      <c r="G1020" s="5">
        <f t="shared" si="1"/>
        <v>1958</v>
      </c>
      <c r="H1020" s="10">
        <f t="shared" si="2"/>
        <v>0.5076608784</v>
      </c>
      <c r="I1020" s="10">
        <v>0.1004</v>
      </c>
      <c r="J1020" s="10">
        <v>0.4237</v>
      </c>
      <c r="K1020" s="5">
        <f t="shared" si="3"/>
        <v>0</v>
      </c>
    </row>
    <row r="1021" ht="15.0" customHeight="1">
      <c r="A1021" s="5">
        <v>2024.0</v>
      </c>
      <c r="B1021" s="5" t="s">
        <v>282</v>
      </c>
      <c r="C1021" s="5" t="s">
        <v>326</v>
      </c>
      <c r="D1021" s="5" t="s">
        <v>124</v>
      </c>
      <c r="E1021" s="5">
        <v>890.0</v>
      </c>
      <c r="F1021" s="5">
        <v>835.0</v>
      </c>
      <c r="G1021" s="5">
        <f t="shared" si="1"/>
        <v>1725</v>
      </c>
      <c r="H1021" s="10">
        <f t="shared" si="2"/>
        <v>0.515942029</v>
      </c>
      <c r="I1021" s="10">
        <v>0.0865</v>
      </c>
      <c r="J1021" s="10">
        <v>0.6574</v>
      </c>
      <c r="K1021" s="5">
        <f t="shared" si="3"/>
        <v>1</v>
      </c>
    </row>
    <row r="1022" ht="15.0" customHeight="1">
      <c r="A1022" s="5">
        <v>2018.0</v>
      </c>
      <c r="B1022" s="5" t="s">
        <v>327</v>
      </c>
      <c r="C1022" s="5" t="s">
        <v>328</v>
      </c>
      <c r="D1022" s="5" t="s">
        <v>18</v>
      </c>
      <c r="E1022" s="5">
        <v>908.0</v>
      </c>
      <c r="F1022" s="5">
        <v>1196.0</v>
      </c>
      <c r="G1022" s="5">
        <f t="shared" si="1"/>
        <v>2104</v>
      </c>
      <c r="H1022" s="10">
        <f t="shared" si="2"/>
        <v>0.4315589354</v>
      </c>
      <c r="I1022" s="10">
        <v>-0.0243</v>
      </c>
      <c r="J1022" s="10">
        <v>0.5837</v>
      </c>
      <c r="K1022" s="5">
        <f t="shared" si="3"/>
        <v>0</v>
      </c>
    </row>
    <row r="1023" ht="15.0" customHeight="1">
      <c r="A1023" s="5">
        <v>2020.0</v>
      </c>
      <c r="B1023" s="5" t="s">
        <v>327</v>
      </c>
      <c r="C1023" s="5" t="s">
        <v>328</v>
      </c>
      <c r="D1023" s="5" t="s">
        <v>18</v>
      </c>
      <c r="E1023" s="5">
        <v>632.0</v>
      </c>
      <c r="F1023" s="5">
        <v>1007.0</v>
      </c>
      <c r="G1023" s="5">
        <f t="shared" si="1"/>
        <v>1639</v>
      </c>
      <c r="H1023" s="10">
        <f t="shared" si="2"/>
        <v>0.3856009762</v>
      </c>
      <c r="I1023" s="10">
        <v>-0.0777</v>
      </c>
      <c r="J1023" s="10">
        <v>0.8324</v>
      </c>
      <c r="K1023" s="5">
        <f t="shared" si="3"/>
        <v>1</v>
      </c>
    </row>
    <row r="1024" ht="15.0" customHeight="1">
      <c r="A1024" s="5">
        <v>2022.0</v>
      </c>
      <c r="B1024" s="5" t="s">
        <v>327</v>
      </c>
      <c r="C1024" s="5" t="s">
        <v>328</v>
      </c>
      <c r="D1024" s="5" t="s">
        <v>18</v>
      </c>
      <c r="E1024" s="5">
        <v>526.0</v>
      </c>
      <c r="F1024" s="5">
        <v>747.0</v>
      </c>
      <c r="G1024" s="5">
        <f t="shared" si="1"/>
        <v>1273</v>
      </c>
      <c r="H1024" s="10">
        <f t="shared" si="2"/>
        <v>0.413197172</v>
      </c>
      <c r="I1024" s="10">
        <v>-0.1025</v>
      </c>
      <c r="J1024" s="10">
        <v>0.6693</v>
      </c>
      <c r="K1024" s="5">
        <f t="shared" si="3"/>
        <v>0</v>
      </c>
    </row>
    <row r="1025" ht="15.0" customHeight="1">
      <c r="A1025" s="5">
        <v>2024.0</v>
      </c>
      <c r="B1025" s="5" t="s">
        <v>327</v>
      </c>
      <c r="C1025" s="5" t="s">
        <v>328</v>
      </c>
      <c r="D1025" s="5" t="s">
        <v>18</v>
      </c>
      <c r="E1025" s="5">
        <v>687.0</v>
      </c>
      <c r="F1025" s="5">
        <v>1009.0</v>
      </c>
      <c r="G1025" s="5">
        <f t="shared" si="1"/>
        <v>1696</v>
      </c>
      <c r="H1025" s="10">
        <f t="shared" si="2"/>
        <v>0.4050707547</v>
      </c>
      <c r="I1025" s="10">
        <v>-0.1363</v>
      </c>
      <c r="J1025" s="10">
        <v>0.8318</v>
      </c>
      <c r="K1025" s="5">
        <f t="shared" si="3"/>
        <v>1</v>
      </c>
    </row>
    <row r="1026" ht="15.0" customHeight="1">
      <c r="A1026" s="5">
        <v>2018.0</v>
      </c>
      <c r="B1026" s="5" t="s">
        <v>327</v>
      </c>
      <c r="C1026" s="5" t="s">
        <v>329</v>
      </c>
      <c r="D1026" s="5" t="s">
        <v>146</v>
      </c>
      <c r="E1026" s="5">
        <v>182.0</v>
      </c>
      <c r="F1026" s="5">
        <v>192.0</v>
      </c>
      <c r="G1026" s="5">
        <f t="shared" si="1"/>
        <v>374</v>
      </c>
      <c r="H1026" s="10">
        <f t="shared" si="2"/>
        <v>0.486631016</v>
      </c>
      <c r="I1026" s="10">
        <v>0.0666</v>
      </c>
      <c r="J1026" s="10">
        <v>0.4432</v>
      </c>
      <c r="K1026" s="5">
        <f t="shared" si="3"/>
        <v>0</v>
      </c>
    </row>
    <row r="1027" ht="15.0" customHeight="1">
      <c r="A1027" s="5">
        <v>2020.0</v>
      </c>
      <c r="B1027" s="5" t="s">
        <v>327</v>
      </c>
      <c r="C1027" s="5" t="s">
        <v>329</v>
      </c>
      <c r="D1027" s="5" t="s">
        <v>146</v>
      </c>
      <c r="E1027" s="5">
        <v>265.0</v>
      </c>
      <c r="F1027" s="5">
        <v>334.0</v>
      </c>
      <c r="G1027" s="5">
        <f t="shared" si="1"/>
        <v>599</v>
      </c>
      <c r="H1027" s="10">
        <f t="shared" si="2"/>
        <v>0.4424040067</v>
      </c>
      <c r="I1027" s="10">
        <v>0.0248</v>
      </c>
      <c r="J1027" s="10">
        <v>0.6462</v>
      </c>
      <c r="K1027" s="5">
        <f t="shared" si="3"/>
        <v>1</v>
      </c>
    </row>
    <row r="1028" ht="15.0" customHeight="1">
      <c r="A1028" s="5">
        <v>2022.0</v>
      </c>
      <c r="B1028" s="5" t="s">
        <v>327</v>
      </c>
      <c r="C1028" s="5" t="s">
        <v>329</v>
      </c>
      <c r="D1028" s="5" t="s">
        <v>146</v>
      </c>
      <c r="E1028" s="5">
        <v>182.0</v>
      </c>
      <c r="F1028" s="5">
        <v>220.0</v>
      </c>
      <c r="G1028" s="5">
        <f t="shared" si="1"/>
        <v>402</v>
      </c>
      <c r="H1028" s="10">
        <f t="shared" si="2"/>
        <v>0.4527363184</v>
      </c>
      <c r="I1028" s="10">
        <v>-0.0263</v>
      </c>
      <c r="J1028" s="10">
        <v>0.4403</v>
      </c>
      <c r="K1028" s="5">
        <f t="shared" si="3"/>
        <v>0</v>
      </c>
    </row>
    <row r="1029" ht="15.0" customHeight="1">
      <c r="A1029" s="5">
        <v>2024.0</v>
      </c>
      <c r="B1029" s="5" t="s">
        <v>327</v>
      </c>
      <c r="C1029" s="5" t="s">
        <v>329</v>
      </c>
      <c r="D1029" s="5" t="s">
        <v>146</v>
      </c>
      <c r="E1029" s="5">
        <v>237.0</v>
      </c>
      <c r="F1029" s="5">
        <v>342.0</v>
      </c>
      <c r="G1029" s="5">
        <f t="shared" si="1"/>
        <v>579</v>
      </c>
      <c r="H1029" s="10">
        <f t="shared" si="2"/>
        <v>0.4093264249</v>
      </c>
      <c r="I1029" s="10">
        <v>-0.0746</v>
      </c>
      <c r="J1029" s="10">
        <v>0.6259</v>
      </c>
      <c r="K1029" s="5">
        <f t="shared" si="3"/>
        <v>1</v>
      </c>
    </row>
    <row r="1030" ht="15.0" customHeight="1">
      <c r="A1030" s="5">
        <v>2018.0</v>
      </c>
      <c r="B1030" s="5" t="s">
        <v>327</v>
      </c>
      <c r="C1030" s="5" t="s">
        <v>329</v>
      </c>
      <c r="D1030" s="5" t="s">
        <v>147</v>
      </c>
      <c r="E1030" s="5">
        <v>177.0</v>
      </c>
      <c r="F1030" s="5">
        <v>154.0</v>
      </c>
      <c r="G1030" s="5">
        <f t="shared" si="1"/>
        <v>331</v>
      </c>
      <c r="H1030" s="10">
        <f t="shared" si="2"/>
        <v>0.5347432024</v>
      </c>
      <c r="I1030" s="10">
        <v>0.0921</v>
      </c>
      <c r="J1030" s="10">
        <v>0.4309</v>
      </c>
      <c r="K1030" s="5">
        <f t="shared" si="3"/>
        <v>0</v>
      </c>
    </row>
    <row r="1031" ht="15.0" customHeight="1">
      <c r="A1031" s="5">
        <v>2020.0</v>
      </c>
      <c r="B1031" s="5" t="s">
        <v>327</v>
      </c>
      <c r="C1031" s="5" t="s">
        <v>329</v>
      </c>
      <c r="D1031" s="5" t="s">
        <v>147</v>
      </c>
      <c r="E1031" s="5">
        <v>220.0</v>
      </c>
      <c r="F1031" s="5">
        <v>305.0</v>
      </c>
      <c r="G1031" s="5">
        <f t="shared" si="1"/>
        <v>525</v>
      </c>
      <c r="H1031" s="10">
        <f t="shared" si="2"/>
        <v>0.419047619</v>
      </c>
      <c r="I1031" s="10">
        <v>0.033</v>
      </c>
      <c r="J1031" s="10">
        <v>0.641</v>
      </c>
      <c r="K1031" s="5">
        <f t="shared" si="3"/>
        <v>1</v>
      </c>
    </row>
    <row r="1032" ht="15.0" customHeight="1">
      <c r="A1032" s="5">
        <v>2022.0</v>
      </c>
      <c r="B1032" s="5" t="s">
        <v>327</v>
      </c>
      <c r="C1032" s="5" t="s">
        <v>329</v>
      </c>
      <c r="D1032" s="5" t="s">
        <v>147</v>
      </c>
      <c r="E1032" s="5">
        <v>181.0</v>
      </c>
      <c r="F1032" s="5">
        <v>208.0</v>
      </c>
      <c r="G1032" s="5">
        <f t="shared" si="1"/>
        <v>389</v>
      </c>
      <c r="H1032" s="10">
        <f t="shared" si="2"/>
        <v>0.4652956298</v>
      </c>
      <c r="I1032" s="10">
        <v>-0.0024</v>
      </c>
      <c r="J1032" s="10">
        <v>0.4571</v>
      </c>
      <c r="K1032" s="5">
        <f t="shared" si="3"/>
        <v>0</v>
      </c>
    </row>
    <row r="1033" ht="15.0" customHeight="1">
      <c r="A1033" s="5">
        <v>2024.0</v>
      </c>
      <c r="B1033" s="5" t="s">
        <v>327</v>
      </c>
      <c r="C1033" s="5" t="s">
        <v>329</v>
      </c>
      <c r="D1033" s="5" t="s">
        <v>147</v>
      </c>
      <c r="E1033" s="5">
        <v>238.0</v>
      </c>
      <c r="F1033" s="5">
        <v>312.0</v>
      </c>
      <c r="G1033" s="5">
        <f t="shared" si="1"/>
        <v>550</v>
      </c>
      <c r="H1033" s="10">
        <f t="shared" si="2"/>
        <v>0.4327272727</v>
      </c>
      <c r="I1033" s="10">
        <v>-0.0752</v>
      </c>
      <c r="J1033" s="10">
        <v>0.6675</v>
      </c>
      <c r="K1033" s="5">
        <f t="shared" si="3"/>
        <v>1</v>
      </c>
    </row>
    <row r="1034" ht="15.0" customHeight="1">
      <c r="A1034" s="5">
        <v>2018.0</v>
      </c>
      <c r="B1034" s="5" t="s">
        <v>327</v>
      </c>
      <c r="C1034" s="5" t="s">
        <v>329</v>
      </c>
      <c r="D1034" s="5" t="s">
        <v>55</v>
      </c>
      <c r="E1034" s="5">
        <v>178.0</v>
      </c>
      <c r="F1034" s="5">
        <v>217.0</v>
      </c>
      <c r="G1034" s="5">
        <f t="shared" si="1"/>
        <v>395</v>
      </c>
      <c r="H1034" s="10">
        <f t="shared" si="2"/>
        <v>0.4506329114</v>
      </c>
      <c r="I1034" s="10">
        <v>-0.0322</v>
      </c>
      <c r="J1034" s="10">
        <v>0.5238</v>
      </c>
      <c r="K1034" s="5">
        <f t="shared" si="3"/>
        <v>0</v>
      </c>
    </row>
    <row r="1035" ht="15.0" customHeight="1">
      <c r="A1035" s="5">
        <v>2020.0</v>
      </c>
      <c r="B1035" s="5" t="s">
        <v>327</v>
      </c>
      <c r="C1035" s="5" t="s">
        <v>329</v>
      </c>
      <c r="D1035" s="5" t="s">
        <v>55</v>
      </c>
      <c r="E1035" s="5">
        <v>252.0</v>
      </c>
      <c r="F1035" s="5">
        <v>361.0</v>
      </c>
      <c r="G1035" s="5">
        <f t="shared" si="1"/>
        <v>613</v>
      </c>
      <c r="H1035" s="10">
        <f t="shared" si="2"/>
        <v>0.4110929853</v>
      </c>
      <c r="I1035" s="10">
        <v>-0.0739</v>
      </c>
      <c r="J1035" s="10">
        <v>0.7186</v>
      </c>
      <c r="K1035" s="5">
        <f t="shared" si="3"/>
        <v>1</v>
      </c>
    </row>
    <row r="1036" ht="15.0" customHeight="1">
      <c r="A1036" s="5">
        <v>2022.0</v>
      </c>
      <c r="B1036" s="5" t="s">
        <v>327</v>
      </c>
      <c r="C1036" s="5" t="s">
        <v>329</v>
      </c>
      <c r="D1036" s="5" t="s">
        <v>55</v>
      </c>
      <c r="E1036" s="5">
        <v>208.0</v>
      </c>
      <c r="F1036" s="5">
        <v>253.0</v>
      </c>
      <c r="G1036" s="5">
        <f t="shared" si="1"/>
        <v>461</v>
      </c>
      <c r="H1036" s="10">
        <f t="shared" si="2"/>
        <v>0.4511930586</v>
      </c>
      <c r="I1036" s="10">
        <v>-0.0755</v>
      </c>
      <c r="J1036" s="10">
        <v>0.5615</v>
      </c>
      <c r="K1036" s="5">
        <f t="shared" si="3"/>
        <v>0</v>
      </c>
    </row>
    <row r="1037" ht="15.0" customHeight="1">
      <c r="A1037" s="5">
        <v>2024.0</v>
      </c>
      <c r="B1037" s="5" t="s">
        <v>327</v>
      </c>
      <c r="C1037" s="5" t="s">
        <v>329</v>
      </c>
      <c r="D1037" s="5" t="s">
        <v>55</v>
      </c>
      <c r="E1037" s="5">
        <v>257.0</v>
      </c>
      <c r="F1037" s="5">
        <v>361.0</v>
      </c>
      <c r="G1037" s="5">
        <f t="shared" si="1"/>
        <v>618</v>
      </c>
      <c r="H1037" s="10">
        <f t="shared" si="2"/>
        <v>0.4158576052</v>
      </c>
      <c r="I1037" s="10">
        <v>-0.0916</v>
      </c>
      <c r="J1037" s="10">
        <v>0.7079</v>
      </c>
      <c r="K1037" s="5">
        <f t="shared" si="3"/>
        <v>1</v>
      </c>
    </row>
    <row r="1038" ht="15.0" customHeight="1">
      <c r="A1038" s="5">
        <v>2018.0</v>
      </c>
      <c r="B1038" s="5" t="s">
        <v>327</v>
      </c>
      <c r="C1038" s="5" t="s">
        <v>329</v>
      </c>
      <c r="D1038" s="5" t="s">
        <v>57</v>
      </c>
      <c r="E1038" s="5">
        <v>164.0</v>
      </c>
      <c r="F1038" s="5">
        <v>217.0</v>
      </c>
      <c r="G1038" s="5">
        <f t="shared" si="1"/>
        <v>381</v>
      </c>
      <c r="H1038" s="10">
        <f t="shared" si="2"/>
        <v>0.4304461942</v>
      </c>
      <c r="I1038" s="10">
        <v>-0.0378</v>
      </c>
      <c r="J1038" s="10">
        <v>0.5304</v>
      </c>
      <c r="K1038" s="5">
        <f t="shared" si="3"/>
        <v>0</v>
      </c>
    </row>
    <row r="1039" ht="15.0" customHeight="1">
      <c r="A1039" s="5">
        <v>2020.0</v>
      </c>
      <c r="B1039" s="5" t="s">
        <v>327</v>
      </c>
      <c r="C1039" s="5" t="s">
        <v>329</v>
      </c>
      <c r="D1039" s="5" t="s">
        <v>57</v>
      </c>
      <c r="E1039" s="5">
        <v>228.0</v>
      </c>
      <c r="F1039" s="5">
        <v>342.0</v>
      </c>
      <c r="G1039" s="5">
        <f t="shared" si="1"/>
        <v>570</v>
      </c>
      <c r="H1039" s="10">
        <f t="shared" si="2"/>
        <v>0.4</v>
      </c>
      <c r="I1039" s="10">
        <v>-0.0754</v>
      </c>
      <c r="J1039" s="10">
        <v>0.728</v>
      </c>
      <c r="K1039" s="5">
        <f t="shared" si="3"/>
        <v>1</v>
      </c>
    </row>
    <row r="1040" ht="15.0" customHeight="1">
      <c r="A1040" s="5">
        <v>2022.0</v>
      </c>
      <c r="B1040" s="5" t="s">
        <v>327</v>
      </c>
      <c r="C1040" s="5" t="s">
        <v>329</v>
      </c>
      <c r="D1040" s="5" t="s">
        <v>57</v>
      </c>
      <c r="E1040" s="5">
        <v>158.0</v>
      </c>
      <c r="F1040" s="5">
        <v>247.0</v>
      </c>
      <c r="G1040" s="5">
        <f t="shared" si="1"/>
        <v>405</v>
      </c>
      <c r="H1040" s="10">
        <f t="shared" si="2"/>
        <v>0.3901234568</v>
      </c>
      <c r="I1040" s="10">
        <v>-0.121</v>
      </c>
      <c r="J1040" s="10">
        <v>0.5159</v>
      </c>
      <c r="K1040" s="5">
        <f t="shared" si="3"/>
        <v>0</v>
      </c>
    </row>
    <row r="1041" ht="15.0" customHeight="1">
      <c r="A1041" s="5">
        <v>2024.0</v>
      </c>
      <c r="B1041" s="5" t="s">
        <v>327</v>
      </c>
      <c r="C1041" s="5" t="s">
        <v>329</v>
      </c>
      <c r="D1041" s="5" t="s">
        <v>57</v>
      </c>
      <c r="E1041" s="5">
        <v>227.0</v>
      </c>
      <c r="F1041" s="5">
        <v>349.0</v>
      </c>
      <c r="G1041" s="5">
        <f t="shared" si="1"/>
        <v>576</v>
      </c>
      <c r="H1041" s="10">
        <f t="shared" si="2"/>
        <v>0.3940972222</v>
      </c>
      <c r="I1041" s="10">
        <v>-0.1671</v>
      </c>
      <c r="J1041" s="10">
        <v>0.7182</v>
      </c>
      <c r="K1041" s="5">
        <f t="shared" si="3"/>
        <v>1</v>
      </c>
    </row>
    <row r="1042" ht="15.0" customHeight="1">
      <c r="A1042" s="5">
        <v>2018.0</v>
      </c>
      <c r="B1042" s="5" t="s">
        <v>327</v>
      </c>
      <c r="C1042" s="5" t="s">
        <v>330</v>
      </c>
      <c r="D1042" s="5" t="s">
        <v>59</v>
      </c>
      <c r="E1042" s="5">
        <v>368.0</v>
      </c>
      <c r="F1042" s="5">
        <v>408.0</v>
      </c>
      <c r="G1042" s="5">
        <f t="shared" si="1"/>
        <v>776</v>
      </c>
      <c r="H1042" s="10">
        <f t="shared" si="2"/>
        <v>0.4742268041</v>
      </c>
      <c r="I1042" s="10">
        <v>0.0444</v>
      </c>
      <c r="J1042" s="10">
        <v>0.5059</v>
      </c>
      <c r="K1042" s="5">
        <f t="shared" si="3"/>
        <v>0</v>
      </c>
    </row>
    <row r="1043" ht="15.0" customHeight="1">
      <c r="A1043" s="5">
        <v>2020.0</v>
      </c>
      <c r="B1043" s="5" t="s">
        <v>327</v>
      </c>
      <c r="C1043" s="5" t="s">
        <v>330</v>
      </c>
      <c r="D1043" s="5" t="s">
        <v>59</v>
      </c>
      <c r="E1043" s="5">
        <v>579.0</v>
      </c>
      <c r="F1043" s="5">
        <v>695.0</v>
      </c>
      <c r="G1043" s="5">
        <f t="shared" si="1"/>
        <v>1274</v>
      </c>
      <c r="H1043" s="10">
        <f t="shared" si="2"/>
        <v>0.4544740973</v>
      </c>
      <c r="I1043" s="10">
        <v>0.0107</v>
      </c>
      <c r="J1043" s="10">
        <v>0.7198</v>
      </c>
      <c r="K1043" s="5">
        <f t="shared" si="3"/>
        <v>1</v>
      </c>
    </row>
    <row r="1044" ht="15.0" customHeight="1">
      <c r="A1044" s="5">
        <v>2022.0</v>
      </c>
      <c r="B1044" s="5" t="s">
        <v>327</v>
      </c>
      <c r="C1044" s="5" t="s">
        <v>330</v>
      </c>
      <c r="D1044" s="5" t="s">
        <v>59</v>
      </c>
      <c r="E1044" s="5">
        <v>441.0</v>
      </c>
      <c r="F1044" s="5">
        <v>513.0</v>
      </c>
      <c r="G1044" s="5">
        <f t="shared" si="1"/>
        <v>954</v>
      </c>
      <c r="H1044" s="10">
        <f t="shared" si="2"/>
        <v>0.4622641509</v>
      </c>
      <c r="I1044" s="10">
        <v>0.0017</v>
      </c>
      <c r="J1044" s="10">
        <v>0.5297</v>
      </c>
      <c r="K1044" s="5">
        <f t="shared" si="3"/>
        <v>0</v>
      </c>
    </row>
    <row r="1045" ht="15.0" customHeight="1">
      <c r="A1045" s="5">
        <v>2024.0</v>
      </c>
      <c r="B1045" s="5" t="s">
        <v>327</v>
      </c>
      <c r="C1045" s="5" t="s">
        <v>330</v>
      </c>
      <c r="D1045" s="5" t="s">
        <v>59</v>
      </c>
      <c r="E1045" s="5">
        <v>623.0</v>
      </c>
      <c r="F1045" s="5">
        <v>726.0</v>
      </c>
      <c r="G1045" s="5">
        <f t="shared" si="1"/>
        <v>1349</v>
      </c>
      <c r="H1045" s="10">
        <f t="shared" si="2"/>
        <v>0.461823573</v>
      </c>
      <c r="I1045" s="10">
        <v>-0.0347</v>
      </c>
      <c r="J1045" s="10">
        <v>0.7089</v>
      </c>
      <c r="K1045" s="5">
        <f t="shared" si="3"/>
        <v>1</v>
      </c>
    </row>
    <row r="1046" ht="15.0" customHeight="1">
      <c r="A1046" s="5">
        <v>2018.0</v>
      </c>
      <c r="B1046" s="5" t="s">
        <v>327</v>
      </c>
      <c r="C1046" s="5" t="s">
        <v>157</v>
      </c>
      <c r="D1046" s="5" t="s">
        <v>60</v>
      </c>
      <c r="E1046" s="5">
        <v>366.0</v>
      </c>
      <c r="F1046" s="5">
        <v>80.0</v>
      </c>
      <c r="G1046" s="5">
        <f t="shared" si="1"/>
        <v>446</v>
      </c>
      <c r="H1046" s="10">
        <f t="shared" si="2"/>
        <v>0.8206278027</v>
      </c>
      <c r="I1046" s="10">
        <v>0.518</v>
      </c>
      <c r="J1046" s="10">
        <v>0.3784</v>
      </c>
      <c r="K1046" s="5">
        <f t="shared" si="3"/>
        <v>0</v>
      </c>
    </row>
    <row r="1047" ht="15.0" customHeight="1">
      <c r="A1047" s="5">
        <v>2020.0</v>
      </c>
      <c r="B1047" s="5" t="s">
        <v>327</v>
      </c>
      <c r="C1047" s="5" t="s">
        <v>157</v>
      </c>
      <c r="D1047" s="5" t="s">
        <v>60</v>
      </c>
      <c r="E1047" s="5">
        <v>503.0</v>
      </c>
      <c r="F1047" s="5">
        <v>158.0</v>
      </c>
      <c r="G1047" s="5">
        <f t="shared" si="1"/>
        <v>661</v>
      </c>
      <c r="H1047" s="10">
        <f t="shared" si="2"/>
        <v>0.76096823</v>
      </c>
      <c r="I1047" s="10">
        <v>0.511</v>
      </c>
      <c r="J1047" s="10">
        <v>0.5387</v>
      </c>
      <c r="K1047" s="5">
        <f t="shared" si="3"/>
        <v>1</v>
      </c>
    </row>
    <row r="1048" ht="15.0" customHeight="1">
      <c r="A1048" s="5">
        <v>2022.0</v>
      </c>
      <c r="B1048" s="5" t="s">
        <v>327</v>
      </c>
      <c r="C1048" s="5" t="s">
        <v>157</v>
      </c>
      <c r="D1048" s="5" t="s">
        <v>60</v>
      </c>
      <c r="E1048" s="5">
        <v>353.0</v>
      </c>
      <c r="F1048" s="5">
        <v>92.0</v>
      </c>
      <c r="G1048" s="5">
        <f t="shared" si="1"/>
        <v>445</v>
      </c>
      <c r="H1048" s="10">
        <f t="shared" si="2"/>
        <v>0.793258427</v>
      </c>
      <c r="I1048" s="10">
        <v>0.515</v>
      </c>
      <c r="J1048" s="10">
        <v>0.3813</v>
      </c>
      <c r="K1048" s="5">
        <f t="shared" si="3"/>
        <v>0</v>
      </c>
    </row>
    <row r="1049" ht="15.0" customHeight="1">
      <c r="A1049" s="5">
        <v>2024.0</v>
      </c>
      <c r="B1049" s="5" t="s">
        <v>327</v>
      </c>
      <c r="C1049" s="5" t="s">
        <v>157</v>
      </c>
      <c r="D1049" s="5" t="s">
        <v>60</v>
      </c>
      <c r="E1049" s="5">
        <v>450.0</v>
      </c>
      <c r="F1049" s="5">
        <v>179.0</v>
      </c>
      <c r="G1049" s="5">
        <f t="shared" si="1"/>
        <v>629</v>
      </c>
      <c r="H1049" s="10">
        <f t="shared" si="2"/>
        <v>0.7154213037</v>
      </c>
      <c r="I1049" s="10">
        <v>0.4827</v>
      </c>
      <c r="J1049" s="10">
        <v>0.5173</v>
      </c>
      <c r="K1049" s="5">
        <f t="shared" si="3"/>
        <v>1</v>
      </c>
    </row>
    <row r="1050" ht="15.0" customHeight="1">
      <c r="A1050" s="5">
        <v>2018.0</v>
      </c>
      <c r="B1050" s="5" t="s">
        <v>327</v>
      </c>
      <c r="C1050" s="5" t="s">
        <v>157</v>
      </c>
      <c r="D1050" s="5" t="s">
        <v>63</v>
      </c>
      <c r="E1050" s="5">
        <v>323.0</v>
      </c>
      <c r="F1050" s="5">
        <v>74.0</v>
      </c>
      <c r="G1050" s="5">
        <f t="shared" si="1"/>
        <v>397</v>
      </c>
      <c r="H1050" s="10">
        <f t="shared" si="2"/>
        <v>0.8136020151</v>
      </c>
      <c r="I1050" s="10">
        <v>0.5166</v>
      </c>
      <c r="J1050" s="10">
        <v>0.3306</v>
      </c>
      <c r="K1050" s="5">
        <f t="shared" si="3"/>
        <v>0</v>
      </c>
    </row>
    <row r="1051" ht="15.0" customHeight="1">
      <c r="A1051" s="5">
        <v>2020.0</v>
      </c>
      <c r="B1051" s="5" t="s">
        <v>327</v>
      </c>
      <c r="C1051" s="5" t="s">
        <v>157</v>
      </c>
      <c r="D1051" s="5" t="s">
        <v>63</v>
      </c>
      <c r="E1051" s="5">
        <v>511.0</v>
      </c>
      <c r="F1051" s="5">
        <v>155.0</v>
      </c>
      <c r="G1051" s="5">
        <f t="shared" si="1"/>
        <v>666</v>
      </c>
      <c r="H1051" s="10">
        <f t="shared" si="2"/>
        <v>0.7672672673</v>
      </c>
      <c r="I1051" s="10">
        <v>0.4848</v>
      </c>
      <c r="J1051" s="10">
        <v>0.5311</v>
      </c>
      <c r="K1051" s="5">
        <f t="shared" si="3"/>
        <v>1</v>
      </c>
    </row>
    <row r="1052" ht="15.0" customHeight="1">
      <c r="A1052" s="5">
        <v>2022.0</v>
      </c>
      <c r="B1052" s="5" t="s">
        <v>327</v>
      </c>
      <c r="C1052" s="5" t="s">
        <v>157</v>
      </c>
      <c r="D1052" s="5" t="s">
        <v>63</v>
      </c>
      <c r="E1052" s="5">
        <v>266.0</v>
      </c>
      <c r="F1052" s="5">
        <v>88.0</v>
      </c>
      <c r="G1052" s="5">
        <f t="shared" si="1"/>
        <v>354</v>
      </c>
      <c r="H1052" s="10">
        <f t="shared" si="2"/>
        <v>0.7514124294</v>
      </c>
      <c r="I1052" s="10">
        <v>0.4931</v>
      </c>
      <c r="J1052" s="10">
        <v>0.3068</v>
      </c>
      <c r="K1052" s="5">
        <f t="shared" si="3"/>
        <v>0</v>
      </c>
    </row>
    <row r="1053" ht="15.0" customHeight="1">
      <c r="A1053" s="5">
        <v>2024.0</v>
      </c>
      <c r="B1053" s="5" t="s">
        <v>327</v>
      </c>
      <c r="C1053" s="5" t="s">
        <v>157</v>
      </c>
      <c r="D1053" s="5" t="s">
        <v>63</v>
      </c>
      <c r="E1053" s="5">
        <v>442.0</v>
      </c>
      <c r="F1053" s="5">
        <v>161.0</v>
      </c>
      <c r="G1053" s="5">
        <f t="shared" si="1"/>
        <v>603</v>
      </c>
      <c r="H1053" s="10">
        <f t="shared" si="2"/>
        <v>0.7330016584</v>
      </c>
      <c r="I1053" s="10">
        <v>0.4242</v>
      </c>
      <c r="J1053" s="10">
        <v>0.4809</v>
      </c>
      <c r="K1053" s="5">
        <f t="shared" si="3"/>
        <v>1</v>
      </c>
    </row>
    <row r="1054" ht="15.0" customHeight="1">
      <c r="A1054" s="5">
        <v>2018.0</v>
      </c>
      <c r="B1054" s="5" t="s">
        <v>327</v>
      </c>
      <c r="C1054" s="5" t="s">
        <v>157</v>
      </c>
      <c r="D1054" s="5" t="s">
        <v>331</v>
      </c>
      <c r="E1054" s="5">
        <v>307.0</v>
      </c>
      <c r="F1054" s="5">
        <v>59.0</v>
      </c>
      <c r="G1054" s="5">
        <f t="shared" si="1"/>
        <v>366</v>
      </c>
      <c r="H1054" s="10">
        <f t="shared" si="2"/>
        <v>0.8387978142</v>
      </c>
      <c r="I1054" s="10">
        <v>0.4417</v>
      </c>
      <c r="J1054" s="10">
        <v>0.305</v>
      </c>
      <c r="K1054" s="5">
        <f t="shared" si="3"/>
        <v>0</v>
      </c>
    </row>
    <row r="1055" ht="15.0" customHeight="1">
      <c r="A1055" s="5">
        <v>2020.0</v>
      </c>
      <c r="B1055" s="5" t="s">
        <v>327</v>
      </c>
      <c r="C1055" s="5" t="s">
        <v>157</v>
      </c>
      <c r="D1055" s="5" t="s">
        <v>331</v>
      </c>
      <c r="E1055" s="5">
        <v>606.0</v>
      </c>
      <c r="F1055" s="5">
        <v>162.0</v>
      </c>
      <c r="G1055" s="5">
        <f t="shared" si="1"/>
        <v>768</v>
      </c>
      <c r="H1055" s="10">
        <f t="shared" si="2"/>
        <v>0.7890625</v>
      </c>
      <c r="I1055" s="10">
        <v>0.4571</v>
      </c>
      <c r="J1055" s="10">
        <v>0.4952</v>
      </c>
      <c r="K1055" s="5">
        <f t="shared" si="3"/>
        <v>1</v>
      </c>
    </row>
    <row r="1056" ht="15.0" customHeight="1">
      <c r="A1056" s="5">
        <v>2022.0</v>
      </c>
      <c r="B1056" s="5" t="s">
        <v>327</v>
      </c>
      <c r="C1056" s="5" t="s">
        <v>157</v>
      </c>
      <c r="D1056" s="5" t="s">
        <v>331</v>
      </c>
      <c r="E1056" s="5">
        <v>353.0</v>
      </c>
      <c r="F1056" s="5">
        <v>88.0</v>
      </c>
      <c r="G1056" s="5">
        <f t="shared" si="1"/>
        <v>441</v>
      </c>
      <c r="H1056" s="10">
        <f t="shared" si="2"/>
        <v>0.8004535147</v>
      </c>
      <c r="I1056" s="10">
        <v>0.4307</v>
      </c>
      <c r="J1056" s="10">
        <v>0.2818</v>
      </c>
      <c r="K1056" s="5">
        <f t="shared" si="3"/>
        <v>0</v>
      </c>
    </row>
    <row r="1057" ht="15.0" customHeight="1">
      <c r="A1057" s="5">
        <v>2024.0</v>
      </c>
      <c r="B1057" s="5" t="s">
        <v>327</v>
      </c>
      <c r="C1057" s="5" t="s">
        <v>157</v>
      </c>
      <c r="D1057" s="5" t="s">
        <v>331</v>
      </c>
      <c r="E1057" s="5">
        <v>599.0</v>
      </c>
      <c r="F1057" s="5">
        <v>203.0</v>
      </c>
      <c r="G1057" s="5">
        <f t="shared" si="1"/>
        <v>802</v>
      </c>
      <c r="H1057" s="10">
        <f t="shared" si="2"/>
        <v>0.746882793</v>
      </c>
      <c r="I1057" s="10">
        <v>0.4187</v>
      </c>
      <c r="J1057" s="10">
        <v>0.4378</v>
      </c>
      <c r="K1057" s="5">
        <f t="shared" si="3"/>
        <v>1</v>
      </c>
    </row>
    <row r="1058" ht="15.0" customHeight="1">
      <c r="A1058" s="5">
        <v>2018.0</v>
      </c>
      <c r="B1058" s="5" t="s">
        <v>327</v>
      </c>
      <c r="C1058" s="5" t="s">
        <v>157</v>
      </c>
      <c r="D1058" s="5" t="s">
        <v>74</v>
      </c>
      <c r="E1058" s="5">
        <v>724.0</v>
      </c>
      <c r="F1058" s="5">
        <v>115.0</v>
      </c>
      <c r="G1058" s="5">
        <f t="shared" si="1"/>
        <v>839</v>
      </c>
      <c r="H1058" s="10">
        <f t="shared" si="2"/>
        <v>0.862932062</v>
      </c>
      <c r="I1058" s="10">
        <v>0.3179</v>
      </c>
      <c r="J1058" s="10">
        <v>0.2547</v>
      </c>
      <c r="K1058" s="5">
        <f t="shared" si="3"/>
        <v>0</v>
      </c>
    </row>
    <row r="1059" ht="15.0" customHeight="1">
      <c r="A1059" s="5">
        <v>2020.0</v>
      </c>
      <c r="B1059" s="5" t="s">
        <v>327</v>
      </c>
      <c r="C1059" s="5" t="s">
        <v>157</v>
      </c>
      <c r="D1059" s="5" t="s">
        <v>74</v>
      </c>
      <c r="E1059" s="5">
        <v>759.0</v>
      </c>
      <c r="F1059" s="5">
        <v>158.0</v>
      </c>
      <c r="G1059" s="5">
        <f t="shared" si="1"/>
        <v>917</v>
      </c>
      <c r="H1059" s="10">
        <f t="shared" si="2"/>
        <v>0.8276990185</v>
      </c>
      <c r="I1059" s="10">
        <v>0.3582</v>
      </c>
      <c r="J1059" s="10">
        <v>0.271</v>
      </c>
      <c r="K1059" s="5">
        <f t="shared" si="3"/>
        <v>1</v>
      </c>
    </row>
    <row r="1060" ht="15.0" customHeight="1">
      <c r="A1060" s="5">
        <v>2022.0</v>
      </c>
      <c r="B1060" s="5" t="s">
        <v>327</v>
      </c>
      <c r="C1060" s="5" t="s">
        <v>157</v>
      </c>
      <c r="D1060" s="5" t="s">
        <v>74</v>
      </c>
      <c r="E1060" s="5">
        <v>691.0</v>
      </c>
      <c r="F1060" s="5">
        <v>98.0</v>
      </c>
      <c r="G1060" s="5">
        <f t="shared" si="1"/>
        <v>789</v>
      </c>
      <c r="H1060" s="10">
        <f t="shared" si="2"/>
        <v>0.875792142</v>
      </c>
      <c r="I1060" s="10">
        <v>0.4122</v>
      </c>
      <c r="J1060" s="10">
        <v>0.2241</v>
      </c>
      <c r="K1060" s="5">
        <f t="shared" si="3"/>
        <v>0</v>
      </c>
    </row>
    <row r="1061" ht="15.0" customHeight="1">
      <c r="A1061" s="5">
        <v>2024.0</v>
      </c>
      <c r="B1061" s="5" t="s">
        <v>327</v>
      </c>
      <c r="C1061" s="5" t="s">
        <v>157</v>
      </c>
      <c r="D1061" s="5" t="s">
        <v>74</v>
      </c>
      <c r="E1061" s="5">
        <v>1506.0</v>
      </c>
      <c r="F1061" s="5">
        <v>338.0</v>
      </c>
      <c r="G1061" s="5">
        <f t="shared" si="1"/>
        <v>1844</v>
      </c>
      <c r="H1061" s="10">
        <f t="shared" si="2"/>
        <v>0.81670282</v>
      </c>
      <c r="I1061" s="10">
        <v>0.4348</v>
      </c>
      <c r="J1061" s="10">
        <v>0.4355</v>
      </c>
      <c r="K1061" s="5">
        <f t="shared" si="3"/>
        <v>1</v>
      </c>
    </row>
    <row r="1062" ht="15.0" customHeight="1">
      <c r="A1062" s="5">
        <v>2018.0</v>
      </c>
      <c r="B1062" s="5" t="s">
        <v>327</v>
      </c>
      <c r="C1062" s="5" t="s">
        <v>157</v>
      </c>
      <c r="D1062" s="5" t="s">
        <v>332</v>
      </c>
      <c r="E1062" s="5">
        <v>350.0</v>
      </c>
      <c r="F1062" s="5">
        <v>68.0</v>
      </c>
      <c r="G1062" s="5">
        <f t="shared" si="1"/>
        <v>418</v>
      </c>
      <c r="H1062" s="10">
        <f t="shared" si="2"/>
        <v>0.8373205742</v>
      </c>
      <c r="I1062" s="10">
        <v>0.501</v>
      </c>
      <c r="J1062" s="10">
        <v>0.2888</v>
      </c>
      <c r="K1062" s="5">
        <f t="shared" si="3"/>
        <v>0</v>
      </c>
    </row>
    <row r="1063" ht="15.0" customHeight="1">
      <c r="A1063" s="5">
        <v>2020.0</v>
      </c>
      <c r="B1063" s="5" t="s">
        <v>327</v>
      </c>
      <c r="C1063" s="5" t="s">
        <v>157</v>
      </c>
      <c r="D1063" s="5" t="s">
        <v>332</v>
      </c>
      <c r="E1063" s="5">
        <v>656.0</v>
      </c>
      <c r="F1063" s="5">
        <v>191.0</v>
      </c>
      <c r="G1063" s="5">
        <f t="shared" si="1"/>
        <v>847</v>
      </c>
      <c r="H1063" s="10">
        <f t="shared" si="2"/>
        <v>0.774498229</v>
      </c>
      <c r="I1063" s="10">
        <v>0.4785</v>
      </c>
      <c r="J1063" s="10">
        <v>0.4729</v>
      </c>
      <c r="K1063" s="5">
        <f t="shared" si="3"/>
        <v>1</v>
      </c>
    </row>
    <row r="1064" ht="15.0" customHeight="1">
      <c r="A1064" s="5">
        <v>2022.0</v>
      </c>
      <c r="B1064" s="5" t="s">
        <v>327</v>
      </c>
      <c r="C1064" s="5" t="s">
        <v>157</v>
      </c>
      <c r="D1064" s="5" t="s">
        <v>332</v>
      </c>
      <c r="E1064" s="5">
        <v>370.0</v>
      </c>
      <c r="F1064" s="5">
        <v>96.0</v>
      </c>
      <c r="G1064" s="5">
        <f t="shared" si="1"/>
        <v>466</v>
      </c>
      <c r="H1064" s="10">
        <f t="shared" si="2"/>
        <v>0.7939914163</v>
      </c>
      <c r="I1064" s="10">
        <v>0.4733</v>
      </c>
      <c r="J1064" s="10">
        <v>0.273</v>
      </c>
      <c r="K1064" s="5">
        <f t="shared" si="3"/>
        <v>0</v>
      </c>
    </row>
    <row r="1065" ht="15.0" customHeight="1">
      <c r="A1065" s="5">
        <v>2024.0</v>
      </c>
      <c r="B1065" s="5" t="s">
        <v>327</v>
      </c>
      <c r="C1065" s="5" t="s">
        <v>157</v>
      </c>
      <c r="D1065" s="5" t="s">
        <v>332</v>
      </c>
      <c r="E1065" s="5">
        <v>645.0</v>
      </c>
      <c r="F1065" s="5">
        <v>243.0</v>
      </c>
      <c r="G1065" s="5">
        <f t="shared" si="1"/>
        <v>888</v>
      </c>
      <c r="H1065" s="10">
        <f t="shared" si="2"/>
        <v>0.7263513514</v>
      </c>
      <c r="I1065" s="10">
        <v>0.4087</v>
      </c>
      <c r="J1065" s="10">
        <v>0.442</v>
      </c>
      <c r="K1065" s="5">
        <f t="shared" si="3"/>
        <v>1</v>
      </c>
    </row>
    <row r="1066" ht="15.0" customHeight="1">
      <c r="A1066" s="5">
        <v>2018.0</v>
      </c>
      <c r="B1066" s="5" t="s">
        <v>327</v>
      </c>
      <c r="C1066" s="5" t="s">
        <v>157</v>
      </c>
      <c r="D1066" s="5" t="s">
        <v>87</v>
      </c>
      <c r="E1066" s="5">
        <v>496.0</v>
      </c>
      <c r="F1066" s="5">
        <v>78.0</v>
      </c>
      <c r="G1066" s="5">
        <f t="shared" si="1"/>
        <v>574</v>
      </c>
      <c r="H1066" s="10">
        <f t="shared" si="2"/>
        <v>0.8641114983</v>
      </c>
      <c r="I1066" s="10">
        <v>0.543</v>
      </c>
      <c r="J1066" s="10">
        <v>0.3055</v>
      </c>
      <c r="K1066" s="5">
        <f t="shared" si="3"/>
        <v>0</v>
      </c>
    </row>
    <row r="1067" ht="15.0" customHeight="1">
      <c r="A1067" s="5">
        <v>2020.0</v>
      </c>
      <c r="B1067" s="5" t="s">
        <v>327</v>
      </c>
      <c r="C1067" s="5" t="s">
        <v>157</v>
      </c>
      <c r="D1067" s="5" t="s">
        <v>87</v>
      </c>
      <c r="E1067" s="5">
        <v>717.0</v>
      </c>
      <c r="F1067" s="5">
        <v>241.0</v>
      </c>
      <c r="G1067" s="5">
        <f t="shared" si="1"/>
        <v>958</v>
      </c>
      <c r="H1067" s="10">
        <f t="shared" si="2"/>
        <v>0.748434238</v>
      </c>
      <c r="I1067" s="10">
        <v>0.4943</v>
      </c>
      <c r="J1067" s="10">
        <v>0.4754</v>
      </c>
      <c r="K1067" s="5">
        <f t="shared" si="3"/>
        <v>1</v>
      </c>
    </row>
    <row r="1068" ht="15.0" customHeight="1">
      <c r="A1068" s="5">
        <v>2022.0</v>
      </c>
      <c r="B1068" s="5" t="s">
        <v>327</v>
      </c>
      <c r="C1068" s="5" t="s">
        <v>157</v>
      </c>
      <c r="D1068" s="5" t="s">
        <v>87</v>
      </c>
      <c r="E1068" s="5">
        <v>378.0</v>
      </c>
      <c r="F1068" s="5">
        <v>119.0</v>
      </c>
      <c r="G1068" s="5">
        <f t="shared" si="1"/>
        <v>497</v>
      </c>
      <c r="H1068" s="10">
        <f t="shared" si="2"/>
        <v>0.7605633803</v>
      </c>
      <c r="I1068" s="10">
        <v>0.49</v>
      </c>
      <c r="J1068" s="10">
        <v>0.2673</v>
      </c>
      <c r="K1068" s="5">
        <f t="shared" si="3"/>
        <v>0</v>
      </c>
    </row>
    <row r="1069" ht="15.0" customHeight="1">
      <c r="A1069" s="5">
        <v>2024.0</v>
      </c>
      <c r="B1069" s="5" t="s">
        <v>327</v>
      </c>
      <c r="C1069" s="5" t="s">
        <v>157</v>
      </c>
      <c r="D1069" s="5" t="s">
        <v>87</v>
      </c>
      <c r="E1069" s="5">
        <v>628.0</v>
      </c>
      <c r="F1069" s="5">
        <v>267.0</v>
      </c>
      <c r="G1069" s="5">
        <f t="shared" si="1"/>
        <v>895</v>
      </c>
      <c r="H1069" s="10">
        <f t="shared" si="2"/>
        <v>0.7016759777</v>
      </c>
      <c r="I1069" s="10">
        <v>0.4519</v>
      </c>
      <c r="J1069" s="10">
        <v>0.4654</v>
      </c>
      <c r="K1069" s="5">
        <f t="shared" si="3"/>
        <v>1</v>
      </c>
    </row>
    <row r="1070" ht="15.0" customHeight="1">
      <c r="A1070" s="5">
        <v>2018.0</v>
      </c>
      <c r="B1070" s="5" t="s">
        <v>327</v>
      </c>
      <c r="C1070" s="5" t="s">
        <v>157</v>
      </c>
      <c r="D1070" s="5" t="s">
        <v>88</v>
      </c>
      <c r="E1070" s="5">
        <v>381.0</v>
      </c>
      <c r="F1070" s="5">
        <v>133.0</v>
      </c>
      <c r="G1070" s="5">
        <f t="shared" si="1"/>
        <v>514</v>
      </c>
      <c r="H1070" s="10">
        <f t="shared" si="2"/>
        <v>0.7412451362</v>
      </c>
      <c r="I1070" s="10">
        <v>0.3034</v>
      </c>
      <c r="J1070" s="10">
        <v>0.6667</v>
      </c>
      <c r="K1070" s="5">
        <f t="shared" si="3"/>
        <v>0</v>
      </c>
    </row>
    <row r="1071" ht="15.0" customHeight="1">
      <c r="A1071" s="5">
        <v>2020.0</v>
      </c>
      <c r="B1071" s="5" t="s">
        <v>327</v>
      </c>
      <c r="C1071" s="5" t="s">
        <v>157</v>
      </c>
      <c r="D1071" s="5" t="s">
        <v>88</v>
      </c>
      <c r="E1071" s="5">
        <v>455.0</v>
      </c>
      <c r="F1071" s="5">
        <v>177.0</v>
      </c>
      <c r="G1071" s="5">
        <f t="shared" si="1"/>
        <v>632</v>
      </c>
      <c r="H1071" s="10">
        <f t="shared" si="2"/>
        <v>0.7199367089</v>
      </c>
      <c r="I1071" s="10">
        <v>0.327</v>
      </c>
      <c r="J1071" s="10">
        <v>0.7542</v>
      </c>
      <c r="K1071" s="5">
        <f t="shared" si="3"/>
        <v>1</v>
      </c>
    </row>
    <row r="1072" ht="15.0" customHeight="1">
      <c r="A1072" s="5">
        <v>2022.0</v>
      </c>
      <c r="B1072" s="5" t="s">
        <v>327</v>
      </c>
      <c r="C1072" s="5" t="s">
        <v>157</v>
      </c>
      <c r="D1072" s="5" t="s">
        <v>88</v>
      </c>
      <c r="E1072" s="5">
        <v>412.0</v>
      </c>
      <c r="F1072" s="5">
        <v>152.0</v>
      </c>
      <c r="G1072" s="5">
        <f t="shared" si="1"/>
        <v>564</v>
      </c>
      <c r="H1072" s="10">
        <f t="shared" si="2"/>
        <v>0.7304964539</v>
      </c>
      <c r="I1072" s="10">
        <v>0.3379</v>
      </c>
      <c r="J1072" s="10">
        <v>0.698</v>
      </c>
      <c r="K1072" s="5">
        <f t="shared" si="3"/>
        <v>0</v>
      </c>
    </row>
    <row r="1073" ht="15.0" customHeight="1">
      <c r="A1073" s="5">
        <v>2024.0</v>
      </c>
      <c r="B1073" s="5" t="s">
        <v>327</v>
      </c>
      <c r="C1073" s="5" t="s">
        <v>157</v>
      </c>
      <c r="D1073" s="5" t="s">
        <v>88</v>
      </c>
      <c r="E1073" s="5">
        <v>473.0</v>
      </c>
      <c r="F1073" s="5">
        <v>153.0</v>
      </c>
      <c r="G1073" s="5">
        <f t="shared" si="1"/>
        <v>626</v>
      </c>
      <c r="H1073" s="10">
        <f t="shared" si="2"/>
        <v>0.7555910543</v>
      </c>
      <c r="I1073" s="10">
        <v>0.3176</v>
      </c>
      <c r="J1073" s="10">
        <v>0.7985</v>
      </c>
      <c r="K1073" s="5">
        <f t="shared" si="3"/>
        <v>1</v>
      </c>
    </row>
    <row r="1074" ht="15.0" customHeight="1">
      <c r="A1074" s="5">
        <v>2018.0</v>
      </c>
      <c r="B1074" s="5" t="s">
        <v>327</v>
      </c>
      <c r="C1074" s="5" t="s">
        <v>157</v>
      </c>
      <c r="D1074" s="5" t="s">
        <v>89</v>
      </c>
      <c r="E1074" s="5">
        <v>518.0</v>
      </c>
      <c r="F1074" s="5">
        <v>156.0</v>
      </c>
      <c r="G1074" s="5">
        <f t="shared" si="1"/>
        <v>674</v>
      </c>
      <c r="H1074" s="10">
        <f t="shared" si="2"/>
        <v>0.7685459941</v>
      </c>
      <c r="I1074" s="10">
        <v>0.4113</v>
      </c>
      <c r="J1074" s="10">
        <v>0.4623</v>
      </c>
      <c r="K1074" s="5">
        <f t="shared" si="3"/>
        <v>0</v>
      </c>
    </row>
    <row r="1075" ht="15.0" customHeight="1">
      <c r="A1075" s="5">
        <v>2020.0</v>
      </c>
      <c r="B1075" s="5" t="s">
        <v>327</v>
      </c>
      <c r="C1075" s="5" t="s">
        <v>157</v>
      </c>
      <c r="D1075" s="5" t="s">
        <v>89</v>
      </c>
      <c r="E1075" s="5">
        <v>762.0</v>
      </c>
      <c r="F1075" s="5">
        <v>295.0</v>
      </c>
      <c r="G1075" s="5">
        <f t="shared" si="1"/>
        <v>1057</v>
      </c>
      <c r="H1075" s="10">
        <f t="shared" si="2"/>
        <v>0.7209082308</v>
      </c>
      <c r="I1075" s="10">
        <v>0.4375</v>
      </c>
      <c r="J1075" s="10">
        <v>0.6379</v>
      </c>
      <c r="K1075" s="5">
        <f t="shared" si="3"/>
        <v>1</v>
      </c>
    </row>
    <row r="1076" ht="15.0" customHeight="1">
      <c r="A1076" s="5">
        <v>2022.0</v>
      </c>
      <c r="B1076" s="5" t="s">
        <v>327</v>
      </c>
      <c r="C1076" s="5" t="s">
        <v>157</v>
      </c>
      <c r="D1076" s="5" t="s">
        <v>89</v>
      </c>
      <c r="E1076" s="5">
        <v>546.0</v>
      </c>
      <c r="F1076" s="5">
        <v>190.0</v>
      </c>
      <c r="G1076" s="5">
        <f t="shared" si="1"/>
        <v>736</v>
      </c>
      <c r="H1076" s="10">
        <f t="shared" si="2"/>
        <v>0.7418478261</v>
      </c>
      <c r="I1076" s="10">
        <v>0.4235</v>
      </c>
      <c r="J1076" s="10">
        <v>0.4652</v>
      </c>
      <c r="K1076" s="5">
        <f t="shared" si="3"/>
        <v>0</v>
      </c>
    </row>
    <row r="1077" ht="15.0" customHeight="1">
      <c r="A1077" s="5">
        <v>2024.0</v>
      </c>
      <c r="B1077" s="5" t="s">
        <v>327</v>
      </c>
      <c r="C1077" s="5" t="s">
        <v>157</v>
      </c>
      <c r="D1077" s="5" t="s">
        <v>89</v>
      </c>
      <c r="E1077" s="5">
        <v>745.0</v>
      </c>
      <c r="F1077" s="5">
        <v>301.0</v>
      </c>
      <c r="G1077" s="5">
        <f t="shared" si="1"/>
        <v>1046</v>
      </c>
      <c r="H1077" s="10">
        <f t="shared" si="2"/>
        <v>0.7122370937</v>
      </c>
      <c r="I1077" s="10">
        <v>0.3736</v>
      </c>
      <c r="J1077" s="10">
        <v>0.6313</v>
      </c>
      <c r="K1077" s="5">
        <f t="shared" si="3"/>
        <v>1</v>
      </c>
    </row>
    <row r="1078" ht="15.0" customHeight="1">
      <c r="A1078" s="5">
        <v>2018.0</v>
      </c>
      <c r="B1078" s="5" t="s">
        <v>327</v>
      </c>
      <c r="C1078" s="5" t="s">
        <v>157</v>
      </c>
      <c r="D1078" s="5" t="s">
        <v>91</v>
      </c>
      <c r="E1078" s="5">
        <v>515.0</v>
      </c>
      <c r="F1078" s="5">
        <v>155.0</v>
      </c>
      <c r="G1078" s="5">
        <f t="shared" si="1"/>
        <v>670</v>
      </c>
      <c r="H1078" s="10">
        <f t="shared" si="2"/>
        <v>0.7686567164</v>
      </c>
      <c r="I1078" s="10">
        <v>0.3585</v>
      </c>
      <c r="J1078" s="10">
        <v>0.4274</v>
      </c>
      <c r="K1078" s="5">
        <f t="shared" si="3"/>
        <v>0</v>
      </c>
    </row>
    <row r="1079" ht="15.0" customHeight="1">
      <c r="A1079" s="5">
        <v>2020.0</v>
      </c>
      <c r="B1079" s="5" t="s">
        <v>327</v>
      </c>
      <c r="C1079" s="5" t="s">
        <v>157</v>
      </c>
      <c r="D1079" s="5" t="s">
        <v>91</v>
      </c>
      <c r="E1079" s="5">
        <v>764.0</v>
      </c>
      <c r="F1079" s="5">
        <v>289.0</v>
      </c>
      <c r="G1079" s="5">
        <f t="shared" si="1"/>
        <v>1053</v>
      </c>
      <c r="H1079" s="10">
        <f t="shared" si="2"/>
        <v>0.7255460589</v>
      </c>
      <c r="I1079" s="10">
        <v>0.3508</v>
      </c>
      <c r="J1079" s="10">
        <v>0.6425</v>
      </c>
      <c r="K1079" s="5">
        <f t="shared" si="3"/>
        <v>1</v>
      </c>
    </row>
    <row r="1080" ht="15.0" customHeight="1">
      <c r="A1080" s="5">
        <v>2022.0</v>
      </c>
      <c r="B1080" s="5" t="s">
        <v>327</v>
      </c>
      <c r="C1080" s="5" t="s">
        <v>157</v>
      </c>
      <c r="D1080" s="5" t="s">
        <v>91</v>
      </c>
      <c r="E1080" s="5">
        <v>483.0</v>
      </c>
      <c r="F1080" s="5">
        <v>192.0</v>
      </c>
      <c r="G1080" s="5">
        <f t="shared" si="1"/>
        <v>675</v>
      </c>
      <c r="H1080" s="10">
        <f t="shared" si="2"/>
        <v>0.7155555556</v>
      </c>
      <c r="I1080" s="10">
        <v>0.3618</v>
      </c>
      <c r="J1080" s="10">
        <v>0.4432</v>
      </c>
      <c r="K1080" s="5">
        <f t="shared" si="3"/>
        <v>0</v>
      </c>
    </row>
    <row r="1081" ht="15.0" customHeight="1">
      <c r="A1081" s="5">
        <v>2024.0</v>
      </c>
      <c r="B1081" s="5" t="s">
        <v>327</v>
      </c>
      <c r="C1081" s="5" t="s">
        <v>157</v>
      </c>
      <c r="D1081" s="5" t="s">
        <v>91</v>
      </c>
      <c r="E1081" s="5">
        <v>682.0</v>
      </c>
      <c r="F1081" s="5">
        <v>313.0</v>
      </c>
      <c r="G1081" s="5">
        <f t="shared" si="1"/>
        <v>995</v>
      </c>
      <c r="H1081" s="10">
        <f t="shared" si="2"/>
        <v>0.6854271357</v>
      </c>
      <c r="I1081" s="10">
        <v>0.3587</v>
      </c>
      <c r="J1081" s="10">
        <v>0.6049</v>
      </c>
      <c r="K1081" s="5">
        <f t="shared" si="3"/>
        <v>1</v>
      </c>
    </row>
    <row r="1082" ht="15.0" customHeight="1">
      <c r="A1082" s="5">
        <v>2018.0</v>
      </c>
      <c r="B1082" s="5" t="s">
        <v>327</v>
      </c>
      <c r="C1082" s="5" t="s">
        <v>157</v>
      </c>
      <c r="D1082" s="5" t="s">
        <v>92</v>
      </c>
      <c r="E1082" s="5">
        <v>252.0</v>
      </c>
      <c r="F1082" s="5">
        <v>82.0</v>
      </c>
      <c r="G1082" s="5">
        <f t="shared" si="1"/>
        <v>334</v>
      </c>
      <c r="H1082" s="10">
        <f t="shared" si="2"/>
        <v>0.754491018</v>
      </c>
      <c r="I1082" s="10">
        <v>0.4074</v>
      </c>
      <c r="J1082" s="10">
        <v>0.4646</v>
      </c>
      <c r="K1082" s="5">
        <f t="shared" si="3"/>
        <v>0</v>
      </c>
    </row>
    <row r="1083" ht="15.0" customHeight="1">
      <c r="A1083" s="5">
        <v>2020.0</v>
      </c>
      <c r="B1083" s="5" t="s">
        <v>327</v>
      </c>
      <c r="C1083" s="5" t="s">
        <v>157</v>
      </c>
      <c r="D1083" s="5" t="s">
        <v>92</v>
      </c>
      <c r="E1083" s="5">
        <v>344.0</v>
      </c>
      <c r="F1083" s="5">
        <v>157.0</v>
      </c>
      <c r="G1083" s="5">
        <f t="shared" si="1"/>
        <v>501</v>
      </c>
      <c r="H1083" s="10">
        <f t="shared" si="2"/>
        <v>0.6866267465</v>
      </c>
      <c r="I1083" s="10">
        <v>0.4313</v>
      </c>
      <c r="J1083" s="10">
        <v>0.649</v>
      </c>
      <c r="K1083" s="5">
        <f t="shared" si="3"/>
        <v>1</v>
      </c>
    </row>
    <row r="1084" ht="15.0" customHeight="1">
      <c r="A1084" s="5">
        <v>2022.0</v>
      </c>
      <c r="B1084" s="5" t="s">
        <v>327</v>
      </c>
      <c r="C1084" s="5" t="s">
        <v>157</v>
      </c>
      <c r="D1084" s="5" t="s">
        <v>92</v>
      </c>
      <c r="E1084" s="5">
        <v>240.0</v>
      </c>
      <c r="F1084" s="5">
        <v>102.0</v>
      </c>
      <c r="G1084" s="5">
        <f t="shared" si="1"/>
        <v>342</v>
      </c>
      <c r="H1084" s="10">
        <f t="shared" si="2"/>
        <v>0.701754386</v>
      </c>
      <c r="I1084" s="10">
        <v>0.4016</v>
      </c>
      <c r="J1084" s="10">
        <v>0.4609</v>
      </c>
      <c r="K1084" s="5">
        <f t="shared" si="3"/>
        <v>0</v>
      </c>
    </row>
    <row r="1085" ht="15.0" customHeight="1">
      <c r="A1085" s="5">
        <v>2024.0</v>
      </c>
      <c r="B1085" s="5" t="s">
        <v>327</v>
      </c>
      <c r="C1085" s="5" t="s">
        <v>157</v>
      </c>
      <c r="D1085" s="5" t="s">
        <v>92</v>
      </c>
      <c r="E1085" s="5">
        <v>325.0</v>
      </c>
      <c r="F1085" s="5">
        <v>176.0</v>
      </c>
      <c r="G1085" s="5">
        <f t="shared" si="1"/>
        <v>501</v>
      </c>
      <c r="H1085" s="10">
        <f t="shared" si="2"/>
        <v>0.6487025948</v>
      </c>
      <c r="I1085" s="10">
        <v>0.3491</v>
      </c>
      <c r="J1085" s="10">
        <v>0.6779</v>
      </c>
      <c r="K1085" s="5">
        <f t="shared" si="3"/>
        <v>1</v>
      </c>
    </row>
    <row r="1086" ht="15.0" customHeight="1">
      <c r="A1086" s="5">
        <v>2018.0</v>
      </c>
      <c r="B1086" s="5" t="s">
        <v>327</v>
      </c>
      <c r="C1086" s="5" t="s">
        <v>157</v>
      </c>
      <c r="D1086" s="5" t="s">
        <v>94</v>
      </c>
      <c r="E1086" s="5">
        <v>293.0</v>
      </c>
      <c r="F1086" s="5">
        <v>98.0</v>
      </c>
      <c r="G1086" s="5">
        <f t="shared" si="1"/>
        <v>391</v>
      </c>
      <c r="H1086" s="10">
        <f t="shared" si="2"/>
        <v>0.7493606138</v>
      </c>
      <c r="I1086" s="10">
        <v>0.3841</v>
      </c>
      <c r="J1086" s="10">
        <v>0.4851</v>
      </c>
      <c r="K1086" s="5">
        <f t="shared" si="3"/>
        <v>0</v>
      </c>
    </row>
    <row r="1087" ht="15.0" customHeight="1">
      <c r="A1087" s="5">
        <v>2020.0</v>
      </c>
      <c r="B1087" s="5" t="s">
        <v>327</v>
      </c>
      <c r="C1087" s="5" t="s">
        <v>157</v>
      </c>
      <c r="D1087" s="5" t="s">
        <v>94</v>
      </c>
      <c r="E1087" s="5">
        <v>394.0</v>
      </c>
      <c r="F1087" s="5">
        <v>169.0</v>
      </c>
      <c r="G1087" s="5">
        <f t="shared" si="1"/>
        <v>563</v>
      </c>
      <c r="H1087" s="10">
        <f t="shared" si="2"/>
        <v>0.6998223801</v>
      </c>
      <c r="I1087" s="10">
        <v>0.362</v>
      </c>
      <c r="J1087" s="10">
        <v>0.6449</v>
      </c>
      <c r="K1087" s="5">
        <f t="shared" si="3"/>
        <v>1</v>
      </c>
    </row>
    <row r="1088" ht="15.0" customHeight="1">
      <c r="A1088" s="5">
        <v>2022.0</v>
      </c>
      <c r="B1088" s="5" t="s">
        <v>327</v>
      </c>
      <c r="C1088" s="5" t="s">
        <v>157</v>
      </c>
      <c r="D1088" s="5" t="s">
        <v>94</v>
      </c>
      <c r="E1088" s="5">
        <v>307.0</v>
      </c>
      <c r="F1088" s="5">
        <v>114.0</v>
      </c>
      <c r="G1088" s="5">
        <f t="shared" si="1"/>
        <v>421</v>
      </c>
      <c r="H1088" s="10">
        <f t="shared" si="2"/>
        <v>0.729216152</v>
      </c>
      <c r="I1088" s="10">
        <v>0.3537</v>
      </c>
      <c r="J1088" s="10">
        <v>0.4667</v>
      </c>
      <c r="K1088" s="5">
        <f t="shared" si="3"/>
        <v>0</v>
      </c>
    </row>
    <row r="1089" ht="15.0" customHeight="1">
      <c r="A1089" s="5">
        <v>2024.0</v>
      </c>
      <c r="B1089" s="5" t="s">
        <v>327</v>
      </c>
      <c r="C1089" s="5" t="s">
        <v>157</v>
      </c>
      <c r="D1089" s="5" t="s">
        <v>94</v>
      </c>
      <c r="E1089" s="5">
        <v>393.0</v>
      </c>
      <c r="F1089" s="5">
        <v>171.0</v>
      </c>
      <c r="G1089" s="5">
        <f t="shared" si="1"/>
        <v>564</v>
      </c>
      <c r="H1089" s="10">
        <f t="shared" si="2"/>
        <v>0.6968085106</v>
      </c>
      <c r="I1089" s="10">
        <v>0.3374</v>
      </c>
      <c r="J1089" s="10">
        <v>0.6302</v>
      </c>
      <c r="K1089" s="5">
        <f t="shared" si="3"/>
        <v>1</v>
      </c>
    </row>
    <row r="1090" ht="15.0" customHeight="1">
      <c r="A1090" s="5">
        <v>2018.0</v>
      </c>
      <c r="B1090" s="5" t="s">
        <v>327</v>
      </c>
      <c r="C1090" s="5" t="s">
        <v>157</v>
      </c>
      <c r="D1090" s="5" t="s">
        <v>95</v>
      </c>
      <c r="E1090" s="5">
        <v>464.0</v>
      </c>
      <c r="F1090" s="5">
        <v>207.0</v>
      </c>
      <c r="G1090" s="5">
        <f t="shared" si="1"/>
        <v>671</v>
      </c>
      <c r="H1090" s="10">
        <f t="shared" si="2"/>
        <v>0.6915052161</v>
      </c>
      <c r="I1090" s="10">
        <v>0.3269</v>
      </c>
      <c r="J1090" s="10">
        <v>0.5047</v>
      </c>
      <c r="K1090" s="5">
        <f t="shared" si="3"/>
        <v>0</v>
      </c>
    </row>
    <row r="1091" ht="15.0" customHeight="1">
      <c r="A1091" s="5">
        <v>2020.0</v>
      </c>
      <c r="B1091" s="5" t="s">
        <v>327</v>
      </c>
      <c r="C1091" s="5" t="s">
        <v>157</v>
      </c>
      <c r="D1091" s="5" t="s">
        <v>95</v>
      </c>
      <c r="E1091" s="5">
        <v>687.0</v>
      </c>
      <c r="F1091" s="5">
        <v>362.0</v>
      </c>
      <c r="G1091" s="5">
        <f t="shared" si="1"/>
        <v>1049</v>
      </c>
      <c r="H1091" s="10">
        <f t="shared" si="2"/>
        <v>0.6549094376</v>
      </c>
      <c r="I1091" s="10">
        <v>0.3185</v>
      </c>
      <c r="J1091" s="10">
        <v>0.6861</v>
      </c>
      <c r="K1091" s="5">
        <f t="shared" si="3"/>
        <v>1</v>
      </c>
    </row>
    <row r="1092" ht="15.0" customHeight="1">
      <c r="A1092" s="5">
        <v>2022.0</v>
      </c>
      <c r="B1092" s="5" t="s">
        <v>327</v>
      </c>
      <c r="C1092" s="5" t="s">
        <v>157</v>
      </c>
      <c r="D1092" s="5" t="s">
        <v>95</v>
      </c>
      <c r="E1092" s="5">
        <v>563.0</v>
      </c>
      <c r="F1092" s="5">
        <v>231.0</v>
      </c>
      <c r="G1092" s="5">
        <f t="shared" si="1"/>
        <v>794</v>
      </c>
      <c r="H1092" s="10">
        <f t="shared" si="2"/>
        <v>0.7090680101</v>
      </c>
      <c r="I1092" s="10">
        <v>0.3223</v>
      </c>
      <c r="J1092" s="10">
        <v>0.5343</v>
      </c>
      <c r="K1092" s="5">
        <f t="shared" si="3"/>
        <v>0</v>
      </c>
    </row>
    <row r="1093" ht="15.0" customHeight="1">
      <c r="A1093" s="5">
        <v>2024.0</v>
      </c>
      <c r="B1093" s="5" t="s">
        <v>327</v>
      </c>
      <c r="C1093" s="5" t="s">
        <v>157</v>
      </c>
      <c r="D1093" s="5" t="s">
        <v>95</v>
      </c>
      <c r="E1093" s="5">
        <v>711.0</v>
      </c>
      <c r="F1093" s="5">
        <v>341.0</v>
      </c>
      <c r="G1093" s="5">
        <f t="shared" si="1"/>
        <v>1052</v>
      </c>
      <c r="H1093" s="10">
        <f t="shared" si="2"/>
        <v>0.6758555133</v>
      </c>
      <c r="I1093" s="10">
        <v>0.3159</v>
      </c>
      <c r="J1093" s="10">
        <v>0.7056</v>
      </c>
      <c r="K1093" s="5">
        <f t="shared" si="3"/>
        <v>1</v>
      </c>
    </row>
    <row r="1094" ht="15.0" customHeight="1">
      <c r="A1094" s="5">
        <v>2018.0</v>
      </c>
      <c r="B1094" s="5" t="s">
        <v>327</v>
      </c>
      <c r="C1094" s="5" t="s">
        <v>157</v>
      </c>
      <c r="D1094" s="5" t="s">
        <v>96</v>
      </c>
      <c r="E1094" s="5">
        <v>541.0</v>
      </c>
      <c r="F1094" s="5">
        <v>330.0</v>
      </c>
      <c r="G1094" s="5">
        <f t="shared" si="1"/>
        <v>871</v>
      </c>
      <c r="H1094" s="10">
        <f t="shared" si="2"/>
        <v>0.6211251435</v>
      </c>
      <c r="I1094" s="10">
        <v>0.2185</v>
      </c>
      <c r="J1094" s="10">
        <v>0.6534</v>
      </c>
      <c r="K1094" s="5">
        <f t="shared" si="3"/>
        <v>0</v>
      </c>
    </row>
    <row r="1095" ht="15.0" customHeight="1">
      <c r="A1095" s="5">
        <v>2020.0</v>
      </c>
      <c r="B1095" s="5" t="s">
        <v>327</v>
      </c>
      <c r="C1095" s="5" t="s">
        <v>157</v>
      </c>
      <c r="D1095" s="5" t="s">
        <v>96</v>
      </c>
      <c r="E1095" s="5">
        <v>684.0</v>
      </c>
      <c r="F1095" s="5">
        <v>450.0</v>
      </c>
      <c r="G1095" s="5">
        <f t="shared" si="1"/>
        <v>1134</v>
      </c>
      <c r="H1095" s="10">
        <f t="shared" si="2"/>
        <v>0.6031746032</v>
      </c>
      <c r="I1095" s="10">
        <v>0.2082</v>
      </c>
      <c r="J1095" s="10">
        <v>0.7741</v>
      </c>
      <c r="K1095" s="5">
        <f t="shared" si="3"/>
        <v>1</v>
      </c>
    </row>
    <row r="1096" ht="15.0" customHeight="1">
      <c r="A1096" s="5">
        <v>2022.0</v>
      </c>
      <c r="B1096" s="5" t="s">
        <v>327</v>
      </c>
      <c r="C1096" s="5" t="s">
        <v>157</v>
      </c>
      <c r="D1096" s="5" t="s">
        <v>96</v>
      </c>
      <c r="E1096" s="5">
        <v>605.0</v>
      </c>
      <c r="F1096" s="5">
        <v>353.0</v>
      </c>
      <c r="G1096" s="5">
        <f t="shared" si="1"/>
        <v>958</v>
      </c>
      <c r="H1096" s="10">
        <f t="shared" si="2"/>
        <v>0.6315240084</v>
      </c>
      <c r="I1096" s="10">
        <v>0.2061</v>
      </c>
      <c r="J1096" s="10">
        <v>0.6648</v>
      </c>
      <c r="K1096" s="5">
        <f t="shared" si="3"/>
        <v>0</v>
      </c>
    </row>
    <row r="1097" ht="15.0" customHeight="1">
      <c r="A1097" s="5">
        <v>2024.0</v>
      </c>
      <c r="B1097" s="5" t="s">
        <v>327</v>
      </c>
      <c r="C1097" s="5" t="s">
        <v>157</v>
      </c>
      <c r="D1097" s="5" t="s">
        <v>96</v>
      </c>
      <c r="E1097" s="5">
        <v>775.0</v>
      </c>
      <c r="F1097" s="5">
        <v>447.0</v>
      </c>
      <c r="G1097" s="5">
        <f t="shared" si="1"/>
        <v>1222</v>
      </c>
      <c r="H1097" s="10">
        <f t="shared" si="2"/>
        <v>0.6342062193</v>
      </c>
      <c r="I1097" s="10">
        <v>0.2191</v>
      </c>
      <c r="J1097" s="10">
        <v>0.8039</v>
      </c>
      <c r="K1097" s="5">
        <f t="shared" si="3"/>
        <v>1</v>
      </c>
    </row>
    <row r="1098" ht="15.0" customHeight="1">
      <c r="A1098" s="5">
        <v>2018.0</v>
      </c>
      <c r="B1098" s="5" t="s">
        <v>327</v>
      </c>
      <c r="C1098" s="5" t="s">
        <v>157</v>
      </c>
      <c r="D1098" s="5" t="s">
        <v>98</v>
      </c>
      <c r="E1098" s="5">
        <v>705.0</v>
      </c>
      <c r="F1098" s="5">
        <v>516.0</v>
      </c>
      <c r="G1098" s="5">
        <f t="shared" si="1"/>
        <v>1221</v>
      </c>
      <c r="H1098" s="10">
        <f t="shared" si="2"/>
        <v>0.5773955774</v>
      </c>
      <c r="I1098" s="10">
        <v>0.106</v>
      </c>
      <c r="J1098" s="10">
        <v>0.6741</v>
      </c>
      <c r="K1098" s="5">
        <f t="shared" si="3"/>
        <v>0</v>
      </c>
    </row>
    <row r="1099" ht="15.0" customHeight="1">
      <c r="A1099" s="5">
        <v>2020.0</v>
      </c>
      <c r="B1099" s="5" t="s">
        <v>327</v>
      </c>
      <c r="C1099" s="5" t="s">
        <v>157</v>
      </c>
      <c r="D1099" s="5" t="s">
        <v>98</v>
      </c>
      <c r="E1099" s="5">
        <v>954.0</v>
      </c>
      <c r="F1099" s="5">
        <v>665.0</v>
      </c>
      <c r="G1099" s="5">
        <f t="shared" si="1"/>
        <v>1619</v>
      </c>
      <c r="H1099" s="10">
        <f t="shared" si="2"/>
        <v>0.5892526251</v>
      </c>
      <c r="I1099" s="10">
        <v>0.1413</v>
      </c>
      <c r="J1099" s="10">
        <v>0.8169</v>
      </c>
      <c r="K1099" s="5">
        <f t="shared" si="3"/>
        <v>1</v>
      </c>
    </row>
    <row r="1100" ht="15.0" customHeight="1">
      <c r="A1100" s="5">
        <v>2022.0</v>
      </c>
      <c r="B1100" s="5" t="s">
        <v>327</v>
      </c>
      <c r="C1100" s="5" t="s">
        <v>157</v>
      </c>
      <c r="D1100" s="5" t="s">
        <v>98</v>
      </c>
      <c r="E1100" s="5">
        <v>841.0</v>
      </c>
      <c r="F1100" s="5">
        <v>547.0</v>
      </c>
      <c r="G1100" s="5">
        <f t="shared" si="1"/>
        <v>1388</v>
      </c>
      <c r="H1100" s="10">
        <f t="shared" si="2"/>
        <v>0.605907781</v>
      </c>
      <c r="I1100" s="10">
        <v>0.1372</v>
      </c>
      <c r="J1100" s="10">
        <v>0.7158</v>
      </c>
      <c r="K1100" s="5">
        <f t="shared" si="3"/>
        <v>0</v>
      </c>
    </row>
    <row r="1101" ht="15.0" customHeight="1">
      <c r="A1101" s="5">
        <v>2024.0</v>
      </c>
      <c r="B1101" s="5" t="s">
        <v>327</v>
      </c>
      <c r="C1101" s="5" t="s">
        <v>157</v>
      </c>
      <c r="D1101" s="5" t="s">
        <v>98</v>
      </c>
      <c r="E1101" s="5">
        <v>982.0</v>
      </c>
      <c r="F1101" s="5">
        <v>684.0</v>
      </c>
      <c r="G1101" s="5">
        <f t="shared" si="1"/>
        <v>1666</v>
      </c>
      <c r="H1101" s="10">
        <f t="shared" si="2"/>
        <v>0.5894357743</v>
      </c>
      <c r="I1101" s="10">
        <v>0.1326</v>
      </c>
      <c r="J1101" s="10">
        <v>0.8305</v>
      </c>
      <c r="K1101" s="5">
        <f t="shared" si="3"/>
        <v>1</v>
      </c>
    </row>
    <row r="1102" ht="15.0" customHeight="1">
      <c r="A1102" s="5">
        <v>2018.0</v>
      </c>
      <c r="B1102" s="5" t="s">
        <v>327</v>
      </c>
      <c r="C1102" s="5" t="s">
        <v>157</v>
      </c>
      <c r="D1102" s="5" t="s">
        <v>100</v>
      </c>
      <c r="E1102" s="5">
        <v>586.0</v>
      </c>
      <c r="F1102" s="5">
        <v>305.0</v>
      </c>
      <c r="G1102" s="5">
        <f t="shared" si="1"/>
        <v>891</v>
      </c>
      <c r="H1102" s="10">
        <f t="shared" si="2"/>
        <v>0.657687991</v>
      </c>
      <c r="I1102" s="10">
        <v>0.227</v>
      </c>
      <c r="J1102" s="10">
        <v>0.6388</v>
      </c>
      <c r="K1102" s="5">
        <f t="shared" si="3"/>
        <v>0</v>
      </c>
    </row>
    <row r="1103" ht="15.0" customHeight="1">
      <c r="A1103" s="5">
        <v>2020.0</v>
      </c>
      <c r="B1103" s="5" t="s">
        <v>327</v>
      </c>
      <c r="C1103" s="5" t="s">
        <v>157</v>
      </c>
      <c r="D1103" s="5" t="s">
        <v>100</v>
      </c>
      <c r="E1103" s="5">
        <v>739.0</v>
      </c>
      <c r="F1103" s="5">
        <v>437.0</v>
      </c>
      <c r="G1103" s="5">
        <f t="shared" si="1"/>
        <v>1176</v>
      </c>
      <c r="H1103" s="10">
        <f t="shared" si="2"/>
        <v>0.6284013605</v>
      </c>
      <c r="I1103" s="10">
        <v>0.2637</v>
      </c>
      <c r="J1103" s="10">
        <v>0.7773</v>
      </c>
      <c r="K1103" s="5">
        <f t="shared" si="3"/>
        <v>1</v>
      </c>
    </row>
    <row r="1104" ht="15.0" customHeight="1">
      <c r="A1104" s="5">
        <v>2022.0</v>
      </c>
      <c r="B1104" s="5" t="s">
        <v>327</v>
      </c>
      <c r="C1104" s="5" t="s">
        <v>157</v>
      </c>
      <c r="D1104" s="5" t="s">
        <v>100</v>
      </c>
      <c r="E1104" s="5">
        <v>630.0</v>
      </c>
      <c r="F1104" s="5">
        <v>301.0</v>
      </c>
      <c r="G1104" s="5">
        <f t="shared" si="1"/>
        <v>931</v>
      </c>
      <c r="H1104" s="10">
        <f t="shared" si="2"/>
        <v>0.6766917293</v>
      </c>
      <c r="I1104" s="10">
        <v>0.2734</v>
      </c>
      <c r="J1104" s="10">
        <v>0.6412</v>
      </c>
      <c r="K1104" s="5">
        <f t="shared" si="3"/>
        <v>0</v>
      </c>
    </row>
    <row r="1105" ht="15.0" customHeight="1">
      <c r="A1105" s="5">
        <v>2024.0</v>
      </c>
      <c r="B1105" s="5" t="s">
        <v>327</v>
      </c>
      <c r="C1105" s="5" t="s">
        <v>157</v>
      </c>
      <c r="D1105" s="5" t="s">
        <v>100</v>
      </c>
      <c r="E1105" s="5">
        <v>750.0</v>
      </c>
      <c r="F1105" s="5">
        <v>421.0</v>
      </c>
      <c r="G1105" s="5">
        <f t="shared" si="1"/>
        <v>1171</v>
      </c>
      <c r="H1105" s="10">
        <f t="shared" si="2"/>
        <v>0.6404782237</v>
      </c>
      <c r="I1105" s="10">
        <v>0.2564</v>
      </c>
      <c r="J1105" s="10">
        <v>0.7838</v>
      </c>
      <c r="K1105" s="5">
        <f t="shared" si="3"/>
        <v>1</v>
      </c>
    </row>
    <row r="1106" ht="15.0" customHeight="1">
      <c r="A1106" s="5">
        <v>2018.0</v>
      </c>
      <c r="B1106" s="5" t="s">
        <v>327</v>
      </c>
      <c r="C1106" s="5" t="s">
        <v>157</v>
      </c>
      <c r="D1106" s="5" t="s">
        <v>102</v>
      </c>
      <c r="E1106" s="5">
        <v>437.0</v>
      </c>
      <c r="F1106" s="5">
        <v>203.0</v>
      </c>
      <c r="G1106" s="5">
        <f t="shared" si="1"/>
        <v>640</v>
      </c>
      <c r="H1106" s="10">
        <f t="shared" si="2"/>
        <v>0.6828125</v>
      </c>
      <c r="I1106" s="10">
        <v>0.3284</v>
      </c>
      <c r="J1106" s="10">
        <v>0.5482</v>
      </c>
      <c r="K1106" s="5">
        <f t="shared" si="3"/>
        <v>0</v>
      </c>
    </row>
    <row r="1107" ht="15.0" customHeight="1">
      <c r="A1107" s="5">
        <v>2020.0</v>
      </c>
      <c r="B1107" s="5" t="s">
        <v>327</v>
      </c>
      <c r="C1107" s="5" t="s">
        <v>157</v>
      </c>
      <c r="D1107" s="5" t="s">
        <v>102</v>
      </c>
      <c r="E1107" s="5">
        <v>612.0</v>
      </c>
      <c r="F1107" s="5">
        <v>338.0</v>
      </c>
      <c r="G1107" s="5">
        <f t="shared" si="1"/>
        <v>950</v>
      </c>
      <c r="H1107" s="10">
        <f t="shared" si="2"/>
        <v>0.6442105263</v>
      </c>
      <c r="I1107" s="10">
        <v>0.3658</v>
      </c>
      <c r="J1107" s="10">
        <v>0.7285</v>
      </c>
      <c r="K1107" s="5">
        <f t="shared" si="3"/>
        <v>1</v>
      </c>
    </row>
    <row r="1108" ht="15.0" customHeight="1">
      <c r="A1108" s="5">
        <v>2022.0</v>
      </c>
      <c r="B1108" s="5" t="s">
        <v>327</v>
      </c>
      <c r="C1108" s="5" t="s">
        <v>157</v>
      </c>
      <c r="D1108" s="5" t="s">
        <v>102</v>
      </c>
      <c r="E1108" s="5">
        <v>463.0</v>
      </c>
      <c r="F1108" s="5">
        <v>238.0</v>
      </c>
      <c r="G1108" s="5">
        <f t="shared" si="1"/>
        <v>701</v>
      </c>
      <c r="H1108" s="10">
        <f t="shared" si="2"/>
        <v>0.6604850214</v>
      </c>
      <c r="I1108" s="10">
        <v>0.3317</v>
      </c>
      <c r="J1108" s="10">
        <v>0.5617</v>
      </c>
      <c r="K1108" s="5">
        <f t="shared" si="3"/>
        <v>0</v>
      </c>
    </row>
    <row r="1109" ht="15.0" customHeight="1">
      <c r="A1109" s="5">
        <v>2024.0</v>
      </c>
      <c r="B1109" s="5" t="s">
        <v>327</v>
      </c>
      <c r="C1109" s="5" t="s">
        <v>157</v>
      </c>
      <c r="D1109" s="5" t="s">
        <v>102</v>
      </c>
      <c r="E1109" s="5">
        <v>592.0</v>
      </c>
      <c r="F1109" s="5">
        <v>337.0</v>
      </c>
      <c r="G1109" s="5">
        <f t="shared" si="1"/>
        <v>929</v>
      </c>
      <c r="H1109" s="10">
        <f t="shared" si="2"/>
        <v>0.6372443488</v>
      </c>
      <c r="I1109" s="10">
        <v>0.2781</v>
      </c>
      <c r="J1109" s="10">
        <v>0.7258</v>
      </c>
      <c r="K1109" s="5">
        <f t="shared" si="3"/>
        <v>1</v>
      </c>
    </row>
    <row r="1110" ht="15.0" customHeight="1">
      <c r="A1110" s="5">
        <v>2018.0</v>
      </c>
      <c r="B1110" s="5" t="s">
        <v>327</v>
      </c>
      <c r="C1110" s="5" t="s">
        <v>157</v>
      </c>
      <c r="D1110" s="5" t="s">
        <v>103</v>
      </c>
      <c r="E1110" s="5">
        <v>564.0</v>
      </c>
      <c r="F1110" s="5">
        <v>322.0</v>
      </c>
      <c r="G1110" s="5">
        <f t="shared" si="1"/>
        <v>886</v>
      </c>
      <c r="H1110" s="10">
        <f t="shared" si="2"/>
        <v>0.6365688488</v>
      </c>
      <c r="I1110" s="10">
        <v>0.2998</v>
      </c>
      <c r="J1110" s="10">
        <v>0.5894</v>
      </c>
      <c r="K1110" s="5">
        <f t="shared" si="3"/>
        <v>0</v>
      </c>
    </row>
    <row r="1111" ht="15.0" customHeight="1">
      <c r="A1111" s="5">
        <v>2020.0</v>
      </c>
      <c r="B1111" s="5" t="s">
        <v>327</v>
      </c>
      <c r="C1111" s="5" t="s">
        <v>157</v>
      </c>
      <c r="D1111" s="5" t="s">
        <v>103</v>
      </c>
      <c r="E1111" s="5">
        <v>768.0</v>
      </c>
      <c r="F1111" s="5">
        <v>541.0</v>
      </c>
      <c r="G1111" s="5">
        <f t="shared" si="1"/>
        <v>1309</v>
      </c>
      <c r="H1111" s="10">
        <f t="shared" si="2"/>
        <v>0.5867074102</v>
      </c>
      <c r="I1111" s="10">
        <v>0.262</v>
      </c>
      <c r="J1111" s="10">
        <v>0.7829</v>
      </c>
      <c r="K1111" s="5">
        <f t="shared" si="3"/>
        <v>1</v>
      </c>
    </row>
    <row r="1112" ht="15.0" customHeight="1">
      <c r="A1112" s="5">
        <v>2022.0</v>
      </c>
      <c r="B1112" s="5" t="s">
        <v>327</v>
      </c>
      <c r="C1112" s="5" t="s">
        <v>157</v>
      </c>
      <c r="D1112" s="5" t="s">
        <v>103</v>
      </c>
      <c r="E1112" s="5">
        <v>594.0</v>
      </c>
      <c r="F1112" s="5">
        <v>383.0</v>
      </c>
      <c r="G1112" s="5">
        <f t="shared" si="1"/>
        <v>977</v>
      </c>
      <c r="H1112" s="10">
        <f t="shared" si="2"/>
        <v>0.6079836233</v>
      </c>
      <c r="I1112" s="10">
        <v>0.2583</v>
      </c>
      <c r="J1112" s="10">
        <v>0.6009</v>
      </c>
      <c r="K1112" s="5">
        <f t="shared" si="3"/>
        <v>0</v>
      </c>
    </row>
    <row r="1113" ht="15.0" customHeight="1">
      <c r="A1113" s="5">
        <v>2024.0</v>
      </c>
      <c r="B1113" s="5" t="s">
        <v>327</v>
      </c>
      <c r="C1113" s="5" t="s">
        <v>157</v>
      </c>
      <c r="D1113" s="5" t="s">
        <v>103</v>
      </c>
      <c r="E1113" s="5">
        <v>740.0</v>
      </c>
      <c r="F1113" s="5">
        <v>506.0</v>
      </c>
      <c r="G1113" s="5">
        <f t="shared" si="1"/>
        <v>1246</v>
      </c>
      <c r="H1113" s="10">
        <f t="shared" si="2"/>
        <v>0.5939004815</v>
      </c>
      <c r="I1113" s="10">
        <v>0.2222</v>
      </c>
      <c r="J1113" s="10">
        <v>0.7607</v>
      </c>
      <c r="K1113" s="5">
        <f t="shared" si="3"/>
        <v>1</v>
      </c>
    </row>
    <row r="1114" ht="15.0" customHeight="1">
      <c r="A1114" s="5">
        <v>2018.0</v>
      </c>
      <c r="B1114" s="5" t="s">
        <v>327</v>
      </c>
      <c r="C1114" s="5" t="s">
        <v>157</v>
      </c>
      <c r="D1114" s="5" t="s">
        <v>104</v>
      </c>
      <c r="E1114" s="5">
        <v>675.0</v>
      </c>
      <c r="F1114" s="5">
        <v>378.0</v>
      </c>
      <c r="G1114" s="5">
        <f t="shared" si="1"/>
        <v>1053</v>
      </c>
      <c r="H1114" s="10">
        <f t="shared" si="2"/>
        <v>0.641025641</v>
      </c>
      <c r="I1114" s="10">
        <v>0.2587</v>
      </c>
      <c r="J1114" s="10">
        <v>0.5092</v>
      </c>
      <c r="K1114" s="5">
        <f t="shared" si="3"/>
        <v>0</v>
      </c>
    </row>
    <row r="1115" ht="15.0" customHeight="1">
      <c r="A1115" s="5">
        <v>2020.0</v>
      </c>
      <c r="B1115" s="5" t="s">
        <v>327</v>
      </c>
      <c r="C1115" s="5" t="s">
        <v>157</v>
      </c>
      <c r="D1115" s="5" t="s">
        <v>104</v>
      </c>
      <c r="E1115" s="5">
        <v>1118.0</v>
      </c>
      <c r="F1115" s="5">
        <v>584.0</v>
      </c>
      <c r="G1115" s="5">
        <f t="shared" si="1"/>
        <v>1702</v>
      </c>
      <c r="H1115" s="10">
        <f t="shared" si="2"/>
        <v>0.6568742656</v>
      </c>
      <c r="I1115" s="10">
        <v>0.2643</v>
      </c>
      <c r="J1115" s="10">
        <v>0.7039</v>
      </c>
      <c r="K1115" s="5">
        <f t="shared" si="3"/>
        <v>1</v>
      </c>
    </row>
    <row r="1116" ht="15.0" customHeight="1">
      <c r="A1116" s="5">
        <v>2022.0</v>
      </c>
      <c r="B1116" s="5" t="s">
        <v>327</v>
      </c>
      <c r="C1116" s="5" t="s">
        <v>157</v>
      </c>
      <c r="D1116" s="5" t="s">
        <v>104</v>
      </c>
      <c r="E1116" s="5">
        <v>777.0</v>
      </c>
      <c r="F1116" s="5">
        <v>422.0</v>
      </c>
      <c r="G1116" s="5">
        <f t="shared" si="1"/>
        <v>1199</v>
      </c>
      <c r="H1116" s="10">
        <f t="shared" si="2"/>
        <v>0.6480400334</v>
      </c>
      <c r="I1116" s="10">
        <v>0.2565</v>
      </c>
      <c r="J1116" s="10">
        <v>0.5083</v>
      </c>
      <c r="K1116" s="5">
        <f t="shared" si="3"/>
        <v>0</v>
      </c>
    </row>
    <row r="1117" ht="15.0" customHeight="1">
      <c r="A1117" s="5">
        <v>2024.0</v>
      </c>
      <c r="B1117" s="5" t="s">
        <v>327</v>
      </c>
      <c r="C1117" s="5" t="s">
        <v>157</v>
      </c>
      <c r="D1117" s="5" t="s">
        <v>104</v>
      </c>
      <c r="E1117" s="5">
        <v>1037.0</v>
      </c>
      <c r="F1117" s="5">
        <v>623.0</v>
      </c>
      <c r="G1117" s="5">
        <f t="shared" si="1"/>
        <v>1660</v>
      </c>
      <c r="H1117" s="10">
        <f t="shared" si="2"/>
        <v>0.6246987952</v>
      </c>
      <c r="I1117" s="10">
        <v>0.2425</v>
      </c>
      <c r="J1117" s="10">
        <v>0.7049</v>
      </c>
      <c r="K1117" s="5">
        <f t="shared" si="3"/>
        <v>1</v>
      </c>
    </row>
    <row r="1118" ht="15.0" customHeight="1">
      <c r="A1118" s="5">
        <v>2018.0</v>
      </c>
      <c r="B1118" s="5" t="s">
        <v>327</v>
      </c>
      <c r="C1118" s="5" t="s">
        <v>157</v>
      </c>
      <c r="D1118" s="5" t="s">
        <v>333</v>
      </c>
      <c r="E1118" s="5">
        <v>530.0</v>
      </c>
      <c r="F1118" s="5">
        <v>384.0</v>
      </c>
      <c r="G1118" s="5">
        <f t="shared" si="1"/>
        <v>914</v>
      </c>
      <c r="H1118" s="10">
        <f t="shared" si="2"/>
        <v>0.579868709</v>
      </c>
      <c r="I1118" s="10">
        <v>0.1349</v>
      </c>
      <c r="J1118" s="10">
        <v>0.6924</v>
      </c>
      <c r="K1118" s="5">
        <f t="shared" si="3"/>
        <v>0</v>
      </c>
    </row>
    <row r="1119" ht="15.0" customHeight="1">
      <c r="A1119" s="5">
        <v>2020.0</v>
      </c>
      <c r="B1119" s="5" t="s">
        <v>327</v>
      </c>
      <c r="C1119" s="5" t="s">
        <v>157</v>
      </c>
      <c r="D1119" s="5" t="s">
        <v>333</v>
      </c>
      <c r="E1119" s="5">
        <v>673.0</v>
      </c>
      <c r="F1119" s="5">
        <v>519.0</v>
      </c>
      <c r="G1119" s="5">
        <f t="shared" si="1"/>
        <v>1192</v>
      </c>
      <c r="H1119" s="10">
        <f t="shared" si="2"/>
        <v>0.5645973154</v>
      </c>
      <c r="I1119" s="10">
        <v>0.154</v>
      </c>
      <c r="J1119" s="10">
        <v>0.8341</v>
      </c>
      <c r="K1119" s="5">
        <f t="shared" si="3"/>
        <v>1</v>
      </c>
    </row>
    <row r="1120" ht="15.0" customHeight="1">
      <c r="A1120" s="5">
        <v>2022.0</v>
      </c>
      <c r="B1120" s="5" t="s">
        <v>327</v>
      </c>
      <c r="C1120" s="5" t="s">
        <v>157</v>
      </c>
      <c r="D1120" s="5" t="s">
        <v>333</v>
      </c>
      <c r="E1120" s="5">
        <v>611.0</v>
      </c>
      <c r="F1120" s="5">
        <v>412.0</v>
      </c>
      <c r="G1120" s="5">
        <f t="shared" si="1"/>
        <v>1023</v>
      </c>
      <c r="H1120" s="10">
        <f t="shared" si="2"/>
        <v>0.5972629521</v>
      </c>
      <c r="I1120" s="10">
        <v>0.1674</v>
      </c>
      <c r="J1120" s="10">
        <v>0.7381</v>
      </c>
      <c r="K1120" s="5">
        <f t="shared" si="3"/>
        <v>0</v>
      </c>
    </row>
    <row r="1121" ht="15.0" customHeight="1">
      <c r="A1121" s="5">
        <v>2024.0</v>
      </c>
      <c r="B1121" s="5" t="s">
        <v>327</v>
      </c>
      <c r="C1121" s="5" t="s">
        <v>157</v>
      </c>
      <c r="D1121" s="5" t="s">
        <v>333</v>
      </c>
      <c r="E1121" s="5">
        <v>681.0</v>
      </c>
      <c r="F1121" s="5">
        <v>513.0</v>
      </c>
      <c r="G1121" s="5">
        <f t="shared" si="1"/>
        <v>1194</v>
      </c>
      <c r="H1121" s="10">
        <f t="shared" si="2"/>
        <v>0.5703517588</v>
      </c>
      <c r="I1121" s="10">
        <v>0.1347</v>
      </c>
      <c r="J1121" s="10">
        <v>0.8553</v>
      </c>
      <c r="K1121" s="5">
        <f t="shared" si="3"/>
        <v>1</v>
      </c>
    </row>
    <row r="1122" ht="15.0" customHeight="1">
      <c r="A1122" s="5">
        <v>2018.0</v>
      </c>
      <c r="B1122" s="5" t="s">
        <v>327</v>
      </c>
      <c r="C1122" s="5" t="s">
        <v>157</v>
      </c>
      <c r="D1122" s="5" t="s">
        <v>106</v>
      </c>
      <c r="E1122" s="5">
        <v>411.0</v>
      </c>
      <c r="F1122" s="5">
        <v>217.0</v>
      </c>
      <c r="G1122" s="5">
        <f t="shared" si="1"/>
        <v>628</v>
      </c>
      <c r="H1122" s="10">
        <f t="shared" si="2"/>
        <v>0.6544585987</v>
      </c>
      <c r="I1122" s="10">
        <v>0.2905</v>
      </c>
      <c r="J1122" s="10">
        <v>0.6853</v>
      </c>
      <c r="K1122" s="5">
        <f t="shared" si="3"/>
        <v>0</v>
      </c>
    </row>
    <row r="1123" ht="15.0" customHeight="1">
      <c r="A1123" s="5">
        <v>2020.0</v>
      </c>
      <c r="B1123" s="5" t="s">
        <v>327</v>
      </c>
      <c r="C1123" s="5" t="s">
        <v>157</v>
      </c>
      <c r="D1123" s="5" t="s">
        <v>106</v>
      </c>
      <c r="E1123" s="5">
        <v>542.0</v>
      </c>
      <c r="F1123" s="5">
        <v>327.0</v>
      </c>
      <c r="G1123" s="5">
        <f t="shared" si="1"/>
        <v>869</v>
      </c>
      <c r="H1123" s="10">
        <f t="shared" si="2"/>
        <v>0.6237054085</v>
      </c>
      <c r="I1123" s="10">
        <v>0.2746</v>
      </c>
      <c r="J1123" s="10">
        <v>0.8316</v>
      </c>
      <c r="K1123" s="5">
        <f t="shared" si="3"/>
        <v>1</v>
      </c>
    </row>
    <row r="1124" ht="15.0" customHeight="1">
      <c r="A1124" s="5">
        <v>2022.0</v>
      </c>
      <c r="B1124" s="5" t="s">
        <v>327</v>
      </c>
      <c r="C1124" s="5" t="s">
        <v>157</v>
      </c>
      <c r="D1124" s="5" t="s">
        <v>106</v>
      </c>
      <c r="E1124" s="5">
        <v>458.0</v>
      </c>
      <c r="F1124" s="5">
        <v>241.0</v>
      </c>
      <c r="G1124" s="5">
        <f t="shared" si="1"/>
        <v>699</v>
      </c>
      <c r="H1124" s="10">
        <f t="shared" si="2"/>
        <v>0.6552217454</v>
      </c>
      <c r="I1124" s="10">
        <v>0.2657</v>
      </c>
      <c r="J1124" s="10">
        <v>0.6853</v>
      </c>
      <c r="K1124" s="5">
        <f t="shared" si="3"/>
        <v>0</v>
      </c>
    </row>
    <row r="1125" ht="15.0" customHeight="1">
      <c r="A1125" s="5">
        <v>2024.0</v>
      </c>
      <c r="B1125" s="5" t="s">
        <v>327</v>
      </c>
      <c r="C1125" s="5" t="s">
        <v>157</v>
      </c>
      <c r="D1125" s="5" t="s">
        <v>106</v>
      </c>
      <c r="E1125" s="5">
        <v>529.0</v>
      </c>
      <c r="F1125" s="5">
        <v>293.0</v>
      </c>
      <c r="G1125" s="5">
        <f t="shared" si="1"/>
        <v>822</v>
      </c>
      <c r="H1125" s="10">
        <f t="shared" si="2"/>
        <v>0.6435523114</v>
      </c>
      <c r="I1125" s="10">
        <v>0.2404</v>
      </c>
      <c r="J1125" s="10">
        <v>0.8099</v>
      </c>
      <c r="K1125" s="5">
        <f t="shared" si="3"/>
        <v>1</v>
      </c>
    </row>
    <row r="1126" ht="15.0" customHeight="1">
      <c r="A1126" s="5">
        <v>2018.0</v>
      </c>
      <c r="B1126" s="5" t="s">
        <v>327</v>
      </c>
      <c r="C1126" s="5" t="s">
        <v>157</v>
      </c>
      <c r="D1126" s="5" t="s">
        <v>109</v>
      </c>
      <c r="E1126" s="5">
        <v>508.0</v>
      </c>
      <c r="F1126" s="5">
        <v>228.0</v>
      </c>
      <c r="G1126" s="5">
        <f t="shared" si="1"/>
        <v>736</v>
      </c>
      <c r="H1126" s="10">
        <f t="shared" si="2"/>
        <v>0.6902173913</v>
      </c>
      <c r="I1126" s="10">
        <v>0.3141</v>
      </c>
      <c r="J1126" s="10">
        <v>0.5532</v>
      </c>
      <c r="K1126" s="5">
        <f t="shared" si="3"/>
        <v>0</v>
      </c>
    </row>
    <row r="1127" ht="15.0" customHeight="1">
      <c r="A1127" s="5">
        <v>2020.0</v>
      </c>
      <c r="B1127" s="5" t="s">
        <v>327</v>
      </c>
      <c r="C1127" s="5" t="s">
        <v>157</v>
      </c>
      <c r="D1127" s="5" t="s">
        <v>109</v>
      </c>
      <c r="E1127" s="5">
        <v>630.0</v>
      </c>
      <c r="F1127" s="5">
        <v>381.0</v>
      </c>
      <c r="G1127" s="5">
        <f t="shared" si="1"/>
        <v>1011</v>
      </c>
      <c r="H1127" s="10">
        <f t="shared" si="2"/>
        <v>0.6231454006</v>
      </c>
      <c r="I1127" s="10">
        <v>0.2983</v>
      </c>
      <c r="J1127" s="10">
        <v>0.7045</v>
      </c>
      <c r="K1127" s="5">
        <f t="shared" si="3"/>
        <v>1</v>
      </c>
    </row>
    <row r="1128" ht="15.0" customHeight="1">
      <c r="A1128" s="5">
        <v>2022.0</v>
      </c>
      <c r="B1128" s="5" t="s">
        <v>327</v>
      </c>
      <c r="C1128" s="5" t="s">
        <v>157</v>
      </c>
      <c r="D1128" s="5" t="s">
        <v>109</v>
      </c>
      <c r="E1128" s="5">
        <v>545.0</v>
      </c>
      <c r="F1128" s="5">
        <v>242.0</v>
      </c>
      <c r="G1128" s="5">
        <f t="shared" si="1"/>
        <v>787</v>
      </c>
      <c r="H1128" s="10">
        <f t="shared" si="2"/>
        <v>0.6925031766</v>
      </c>
      <c r="I1128" s="10">
        <v>0.317</v>
      </c>
      <c r="J1128" s="10">
        <v>0.5519</v>
      </c>
      <c r="K1128" s="5">
        <f t="shared" si="3"/>
        <v>0</v>
      </c>
    </row>
    <row r="1129" ht="15.0" customHeight="1">
      <c r="A1129" s="5">
        <v>2024.0</v>
      </c>
      <c r="B1129" s="5" t="s">
        <v>327</v>
      </c>
      <c r="C1129" s="5" t="s">
        <v>157</v>
      </c>
      <c r="D1129" s="5" t="s">
        <v>109</v>
      </c>
      <c r="E1129" s="5">
        <v>767.0</v>
      </c>
      <c r="F1129" s="5">
        <v>384.0</v>
      </c>
      <c r="G1129" s="5">
        <f t="shared" si="1"/>
        <v>1151</v>
      </c>
      <c r="H1129" s="10">
        <f t="shared" si="2"/>
        <v>0.6663770634</v>
      </c>
      <c r="I1129" s="10">
        <v>0.3003</v>
      </c>
      <c r="J1129" s="10">
        <v>0.7276</v>
      </c>
      <c r="K1129" s="5">
        <f t="shared" si="3"/>
        <v>1</v>
      </c>
    </row>
    <row r="1130" ht="15.0" customHeight="1">
      <c r="A1130" s="5">
        <v>2018.0</v>
      </c>
      <c r="B1130" s="5" t="s">
        <v>327</v>
      </c>
      <c r="C1130" s="5" t="s">
        <v>157</v>
      </c>
      <c r="D1130" s="5" t="s">
        <v>110</v>
      </c>
      <c r="E1130" s="5">
        <v>676.0</v>
      </c>
      <c r="F1130" s="5">
        <v>328.0</v>
      </c>
      <c r="G1130" s="5">
        <f t="shared" si="1"/>
        <v>1004</v>
      </c>
      <c r="H1130" s="10">
        <f t="shared" si="2"/>
        <v>0.6733067729</v>
      </c>
      <c r="I1130" s="10">
        <v>0.3369</v>
      </c>
      <c r="J1130" s="10">
        <v>0.5847</v>
      </c>
      <c r="K1130" s="5">
        <f t="shared" si="3"/>
        <v>0</v>
      </c>
    </row>
    <row r="1131" ht="15.0" customHeight="1">
      <c r="A1131" s="5">
        <v>2020.0</v>
      </c>
      <c r="B1131" s="5" t="s">
        <v>327</v>
      </c>
      <c r="C1131" s="5" t="s">
        <v>157</v>
      </c>
      <c r="D1131" s="5" t="s">
        <v>110</v>
      </c>
      <c r="E1131" s="5">
        <v>911.0</v>
      </c>
      <c r="F1131" s="5">
        <v>550.0</v>
      </c>
      <c r="G1131" s="5">
        <f t="shared" si="1"/>
        <v>1461</v>
      </c>
      <c r="H1131" s="10">
        <f t="shared" si="2"/>
        <v>0.6235455168</v>
      </c>
      <c r="I1131" s="10">
        <v>0.306</v>
      </c>
      <c r="J1131" s="10">
        <v>0.759</v>
      </c>
      <c r="K1131" s="5">
        <f t="shared" si="3"/>
        <v>1</v>
      </c>
    </row>
    <row r="1132" ht="15.0" customHeight="1">
      <c r="A1132" s="5">
        <v>2022.0</v>
      </c>
      <c r="B1132" s="5" t="s">
        <v>327</v>
      </c>
      <c r="C1132" s="5" t="s">
        <v>157</v>
      </c>
      <c r="D1132" s="5" t="s">
        <v>110</v>
      </c>
      <c r="E1132" s="5">
        <v>710.0</v>
      </c>
      <c r="F1132" s="5">
        <v>403.0</v>
      </c>
      <c r="G1132" s="5">
        <f t="shared" si="1"/>
        <v>1113</v>
      </c>
      <c r="H1132" s="10">
        <f t="shared" si="2"/>
        <v>0.6379155436</v>
      </c>
      <c r="I1132" s="10">
        <v>0.2976</v>
      </c>
      <c r="J1132" s="10">
        <v>0.5821</v>
      </c>
      <c r="K1132" s="5">
        <f t="shared" si="3"/>
        <v>0</v>
      </c>
    </row>
    <row r="1133" ht="15.0" customHeight="1">
      <c r="A1133" s="5">
        <v>2024.0</v>
      </c>
      <c r="B1133" s="5" t="s">
        <v>327</v>
      </c>
      <c r="C1133" s="5" t="s">
        <v>157</v>
      </c>
      <c r="D1133" s="5" t="s">
        <v>110</v>
      </c>
      <c r="E1133" s="5">
        <v>906.0</v>
      </c>
      <c r="F1133" s="5">
        <v>586.0</v>
      </c>
      <c r="G1133" s="5">
        <f t="shared" si="1"/>
        <v>1492</v>
      </c>
      <c r="H1133" s="10">
        <f t="shared" si="2"/>
        <v>0.6072386059</v>
      </c>
      <c r="I1133" s="10">
        <v>0.2652</v>
      </c>
      <c r="J1133" s="10">
        <v>0.7624</v>
      </c>
      <c r="K1133" s="5">
        <f t="shared" si="3"/>
        <v>1</v>
      </c>
    </row>
    <row r="1134" ht="15.0" customHeight="1">
      <c r="A1134" s="5">
        <v>2018.0</v>
      </c>
      <c r="B1134" s="5" t="s">
        <v>327</v>
      </c>
      <c r="C1134" s="5" t="s">
        <v>157</v>
      </c>
      <c r="D1134" s="5" t="s">
        <v>111</v>
      </c>
      <c r="E1134" s="5">
        <v>739.0</v>
      </c>
      <c r="F1134" s="5">
        <v>151.0</v>
      </c>
      <c r="G1134" s="5">
        <f t="shared" si="1"/>
        <v>890</v>
      </c>
      <c r="H1134" s="10">
        <f t="shared" si="2"/>
        <v>0.8303370787</v>
      </c>
      <c r="I1134" s="10">
        <v>0.5698</v>
      </c>
      <c r="J1134" s="10">
        <v>0.3706</v>
      </c>
      <c r="K1134" s="5">
        <f t="shared" si="3"/>
        <v>0</v>
      </c>
    </row>
    <row r="1135" ht="15.0" customHeight="1">
      <c r="A1135" s="5">
        <v>2020.0</v>
      </c>
      <c r="B1135" s="5" t="s">
        <v>327</v>
      </c>
      <c r="C1135" s="5" t="s">
        <v>157</v>
      </c>
      <c r="D1135" s="5" t="s">
        <v>111</v>
      </c>
      <c r="E1135" s="5">
        <v>933.0</v>
      </c>
      <c r="F1135" s="5">
        <v>339.0</v>
      </c>
      <c r="G1135" s="5">
        <f t="shared" si="1"/>
        <v>1272</v>
      </c>
      <c r="H1135" s="10">
        <f t="shared" si="2"/>
        <v>0.733490566</v>
      </c>
      <c r="I1135" s="10">
        <v>0.5405</v>
      </c>
      <c r="J1135" s="10">
        <v>0.5004</v>
      </c>
      <c r="K1135" s="5">
        <f t="shared" si="3"/>
        <v>1</v>
      </c>
    </row>
    <row r="1136" ht="15.0" customHeight="1">
      <c r="A1136" s="5">
        <v>2022.0</v>
      </c>
      <c r="B1136" s="5" t="s">
        <v>327</v>
      </c>
      <c r="C1136" s="5" t="s">
        <v>157</v>
      </c>
      <c r="D1136" s="5" t="s">
        <v>111</v>
      </c>
      <c r="E1136" s="5">
        <v>510.0</v>
      </c>
      <c r="F1136" s="5">
        <v>227.0</v>
      </c>
      <c r="G1136" s="5">
        <f t="shared" si="1"/>
        <v>737</v>
      </c>
      <c r="H1136" s="10">
        <f t="shared" si="2"/>
        <v>0.6919945726</v>
      </c>
      <c r="I1136" s="10">
        <v>0.4992</v>
      </c>
      <c r="J1136" s="10">
        <v>0.3033</v>
      </c>
      <c r="K1136" s="5">
        <f t="shared" si="3"/>
        <v>0</v>
      </c>
    </row>
    <row r="1137" ht="15.0" customHeight="1">
      <c r="A1137" s="5">
        <v>2024.0</v>
      </c>
      <c r="B1137" s="5" t="s">
        <v>327</v>
      </c>
      <c r="C1137" s="5" t="s">
        <v>157</v>
      </c>
      <c r="D1137" s="5" t="s">
        <v>111</v>
      </c>
      <c r="E1137" s="5">
        <v>954.0</v>
      </c>
      <c r="F1137" s="5">
        <v>416.0</v>
      </c>
      <c r="G1137" s="5">
        <f t="shared" si="1"/>
        <v>1370</v>
      </c>
      <c r="H1137" s="10">
        <f t="shared" si="2"/>
        <v>0.696350365</v>
      </c>
      <c r="I1137" s="10">
        <v>0.4212</v>
      </c>
      <c r="J1137" s="10">
        <v>0.5428</v>
      </c>
      <c r="K1137" s="5">
        <f t="shared" si="3"/>
        <v>1</v>
      </c>
    </row>
    <row r="1138" ht="15.0" customHeight="1">
      <c r="A1138" s="5">
        <v>2018.0</v>
      </c>
      <c r="B1138" s="5" t="s">
        <v>327</v>
      </c>
      <c r="C1138" s="5" t="s">
        <v>157</v>
      </c>
      <c r="D1138" s="5" t="s">
        <v>113</v>
      </c>
      <c r="E1138" s="5">
        <v>539.0</v>
      </c>
      <c r="F1138" s="5">
        <v>240.0</v>
      </c>
      <c r="G1138" s="5">
        <f t="shared" si="1"/>
        <v>779</v>
      </c>
      <c r="H1138" s="10">
        <f t="shared" si="2"/>
        <v>0.6919127086</v>
      </c>
      <c r="I1138" s="10">
        <v>0.2814</v>
      </c>
      <c r="J1138" s="10">
        <v>0.4439</v>
      </c>
      <c r="K1138" s="5">
        <f t="shared" si="3"/>
        <v>0</v>
      </c>
    </row>
    <row r="1139" ht="15.0" customHeight="1">
      <c r="A1139" s="5">
        <v>2020.0</v>
      </c>
      <c r="B1139" s="5" t="s">
        <v>327</v>
      </c>
      <c r="C1139" s="5" t="s">
        <v>157</v>
      </c>
      <c r="D1139" s="5" t="s">
        <v>113</v>
      </c>
      <c r="E1139" s="5">
        <v>744.0</v>
      </c>
      <c r="F1139" s="5">
        <v>459.0</v>
      </c>
      <c r="G1139" s="5">
        <f t="shared" si="1"/>
        <v>1203</v>
      </c>
      <c r="H1139" s="10">
        <f t="shared" si="2"/>
        <v>0.6184538653</v>
      </c>
      <c r="I1139" s="10">
        <v>0.2503</v>
      </c>
      <c r="J1139" s="10">
        <v>0.6033</v>
      </c>
      <c r="K1139" s="5">
        <f t="shared" si="3"/>
        <v>1</v>
      </c>
    </row>
    <row r="1140" ht="15.0" customHeight="1">
      <c r="A1140" s="5">
        <v>2022.0</v>
      </c>
      <c r="B1140" s="5" t="s">
        <v>327</v>
      </c>
      <c r="C1140" s="5" t="s">
        <v>157</v>
      </c>
      <c r="D1140" s="5" t="s">
        <v>113</v>
      </c>
      <c r="E1140" s="5">
        <v>540.0</v>
      </c>
      <c r="F1140" s="5">
        <v>307.0</v>
      </c>
      <c r="G1140" s="5">
        <f t="shared" si="1"/>
        <v>847</v>
      </c>
      <c r="H1140" s="10">
        <f t="shared" si="2"/>
        <v>0.6375442739</v>
      </c>
      <c r="I1140" s="10">
        <v>0.2413</v>
      </c>
      <c r="J1140" s="10">
        <v>0.4491</v>
      </c>
      <c r="K1140" s="5">
        <f t="shared" si="3"/>
        <v>0</v>
      </c>
    </row>
    <row r="1141" ht="15.0" customHeight="1">
      <c r="A1141" s="5">
        <v>2024.0</v>
      </c>
      <c r="B1141" s="5" t="s">
        <v>327</v>
      </c>
      <c r="C1141" s="5" t="s">
        <v>157</v>
      </c>
      <c r="D1141" s="5" t="s">
        <v>113</v>
      </c>
      <c r="E1141" s="5">
        <v>821.0</v>
      </c>
      <c r="F1141" s="5">
        <v>474.0</v>
      </c>
      <c r="G1141" s="5">
        <f t="shared" si="1"/>
        <v>1295</v>
      </c>
      <c r="H1141" s="10">
        <f t="shared" si="2"/>
        <v>0.633976834</v>
      </c>
      <c r="I1141" s="10">
        <v>0.2415</v>
      </c>
      <c r="J1141" s="10">
        <v>0.6557</v>
      </c>
      <c r="K1141" s="5">
        <f t="shared" si="3"/>
        <v>1</v>
      </c>
    </row>
    <row r="1142" ht="15.0" customHeight="1">
      <c r="A1142" s="5">
        <v>2018.0</v>
      </c>
      <c r="B1142" s="5" t="s">
        <v>327</v>
      </c>
      <c r="C1142" s="5" t="s">
        <v>157</v>
      </c>
      <c r="D1142" s="5" t="s">
        <v>114</v>
      </c>
      <c r="E1142" s="5">
        <v>221.0</v>
      </c>
      <c r="F1142" s="5">
        <v>24.0</v>
      </c>
      <c r="G1142" s="5">
        <f t="shared" si="1"/>
        <v>245</v>
      </c>
      <c r="H1142" s="10">
        <f t="shared" si="2"/>
        <v>0.9020408163</v>
      </c>
      <c r="I1142" s="10">
        <v>0.5718</v>
      </c>
      <c r="J1142" s="10">
        <v>0.3218</v>
      </c>
      <c r="K1142" s="5">
        <f t="shared" si="3"/>
        <v>0</v>
      </c>
    </row>
    <row r="1143" ht="15.0" customHeight="1">
      <c r="A1143" s="5">
        <v>2020.0</v>
      </c>
      <c r="B1143" s="5" t="s">
        <v>327</v>
      </c>
      <c r="C1143" s="5" t="s">
        <v>157</v>
      </c>
      <c r="D1143" s="5" t="s">
        <v>114</v>
      </c>
      <c r="E1143" s="5">
        <v>316.0</v>
      </c>
      <c r="F1143" s="5">
        <v>72.0</v>
      </c>
      <c r="G1143" s="5">
        <f t="shared" si="1"/>
        <v>388</v>
      </c>
      <c r="H1143" s="10">
        <f t="shared" si="2"/>
        <v>0.8144329897</v>
      </c>
      <c r="I1143" s="10">
        <v>0.5558</v>
      </c>
      <c r="J1143" s="10">
        <v>0.4814</v>
      </c>
      <c r="K1143" s="5">
        <f t="shared" si="3"/>
        <v>1</v>
      </c>
    </row>
    <row r="1144" ht="15.0" customHeight="1">
      <c r="A1144" s="5">
        <v>2022.0</v>
      </c>
      <c r="B1144" s="5" t="s">
        <v>327</v>
      </c>
      <c r="C1144" s="5" t="s">
        <v>157</v>
      </c>
      <c r="D1144" s="5" t="s">
        <v>114</v>
      </c>
      <c r="E1144" s="5">
        <v>156.0</v>
      </c>
      <c r="F1144" s="5">
        <v>54.0</v>
      </c>
      <c r="G1144" s="5">
        <f t="shared" si="1"/>
        <v>210</v>
      </c>
      <c r="H1144" s="10">
        <f t="shared" si="2"/>
        <v>0.7428571429</v>
      </c>
      <c r="I1144" s="10">
        <v>0.5094</v>
      </c>
      <c r="J1144" s="10">
        <v>0.2815</v>
      </c>
      <c r="K1144" s="5">
        <f t="shared" si="3"/>
        <v>0</v>
      </c>
    </row>
    <row r="1145" ht="15.0" customHeight="1">
      <c r="A1145" s="5">
        <v>2024.0</v>
      </c>
      <c r="B1145" s="5" t="s">
        <v>327</v>
      </c>
      <c r="C1145" s="5" t="s">
        <v>157</v>
      </c>
      <c r="D1145" s="5" t="s">
        <v>114</v>
      </c>
      <c r="E1145" s="5">
        <v>283.0</v>
      </c>
      <c r="F1145" s="5">
        <v>110.0</v>
      </c>
      <c r="G1145" s="5">
        <f t="shared" si="1"/>
        <v>393</v>
      </c>
      <c r="H1145" s="10">
        <f t="shared" si="2"/>
        <v>0.7201017812</v>
      </c>
      <c r="I1145" s="10">
        <v>0.3947</v>
      </c>
      <c r="J1145" s="10">
        <v>0.4987</v>
      </c>
      <c r="K1145" s="5">
        <f t="shared" si="3"/>
        <v>1</v>
      </c>
    </row>
    <row r="1146" ht="15.0" customHeight="1">
      <c r="A1146" s="5">
        <v>2018.0</v>
      </c>
      <c r="B1146" s="5" t="s">
        <v>327</v>
      </c>
      <c r="C1146" s="5" t="s">
        <v>157</v>
      </c>
      <c r="D1146" s="5" t="s">
        <v>116</v>
      </c>
      <c r="E1146" s="5">
        <v>320.0</v>
      </c>
      <c r="F1146" s="5">
        <v>310.0</v>
      </c>
      <c r="G1146" s="5">
        <f t="shared" si="1"/>
        <v>630</v>
      </c>
      <c r="H1146" s="10">
        <f t="shared" si="2"/>
        <v>0.5079365079</v>
      </c>
      <c r="I1146" s="10">
        <v>0.0367</v>
      </c>
      <c r="J1146" s="10">
        <v>0.6392</v>
      </c>
      <c r="K1146" s="5">
        <f t="shared" si="3"/>
        <v>0</v>
      </c>
    </row>
    <row r="1147" ht="15.0" customHeight="1">
      <c r="A1147" s="5">
        <v>2020.0</v>
      </c>
      <c r="B1147" s="5" t="s">
        <v>327</v>
      </c>
      <c r="C1147" s="5" t="s">
        <v>157</v>
      </c>
      <c r="D1147" s="5" t="s">
        <v>116</v>
      </c>
      <c r="E1147" s="5">
        <v>447.0</v>
      </c>
      <c r="F1147" s="5">
        <v>433.0</v>
      </c>
      <c r="G1147" s="5">
        <f t="shared" si="1"/>
        <v>880</v>
      </c>
      <c r="H1147" s="10">
        <f t="shared" si="2"/>
        <v>0.5079545455</v>
      </c>
      <c r="I1147" s="10">
        <v>0.0686</v>
      </c>
      <c r="J1147" s="10">
        <v>0.7836</v>
      </c>
      <c r="K1147" s="5">
        <f t="shared" si="3"/>
        <v>1</v>
      </c>
    </row>
    <row r="1148" ht="15.0" customHeight="1">
      <c r="A1148" s="5">
        <v>2022.0</v>
      </c>
      <c r="B1148" s="5" t="s">
        <v>327</v>
      </c>
      <c r="C1148" s="5" t="s">
        <v>157</v>
      </c>
      <c r="D1148" s="5" t="s">
        <v>116</v>
      </c>
      <c r="E1148" s="5">
        <v>374.0</v>
      </c>
      <c r="F1148" s="5">
        <v>338.0</v>
      </c>
      <c r="G1148" s="5">
        <f t="shared" si="1"/>
        <v>712</v>
      </c>
      <c r="H1148" s="10">
        <f t="shared" si="2"/>
        <v>0.5252808989</v>
      </c>
      <c r="I1148" s="10">
        <v>0.0617</v>
      </c>
      <c r="J1148" s="10">
        <v>0.6755</v>
      </c>
      <c r="K1148" s="5">
        <f t="shared" si="3"/>
        <v>0</v>
      </c>
    </row>
    <row r="1149" ht="15.0" customHeight="1">
      <c r="A1149" s="5">
        <v>2024.0</v>
      </c>
      <c r="B1149" s="5" t="s">
        <v>327</v>
      </c>
      <c r="C1149" s="5" t="s">
        <v>157</v>
      </c>
      <c r="D1149" s="5" t="s">
        <v>116</v>
      </c>
      <c r="E1149" s="5">
        <v>466.0</v>
      </c>
      <c r="F1149" s="5">
        <v>405.0</v>
      </c>
      <c r="G1149" s="5">
        <f t="shared" si="1"/>
        <v>871</v>
      </c>
      <c r="H1149" s="10">
        <f t="shared" si="2"/>
        <v>0.5350172216</v>
      </c>
      <c r="I1149" s="10">
        <v>0.071</v>
      </c>
      <c r="J1149" s="10">
        <v>0.8028</v>
      </c>
      <c r="K1149" s="5">
        <f t="shared" si="3"/>
        <v>1</v>
      </c>
    </row>
    <row r="1150" ht="15.0" customHeight="1">
      <c r="A1150" s="5">
        <v>2018.0</v>
      </c>
      <c r="B1150" s="5" t="s">
        <v>327</v>
      </c>
      <c r="C1150" s="5" t="s">
        <v>157</v>
      </c>
      <c r="D1150" s="5" t="s">
        <v>118</v>
      </c>
      <c r="E1150" s="5">
        <v>419.0</v>
      </c>
      <c r="F1150" s="5">
        <v>393.0</v>
      </c>
      <c r="G1150" s="5">
        <f t="shared" si="1"/>
        <v>812</v>
      </c>
      <c r="H1150" s="10">
        <f t="shared" si="2"/>
        <v>0.5160098522</v>
      </c>
      <c r="I1150" s="10">
        <v>0.0531</v>
      </c>
      <c r="J1150" s="10">
        <v>0.6979</v>
      </c>
      <c r="K1150" s="5">
        <f t="shared" si="3"/>
        <v>0</v>
      </c>
    </row>
    <row r="1151" ht="15.0" customHeight="1">
      <c r="A1151" s="5">
        <v>2020.0</v>
      </c>
      <c r="B1151" s="5" t="s">
        <v>327</v>
      </c>
      <c r="C1151" s="5" t="s">
        <v>157</v>
      </c>
      <c r="D1151" s="5" t="s">
        <v>118</v>
      </c>
      <c r="E1151" s="5">
        <v>551.0</v>
      </c>
      <c r="F1151" s="5">
        <v>533.0</v>
      </c>
      <c r="G1151" s="5">
        <f t="shared" si="1"/>
        <v>1084</v>
      </c>
      <c r="H1151" s="10">
        <f t="shared" si="2"/>
        <v>0.508302583</v>
      </c>
      <c r="I1151" s="10">
        <v>0.0826</v>
      </c>
      <c r="J1151" s="10">
        <v>0.8371</v>
      </c>
      <c r="K1151" s="5">
        <f t="shared" si="3"/>
        <v>1</v>
      </c>
    </row>
    <row r="1152" ht="15.0" customHeight="1">
      <c r="A1152" s="5">
        <v>2022.0</v>
      </c>
      <c r="B1152" s="5" t="s">
        <v>327</v>
      </c>
      <c r="C1152" s="5" t="s">
        <v>157</v>
      </c>
      <c r="D1152" s="5" t="s">
        <v>118</v>
      </c>
      <c r="E1152" s="5">
        <v>485.0</v>
      </c>
      <c r="F1152" s="5">
        <v>421.0</v>
      </c>
      <c r="G1152" s="5">
        <f t="shared" si="1"/>
        <v>906</v>
      </c>
      <c r="H1152" s="10">
        <f t="shared" si="2"/>
        <v>0.5353200883</v>
      </c>
      <c r="I1152" s="10">
        <v>0.078</v>
      </c>
      <c r="J1152" s="10">
        <v>0.7208</v>
      </c>
      <c r="K1152" s="5">
        <f t="shared" si="3"/>
        <v>0</v>
      </c>
    </row>
    <row r="1153" ht="15.0" customHeight="1">
      <c r="A1153" s="5">
        <v>2024.0</v>
      </c>
      <c r="B1153" s="5" t="s">
        <v>327</v>
      </c>
      <c r="C1153" s="5" t="s">
        <v>157</v>
      </c>
      <c r="D1153" s="5" t="s">
        <v>118</v>
      </c>
      <c r="E1153" s="5">
        <v>552.0</v>
      </c>
      <c r="F1153" s="5">
        <v>506.0</v>
      </c>
      <c r="G1153" s="5">
        <f t="shared" si="1"/>
        <v>1058</v>
      </c>
      <c r="H1153" s="10">
        <f t="shared" si="2"/>
        <v>0.5217391304</v>
      </c>
      <c r="I1153" s="10">
        <v>0.0681</v>
      </c>
      <c r="J1153" s="10">
        <v>0.8101</v>
      </c>
      <c r="K1153" s="5">
        <f t="shared" si="3"/>
        <v>1</v>
      </c>
    </row>
    <row r="1154" ht="15.0" customHeight="1">
      <c r="A1154" s="5">
        <v>2018.0</v>
      </c>
      <c r="B1154" s="5" t="s">
        <v>327</v>
      </c>
      <c r="C1154" s="5" t="s">
        <v>157</v>
      </c>
      <c r="D1154" s="5" t="s">
        <v>334</v>
      </c>
      <c r="E1154" s="5">
        <v>387.0</v>
      </c>
      <c r="F1154" s="5">
        <v>273.0</v>
      </c>
      <c r="G1154" s="5">
        <f t="shared" si="1"/>
        <v>660</v>
      </c>
      <c r="H1154" s="10">
        <f t="shared" si="2"/>
        <v>0.5863636364</v>
      </c>
      <c r="I1154" s="10">
        <v>0.1052</v>
      </c>
      <c r="J1154" s="10">
        <v>0.5413</v>
      </c>
      <c r="K1154" s="5">
        <f t="shared" si="3"/>
        <v>0</v>
      </c>
    </row>
    <row r="1155" ht="15.0" customHeight="1">
      <c r="A1155" s="5">
        <v>2020.0</v>
      </c>
      <c r="B1155" s="5" t="s">
        <v>327</v>
      </c>
      <c r="C1155" s="5" t="s">
        <v>157</v>
      </c>
      <c r="D1155" s="5" t="s">
        <v>334</v>
      </c>
      <c r="E1155" s="5">
        <v>583.0</v>
      </c>
      <c r="F1155" s="5">
        <v>432.0</v>
      </c>
      <c r="G1155" s="5">
        <f t="shared" si="1"/>
        <v>1015</v>
      </c>
      <c r="H1155" s="10">
        <f t="shared" si="2"/>
        <v>0.5743842365</v>
      </c>
      <c r="I1155" s="10">
        <v>0.1194</v>
      </c>
      <c r="J1155" s="10">
        <v>0.7387</v>
      </c>
      <c r="K1155" s="5">
        <f t="shared" si="3"/>
        <v>1</v>
      </c>
    </row>
    <row r="1156" ht="15.0" customHeight="1">
      <c r="A1156" s="5">
        <v>2022.0</v>
      </c>
      <c r="B1156" s="5" t="s">
        <v>327</v>
      </c>
      <c r="C1156" s="5" t="s">
        <v>157</v>
      </c>
      <c r="D1156" s="5" t="s">
        <v>334</v>
      </c>
      <c r="E1156" s="5">
        <v>523.0</v>
      </c>
      <c r="F1156" s="5">
        <v>389.0</v>
      </c>
      <c r="G1156" s="5">
        <f t="shared" si="1"/>
        <v>912</v>
      </c>
      <c r="H1156" s="10">
        <f t="shared" si="2"/>
        <v>0.5734649123</v>
      </c>
      <c r="I1156" s="10">
        <v>0.0878</v>
      </c>
      <c r="J1156" s="10">
        <v>0.602</v>
      </c>
      <c r="K1156" s="5">
        <f t="shared" si="3"/>
        <v>0</v>
      </c>
    </row>
    <row r="1157" ht="15.0" customHeight="1">
      <c r="A1157" s="5">
        <v>2024.0</v>
      </c>
      <c r="B1157" s="5" t="s">
        <v>327</v>
      </c>
      <c r="C1157" s="5" t="s">
        <v>157</v>
      </c>
      <c r="D1157" s="5" t="s">
        <v>334</v>
      </c>
      <c r="E1157" s="5">
        <v>722.0</v>
      </c>
      <c r="F1157" s="5">
        <v>596.0</v>
      </c>
      <c r="G1157" s="5">
        <f t="shared" si="1"/>
        <v>1318</v>
      </c>
      <c r="H1157" s="10">
        <f t="shared" si="2"/>
        <v>0.5477996965</v>
      </c>
      <c r="I1157" s="10">
        <v>0.0468</v>
      </c>
      <c r="J1157" s="10">
        <v>0.7813</v>
      </c>
      <c r="K1157" s="5">
        <f t="shared" si="3"/>
        <v>1</v>
      </c>
    </row>
    <row r="1158" ht="15.0" customHeight="1">
      <c r="A1158" s="5">
        <v>2018.0</v>
      </c>
      <c r="B1158" s="5" t="s">
        <v>327</v>
      </c>
      <c r="C1158" s="5" t="s">
        <v>157</v>
      </c>
      <c r="D1158" s="5" t="s">
        <v>335</v>
      </c>
      <c r="E1158" s="5">
        <v>208.0</v>
      </c>
      <c r="F1158" s="5">
        <v>213.0</v>
      </c>
      <c r="G1158" s="5">
        <f t="shared" si="1"/>
        <v>421</v>
      </c>
      <c r="H1158" s="10">
        <f t="shared" si="2"/>
        <v>0.4940617577</v>
      </c>
      <c r="I1158" s="10">
        <v>0.0554</v>
      </c>
      <c r="J1158" s="10">
        <v>0.4691</v>
      </c>
      <c r="K1158" s="5">
        <f t="shared" si="3"/>
        <v>0</v>
      </c>
    </row>
    <row r="1159" ht="15.0" customHeight="1">
      <c r="A1159" s="5">
        <v>2020.0</v>
      </c>
      <c r="B1159" s="5" t="s">
        <v>327</v>
      </c>
      <c r="C1159" s="5" t="s">
        <v>157</v>
      </c>
      <c r="D1159" s="5" t="s">
        <v>335</v>
      </c>
      <c r="E1159" s="5">
        <v>287.0</v>
      </c>
      <c r="F1159" s="5">
        <v>332.0</v>
      </c>
      <c r="G1159" s="5">
        <f t="shared" si="1"/>
        <v>619</v>
      </c>
      <c r="H1159" s="10">
        <f t="shared" si="2"/>
        <v>0.4636510501</v>
      </c>
      <c r="I1159" s="10">
        <v>-0.0021</v>
      </c>
      <c r="J1159" s="10">
        <v>0.6578</v>
      </c>
      <c r="K1159" s="5">
        <f t="shared" si="3"/>
        <v>1</v>
      </c>
    </row>
    <row r="1160" ht="15.0" customHeight="1">
      <c r="A1160" s="5">
        <v>2022.0</v>
      </c>
      <c r="B1160" s="5" t="s">
        <v>327</v>
      </c>
      <c r="C1160" s="5" t="s">
        <v>157</v>
      </c>
      <c r="D1160" s="5" t="s">
        <v>335</v>
      </c>
      <c r="E1160" s="5">
        <v>232.0</v>
      </c>
      <c r="F1160" s="5">
        <v>250.0</v>
      </c>
      <c r="G1160" s="5">
        <f t="shared" si="1"/>
        <v>482</v>
      </c>
      <c r="H1160" s="10">
        <f t="shared" si="2"/>
        <v>0.4813278008</v>
      </c>
      <c r="I1160" s="10">
        <v>0.0102</v>
      </c>
      <c r="J1160" s="10">
        <v>0.5477</v>
      </c>
      <c r="K1160" s="5">
        <f t="shared" si="3"/>
        <v>0</v>
      </c>
    </row>
    <row r="1161" ht="15.0" customHeight="1">
      <c r="A1161" s="5">
        <v>2024.0</v>
      </c>
      <c r="B1161" s="5" t="s">
        <v>327</v>
      </c>
      <c r="C1161" s="5" t="s">
        <v>157</v>
      </c>
      <c r="D1161" s="5" t="s">
        <v>335</v>
      </c>
      <c r="E1161" s="5">
        <v>339.0</v>
      </c>
      <c r="F1161" s="5">
        <v>338.0</v>
      </c>
      <c r="G1161" s="5">
        <f t="shared" si="1"/>
        <v>677</v>
      </c>
      <c r="H1161" s="10">
        <f t="shared" si="2"/>
        <v>0.5007385524</v>
      </c>
      <c r="I1161" s="10">
        <v>0.0392</v>
      </c>
      <c r="J1161" s="10">
        <v>0.7164</v>
      </c>
      <c r="K1161" s="5">
        <f t="shared" si="3"/>
        <v>1</v>
      </c>
    </row>
    <row r="1162" ht="15.0" customHeight="1">
      <c r="A1162" s="5">
        <v>2018.0</v>
      </c>
      <c r="B1162" s="5" t="s">
        <v>327</v>
      </c>
      <c r="C1162" s="5" t="s">
        <v>157</v>
      </c>
      <c r="D1162" s="5" t="s">
        <v>119</v>
      </c>
      <c r="E1162" s="5">
        <v>393.0</v>
      </c>
      <c r="F1162" s="5">
        <v>281.0</v>
      </c>
      <c r="G1162" s="5">
        <f t="shared" si="1"/>
        <v>674</v>
      </c>
      <c r="H1162" s="10">
        <f t="shared" si="2"/>
        <v>0.5830860534</v>
      </c>
      <c r="I1162" s="10">
        <v>0.242</v>
      </c>
      <c r="J1162" s="10">
        <v>0.54</v>
      </c>
      <c r="K1162" s="5">
        <f t="shared" si="3"/>
        <v>0</v>
      </c>
    </row>
    <row r="1163" ht="15.0" customHeight="1">
      <c r="A1163" s="5">
        <v>2020.0</v>
      </c>
      <c r="B1163" s="5" t="s">
        <v>327</v>
      </c>
      <c r="C1163" s="5" t="s">
        <v>157</v>
      </c>
      <c r="D1163" s="5" t="s">
        <v>119</v>
      </c>
      <c r="E1163" s="5">
        <v>576.0</v>
      </c>
      <c r="F1163" s="5">
        <v>467.0</v>
      </c>
      <c r="G1163" s="5">
        <f t="shared" si="1"/>
        <v>1043</v>
      </c>
      <c r="H1163" s="10">
        <f t="shared" si="2"/>
        <v>0.552253116</v>
      </c>
      <c r="I1163" s="10">
        <v>0.2166</v>
      </c>
      <c r="J1163" s="10">
        <v>0.758</v>
      </c>
      <c r="K1163" s="5">
        <f t="shared" si="3"/>
        <v>1</v>
      </c>
    </row>
    <row r="1164" ht="15.0" customHeight="1">
      <c r="A1164" s="5">
        <v>2022.0</v>
      </c>
      <c r="B1164" s="5" t="s">
        <v>327</v>
      </c>
      <c r="C1164" s="5" t="s">
        <v>157</v>
      </c>
      <c r="D1164" s="5" t="s">
        <v>119</v>
      </c>
      <c r="E1164" s="5">
        <v>435.0</v>
      </c>
      <c r="F1164" s="5">
        <v>317.0</v>
      </c>
      <c r="G1164" s="5">
        <f t="shared" si="1"/>
        <v>752</v>
      </c>
      <c r="H1164" s="10">
        <f t="shared" si="2"/>
        <v>0.5784574468</v>
      </c>
      <c r="I1164" s="10">
        <v>0.1936</v>
      </c>
      <c r="J1164" s="10">
        <v>0.562</v>
      </c>
      <c r="K1164" s="5">
        <f t="shared" si="3"/>
        <v>0</v>
      </c>
    </row>
    <row r="1165" ht="15.0" customHeight="1">
      <c r="A1165" s="5">
        <v>2024.0</v>
      </c>
      <c r="B1165" s="5" t="s">
        <v>327</v>
      </c>
      <c r="C1165" s="5" t="s">
        <v>157</v>
      </c>
      <c r="D1165" s="5" t="s">
        <v>119</v>
      </c>
      <c r="E1165" s="5">
        <v>579.0</v>
      </c>
      <c r="F1165" s="5">
        <v>482.0</v>
      </c>
      <c r="G1165" s="5">
        <f t="shared" si="1"/>
        <v>1061</v>
      </c>
      <c r="H1165" s="10">
        <f t="shared" si="2"/>
        <v>0.5457115928</v>
      </c>
      <c r="I1165" s="10">
        <v>0.1397</v>
      </c>
      <c r="J1165" s="10">
        <v>0.7488</v>
      </c>
      <c r="K1165" s="5">
        <f t="shared" si="3"/>
        <v>1</v>
      </c>
    </row>
    <row r="1166" ht="15.0" customHeight="1">
      <c r="A1166" s="5">
        <v>2018.0</v>
      </c>
      <c r="B1166" s="5" t="s">
        <v>327</v>
      </c>
      <c r="C1166" s="5" t="s">
        <v>157</v>
      </c>
      <c r="D1166" s="5" t="s">
        <v>336</v>
      </c>
      <c r="E1166" s="5">
        <v>420.0</v>
      </c>
      <c r="F1166" s="5">
        <v>286.0</v>
      </c>
      <c r="G1166" s="5">
        <f t="shared" si="1"/>
        <v>706</v>
      </c>
      <c r="H1166" s="10">
        <f t="shared" si="2"/>
        <v>0.5949008499</v>
      </c>
      <c r="I1166" s="10">
        <v>0.1573</v>
      </c>
      <c r="J1166" s="10">
        <v>0.583</v>
      </c>
      <c r="K1166" s="5">
        <f t="shared" si="3"/>
        <v>0</v>
      </c>
    </row>
    <row r="1167" ht="15.0" customHeight="1">
      <c r="A1167" s="5">
        <v>2020.0</v>
      </c>
      <c r="B1167" s="5" t="s">
        <v>327</v>
      </c>
      <c r="C1167" s="5" t="s">
        <v>157</v>
      </c>
      <c r="D1167" s="5" t="s">
        <v>336</v>
      </c>
      <c r="E1167" s="5">
        <v>559.0</v>
      </c>
      <c r="F1167" s="5">
        <v>489.0</v>
      </c>
      <c r="G1167" s="5">
        <f t="shared" si="1"/>
        <v>1048</v>
      </c>
      <c r="H1167" s="10">
        <f t="shared" si="2"/>
        <v>0.5333969466</v>
      </c>
      <c r="I1167" s="10">
        <v>0.147</v>
      </c>
      <c r="J1167" s="10">
        <v>0.774</v>
      </c>
      <c r="K1167" s="5">
        <f t="shared" si="3"/>
        <v>1</v>
      </c>
    </row>
    <row r="1168" ht="15.0" customHeight="1">
      <c r="A1168" s="5">
        <v>2022.0</v>
      </c>
      <c r="B1168" s="5" t="s">
        <v>327</v>
      </c>
      <c r="C1168" s="5" t="s">
        <v>157</v>
      </c>
      <c r="D1168" s="5" t="s">
        <v>336</v>
      </c>
      <c r="E1168" s="5">
        <v>437.0</v>
      </c>
      <c r="F1168" s="5">
        <v>364.0</v>
      </c>
      <c r="G1168" s="5">
        <f t="shared" si="1"/>
        <v>801</v>
      </c>
      <c r="H1168" s="10">
        <f t="shared" si="2"/>
        <v>0.54556804</v>
      </c>
      <c r="I1168" s="10">
        <v>0.1138</v>
      </c>
      <c r="J1168" s="10">
        <v>0.6243</v>
      </c>
      <c r="K1168" s="5">
        <f t="shared" si="3"/>
        <v>0</v>
      </c>
    </row>
    <row r="1169" ht="15.0" customHeight="1">
      <c r="A1169" s="5">
        <v>2024.0</v>
      </c>
      <c r="B1169" s="5" t="s">
        <v>327</v>
      </c>
      <c r="C1169" s="5" t="s">
        <v>157</v>
      </c>
      <c r="D1169" s="5" t="s">
        <v>336</v>
      </c>
      <c r="E1169" s="5">
        <v>562.0</v>
      </c>
      <c r="F1169" s="5">
        <v>525.0</v>
      </c>
      <c r="G1169" s="5">
        <f t="shared" si="1"/>
        <v>1087</v>
      </c>
      <c r="H1169" s="10">
        <f t="shared" si="2"/>
        <v>0.5170193192</v>
      </c>
      <c r="I1169" s="10">
        <v>0.0614</v>
      </c>
      <c r="J1169" s="10">
        <v>0.7946</v>
      </c>
      <c r="K1169" s="5">
        <f t="shared" si="3"/>
        <v>1</v>
      </c>
    </row>
    <row r="1170" ht="15.0" customHeight="1">
      <c r="A1170" s="5">
        <v>2018.0</v>
      </c>
      <c r="B1170" s="5" t="s">
        <v>327</v>
      </c>
      <c r="C1170" s="5" t="s">
        <v>157</v>
      </c>
      <c r="D1170" s="5" t="s">
        <v>337</v>
      </c>
      <c r="E1170" s="5">
        <v>226.0</v>
      </c>
      <c r="F1170" s="5">
        <v>189.0</v>
      </c>
      <c r="G1170" s="5">
        <f t="shared" si="1"/>
        <v>415</v>
      </c>
      <c r="H1170" s="10">
        <f t="shared" si="2"/>
        <v>0.5445783133</v>
      </c>
      <c r="I1170" s="10">
        <v>0.263</v>
      </c>
      <c r="J1170" s="10">
        <v>0.5973</v>
      </c>
      <c r="K1170" s="5">
        <f t="shared" si="3"/>
        <v>0</v>
      </c>
    </row>
    <row r="1171" ht="15.0" customHeight="1">
      <c r="A1171" s="5">
        <v>2020.0</v>
      </c>
      <c r="B1171" s="5" t="s">
        <v>327</v>
      </c>
      <c r="C1171" s="5" t="s">
        <v>157</v>
      </c>
      <c r="D1171" s="5" t="s">
        <v>337</v>
      </c>
      <c r="E1171" s="5">
        <v>320.0</v>
      </c>
      <c r="F1171" s="5">
        <v>311.0</v>
      </c>
      <c r="G1171" s="5">
        <f t="shared" si="1"/>
        <v>631</v>
      </c>
      <c r="H1171" s="10">
        <f t="shared" si="2"/>
        <v>0.5071315372</v>
      </c>
      <c r="I1171" s="10">
        <v>0.2179</v>
      </c>
      <c r="J1171" s="10">
        <v>0.809</v>
      </c>
      <c r="K1171" s="5">
        <f t="shared" si="3"/>
        <v>1</v>
      </c>
    </row>
    <row r="1172" ht="15.0" customHeight="1">
      <c r="A1172" s="5">
        <v>2022.0</v>
      </c>
      <c r="B1172" s="5" t="s">
        <v>327</v>
      </c>
      <c r="C1172" s="5" t="s">
        <v>157</v>
      </c>
      <c r="D1172" s="5" t="s">
        <v>337</v>
      </c>
      <c r="E1172" s="5">
        <v>279.0</v>
      </c>
      <c r="F1172" s="5">
        <v>214.0</v>
      </c>
      <c r="G1172" s="5">
        <f t="shared" si="1"/>
        <v>493</v>
      </c>
      <c r="H1172" s="10">
        <f t="shared" si="2"/>
        <v>0.5659229209</v>
      </c>
      <c r="I1172" s="10">
        <v>0.2083</v>
      </c>
      <c r="J1172" s="10">
        <v>0.6419</v>
      </c>
      <c r="K1172" s="5">
        <f t="shared" si="3"/>
        <v>0</v>
      </c>
    </row>
    <row r="1173" ht="15.0" customHeight="1">
      <c r="A1173" s="5">
        <v>2024.0</v>
      </c>
      <c r="B1173" s="5" t="s">
        <v>327</v>
      </c>
      <c r="C1173" s="5" t="s">
        <v>157</v>
      </c>
      <c r="D1173" s="5" t="s">
        <v>337</v>
      </c>
      <c r="E1173" s="5">
        <v>337.0</v>
      </c>
      <c r="F1173" s="5">
        <v>296.0</v>
      </c>
      <c r="G1173" s="5">
        <f t="shared" si="1"/>
        <v>633</v>
      </c>
      <c r="H1173" s="10">
        <f t="shared" si="2"/>
        <v>0.532385466</v>
      </c>
      <c r="I1173" s="10">
        <v>0.1554</v>
      </c>
      <c r="J1173" s="10">
        <v>0.8064</v>
      </c>
      <c r="K1173" s="5">
        <f t="shared" si="3"/>
        <v>1</v>
      </c>
    </row>
    <row r="1174" ht="15.0" customHeight="1">
      <c r="A1174" s="5">
        <v>2018.0</v>
      </c>
      <c r="B1174" s="5" t="s">
        <v>327</v>
      </c>
      <c r="C1174" s="5" t="s">
        <v>157</v>
      </c>
      <c r="D1174" s="5" t="s">
        <v>338</v>
      </c>
      <c r="E1174" s="5">
        <v>320.0</v>
      </c>
      <c r="F1174" s="5">
        <v>220.0</v>
      </c>
      <c r="G1174" s="5">
        <f t="shared" si="1"/>
        <v>540</v>
      </c>
      <c r="H1174" s="10">
        <f t="shared" si="2"/>
        <v>0.5925925926</v>
      </c>
      <c r="I1174" s="10">
        <v>0.1891</v>
      </c>
      <c r="J1174" s="10">
        <v>0.6162</v>
      </c>
      <c r="K1174" s="5">
        <f t="shared" si="3"/>
        <v>0</v>
      </c>
    </row>
    <row r="1175" ht="15.0" customHeight="1">
      <c r="A1175" s="5">
        <v>2020.0</v>
      </c>
      <c r="B1175" s="5" t="s">
        <v>327</v>
      </c>
      <c r="C1175" s="5" t="s">
        <v>157</v>
      </c>
      <c r="D1175" s="5" t="s">
        <v>338</v>
      </c>
      <c r="E1175" s="5">
        <v>453.0</v>
      </c>
      <c r="F1175" s="5">
        <v>327.0</v>
      </c>
      <c r="G1175" s="5">
        <f t="shared" si="1"/>
        <v>780</v>
      </c>
      <c r="H1175" s="10">
        <f t="shared" si="2"/>
        <v>0.5807692308</v>
      </c>
      <c r="I1175" s="10">
        <v>0.1988</v>
      </c>
      <c r="J1175" s="10">
        <v>0.7715</v>
      </c>
      <c r="K1175" s="5">
        <f t="shared" si="3"/>
        <v>1</v>
      </c>
    </row>
    <row r="1176" ht="15.0" customHeight="1">
      <c r="A1176" s="5">
        <v>2022.0</v>
      </c>
      <c r="B1176" s="5" t="s">
        <v>327</v>
      </c>
      <c r="C1176" s="5" t="s">
        <v>157</v>
      </c>
      <c r="D1176" s="5" t="s">
        <v>338</v>
      </c>
      <c r="E1176" s="5">
        <v>374.0</v>
      </c>
      <c r="F1176" s="5">
        <v>251.0</v>
      </c>
      <c r="G1176" s="5">
        <f t="shared" si="1"/>
        <v>625</v>
      </c>
      <c r="H1176" s="10">
        <f t="shared" si="2"/>
        <v>0.5984</v>
      </c>
      <c r="I1176" s="10">
        <v>0.1839</v>
      </c>
      <c r="J1176" s="10">
        <v>0.608</v>
      </c>
      <c r="K1176" s="5">
        <f t="shared" si="3"/>
        <v>0</v>
      </c>
    </row>
    <row r="1177" ht="15.0" customHeight="1">
      <c r="A1177" s="5">
        <v>2024.0</v>
      </c>
      <c r="B1177" s="5" t="s">
        <v>327</v>
      </c>
      <c r="C1177" s="5" t="s">
        <v>157</v>
      </c>
      <c r="D1177" s="5" t="s">
        <v>338</v>
      </c>
      <c r="E1177" s="5">
        <v>517.0</v>
      </c>
      <c r="F1177" s="5">
        <v>388.0</v>
      </c>
      <c r="G1177" s="5">
        <f t="shared" si="1"/>
        <v>905</v>
      </c>
      <c r="H1177" s="10">
        <f t="shared" si="2"/>
        <v>0.5712707182</v>
      </c>
      <c r="I1177" s="10">
        <v>0.1583</v>
      </c>
      <c r="J1177" s="10">
        <v>0.7788</v>
      </c>
      <c r="K1177" s="5">
        <f t="shared" si="3"/>
        <v>1</v>
      </c>
    </row>
    <row r="1178" ht="15.0" customHeight="1">
      <c r="A1178" s="5">
        <v>2018.0</v>
      </c>
      <c r="B1178" s="5" t="s">
        <v>327</v>
      </c>
      <c r="C1178" s="5" t="s">
        <v>157</v>
      </c>
      <c r="D1178" s="5" t="s">
        <v>120</v>
      </c>
      <c r="E1178" s="5">
        <v>226.0</v>
      </c>
      <c r="F1178" s="5">
        <v>148.0</v>
      </c>
      <c r="G1178" s="5">
        <f t="shared" si="1"/>
        <v>374</v>
      </c>
      <c r="H1178" s="10">
        <f t="shared" si="2"/>
        <v>0.6042780749</v>
      </c>
      <c r="I1178" s="10">
        <v>0.2814</v>
      </c>
      <c r="J1178" s="10">
        <v>0.5483</v>
      </c>
      <c r="K1178" s="5">
        <f t="shared" si="3"/>
        <v>0</v>
      </c>
    </row>
    <row r="1179" ht="15.0" customHeight="1">
      <c r="A1179" s="5">
        <v>2020.0</v>
      </c>
      <c r="B1179" s="5" t="s">
        <v>327</v>
      </c>
      <c r="C1179" s="5" t="s">
        <v>157</v>
      </c>
      <c r="D1179" s="5" t="s">
        <v>120</v>
      </c>
      <c r="E1179" s="5">
        <v>319.0</v>
      </c>
      <c r="F1179" s="5">
        <v>225.0</v>
      </c>
      <c r="G1179" s="5">
        <f t="shared" si="1"/>
        <v>544</v>
      </c>
      <c r="H1179" s="10">
        <f t="shared" si="2"/>
        <v>0.5863970588</v>
      </c>
      <c r="I1179" s="10">
        <v>0.2709</v>
      </c>
      <c r="J1179" s="10">
        <v>0.712</v>
      </c>
      <c r="K1179" s="5">
        <f t="shared" si="3"/>
        <v>1</v>
      </c>
    </row>
    <row r="1180" ht="15.0" customHeight="1">
      <c r="A1180" s="5">
        <v>2022.0</v>
      </c>
      <c r="B1180" s="5" t="s">
        <v>327</v>
      </c>
      <c r="C1180" s="5" t="s">
        <v>157</v>
      </c>
      <c r="D1180" s="5" t="s">
        <v>120</v>
      </c>
      <c r="E1180" s="5">
        <v>245.0</v>
      </c>
      <c r="F1180" s="5">
        <v>160.0</v>
      </c>
      <c r="G1180" s="5">
        <f t="shared" si="1"/>
        <v>405</v>
      </c>
      <c r="H1180" s="10">
        <f t="shared" si="2"/>
        <v>0.6049382716</v>
      </c>
      <c r="I1180" s="10">
        <v>0.2377</v>
      </c>
      <c r="J1180" s="10">
        <v>0.5533</v>
      </c>
      <c r="K1180" s="5">
        <f t="shared" si="3"/>
        <v>0</v>
      </c>
    </row>
    <row r="1181" ht="15.0" customHeight="1">
      <c r="A1181" s="5">
        <v>2024.0</v>
      </c>
      <c r="B1181" s="5" t="s">
        <v>327</v>
      </c>
      <c r="C1181" s="5" t="s">
        <v>157</v>
      </c>
      <c r="D1181" s="5" t="s">
        <v>120</v>
      </c>
      <c r="E1181" s="5">
        <v>329.0</v>
      </c>
      <c r="F1181" s="5">
        <v>217.0</v>
      </c>
      <c r="G1181" s="5">
        <f t="shared" si="1"/>
        <v>546</v>
      </c>
      <c r="H1181" s="10">
        <f t="shared" si="2"/>
        <v>0.6025641026</v>
      </c>
      <c r="I1181" s="10">
        <v>0.1649</v>
      </c>
      <c r="J1181" s="10">
        <v>0.7091</v>
      </c>
      <c r="K1181" s="5">
        <f t="shared" si="3"/>
        <v>1</v>
      </c>
    </row>
    <row r="1182" ht="15.0" customHeight="1">
      <c r="A1182" s="5">
        <v>2018.0</v>
      </c>
      <c r="B1182" s="5" t="s">
        <v>327</v>
      </c>
      <c r="C1182" s="5" t="s">
        <v>157</v>
      </c>
      <c r="D1182" s="5" t="s">
        <v>122</v>
      </c>
      <c r="E1182" s="5">
        <v>242.0</v>
      </c>
      <c r="F1182" s="5">
        <v>231.0</v>
      </c>
      <c r="G1182" s="5">
        <f t="shared" si="1"/>
        <v>473</v>
      </c>
      <c r="H1182" s="10">
        <f t="shared" si="2"/>
        <v>0.511627907</v>
      </c>
      <c r="I1182" s="10">
        <v>0.0276</v>
      </c>
      <c r="J1182" s="10">
        <v>0.6421</v>
      </c>
      <c r="K1182" s="5">
        <f t="shared" si="3"/>
        <v>0</v>
      </c>
    </row>
    <row r="1183" ht="15.0" customHeight="1">
      <c r="A1183" s="5">
        <v>2020.0</v>
      </c>
      <c r="B1183" s="5" t="s">
        <v>327</v>
      </c>
      <c r="C1183" s="5" t="s">
        <v>157</v>
      </c>
      <c r="D1183" s="5" t="s">
        <v>122</v>
      </c>
      <c r="E1183" s="5">
        <v>340.0</v>
      </c>
      <c r="F1183" s="5">
        <v>357.0</v>
      </c>
      <c r="G1183" s="5">
        <f t="shared" si="1"/>
        <v>697</v>
      </c>
      <c r="H1183" s="10">
        <f t="shared" si="2"/>
        <v>0.487804878</v>
      </c>
      <c r="I1183" s="10">
        <v>0.0437</v>
      </c>
      <c r="J1183" s="10">
        <v>0.8469</v>
      </c>
      <c r="K1183" s="5">
        <f t="shared" si="3"/>
        <v>1</v>
      </c>
    </row>
    <row r="1184" ht="15.0" customHeight="1">
      <c r="A1184" s="5">
        <v>2022.0</v>
      </c>
      <c r="B1184" s="5" t="s">
        <v>327</v>
      </c>
      <c r="C1184" s="5" t="s">
        <v>157</v>
      </c>
      <c r="D1184" s="5" t="s">
        <v>122</v>
      </c>
      <c r="E1184" s="5">
        <v>276.0</v>
      </c>
      <c r="F1184" s="5">
        <v>276.0</v>
      </c>
      <c r="G1184" s="5">
        <f t="shared" si="1"/>
        <v>552</v>
      </c>
      <c r="H1184" s="10">
        <f t="shared" si="2"/>
        <v>0.5</v>
      </c>
      <c r="I1184" s="10">
        <v>0.0361</v>
      </c>
      <c r="J1184" s="10">
        <v>0.6874</v>
      </c>
      <c r="K1184" s="5">
        <f t="shared" si="3"/>
        <v>0</v>
      </c>
    </row>
    <row r="1185" ht="15.0" customHeight="1">
      <c r="A1185" s="5">
        <v>2024.0</v>
      </c>
      <c r="B1185" s="5" t="s">
        <v>327</v>
      </c>
      <c r="C1185" s="5" t="s">
        <v>157</v>
      </c>
      <c r="D1185" s="5" t="s">
        <v>122</v>
      </c>
      <c r="E1185" s="5">
        <v>352.0</v>
      </c>
      <c r="F1185" s="5">
        <v>326.0</v>
      </c>
      <c r="G1185" s="5">
        <f t="shared" si="1"/>
        <v>678</v>
      </c>
      <c r="H1185" s="10">
        <f t="shared" si="2"/>
        <v>0.5191740413</v>
      </c>
      <c r="I1185" s="10">
        <v>0.0123</v>
      </c>
      <c r="J1185" s="10">
        <v>0.835</v>
      </c>
      <c r="K1185" s="5">
        <f t="shared" si="3"/>
        <v>1</v>
      </c>
    </row>
    <row r="1186" ht="15.0" customHeight="1">
      <c r="A1186" s="5">
        <v>2018.0</v>
      </c>
      <c r="B1186" s="5" t="s">
        <v>327</v>
      </c>
      <c r="C1186" s="5" t="s">
        <v>157</v>
      </c>
      <c r="D1186" s="5" t="s">
        <v>339</v>
      </c>
      <c r="E1186" s="5">
        <v>314.0</v>
      </c>
      <c r="F1186" s="5">
        <v>246.0</v>
      </c>
      <c r="G1186" s="5">
        <f t="shared" si="1"/>
        <v>560</v>
      </c>
      <c r="H1186" s="10">
        <f t="shared" si="2"/>
        <v>0.5607142857</v>
      </c>
      <c r="I1186" s="10">
        <v>0.0829</v>
      </c>
      <c r="J1186" s="10">
        <v>0.599</v>
      </c>
      <c r="K1186" s="5">
        <f t="shared" si="3"/>
        <v>0</v>
      </c>
    </row>
    <row r="1187" ht="15.0" customHeight="1">
      <c r="A1187" s="5">
        <v>2020.0</v>
      </c>
      <c r="B1187" s="5" t="s">
        <v>327</v>
      </c>
      <c r="C1187" s="5" t="s">
        <v>157</v>
      </c>
      <c r="D1187" s="5" t="s">
        <v>339</v>
      </c>
      <c r="E1187" s="5">
        <v>448.0</v>
      </c>
      <c r="F1187" s="5">
        <v>378.0</v>
      </c>
      <c r="G1187" s="5">
        <f t="shared" si="1"/>
        <v>826</v>
      </c>
      <c r="H1187" s="10">
        <f t="shared" si="2"/>
        <v>0.5423728814</v>
      </c>
      <c r="I1187" s="10">
        <v>0.0958</v>
      </c>
      <c r="J1187" s="10">
        <v>0.8244</v>
      </c>
      <c r="K1187" s="5">
        <f t="shared" si="3"/>
        <v>1</v>
      </c>
    </row>
    <row r="1188" ht="15.0" customHeight="1">
      <c r="A1188" s="5">
        <v>2022.0</v>
      </c>
      <c r="B1188" s="5" t="s">
        <v>327</v>
      </c>
      <c r="C1188" s="5" t="s">
        <v>157</v>
      </c>
      <c r="D1188" s="5" t="s">
        <v>339</v>
      </c>
      <c r="E1188" s="5">
        <v>353.0</v>
      </c>
      <c r="F1188" s="5">
        <v>293.0</v>
      </c>
      <c r="G1188" s="5">
        <f t="shared" si="1"/>
        <v>646</v>
      </c>
      <c r="H1188" s="10">
        <f t="shared" si="2"/>
        <v>0.5464396285</v>
      </c>
      <c r="I1188" s="10">
        <v>0.0797</v>
      </c>
      <c r="J1188" s="10">
        <v>0.6779</v>
      </c>
      <c r="K1188" s="5">
        <f t="shared" si="3"/>
        <v>0</v>
      </c>
    </row>
    <row r="1189" ht="15.0" customHeight="1">
      <c r="A1189" s="5">
        <v>2024.0</v>
      </c>
      <c r="B1189" s="5" t="s">
        <v>327</v>
      </c>
      <c r="C1189" s="5" t="s">
        <v>157</v>
      </c>
      <c r="D1189" s="5" t="s">
        <v>339</v>
      </c>
      <c r="E1189" s="5">
        <v>420.0</v>
      </c>
      <c r="F1189" s="5">
        <v>378.0</v>
      </c>
      <c r="G1189" s="5">
        <f t="shared" si="1"/>
        <v>798</v>
      </c>
      <c r="H1189" s="10">
        <f t="shared" si="2"/>
        <v>0.5263157895</v>
      </c>
      <c r="I1189" s="10">
        <v>0.0787</v>
      </c>
      <c r="J1189" s="10">
        <v>0.8261</v>
      </c>
      <c r="K1189" s="5">
        <f t="shared" si="3"/>
        <v>1</v>
      </c>
    </row>
    <row r="1190" ht="15.0" customHeight="1">
      <c r="A1190" s="5">
        <v>2018.0</v>
      </c>
      <c r="B1190" s="5" t="s">
        <v>327</v>
      </c>
      <c r="C1190" s="5" t="s">
        <v>157</v>
      </c>
      <c r="D1190" s="5" t="s">
        <v>340</v>
      </c>
      <c r="E1190" s="5">
        <v>335.0</v>
      </c>
      <c r="F1190" s="5">
        <v>224.0</v>
      </c>
      <c r="G1190" s="5">
        <f t="shared" si="1"/>
        <v>559</v>
      </c>
      <c r="H1190" s="10">
        <f t="shared" si="2"/>
        <v>0.5992844365</v>
      </c>
      <c r="I1190" s="10">
        <v>0.1351</v>
      </c>
      <c r="J1190" s="10">
        <v>0.6368</v>
      </c>
      <c r="K1190" s="5">
        <f t="shared" si="3"/>
        <v>0</v>
      </c>
    </row>
    <row r="1191" ht="15.0" customHeight="1">
      <c r="A1191" s="5">
        <v>2020.0</v>
      </c>
      <c r="B1191" s="5" t="s">
        <v>327</v>
      </c>
      <c r="C1191" s="5" t="s">
        <v>157</v>
      </c>
      <c r="D1191" s="5" t="s">
        <v>340</v>
      </c>
      <c r="E1191" s="5">
        <v>440.0</v>
      </c>
      <c r="F1191" s="5">
        <v>346.0</v>
      </c>
      <c r="G1191" s="5">
        <f t="shared" si="1"/>
        <v>786</v>
      </c>
      <c r="H1191" s="10">
        <f t="shared" si="2"/>
        <v>0.5597964377</v>
      </c>
      <c r="I1191" s="10">
        <v>0.1201</v>
      </c>
      <c r="J1191" s="10">
        <v>0.7931</v>
      </c>
      <c r="K1191" s="5">
        <f t="shared" si="3"/>
        <v>1</v>
      </c>
    </row>
    <row r="1192" ht="15.0" customHeight="1">
      <c r="A1192" s="5">
        <v>2022.0</v>
      </c>
      <c r="B1192" s="5" t="s">
        <v>327</v>
      </c>
      <c r="C1192" s="5" t="s">
        <v>157</v>
      </c>
      <c r="D1192" s="5" t="s">
        <v>340</v>
      </c>
      <c r="E1192" s="5">
        <v>400.0</v>
      </c>
      <c r="F1192" s="5">
        <v>303.0</v>
      </c>
      <c r="G1192" s="5">
        <f t="shared" si="1"/>
        <v>703</v>
      </c>
      <c r="H1192" s="10">
        <f t="shared" si="2"/>
        <v>0.5689900427</v>
      </c>
      <c r="I1192" s="10">
        <v>0.1275</v>
      </c>
      <c r="J1192" s="10">
        <v>0.674</v>
      </c>
      <c r="K1192" s="5">
        <f t="shared" si="3"/>
        <v>0</v>
      </c>
    </row>
    <row r="1193" ht="15.0" customHeight="1">
      <c r="A1193" s="5">
        <v>2024.0</v>
      </c>
      <c r="B1193" s="5" t="s">
        <v>327</v>
      </c>
      <c r="C1193" s="5" t="s">
        <v>157</v>
      </c>
      <c r="D1193" s="5" t="s">
        <v>340</v>
      </c>
      <c r="E1193" s="5">
        <v>522.0</v>
      </c>
      <c r="F1193" s="5">
        <v>400.0</v>
      </c>
      <c r="G1193" s="5">
        <f t="shared" si="1"/>
        <v>922</v>
      </c>
      <c r="H1193" s="10">
        <f t="shared" si="2"/>
        <v>0.5661605206</v>
      </c>
      <c r="I1193" s="10">
        <v>0.1164</v>
      </c>
      <c r="J1193" s="10">
        <v>0.8196</v>
      </c>
      <c r="K1193" s="5">
        <f t="shared" si="3"/>
        <v>1</v>
      </c>
    </row>
    <row r="1194" ht="15.0" customHeight="1">
      <c r="A1194" s="5">
        <v>2018.0</v>
      </c>
      <c r="B1194" s="5" t="s">
        <v>327</v>
      </c>
      <c r="C1194" s="5" t="s">
        <v>157</v>
      </c>
      <c r="D1194" s="5" t="s">
        <v>341</v>
      </c>
      <c r="E1194" s="5">
        <v>296.0</v>
      </c>
      <c r="F1194" s="5">
        <v>291.0</v>
      </c>
      <c r="G1194" s="5">
        <f t="shared" si="1"/>
        <v>587</v>
      </c>
      <c r="H1194" s="10">
        <f t="shared" si="2"/>
        <v>0.5042589438</v>
      </c>
      <c r="I1194" s="10">
        <v>-0.0057</v>
      </c>
      <c r="J1194" s="10">
        <v>0.5698</v>
      </c>
      <c r="K1194" s="5">
        <f t="shared" si="3"/>
        <v>0</v>
      </c>
    </row>
    <row r="1195" ht="15.0" customHeight="1">
      <c r="A1195" s="5">
        <v>2020.0</v>
      </c>
      <c r="B1195" s="5" t="s">
        <v>327</v>
      </c>
      <c r="C1195" s="5" t="s">
        <v>157</v>
      </c>
      <c r="D1195" s="5" t="s">
        <v>341</v>
      </c>
      <c r="E1195" s="5">
        <v>439.0</v>
      </c>
      <c r="F1195" s="5">
        <v>447.0</v>
      </c>
      <c r="G1195" s="5">
        <f t="shared" si="1"/>
        <v>886</v>
      </c>
      <c r="H1195" s="10">
        <f t="shared" si="2"/>
        <v>0.4954853273</v>
      </c>
      <c r="I1195" s="10">
        <v>0.0246</v>
      </c>
      <c r="J1195" s="10">
        <v>0.7786</v>
      </c>
      <c r="K1195" s="5">
        <f t="shared" si="3"/>
        <v>1</v>
      </c>
    </row>
    <row r="1196" ht="15.0" customHeight="1">
      <c r="A1196" s="5">
        <v>2022.0</v>
      </c>
      <c r="B1196" s="5" t="s">
        <v>327</v>
      </c>
      <c r="C1196" s="5" t="s">
        <v>157</v>
      </c>
      <c r="D1196" s="5" t="s">
        <v>341</v>
      </c>
      <c r="E1196" s="5">
        <v>356.0</v>
      </c>
      <c r="F1196" s="5">
        <v>330.0</v>
      </c>
      <c r="G1196" s="5">
        <f t="shared" si="1"/>
        <v>686</v>
      </c>
      <c r="H1196" s="10">
        <f t="shared" si="2"/>
        <v>0.5189504373</v>
      </c>
      <c r="I1196" s="10">
        <v>0.0251</v>
      </c>
      <c r="J1196" s="10">
        <v>0.6147</v>
      </c>
      <c r="K1196" s="5">
        <f t="shared" si="3"/>
        <v>0</v>
      </c>
    </row>
    <row r="1197" ht="15.0" customHeight="1">
      <c r="A1197" s="5">
        <v>2024.0</v>
      </c>
      <c r="B1197" s="5" t="s">
        <v>327</v>
      </c>
      <c r="C1197" s="5" t="s">
        <v>157</v>
      </c>
      <c r="D1197" s="5" t="s">
        <v>341</v>
      </c>
      <c r="E1197" s="5">
        <v>436.0</v>
      </c>
      <c r="F1197" s="5">
        <v>423.0</v>
      </c>
      <c r="G1197" s="5">
        <f t="shared" si="1"/>
        <v>859</v>
      </c>
      <c r="H1197" s="10">
        <f t="shared" si="2"/>
        <v>0.5075669383</v>
      </c>
      <c r="I1197" s="10">
        <v>-0.0135</v>
      </c>
      <c r="J1197" s="10">
        <v>0.7718</v>
      </c>
      <c r="K1197" s="5">
        <f t="shared" si="3"/>
        <v>1</v>
      </c>
    </row>
    <row r="1198" ht="15.0" customHeight="1">
      <c r="A1198" s="5">
        <v>2018.0</v>
      </c>
      <c r="B1198" s="5" t="s">
        <v>327</v>
      </c>
      <c r="C1198" s="5" t="s">
        <v>157</v>
      </c>
      <c r="D1198" s="5" t="s">
        <v>124</v>
      </c>
      <c r="E1198" s="5">
        <v>450.0</v>
      </c>
      <c r="F1198" s="5">
        <v>362.0</v>
      </c>
      <c r="G1198" s="5">
        <f t="shared" si="1"/>
        <v>812</v>
      </c>
      <c r="H1198" s="10">
        <f t="shared" si="2"/>
        <v>0.5541871921</v>
      </c>
      <c r="I1198" s="10">
        <v>0.0083</v>
      </c>
      <c r="J1198" s="10">
        <v>0.6312</v>
      </c>
      <c r="K1198" s="5">
        <f t="shared" si="3"/>
        <v>0</v>
      </c>
    </row>
    <row r="1199" ht="15.0" customHeight="1">
      <c r="A1199" s="5">
        <v>2020.0</v>
      </c>
      <c r="B1199" s="5" t="s">
        <v>327</v>
      </c>
      <c r="C1199" s="5" t="s">
        <v>157</v>
      </c>
      <c r="D1199" s="5" t="s">
        <v>124</v>
      </c>
      <c r="E1199" s="5">
        <v>915.0</v>
      </c>
      <c r="F1199" s="5">
        <v>693.0</v>
      </c>
      <c r="G1199" s="5">
        <f t="shared" si="1"/>
        <v>1608</v>
      </c>
      <c r="H1199" s="10">
        <f t="shared" si="2"/>
        <v>0.5690298507</v>
      </c>
      <c r="I1199" s="10">
        <v>0.0576</v>
      </c>
      <c r="J1199" s="10">
        <v>0.806</v>
      </c>
      <c r="K1199" s="5">
        <f t="shared" si="3"/>
        <v>1</v>
      </c>
    </row>
    <row r="1200" ht="15.0" customHeight="1">
      <c r="A1200" s="5">
        <v>2022.0</v>
      </c>
      <c r="B1200" s="5" t="s">
        <v>327</v>
      </c>
      <c r="C1200" s="5" t="s">
        <v>157</v>
      </c>
      <c r="D1200" s="5" t="s">
        <v>124</v>
      </c>
      <c r="E1200" s="5">
        <v>719.0</v>
      </c>
      <c r="F1200" s="5">
        <v>538.0</v>
      </c>
      <c r="G1200" s="5">
        <f t="shared" si="1"/>
        <v>1257</v>
      </c>
      <c r="H1200" s="10">
        <f t="shared" si="2"/>
        <v>0.5719968178</v>
      </c>
      <c r="I1200" s="10">
        <v>0.0645</v>
      </c>
      <c r="J1200" s="10">
        <v>0.6138</v>
      </c>
      <c r="K1200" s="5">
        <f t="shared" si="3"/>
        <v>0</v>
      </c>
    </row>
    <row r="1201" ht="15.0" customHeight="1">
      <c r="A1201" s="5">
        <v>2024.0</v>
      </c>
      <c r="B1201" s="5" t="s">
        <v>327</v>
      </c>
      <c r="C1201" s="5" t="s">
        <v>157</v>
      </c>
      <c r="D1201" s="5" t="s">
        <v>124</v>
      </c>
      <c r="E1201" s="5">
        <v>925.0</v>
      </c>
      <c r="F1201" s="5">
        <v>710.0</v>
      </c>
      <c r="G1201" s="5">
        <f t="shared" si="1"/>
        <v>1635</v>
      </c>
      <c r="H1201" s="10">
        <f t="shared" si="2"/>
        <v>0.5657492355</v>
      </c>
      <c r="I1201" s="10">
        <v>0.0582</v>
      </c>
      <c r="J1201" s="10">
        <v>0.7612</v>
      </c>
      <c r="K1201" s="5">
        <f t="shared" si="3"/>
        <v>1</v>
      </c>
    </row>
    <row r="1202" ht="15.0" customHeight="1">
      <c r="A1202" s="5">
        <v>2018.0</v>
      </c>
      <c r="B1202" s="5" t="s">
        <v>327</v>
      </c>
      <c r="C1202" s="5" t="s">
        <v>157</v>
      </c>
      <c r="D1202" s="5" t="s">
        <v>126</v>
      </c>
      <c r="E1202" s="5">
        <v>307.0</v>
      </c>
      <c r="F1202" s="5">
        <v>353.0</v>
      </c>
      <c r="G1202" s="5">
        <f t="shared" si="1"/>
        <v>660</v>
      </c>
      <c r="H1202" s="10">
        <f t="shared" si="2"/>
        <v>0.4651515152</v>
      </c>
      <c r="I1202" s="10">
        <v>-0.0296</v>
      </c>
      <c r="J1202" s="10">
        <v>0.5588</v>
      </c>
      <c r="K1202" s="5">
        <f t="shared" si="3"/>
        <v>0</v>
      </c>
    </row>
    <row r="1203" ht="15.0" customHeight="1">
      <c r="A1203" s="5">
        <v>2020.0</v>
      </c>
      <c r="B1203" s="5" t="s">
        <v>327</v>
      </c>
      <c r="C1203" s="5" t="s">
        <v>157</v>
      </c>
      <c r="D1203" s="5" t="s">
        <v>126</v>
      </c>
      <c r="E1203" s="5">
        <v>488.0</v>
      </c>
      <c r="F1203" s="5">
        <v>539.0</v>
      </c>
      <c r="G1203" s="5">
        <f t="shared" si="1"/>
        <v>1027</v>
      </c>
      <c r="H1203" s="10">
        <f t="shared" si="2"/>
        <v>0.4751703992</v>
      </c>
      <c r="I1203" s="10">
        <v>-0.0347</v>
      </c>
      <c r="J1203" s="10">
        <v>0.7739</v>
      </c>
      <c r="K1203" s="5">
        <f t="shared" si="3"/>
        <v>1</v>
      </c>
    </row>
    <row r="1204" ht="15.0" customHeight="1">
      <c r="A1204" s="5">
        <v>2022.0</v>
      </c>
      <c r="B1204" s="5" t="s">
        <v>327</v>
      </c>
      <c r="C1204" s="5" t="s">
        <v>157</v>
      </c>
      <c r="D1204" s="5" t="s">
        <v>126</v>
      </c>
      <c r="E1204" s="5">
        <v>391.0</v>
      </c>
      <c r="F1204" s="5">
        <v>384.0</v>
      </c>
      <c r="G1204" s="5">
        <f t="shared" si="1"/>
        <v>775</v>
      </c>
      <c r="H1204" s="10">
        <f t="shared" si="2"/>
        <v>0.504516129</v>
      </c>
      <c r="I1204" s="10">
        <v>-0.0328</v>
      </c>
      <c r="J1204" s="10">
        <v>0.6195</v>
      </c>
      <c r="K1204" s="5">
        <f t="shared" si="3"/>
        <v>0</v>
      </c>
    </row>
    <row r="1205" ht="15.0" customHeight="1">
      <c r="A1205" s="5">
        <v>2024.0</v>
      </c>
      <c r="B1205" s="5" t="s">
        <v>327</v>
      </c>
      <c r="C1205" s="5" t="s">
        <v>157</v>
      </c>
      <c r="D1205" s="5" t="s">
        <v>126</v>
      </c>
      <c r="E1205" s="5">
        <v>535.0</v>
      </c>
      <c r="F1205" s="5">
        <v>514.0</v>
      </c>
      <c r="G1205" s="5">
        <f t="shared" si="1"/>
        <v>1049</v>
      </c>
      <c r="H1205" s="10">
        <f t="shared" si="2"/>
        <v>0.5100095329</v>
      </c>
      <c r="I1205" s="10">
        <v>-0.0402</v>
      </c>
      <c r="J1205" s="10">
        <v>0.7965</v>
      </c>
      <c r="K1205" s="5">
        <f t="shared" si="3"/>
        <v>1</v>
      </c>
    </row>
    <row r="1206" ht="15.0" customHeight="1">
      <c r="A1206" s="5">
        <v>2018.0</v>
      </c>
      <c r="B1206" s="5" t="s">
        <v>327</v>
      </c>
      <c r="C1206" s="5" t="s">
        <v>157</v>
      </c>
      <c r="D1206" s="5" t="s">
        <v>127</v>
      </c>
      <c r="E1206" s="5">
        <v>359.0</v>
      </c>
      <c r="F1206" s="5">
        <v>339.0</v>
      </c>
      <c r="G1206" s="5">
        <f t="shared" si="1"/>
        <v>698</v>
      </c>
      <c r="H1206" s="10">
        <f t="shared" si="2"/>
        <v>0.5143266476</v>
      </c>
      <c r="I1206" s="10">
        <v>0.0086</v>
      </c>
      <c r="J1206" s="10">
        <v>0.6088</v>
      </c>
      <c r="K1206" s="5">
        <f t="shared" si="3"/>
        <v>0</v>
      </c>
    </row>
    <row r="1207" ht="15.0" customHeight="1">
      <c r="A1207" s="5">
        <v>2020.0</v>
      </c>
      <c r="B1207" s="5" t="s">
        <v>327</v>
      </c>
      <c r="C1207" s="5" t="s">
        <v>157</v>
      </c>
      <c r="D1207" s="5" t="s">
        <v>127</v>
      </c>
      <c r="E1207" s="5">
        <v>489.0</v>
      </c>
      <c r="F1207" s="5">
        <v>419.0</v>
      </c>
      <c r="G1207" s="5">
        <f t="shared" si="1"/>
        <v>908</v>
      </c>
      <c r="H1207" s="10">
        <f t="shared" si="2"/>
        <v>0.5385462555</v>
      </c>
      <c r="I1207" s="10">
        <v>0.0404</v>
      </c>
      <c r="J1207" s="10">
        <v>0.7195</v>
      </c>
      <c r="K1207" s="5">
        <f t="shared" si="3"/>
        <v>1</v>
      </c>
    </row>
    <row r="1208" ht="15.0" customHeight="1">
      <c r="A1208" s="5">
        <v>2022.0</v>
      </c>
      <c r="B1208" s="5" t="s">
        <v>327</v>
      </c>
      <c r="C1208" s="5" t="s">
        <v>157</v>
      </c>
      <c r="D1208" s="5" t="s">
        <v>127</v>
      </c>
      <c r="E1208" s="5">
        <v>395.0</v>
      </c>
      <c r="F1208" s="5">
        <v>387.0</v>
      </c>
      <c r="G1208" s="5">
        <f t="shared" si="1"/>
        <v>782</v>
      </c>
      <c r="H1208" s="10">
        <f t="shared" si="2"/>
        <v>0.5051150895</v>
      </c>
      <c r="I1208" s="10">
        <v>0.057</v>
      </c>
      <c r="J1208" s="10">
        <v>0.6549</v>
      </c>
      <c r="K1208" s="5">
        <f t="shared" si="3"/>
        <v>0</v>
      </c>
    </row>
    <row r="1209" ht="15.0" customHeight="1">
      <c r="A1209" s="5">
        <v>2024.0</v>
      </c>
      <c r="B1209" s="5" t="s">
        <v>327</v>
      </c>
      <c r="C1209" s="5" t="s">
        <v>157</v>
      </c>
      <c r="D1209" s="5" t="s">
        <v>127</v>
      </c>
      <c r="E1209" s="5">
        <v>499.0</v>
      </c>
      <c r="F1209" s="5">
        <v>468.0</v>
      </c>
      <c r="G1209" s="5">
        <f t="shared" si="1"/>
        <v>967</v>
      </c>
      <c r="H1209" s="10">
        <f t="shared" si="2"/>
        <v>0.5160289555</v>
      </c>
      <c r="I1209" s="10">
        <v>0.0248</v>
      </c>
      <c r="J1209" s="10">
        <v>0.7998</v>
      </c>
      <c r="K1209" s="5">
        <f t="shared" si="3"/>
        <v>1</v>
      </c>
    </row>
    <row r="1210" ht="15.0" customHeight="1">
      <c r="A1210" s="5">
        <v>2018.0</v>
      </c>
      <c r="B1210" s="5" t="s">
        <v>327</v>
      </c>
      <c r="C1210" s="5" t="s">
        <v>157</v>
      </c>
      <c r="D1210" s="5" t="s">
        <v>342</v>
      </c>
      <c r="E1210" s="5">
        <v>354.0</v>
      </c>
      <c r="F1210" s="5">
        <v>314.0</v>
      </c>
      <c r="G1210" s="5">
        <f t="shared" si="1"/>
        <v>668</v>
      </c>
      <c r="H1210" s="10">
        <f t="shared" si="2"/>
        <v>0.5299401198</v>
      </c>
      <c r="I1210" s="10">
        <v>0.0899</v>
      </c>
      <c r="J1210" s="10">
        <v>0.5886</v>
      </c>
      <c r="K1210" s="5">
        <f t="shared" si="3"/>
        <v>0</v>
      </c>
    </row>
    <row r="1211" ht="15.0" customHeight="1">
      <c r="A1211" s="5">
        <v>2020.0</v>
      </c>
      <c r="B1211" s="5" t="s">
        <v>327</v>
      </c>
      <c r="C1211" s="5" t="s">
        <v>157</v>
      </c>
      <c r="D1211" s="5" t="s">
        <v>342</v>
      </c>
      <c r="E1211" s="5">
        <v>510.0</v>
      </c>
      <c r="F1211" s="5">
        <v>477.0</v>
      </c>
      <c r="G1211" s="5">
        <f t="shared" si="1"/>
        <v>987</v>
      </c>
      <c r="H1211" s="10">
        <f t="shared" si="2"/>
        <v>0.5167173252</v>
      </c>
      <c r="I1211" s="10">
        <v>0.1012</v>
      </c>
      <c r="J1211" s="10">
        <v>0.7928</v>
      </c>
      <c r="K1211" s="5">
        <f t="shared" si="3"/>
        <v>1</v>
      </c>
    </row>
    <row r="1212" ht="15.0" customHeight="1">
      <c r="A1212" s="5">
        <v>2022.0</v>
      </c>
      <c r="B1212" s="5" t="s">
        <v>327</v>
      </c>
      <c r="C1212" s="5" t="s">
        <v>157</v>
      </c>
      <c r="D1212" s="5" t="s">
        <v>342</v>
      </c>
      <c r="E1212" s="5">
        <v>407.0</v>
      </c>
      <c r="F1212" s="5">
        <v>347.0</v>
      </c>
      <c r="G1212" s="5">
        <f t="shared" si="1"/>
        <v>754</v>
      </c>
      <c r="H1212" s="10">
        <f t="shared" si="2"/>
        <v>0.5397877984</v>
      </c>
      <c r="I1212" s="10">
        <v>0.1082</v>
      </c>
      <c r="J1212" s="10">
        <v>0.6374</v>
      </c>
      <c r="K1212" s="5">
        <f t="shared" si="3"/>
        <v>0</v>
      </c>
    </row>
    <row r="1213" ht="15.0" customHeight="1">
      <c r="A1213" s="5">
        <v>2024.0</v>
      </c>
      <c r="B1213" s="5" t="s">
        <v>327</v>
      </c>
      <c r="C1213" s="5" t="s">
        <v>157</v>
      </c>
      <c r="D1213" s="5" t="s">
        <v>342</v>
      </c>
      <c r="E1213" s="5">
        <v>503.0</v>
      </c>
      <c r="F1213" s="5">
        <v>468.0</v>
      </c>
      <c r="G1213" s="5">
        <f t="shared" si="1"/>
        <v>971</v>
      </c>
      <c r="H1213" s="10">
        <f t="shared" si="2"/>
        <v>0.5180226571</v>
      </c>
      <c r="I1213" s="10">
        <v>0.0666</v>
      </c>
      <c r="J1213" s="10">
        <v>0.7979</v>
      </c>
      <c r="K1213" s="5">
        <f t="shared" si="3"/>
        <v>1</v>
      </c>
    </row>
    <row r="1214" ht="15.0" customHeight="1">
      <c r="A1214" s="5">
        <v>2018.0</v>
      </c>
      <c r="B1214" s="5" t="s">
        <v>327</v>
      </c>
      <c r="C1214" s="5" t="s">
        <v>343</v>
      </c>
      <c r="D1214" s="5" t="s">
        <v>130</v>
      </c>
      <c r="E1214" s="5">
        <v>579.0</v>
      </c>
      <c r="F1214" s="5">
        <v>946.0</v>
      </c>
      <c r="G1214" s="5">
        <f t="shared" si="1"/>
        <v>1525</v>
      </c>
      <c r="H1214" s="10">
        <f t="shared" si="2"/>
        <v>0.3796721311</v>
      </c>
      <c r="I1214" s="10">
        <v>-0.1662</v>
      </c>
      <c r="J1214" s="10">
        <v>0.5942</v>
      </c>
      <c r="K1214" s="5">
        <f t="shared" si="3"/>
        <v>0</v>
      </c>
    </row>
    <row r="1215" ht="15.0" customHeight="1">
      <c r="A1215" s="5">
        <v>2020.0</v>
      </c>
      <c r="B1215" s="5" t="s">
        <v>327</v>
      </c>
      <c r="C1215" s="5" t="s">
        <v>343</v>
      </c>
      <c r="D1215" s="5" t="s">
        <v>130</v>
      </c>
      <c r="E1215" s="5">
        <v>858.0</v>
      </c>
      <c r="F1215" s="5">
        <v>1442.0</v>
      </c>
      <c r="G1215" s="5">
        <f t="shared" si="1"/>
        <v>2300</v>
      </c>
      <c r="H1215" s="10">
        <f t="shared" si="2"/>
        <v>0.3730434783</v>
      </c>
      <c r="I1215" s="10">
        <v>-0.1893</v>
      </c>
      <c r="J1215" s="10">
        <v>0.8153</v>
      </c>
      <c r="K1215" s="5">
        <f t="shared" si="3"/>
        <v>1</v>
      </c>
    </row>
    <row r="1216" ht="15.0" customHeight="1">
      <c r="A1216" s="5">
        <v>2022.0</v>
      </c>
      <c r="B1216" s="5" t="s">
        <v>327</v>
      </c>
      <c r="C1216" s="5" t="s">
        <v>343</v>
      </c>
      <c r="D1216" s="5" t="s">
        <v>130</v>
      </c>
      <c r="E1216" s="5">
        <v>730.0</v>
      </c>
      <c r="F1216" s="5">
        <v>1145.0</v>
      </c>
      <c r="G1216" s="5">
        <f t="shared" si="1"/>
        <v>1875</v>
      </c>
      <c r="H1216" s="10">
        <f t="shared" si="2"/>
        <v>0.3893333333</v>
      </c>
      <c r="I1216" s="10">
        <v>-0.2116</v>
      </c>
      <c r="J1216" s="10">
        <v>0.6579</v>
      </c>
      <c r="K1216" s="5">
        <f t="shared" si="3"/>
        <v>0</v>
      </c>
    </row>
    <row r="1217" ht="15.0" customHeight="1">
      <c r="A1217" s="5">
        <v>2024.0</v>
      </c>
      <c r="B1217" s="5" t="s">
        <v>327</v>
      </c>
      <c r="C1217" s="5" t="s">
        <v>343</v>
      </c>
      <c r="D1217" s="5" t="s">
        <v>130</v>
      </c>
      <c r="E1217" s="5">
        <v>939.0</v>
      </c>
      <c r="F1217" s="5">
        <v>1452.0</v>
      </c>
      <c r="G1217" s="5">
        <f t="shared" si="1"/>
        <v>2391</v>
      </c>
      <c r="H1217" s="10">
        <f t="shared" si="2"/>
        <v>0.3927227102</v>
      </c>
      <c r="I1217" s="10">
        <v>-0.2296</v>
      </c>
      <c r="J1217" s="10">
        <v>0.8158</v>
      </c>
      <c r="K1217" s="5">
        <f t="shared" si="3"/>
        <v>1</v>
      </c>
    </row>
    <row r="1218" ht="15.0" customHeight="1">
      <c r="A1218" s="5">
        <v>2018.0</v>
      </c>
      <c r="B1218" s="5" t="s">
        <v>327</v>
      </c>
      <c r="C1218" s="5" t="s">
        <v>343</v>
      </c>
      <c r="D1218" s="5" t="s">
        <v>131</v>
      </c>
      <c r="E1218" s="5">
        <v>544.0</v>
      </c>
      <c r="F1218" s="5">
        <v>694.0</v>
      </c>
      <c r="G1218" s="5">
        <f t="shared" si="1"/>
        <v>1238</v>
      </c>
      <c r="H1218" s="10">
        <f t="shared" si="2"/>
        <v>0.4394184168</v>
      </c>
      <c r="I1218" s="10">
        <v>-0.0779</v>
      </c>
      <c r="J1218" s="10">
        <v>0.6028</v>
      </c>
      <c r="K1218" s="5">
        <f t="shared" si="3"/>
        <v>0</v>
      </c>
    </row>
    <row r="1219" ht="15.0" customHeight="1">
      <c r="A1219" s="5">
        <v>2020.0</v>
      </c>
      <c r="B1219" s="5" t="s">
        <v>327</v>
      </c>
      <c r="C1219" s="5" t="s">
        <v>343</v>
      </c>
      <c r="D1219" s="5" t="s">
        <v>131</v>
      </c>
      <c r="E1219" s="5">
        <v>766.0</v>
      </c>
      <c r="F1219" s="5">
        <v>1181.0</v>
      </c>
      <c r="G1219" s="5">
        <f t="shared" si="1"/>
        <v>1947</v>
      </c>
      <c r="H1219" s="10">
        <f t="shared" si="2"/>
        <v>0.3934257833</v>
      </c>
      <c r="I1219" s="10">
        <v>-0.11</v>
      </c>
      <c r="J1219" s="10">
        <v>0.824</v>
      </c>
      <c r="K1219" s="5">
        <f t="shared" si="3"/>
        <v>1</v>
      </c>
    </row>
    <row r="1220" ht="15.0" customHeight="1">
      <c r="A1220" s="5">
        <v>2022.0</v>
      </c>
      <c r="B1220" s="5" t="s">
        <v>327</v>
      </c>
      <c r="C1220" s="5" t="s">
        <v>343</v>
      </c>
      <c r="D1220" s="5" t="s">
        <v>131</v>
      </c>
      <c r="E1220" s="5">
        <v>692.0</v>
      </c>
      <c r="F1220" s="5">
        <v>909.0</v>
      </c>
      <c r="G1220" s="5">
        <f t="shared" si="1"/>
        <v>1601</v>
      </c>
      <c r="H1220" s="10">
        <f t="shared" si="2"/>
        <v>0.4322298563</v>
      </c>
      <c r="I1220" s="10">
        <v>-0.1268</v>
      </c>
      <c r="J1220" s="10">
        <v>0.6679</v>
      </c>
      <c r="K1220" s="5">
        <f t="shared" si="3"/>
        <v>0</v>
      </c>
    </row>
    <row r="1221" ht="15.0" customHeight="1">
      <c r="A1221" s="5">
        <v>2024.0</v>
      </c>
      <c r="B1221" s="5" t="s">
        <v>327</v>
      </c>
      <c r="C1221" s="5" t="s">
        <v>343</v>
      </c>
      <c r="D1221" s="5" t="s">
        <v>131</v>
      </c>
      <c r="E1221" s="5">
        <v>820.0</v>
      </c>
      <c r="F1221" s="5">
        <v>1185.0</v>
      </c>
      <c r="G1221" s="5">
        <f t="shared" si="1"/>
        <v>2005</v>
      </c>
      <c r="H1221" s="10">
        <f t="shared" si="2"/>
        <v>0.4089775561</v>
      </c>
      <c r="I1221" s="10">
        <v>-0.1809</v>
      </c>
      <c r="J1221" s="10">
        <v>0.815</v>
      </c>
      <c r="K1221" s="5">
        <f t="shared" si="3"/>
        <v>1</v>
      </c>
    </row>
    <row r="1222" ht="15.0" customHeight="1">
      <c r="A1222" s="5">
        <v>2018.0</v>
      </c>
      <c r="B1222" s="5" t="s">
        <v>327</v>
      </c>
      <c r="C1222" s="5" t="s">
        <v>343</v>
      </c>
      <c r="D1222" s="5" t="s">
        <v>132</v>
      </c>
      <c r="E1222" s="5">
        <v>247.0</v>
      </c>
      <c r="F1222" s="5">
        <v>503.0</v>
      </c>
      <c r="G1222" s="5">
        <f t="shared" si="1"/>
        <v>750</v>
      </c>
      <c r="H1222" s="10">
        <f t="shared" si="2"/>
        <v>0.3293333333</v>
      </c>
      <c r="I1222" s="10">
        <v>-0.1518</v>
      </c>
      <c r="J1222" s="10">
        <v>0.5808</v>
      </c>
      <c r="K1222" s="5">
        <f t="shared" si="3"/>
        <v>0</v>
      </c>
    </row>
    <row r="1223" ht="15.0" customHeight="1">
      <c r="A1223" s="5">
        <v>2020.0</v>
      </c>
      <c r="B1223" s="5" t="s">
        <v>327</v>
      </c>
      <c r="C1223" s="5" t="s">
        <v>343</v>
      </c>
      <c r="D1223" s="5" t="s">
        <v>132</v>
      </c>
      <c r="E1223" s="5">
        <v>354.0</v>
      </c>
      <c r="F1223" s="5">
        <v>762.0</v>
      </c>
      <c r="G1223" s="5">
        <f t="shared" si="1"/>
        <v>1116</v>
      </c>
      <c r="H1223" s="10">
        <f t="shared" si="2"/>
        <v>0.3172043011</v>
      </c>
      <c r="I1223" s="10">
        <v>-0.202</v>
      </c>
      <c r="J1223" s="10">
        <v>0.7854</v>
      </c>
      <c r="K1223" s="5">
        <f t="shared" si="3"/>
        <v>1</v>
      </c>
    </row>
    <row r="1224" ht="15.0" customHeight="1">
      <c r="A1224" s="5">
        <v>2022.0</v>
      </c>
      <c r="B1224" s="5" t="s">
        <v>327</v>
      </c>
      <c r="C1224" s="5" t="s">
        <v>343</v>
      </c>
      <c r="D1224" s="5" t="s">
        <v>132</v>
      </c>
      <c r="E1224" s="5">
        <v>315.0</v>
      </c>
      <c r="F1224" s="5">
        <v>608.0</v>
      </c>
      <c r="G1224" s="5">
        <f t="shared" si="1"/>
        <v>923</v>
      </c>
      <c r="H1224" s="10">
        <f t="shared" si="2"/>
        <v>0.3412784399</v>
      </c>
      <c r="I1224" s="10">
        <v>-0.2437</v>
      </c>
      <c r="J1224" s="10">
        <v>0.641</v>
      </c>
      <c r="K1224" s="5">
        <f t="shared" si="3"/>
        <v>0</v>
      </c>
    </row>
    <row r="1225" ht="15.0" customHeight="1">
      <c r="A1225" s="5">
        <v>2024.0</v>
      </c>
      <c r="B1225" s="5" t="s">
        <v>327</v>
      </c>
      <c r="C1225" s="5" t="s">
        <v>343</v>
      </c>
      <c r="D1225" s="5" t="s">
        <v>132</v>
      </c>
      <c r="E1225" s="5">
        <v>410.0</v>
      </c>
      <c r="F1225" s="5">
        <v>822.0</v>
      </c>
      <c r="G1225" s="5">
        <f t="shared" si="1"/>
        <v>1232</v>
      </c>
      <c r="H1225" s="10">
        <f t="shared" si="2"/>
        <v>0.3327922078</v>
      </c>
      <c r="I1225" s="10">
        <v>-0.2778</v>
      </c>
      <c r="J1225" s="10">
        <v>0.8148</v>
      </c>
      <c r="K1225" s="5">
        <f t="shared" si="3"/>
        <v>1</v>
      </c>
    </row>
    <row r="1226" ht="15.0" customHeight="1">
      <c r="A1226" s="5">
        <v>2018.0</v>
      </c>
      <c r="B1226" s="5" t="s">
        <v>327</v>
      </c>
      <c r="C1226" s="5" t="s">
        <v>344</v>
      </c>
      <c r="D1226" s="5" t="s">
        <v>133</v>
      </c>
      <c r="E1226" s="5">
        <v>30.0</v>
      </c>
      <c r="F1226" s="5">
        <v>36.0</v>
      </c>
      <c r="G1226" s="5">
        <f t="shared" si="1"/>
        <v>66</v>
      </c>
      <c r="H1226" s="10">
        <f t="shared" si="2"/>
        <v>0.4545454545</v>
      </c>
      <c r="I1226" s="10">
        <v>-0.0152</v>
      </c>
      <c r="J1226" s="10">
        <v>0.5227</v>
      </c>
      <c r="K1226" s="5">
        <f t="shared" si="3"/>
        <v>0</v>
      </c>
    </row>
    <row r="1227" ht="15.0" customHeight="1">
      <c r="A1227" s="5">
        <v>2020.0</v>
      </c>
      <c r="B1227" s="5" t="s">
        <v>327</v>
      </c>
      <c r="C1227" s="5" t="s">
        <v>344</v>
      </c>
      <c r="D1227" s="5" t="s">
        <v>133</v>
      </c>
      <c r="E1227" s="5">
        <v>39.0</v>
      </c>
      <c r="F1227" s="5">
        <v>79.0</v>
      </c>
      <c r="G1227" s="5">
        <f t="shared" si="1"/>
        <v>118</v>
      </c>
      <c r="H1227" s="10">
        <f t="shared" si="2"/>
        <v>0.3305084746</v>
      </c>
      <c r="I1227" s="10">
        <v>-0.0556</v>
      </c>
      <c r="J1227" s="10">
        <v>0.8194</v>
      </c>
      <c r="K1227" s="5">
        <f t="shared" si="3"/>
        <v>1</v>
      </c>
    </row>
    <row r="1228" ht="15.0" customHeight="1">
      <c r="A1228" s="5">
        <v>2022.0</v>
      </c>
      <c r="B1228" s="5" t="s">
        <v>327</v>
      </c>
      <c r="C1228" s="5" t="s">
        <v>344</v>
      </c>
      <c r="D1228" s="5" t="s">
        <v>133</v>
      </c>
      <c r="E1228" s="5">
        <v>31.0</v>
      </c>
      <c r="F1228" s="5">
        <v>55.0</v>
      </c>
      <c r="G1228" s="5">
        <f t="shared" si="1"/>
        <v>86</v>
      </c>
      <c r="H1228" s="10">
        <f t="shared" si="2"/>
        <v>0.3604651163</v>
      </c>
      <c r="I1228" s="10">
        <v>-0.1533</v>
      </c>
      <c r="J1228" s="10">
        <v>0.6277</v>
      </c>
      <c r="K1228" s="5">
        <f t="shared" si="3"/>
        <v>0</v>
      </c>
    </row>
    <row r="1229" ht="15.0" customHeight="1">
      <c r="A1229" s="5">
        <v>2024.0</v>
      </c>
      <c r="B1229" s="5" t="s">
        <v>327</v>
      </c>
      <c r="C1229" s="5" t="s">
        <v>344</v>
      </c>
      <c r="D1229" s="5" t="s">
        <v>133</v>
      </c>
      <c r="E1229" s="5">
        <v>40.0</v>
      </c>
      <c r="F1229" s="5">
        <v>83.0</v>
      </c>
      <c r="G1229" s="5">
        <f t="shared" si="1"/>
        <v>123</v>
      </c>
      <c r="H1229" s="10">
        <f t="shared" si="2"/>
        <v>0.325203252</v>
      </c>
      <c r="I1229" s="10">
        <v>-0.2432</v>
      </c>
      <c r="J1229" s="10">
        <v>0.8311</v>
      </c>
      <c r="K1229" s="5">
        <f t="shared" si="3"/>
        <v>1</v>
      </c>
    </row>
    <row r="1230" ht="15.0" customHeight="1">
      <c r="A1230" s="5">
        <v>2018.0</v>
      </c>
      <c r="B1230" s="5" t="s">
        <v>327</v>
      </c>
      <c r="C1230" s="5" t="s">
        <v>345</v>
      </c>
      <c r="D1230" s="5" t="s">
        <v>135</v>
      </c>
      <c r="E1230" s="5">
        <v>375.0</v>
      </c>
      <c r="F1230" s="5">
        <v>542.0</v>
      </c>
      <c r="G1230" s="5">
        <f t="shared" si="1"/>
        <v>917</v>
      </c>
      <c r="H1230" s="10">
        <f t="shared" si="2"/>
        <v>0.4089422028</v>
      </c>
      <c r="I1230" s="10">
        <v>-0.0297</v>
      </c>
      <c r="J1230" s="10">
        <v>0.5718</v>
      </c>
      <c r="K1230" s="5">
        <f t="shared" si="3"/>
        <v>0</v>
      </c>
    </row>
    <row r="1231" ht="15.0" customHeight="1">
      <c r="A1231" s="5">
        <v>2020.0</v>
      </c>
      <c r="B1231" s="5" t="s">
        <v>327</v>
      </c>
      <c r="C1231" s="5" t="s">
        <v>345</v>
      </c>
      <c r="D1231" s="5" t="s">
        <v>135</v>
      </c>
      <c r="E1231" s="5">
        <v>527.0</v>
      </c>
      <c r="F1231" s="5">
        <v>867.0</v>
      </c>
      <c r="G1231" s="5">
        <f t="shared" si="1"/>
        <v>1394</v>
      </c>
      <c r="H1231" s="10">
        <f t="shared" si="2"/>
        <v>0.3780487805</v>
      </c>
      <c r="I1231" s="10">
        <v>-0.0976</v>
      </c>
      <c r="J1231" s="10">
        <v>0.7732</v>
      </c>
      <c r="K1231" s="5">
        <f t="shared" si="3"/>
        <v>1</v>
      </c>
    </row>
    <row r="1232" ht="15.0" customHeight="1">
      <c r="A1232" s="5">
        <v>2022.0</v>
      </c>
      <c r="B1232" s="5" t="s">
        <v>327</v>
      </c>
      <c r="C1232" s="5" t="s">
        <v>345</v>
      </c>
      <c r="D1232" s="5" t="s">
        <v>135</v>
      </c>
      <c r="E1232" s="5">
        <v>551.0</v>
      </c>
      <c r="F1232" s="5">
        <v>740.0</v>
      </c>
      <c r="G1232" s="5">
        <f t="shared" si="1"/>
        <v>1291</v>
      </c>
      <c r="H1232" s="10">
        <f t="shared" si="2"/>
        <v>0.4268009295</v>
      </c>
      <c r="I1232" s="10">
        <v>-0.1241</v>
      </c>
      <c r="J1232" s="10">
        <v>0.641</v>
      </c>
      <c r="K1232" s="5">
        <f t="shared" si="3"/>
        <v>0</v>
      </c>
    </row>
    <row r="1233" ht="15.0" customHeight="1">
      <c r="A1233" s="5">
        <v>2024.0</v>
      </c>
      <c r="B1233" s="5" t="s">
        <v>327</v>
      </c>
      <c r="C1233" s="5" t="s">
        <v>345</v>
      </c>
      <c r="D1233" s="5" t="s">
        <v>135</v>
      </c>
      <c r="E1233" s="5">
        <v>774.0</v>
      </c>
      <c r="F1233" s="5">
        <v>1032.0</v>
      </c>
      <c r="G1233" s="5">
        <f t="shared" si="1"/>
        <v>1806</v>
      </c>
      <c r="H1233" s="10">
        <f t="shared" si="2"/>
        <v>0.4285714286</v>
      </c>
      <c r="I1233" s="10">
        <v>-0.143</v>
      </c>
      <c r="J1233" s="10">
        <v>0.8048</v>
      </c>
      <c r="K1233" s="5">
        <f t="shared" si="3"/>
        <v>1</v>
      </c>
    </row>
    <row r="1234" ht="15.0" customHeight="1">
      <c r="A1234" s="5">
        <v>2018.0</v>
      </c>
      <c r="B1234" s="5" t="s">
        <v>327</v>
      </c>
      <c r="C1234" s="5" t="s">
        <v>345</v>
      </c>
      <c r="D1234" s="5" t="s">
        <v>136</v>
      </c>
      <c r="E1234" s="5">
        <v>465.0</v>
      </c>
      <c r="F1234" s="5">
        <v>609.0</v>
      </c>
      <c r="G1234" s="5">
        <f t="shared" si="1"/>
        <v>1074</v>
      </c>
      <c r="H1234" s="10">
        <f t="shared" si="2"/>
        <v>0.4329608939</v>
      </c>
      <c r="I1234" s="10">
        <v>-0.0372</v>
      </c>
      <c r="J1234" s="10">
        <v>0.6203</v>
      </c>
      <c r="K1234" s="5">
        <f t="shared" si="3"/>
        <v>0</v>
      </c>
    </row>
    <row r="1235" ht="15.0" customHeight="1">
      <c r="A1235" s="5">
        <v>2020.0</v>
      </c>
      <c r="B1235" s="5" t="s">
        <v>327</v>
      </c>
      <c r="C1235" s="5" t="s">
        <v>345</v>
      </c>
      <c r="D1235" s="5" t="s">
        <v>136</v>
      </c>
      <c r="E1235" s="5">
        <v>688.0</v>
      </c>
      <c r="F1235" s="5">
        <v>917.0</v>
      </c>
      <c r="G1235" s="5">
        <f t="shared" si="1"/>
        <v>1605</v>
      </c>
      <c r="H1235" s="10">
        <f t="shared" si="2"/>
        <v>0.4286604361</v>
      </c>
      <c r="I1235" s="10">
        <v>-0.0444</v>
      </c>
      <c r="J1235" s="10">
        <v>0.8193</v>
      </c>
      <c r="K1235" s="5">
        <f t="shared" si="3"/>
        <v>1</v>
      </c>
    </row>
    <row r="1236" ht="15.0" customHeight="1">
      <c r="A1236" s="5">
        <v>2022.0</v>
      </c>
      <c r="B1236" s="5" t="s">
        <v>327</v>
      </c>
      <c r="C1236" s="5" t="s">
        <v>345</v>
      </c>
      <c r="D1236" s="5" t="s">
        <v>136</v>
      </c>
      <c r="E1236" s="5">
        <v>558.0</v>
      </c>
      <c r="F1236" s="5">
        <v>668.0</v>
      </c>
      <c r="G1236" s="5">
        <f t="shared" si="1"/>
        <v>1226</v>
      </c>
      <c r="H1236" s="10">
        <f t="shared" si="2"/>
        <v>0.4551386623</v>
      </c>
      <c r="I1236" s="10">
        <v>-0.0514</v>
      </c>
      <c r="J1236" s="10">
        <v>0.6297</v>
      </c>
      <c r="K1236" s="5">
        <f t="shared" si="3"/>
        <v>0</v>
      </c>
    </row>
    <row r="1237" ht="15.0" customHeight="1">
      <c r="A1237" s="5">
        <v>2024.0</v>
      </c>
      <c r="B1237" s="5" t="s">
        <v>327</v>
      </c>
      <c r="C1237" s="5" t="s">
        <v>345</v>
      </c>
      <c r="D1237" s="5" t="s">
        <v>136</v>
      </c>
      <c r="E1237" s="5">
        <v>710.0</v>
      </c>
      <c r="F1237" s="5">
        <v>927.0</v>
      </c>
      <c r="G1237" s="5">
        <f t="shared" si="1"/>
        <v>1637</v>
      </c>
      <c r="H1237" s="10">
        <f t="shared" si="2"/>
        <v>0.4337202199</v>
      </c>
      <c r="I1237" s="10">
        <v>-0.0913</v>
      </c>
      <c r="J1237" s="10">
        <v>0.8259</v>
      </c>
      <c r="K1237" s="5">
        <f t="shared" si="3"/>
        <v>1</v>
      </c>
    </row>
    <row r="1238" ht="15.0" customHeight="1">
      <c r="A1238" s="5">
        <v>2018.0</v>
      </c>
      <c r="B1238" s="5" t="s">
        <v>327</v>
      </c>
      <c r="C1238" s="5" t="s">
        <v>346</v>
      </c>
      <c r="D1238" s="5" t="s">
        <v>139</v>
      </c>
      <c r="E1238" s="5">
        <v>130.0</v>
      </c>
      <c r="F1238" s="5">
        <v>203.0</v>
      </c>
      <c r="G1238" s="5">
        <f t="shared" si="1"/>
        <v>333</v>
      </c>
      <c r="H1238" s="10">
        <f t="shared" si="2"/>
        <v>0.3903903904</v>
      </c>
      <c r="I1238" s="10">
        <v>-0.0321</v>
      </c>
      <c r="J1238" s="10">
        <v>0.5321</v>
      </c>
      <c r="K1238" s="5">
        <f t="shared" si="3"/>
        <v>0</v>
      </c>
    </row>
    <row r="1239" ht="15.0" customHeight="1">
      <c r="A1239" s="5">
        <v>2020.0</v>
      </c>
      <c r="B1239" s="5" t="s">
        <v>327</v>
      </c>
      <c r="C1239" s="5" t="s">
        <v>346</v>
      </c>
      <c r="D1239" s="5" t="s">
        <v>139</v>
      </c>
      <c r="E1239" s="5">
        <v>166.0</v>
      </c>
      <c r="F1239" s="5">
        <v>332.0</v>
      </c>
      <c r="G1239" s="5">
        <f t="shared" si="1"/>
        <v>498</v>
      </c>
      <c r="H1239" s="10">
        <f t="shared" si="2"/>
        <v>0.3333333333</v>
      </c>
      <c r="I1239" s="10">
        <v>-0.1081</v>
      </c>
      <c r="J1239" s="10">
        <v>0.6994</v>
      </c>
      <c r="K1239" s="5">
        <f t="shared" si="3"/>
        <v>1</v>
      </c>
    </row>
    <row r="1240" ht="15.0" customHeight="1">
      <c r="A1240" s="5">
        <v>2022.0</v>
      </c>
      <c r="B1240" s="5" t="s">
        <v>327</v>
      </c>
      <c r="C1240" s="5" t="s">
        <v>346</v>
      </c>
      <c r="D1240" s="5" t="s">
        <v>139</v>
      </c>
      <c r="E1240" s="5">
        <v>137.0</v>
      </c>
      <c r="F1240" s="5">
        <v>214.0</v>
      </c>
      <c r="G1240" s="5">
        <f t="shared" si="1"/>
        <v>351</v>
      </c>
      <c r="H1240" s="10">
        <f t="shared" si="2"/>
        <v>0.3903133903</v>
      </c>
      <c r="I1240" s="10">
        <v>-0.1155</v>
      </c>
      <c r="J1240" s="10">
        <v>0.5132</v>
      </c>
      <c r="K1240" s="5">
        <f t="shared" si="3"/>
        <v>0</v>
      </c>
    </row>
    <row r="1241" ht="15.0" customHeight="1">
      <c r="A1241" s="5">
        <v>2024.0</v>
      </c>
      <c r="B1241" s="5" t="s">
        <v>327</v>
      </c>
      <c r="C1241" s="5" t="s">
        <v>346</v>
      </c>
      <c r="D1241" s="5" t="s">
        <v>139</v>
      </c>
      <c r="E1241" s="5">
        <v>217.0</v>
      </c>
      <c r="F1241" s="5">
        <v>309.0</v>
      </c>
      <c r="G1241" s="5">
        <f t="shared" si="1"/>
        <v>526</v>
      </c>
      <c r="H1241" s="10">
        <f t="shared" si="2"/>
        <v>0.4125475285</v>
      </c>
      <c r="I1241" s="10">
        <v>-0.1382</v>
      </c>
      <c r="J1241" s="10">
        <v>0.7196</v>
      </c>
      <c r="K1241" s="5">
        <f t="shared" si="3"/>
        <v>1</v>
      </c>
    </row>
    <row r="1242" ht="15.0" customHeight="1">
      <c r="A1242" s="5">
        <v>2018.0</v>
      </c>
      <c r="B1242" s="5" t="s">
        <v>327</v>
      </c>
      <c r="C1242" s="5" t="s">
        <v>347</v>
      </c>
      <c r="D1242" s="5" t="s">
        <v>140</v>
      </c>
      <c r="E1242" s="5">
        <v>326.0</v>
      </c>
      <c r="F1242" s="5">
        <v>91.0</v>
      </c>
      <c r="G1242" s="5">
        <f t="shared" si="1"/>
        <v>417</v>
      </c>
      <c r="H1242" s="10">
        <f t="shared" si="2"/>
        <v>0.7817745803</v>
      </c>
      <c r="I1242" s="10">
        <v>0.3419</v>
      </c>
      <c r="J1242" s="10">
        <v>0.436</v>
      </c>
      <c r="K1242" s="5">
        <f t="shared" si="3"/>
        <v>0</v>
      </c>
    </row>
    <row r="1243" ht="15.0" customHeight="1">
      <c r="A1243" s="5">
        <v>2020.0</v>
      </c>
      <c r="B1243" s="5" t="s">
        <v>327</v>
      </c>
      <c r="C1243" s="5" t="s">
        <v>347</v>
      </c>
      <c r="D1243" s="5" t="s">
        <v>140</v>
      </c>
      <c r="E1243" s="5">
        <v>456.0</v>
      </c>
      <c r="F1243" s="5">
        <v>160.0</v>
      </c>
      <c r="G1243" s="5">
        <f t="shared" si="1"/>
        <v>616</v>
      </c>
      <c r="H1243" s="10">
        <f t="shared" si="2"/>
        <v>0.7402597403</v>
      </c>
      <c r="I1243" s="10">
        <v>0.3667</v>
      </c>
      <c r="J1243" s="10">
        <v>0.551</v>
      </c>
      <c r="K1243" s="5">
        <f t="shared" si="3"/>
        <v>1</v>
      </c>
    </row>
    <row r="1244" ht="15.0" customHeight="1">
      <c r="A1244" s="5">
        <v>2022.0</v>
      </c>
      <c r="B1244" s="5" t="s">
        <v>327</v>
      </c>
      <c r="C1244" s="5" t="s">
        <v>347</v>
      </c>
      <c r="D1244" s="5" t="s">
        <v>140</v>
      </c>
      <c r="E1244" s="5">
        <v>372.0</v>
      </c>
      <c r="F1244" s="5">
        <v>118.0</v>
      </c>
      <c r="G1244" s="5">
        <f t="shared" si="1"/>
        <v>490</v>
      </c>
      <c r="H1244" s="10">
        <f t="shared" si="2"/>
        <v>0.7591836735</v>
      </c>
      <c r="I1244" s="10">
        <v>0.3693</v>
      </c>
      <c r="J1244" s="10">
        <v>0.4479</v>
      </c>
      <c r="K1244" s="5">
        <f t="shared" si="3"/>
        <v>0</v>
      </c>
    </row>
    <row r="1245" ht="15.0" customHeight="1">
      <c r="A1245" s="5">
        <v>2024.0</v>
      </c>
      <c r="B1245" s="5" t="s">
        <v>327</v>
      </c>
      <c r="C1245" s="5" t="s">
        <v>347</v>
      </c>
      <c r="D1245" s="5" t="s">
        <v>140</v>
      </c>
      <c r="E1245" s="5">
        <v>492.0</v>
      </c>
      <c r="F1245" s="5">
        <v>197.0</v>
      </c>
      <c r="G1245" s="5">
        <f t="shared" si="1"/>
        <v>689</v>
      </c>
      <c r="H1245" s="10">
        <f t="shared" si="2"/>
        <v>0.7140783745</v>
      </c>
      <c r="I1245" s="10">
        <v>0.3648</v>
      </c>
      <c r="J1245" s="10">
        <v>0.5971</v>
      </c>
      <c r="K1245" s="5">
        <f t="shared" si="3"/>
        <v>1</v>
      </c>
    </row>
    <row r="1246" ht="15.0" customHeight="1">
      <c r="A1246" s="5">
        <v>2018.0</v>
      </c>
      <c r="B1246" s="5" t="s">
        <v>327</v>
      </c>
      <c r="C1246" s="5" t="s">
        <v>347</v>
      </c>
      <c r="D1246" s="5" t="s">
        <v>142</v>
      </c>
      <c r="E1246" s="5">
        <v>609.0</v>
      </c>
      <c r="F1246" s="5">
        <v>202.0</v>
      </c>
      <c r="G1246" s="5">
        <f t="shared" si="1"/>
        <v>811</v>
      </c>
      <c r="H1246" s="10">
        <f t="shared" si="2"/>
        <v>0.7509247842</v>
      </c>
      <c r="I1246" s="10">
        <v>0.3028</v>
      </c>
      <c r="J1246" s="10">
        <v>0.6664</v>
      </c>
      <c r="K1246" s="5">
        <f t="shared" si="3"/>
        <v>0</v>
      </c>
    </row>
    <row r="1247" ht="15.0" customHeight="1">
      <c r="A1247" s="5">
        <v>2020.0</v>
      </c>
      <c r="B1247" s="5" t="s">
        <v>327</v>
      </c>
      <c r="C1247" s="5" t="s">
        <v>347</v>
      </c>
      <c r="D1247" s="5" t="s">
        <v>142</v>
      </c>
      <c r="E1247" s="5">
        <v>737.0</v>
      </c>
      <c r="F1247" s="5">
        <v>293.0</v>
      </c>
      <c r="G1247" s="5">
        <f t="shared" si="1"/>
        <v>1030</v>
      </c>
      <c r="H1247" s="10">
        <f t="shared" si="2"/>
        <v>0.7155339806</v>
      </c>
      <c r="I1247" s="10">
        <v>0.341</v>
      </c>
      <c r="J1247" s="10">
        <v>0.7669</v>
      </c>
      <c r="K1247" s="5">
        <f t="shared" si="3"/>
        <v>1</v>
      </c>
    </row>
    <row r="1248" ht="15.0" customHeight="1">
      <c r="A1248" s="5">
        <v>2022.0</v>
      </c>
      <c r="B1248" s="5" t="s">
        <v>327</v>
      </c>
      <c r="C1248" s="5" t="s">
        <v>347</v>
      </c>
      <c r="D1248" s="5" t="s">
        <v>142</v>
      </c>
      <c r="E1248" s="5">
        <v>665.0</v>
      </c>
      <c r="F1248" s="5">
        <v>201.0</v>
      </c>
      <c r="G1248" s="5">
        <f t="shared" si="1"/>
        <v>866</v>
      </c>
      <c r="H1248" s="10">
        <f t="shared" si="2"/>
        <v>0.7678983834</v>
      </c>
      <c r="I1248" s="10">
        <v>0.3836</v>
      </c>
      <c r="J1248" s="10">
        <v>0.6766</v>
      </c>
      <c r="K1248" s="5">
        <f t="shared" si="3"/>
        <v>0</v>
      </c>
    </row>
    <row r="1249" ht="15.0" customHeight="1">
      <c r="A1249" s="5">
        <v>2024.0</v>
      </c>
      <c r="B1249" s="5" t="s">
        <v>327</v>
      </c>
      <c r="C1249" s="5" t="s">
        <v>347</v>
      </c>
      <c r="D1249" s="5" t="s">
        <v>142</v>
      </c>
      <c r="E1249" s="5">
        <v>743.0</v>
      </c>
      <c r="F1249" s="5">
        <v>265.0</v>
      </c>
      <c r="G1249" s="5">
        <f t="shared" si="1"/>
        <v>1008</v>
      </c>
      <c r="H1249" s="10">
        <f t="shared" si="2"/>
        <v>0.7371031746</v>
      </c>
      <c r="I1249" s="10">
        <v>0.3863</v>
      </c>
      <c r="J1249" s="10">
        <v>0.7931</v>
      </c>
      <c r="K1249" s="5">
        <f t="shared" si="3"/>
        <v>1</v>
      </c>
    </row>
    <row r="1250" ht="15.0" customHeight="1">
      <c r="A1250" s="5">
        <v>2018.0</v>
      </c>
      <c r="B1250" s="5" t="s">
        <v>327</v>
      </c>
      <c r="C1250" s="5" t="s">
        <v>347</v>
      </c>
      <c r="D1250" s="5" t="s">
        <v>148</v>
      </c>
      <c r="E1250" s="5">
        <v>473.0</v>
      </c>
      <c r="F1250" s="5">
        <v>58.0</v>
      </c>
      <c r="G1250" s="5">
        <f t="shared" si="1"/>
        <v>531</v>
      </c>
      <c r="H1250" s="10">
        <f t="shared" si="2"/>
        <v>0.8907721281</v>
      </c>
      <c r="I1250" s="10">
        <v>0.3665</v>
      </c>
      <c r="J1250" s="10">
        <v>0.2923</v>
      </c>
      <c r="K1250" s="5">
        <f t="shared" si="3"/>
        <v>0</v>
      </c>
    </row>
    <row r="1251" ht="15.0" customHeight="1">
      <c r="A1251" s="5">
        <v>2020.0</v>
      </c>
      <c r="B1251" s="5" t="s">
        <v>327</v>
      </c>
      <c r="C1251" s="5" t="s">
        <v>347</v>
      </c>
      <c r="D1251" s="5" t="s">
        <v>148</v>
      </c>
      <c r="E1251" s="5">
        <v>445.0</v>
      </c>
      <c r="F1251" s="5">
        <v>114.0</v>
      </c>
      <c r="G1251" s="5">
        <f t="shared" si="1"/>
        <v>559</v>
      </c>
      <c r="H1251" s="10">
        <f t="shared" si="2"/>
        <v>0.7960644007</v>
      </c>
      <c r="I1251" s="10">
        <v>0.4162</v>
      </c>
      <c r="J1251" s="10">
        <v>0.2937</v>
      </c>
      <c r="K1251" s="5">
        <f t="shared" si="3"/>
        <v>1</v>
      </c>
    </row>
    <row r="1252" ht="15.0" customHeight="1">
      <c r="A1252" s="5">
        <v>2022.0</v>
      </c>
      <c r="B1252" s="5" t="s">
        <v>327</v>
      </c>
      <c r="C1252" s="5" t="s">
        <v>347</v>
      </c>
      <c r="D1252" s="5" t="s">
        <v>148</v>
      </c>
      <c r="E1252" s="5">
        <v>460.0</v>
      </c>
      <c r="F1252" s="5">
        <v>76.0</v>
      </c>
      <c r="G1252" s="5">
        <f t="shared" si="1"/>
        <v>536</v>
      </c>
      <c r="H1252" s="10">
        <f t="shared" si="2"/>
        <v>0.8582089552</v>
      </c>
      <c r="I1252" s="10">
        <v>0.4884</v>
      </c>
      <c r="J1252" s="10">
        <v>0.2971</v>
      </c>
      <c r="K1252" s="5">
        <f t="shared" si="3"/>
        <v>0</v>
      </c>
    </row>
    <row r="1253" ht="15.0" customHeight="1">
      <c r="A1253" s="5">
        <v>2024.0</v>
      </c>
      <c r="B1253" s="5" t="s">
        <v>327</v>
      </c>
      <c r="C1253" s="5" t="s">
        <v>347</v>
      </c>
      <c r="D1253" s="5" t="s">
        <v>148</v>
      </c>
      <c r="E1253" s="5">
        <v>1109.0</v>
      </c>
      <c r="F1253" s="5">
        <v>290.0</v>
      </c>
      <c r="G1253" s="5">
        <f t="shared" si="1"/>
        <v>1399</v>
      </c>
      <c r="H1253" s="10">
        <f t="shared" si="2"/>
        <v>0.7927090779</v>
      </c>
      <c r="I1253" s="10">
        <v>0.47</v>
      </c>
      <c r="J1253" s="10">
        <v>0.4993</v>
      </c>
      <c r="K1253" s="5">
        <f t="shared" si="3"/>
        <v>1</v>
      </c>
    </row>
    <row r="1254" ht="15.0" customHeight="1">
      <c r="A1254" s="5">
        <v>2018.0</v>
      </c>
      <c r="B1254" s="5" t="s">
        <v>327</v>
      </c>
      <c r="C1254" s="5" t="s">
        <v>347</v>
      </c>
      <c r="D1254" s="5" t="s">
        <v>149</v>
      </c>
      <c r="E1254" s="5">
        <v>410.0</v>
      </c>
      <c r="F1254" s="5">
        <v>127.0</v>
      </c>
      <c r="G1254" s="5">
        <f t="shared" si="1"/>
        <v>537</v>
      </c>
      <c r="H1254" s="10">
        <f t="shared" si="2"/>
        <v>0.7635009311</v>
      </c>
      <c r="I1254" s="10">
        <v>0.3068</v>
      </c>
      <c r="J1254" s="10">
        <v>0.6102</v>
      </c>
      <c r="K1254" s="5">
        <f t="shared" si="3"/>
        <v>0</v>
      </c>
    </row>
    <row r="1255" ht="15.0" customHeight="1">
      <c r="A1255" s="5">
        <v>2020.0</v>
      </c>
      <c r="B1255" s="5" t="s">
        <v>327</v>
      </c>
      <c r="C1255" s="5" t="s">
        <v>347</v>
      </c>
      <c r="D1255" s="5" t="s">
        <v>149</v>
      </c>
      <c r="E1255" s="5">
        <v>569.0</v>
      </c>
      <c r="F1255" s="5">
        <v>249.0</v>
      </c>
      <c r="G1255" s="5">
        <f t="shared" si="1"/>
        <v>818</v>
      </c>
      <c r="H1255" s="10">
        <f t="shared" si="2"/>
        <v>0.695599022</v>
      </c>
      <c r="I1255" s="10">
        <v>0.3394</v>
      </c>
      <c r="J1255" s="10">
        <v>0.7464</v>
      </c>
      <c r="K1255" s="5">
        <f t="shared" si="3"/>
        <v>1</v>
      </c>
    </row>
    <row r="1256" ht="15.0" customHeight="1">
      <c r="A1256" s="5">
        <v>2022.0</v>
      </c>
      <c r="B1256" s="5" t="s">
        <v>327</v>
      </c>
      <c r="C1256" s="5" t="s">
        <v>347</v>
      </c>
      <c r="D1256" s="5" t="s">
        <v>149</v>
      </c>
      <c r="E1256" s="5">
        <v>507.0</v>
      </c>
      <c r="F1256" s="5">
        <v>172.0</v>
      </c>
      <c r="G1256" s="5">
        <f t="shared" si="1"/>
        <v>679</v>
      </c>
      <c r="H1256" s="10">
        <f t="shared" si="2"/>
        <v>0.7466863034</v>
      </c>
      <c r="I1256" s="10">
        <v>0.3291</v>
      </c>
      <c r="J1256" s="10">
        <v>0.6123</v>
      </c>
      <c r="K1256" s="5">
        <f t="shared" si="3"/>
        <v>0</v>
      </c>
    </row>
    <row r="1257" ht="15.0" customHeight="1">
      <c r="A1257" s="5">
        <v>2024.0</v>
      </c>
      <c r="B1257" s="5" t="s">
        <v>327</v>
      </c>
      <c r="C1257" s="5" t="s">
        <v>347</v>
      </c>
      <c r="D1257" s="5" t="s">
        <v>149</v>
      </c>
      <c r="E1257" s="5">
        <v>566.0</v>
      </c>
      <c r="F1257" s="5">
        <v>257.0</v>
      </c>
      <c r="G1257" s="5">
        <f t="shared" si="1"/>
        <v>823</v>
      </c>
      <c r="H1257" s="10">
        <f t="shared" si="2"/>
        <v>0.687727825</v>
      </c>
      <c r="I1257" s="10">
        <v>0.333</v>
      </c>
      <c r="J1257" s="10">
        <v>0.7251</v>
      </c>
      <c r="K1257" s="5">
        <f t="shared" si="3"/>
        <v>1</v>
      </c>
    </row>
    <row r="1258" ht="15.0" customHeight="1">
      <c r="A1258" s="5">
        <v>2018.0</v>
      </c>
      <c r="B1258" s="5" t="s">
        <v>327</v>
      </c>
      <c r="C1258" s="5" t="s">
        <v>347</v>
      </c>
      <c r="D1258" s="5" t="s">
        <v>348</v>
      </c>
      <c r="E1258" s="5">
        <v>334.0</v>
      </c>
      <c r="F1258" s="5">
        <v>128.0</v>
      </c>
      <c r="G1258" s="5">
        <f t="shared" si="1"/>
        <v>462</v>
      </c>
      <c r="H1258" s="10">
        <f t="shared" si="2"/>
        <v>0.7229437229</v>
      </c>
      <c r="I1258" s="10">
        <v>0.388</v>
      </c>
      <c r="J1258" s="10">
        <v>0.3579</v>
      </c>
      <c r="K1258" s="5">
        <f t="shared" si="3"/>
        <v>0</v>
      </c>
    </row>
    <row r="1259" ht="15.0" customHeight="1">
      <c r="A1259" s="5">
        <v>2020.0</v>
      </c>
      <c r="B1259" s="5" t="s">
        <v>327</v>
      </c>
      <c r="C1259" s="5" t="s">
        <v>347</v>
      </c>
      <c r="D1259" s="5" t="s">
        <v>348</v>
      </c>
      <c r="E1259" s="5">
        <v>552.0</v>
      </c>
      <c r="F1259" s="5">
        <v>257.0</v>
      </c>
      <c r="G1259" s="5">
        <f t="shared" si="1"/>
        <v>809</v>
      </c>
      <c r="H1259" s="10">
        <f t="shared" si="2"/>
        <v>0.6823238566</v>
      </c>
      <c r="I1259" s="10">
        <v>0.3754</v>
      </c>
      <c r="J1259" s="10">
        <v>0.5553</v>
      </c>
      <c r="K1259" s="5">
        <f t="shared" si="3"/>
        <v>1</v>
      </c>
    </row>
    <row r="1260" ht="15.0" customHeight="1">
      <c r="A1260" s="5">
        <v>2022.0</v>
      </c>
      <c r="B1260" s="5" t="s">
        <v>327</v>
      </c>
      <c r="C1260" s="5" t="s">
        <v>347</v>
      </c>
      <c r="D1260" s="5" t="s">
        <v>348</v>
      </c>
      <c r="E1260" s="5">
        <v>364.0</v>
      </c>
      <c r="F1260" s="5">
        <v>155.0</v>
      </c>
      <c r="G1260" s="5">
        <f t="shared" si="1"/>
        <v>519</v>
      </c>
      <c r="H1260" s="10">
        <f t="shared" si="2"/>
        <v>0.7013487476</v>
      </c>
      <c r="I1260" s="10">
        <v>0.3963</v>
      </c>
      <c r="J1260" s="10">
        <v>0.3686</v>
      </c>
      <c r="K1260" s="5">
        <f t="shared" si="3"/>
        <v>0</v>
      </c>
    </row>
    <row r="1261" ht="15.0" customHeight="1">
      <c r="A1261" s="5">
        <v>2024.0</v>
      </c>
      <c r="B1261" s="5" t="s">
        <v>327</v>
      </c>
      <c r="C1261" s="5" t="s">
        <v>347</v>
      </c>
      <c r="D1261" s="5" t="s">
        <v>348</v>
      </c>
      <c r="E1261" s="5">
        <v>517.0</v>
      </c>
      <c r="F1261" s="5">
        <v>265.0</v>
      </c>
      <c r="G1261" s="5">
        <f t="shared" si="1"/>
        <v>782</v>
      </c>
      <c r="H1261" s="10">
        <f t="shared" si="2"/>
        <v>0.6611253197</v>
      </c>
      <c r="I1261" s="10">
        <v>0.3345</v>
      </c>
      <c r="J1261" s="10">
        <v>0.5578</v>
      </c>
      <c r="K1261" s="5">
        <f t="shared" si="3"/>
        <v>1</v>
      </c>
    </row>
    <row r="1262" ht="15.0" customHeight="1">
      <c r="A1262" s="5">
        <v>2018.0</v>
      </c>
      <c r="B1262" s="5" t="s">
        <v>327</v>
      </c>
      <c r="C1262" s="5" t="s">
        <v>347</v>
      </c>
      <c r="D1262" s="5" t="s">
        <v>150</v>
      </c>
      <c r="E1262" s="5">
        <v>189.0</v>
      </c>
      <c r="F1262" s="5">
        <v>42.0</v>
      </c>
      <c r="G1262" s="5">
        <f t="shared" si="1"/>
        <v>231</v>
      </c>
      <c r="H1262" s="10">
        <f t="shared" si="2"/>
        <v>0.8181818182</v>
      </c>
      <c r="I1262" s="10">
        <v>0.4783</v>
      </c>
      <c r="J1262" s="10">
        <v>0.4107</v>
      </c>
      <c r="K1262" s="5">
        <f t="shared" si="3"/>
        <v>0</v>
      </c>
    </row>
    <row r="1263" ht="15.0" customHeight="1">
      <c r="A1263" s="5">
        <v>2020.0</v>
      </c>
      <c r="B1263" s="5" t="s">
        <v>327</v>
      </c>
      <c r="C1263" s="5" t="s">
        <v>347</v>
      </c>
      <c r="D1263" s="5" t="s">
        <v>150</v>
      </c>
      <c r="E1263" s="5">
        <v>246.0</v>
      </c>
      <c r="F1263" s="5">
        <v>82.0</v>
      </c>
      <c r="G1263" s="5">
        <f t="shared" si="1"/>
        <v>328</v>
      </c>
      <c r="H1263" s="10">
        <f t="shared" si="2"/>
        <v>0.75</v>
      </c>
      <c r="I1263" s="10">
        <v>0.4608</v>
      </c>
      <c r="J1263" s="10">
        <v>0.5248</v>
      </c>
      <c r="K1263" s="5">
        <f t="shared" si="3"/>
        <v>1</v>
      </c>
    </row>
    <row r="1264" ht="15.0" customHeight="1">
      <c r="A1264" s="5">
        <v>2022.0</v>
      </c>
      <c r="B1264" s="5" t="s">
        <v>327</v>
      </c>
      <c r="C1264" s="5" t="s">
        <v>347</v>
      </c>
      <c r="D1264" s="5" t="s">
        <v>150</v>
      </c>
      <c r="E1264" s="5">
        <v>154.0</v>
      </c>
      <c r="F1264" s="5">
        <v>58.0</v>
      </c>
      <c r="G1264" s="5">
        <f t="shared" si="1"/>
        <v>212</v>
      </c>
      <c r="H1264" s="10">
        <f t="shared" si="2"/>
        <v>0.7264150943</v>
      </c>
      <c r="I1264" s="10">
        <v>0.4077</v>
      </c>
      <c r="J1264" s="10">
        <v>0.3693</v>
      </c>
      <c r="K1264" s="5">
        <f t="shared" si="3"/>
        <v>0</v>
      </c>
    </row>
    <row r="1265" ht="15.0" customHeight="1">
      <c r="A1265" s="5">
        <v>2024.0</v>
      </c>
      <c r="B1265" s="5" t="s">
        <v>327</v>
      </c>
      <c r="C1265" s="5" t="s">
        <v>347</v>
      </c>
      <c r="D1265" s="5" t="s">
        <v>150</v>
      </c>
      <c r="E1265" s="5">
        <v>233.0</v>
      </c>
      <c r="F1265" s="5">
        <v>84.0</v>
      </c>
      <c r="G1265" s="5">
        <f t="shared" si="1"/>
        <v>317</v>
      </c>
      <c r="H1265" s="10">
        <f t="shared" si="2"/>
        <v>0.7350157729</v>
      </c>
      <c r="I1265" s="10">
        <v>0.4052</v>
      </c>
      <c r="J1265" s="10">
        <v>0.5513</v>
      </c>
      <c r="K1265" s="5">
        <f t="shared" si="3"/>
        <v>1</v>
      </c>
    </row>
    <row r="1266" ht="15.0" customHeight="1">
      <c r="A1266" s="5">
        <v>2018.0</v>
      </c>
      <c r="B1266" s="5" t="s">
        <v>327</v>
      </c>
      <c r="C1266" s="5" t="s">
        <v>347</v>
      </c>
      <c r="D1266" s="5" t="s">
        <v>349</v>
      </c>
      <c r="E1266" s="5">
        <v>236.0</v>
      </c>
      <c r="F1266" s="5">
        <v>61.0</v>
      </c>
      <c r="G1266" s="5">
        <f t="shared" si="1"/>
        <v>297</v>
      </c>
      <c r="H1266" s="10">
        <f t="shared" si="2"/>
        <v>0.7946127946</v>
      </c>
      <c r="I1266" s="10">
        <v>0.484</v>
      </c>
      <c r="J1266" s="10">
        <v>0.3106</v>
      </c>
      <c r="K1266" s="5">
        <f t="shared" si="3"/>
        <v>0</v>
      </c>
    </row>
    <row r="1267" ht="15.0" customHeight="1">
      <c r="A1267" s="5">
        <v>2020.0</v>
      </c>
      <c r="B1267" s="5" t="s">
        <v>327</v>
      </c>
      <c r="C1267" s="5" t="s">
        <v>347</v>
      </c>
      <c r="D1267" s="5" t="s">
        <v>349</v>
      </c>
      <c r="E1267" s="5">
        <v>318.0</v>
      </c>
      <c r="F1267" s="5">
        <v>137.0</v>
      </c>
      <c r="G1267" s="5">
        <f t="shared" si="1"/>
        <v>455</v>
      </c>
      <c r="H1267" s="10">
        <f t="shared" si="2"/>
        <v>0.6989010989</v>
      </c>
      <c r="I1267" s="10">
        <v>0.4645</v>
      </c>
      <c r="J1267" s="10">
        <v>0.4367</v>
      </c>
      <c r="K1267" s="5">
        <f t="shared" si="3"/>
        <v>1</v>
      </c>
    </row>
    <row r="1268" ht="15.0" customHeight="1">
      <c r="A1268" s="5">
        <v>2022.0</v>
      </c>
      <c r="B1268" s="5" t="s">
        <v>327</v>
      </c>
      <c r="C1268" s="5" t="s">
        <v>347</v>
      </c>
      <c r="D1268" s="5" t="s">
        <v>349</v>
      </c>
      <c r="E1268" s="5">
        <v>245.0</v>
      </c>
      <c r="F1268" s="5">
        <v>79.0</v>
      </c>
      <c r="G1268" s="5">
        <f t="shared" si="1"/>
        <v>324</v>
      </c>
      <c r="H1268" s="10">
        <f t="shared" si="2"/>
        <v>0.7561728395</v>
      </c>
      <c r="I1268" s="10">
        <v>0.4371</v>
      </c>
      <c r="J1268" s="10">
        <v>0.3183</v>
      </c>
      <c r="K1268" s="5">
        <f t="shared" si="3"/>
        <v>0</v>
      </c>
    </row>
    <row r="1269" ht="15.0" customHeight="1">
      <c r="A1269" s="5">
        <v>2024.0</v>
      </c>
      <c r="B1269" s="5" t="s">
        <v>327</v>
      </c>
      <c r="C1269" s="5" t="s">
        <v>347</v>
      </c>
      <c r="D1269" s="5" t="s">
        <v>349</v>
      </c>
      <c r="E1269" s="5">
        <v>391.0</v>
      </c>
      <c r="F1269" s="5">
        <v>126.0</v>
      </c>
      <c r="G1269" s="5">
        <f t="shared" si="1"/>
        <v>517</v>
      </c>
      <c r="H1269" s="10">
        <f t="shared" si="2"/>
        <v>0.7562862669</v>
      </c>
      <c r="I1269" s="10">
        <v>0.4243</v>
      </c>
      <c r="J1269" s="10">
        <v>0.5186</v>
      </c>
      <c r="K1269" s="5">
        <f t="shared" si="3"/>
        <v>1</v>
      </c>
    </row>
    <row r="1270" ht="15.0" customHeight="1">
      <c r="A1270" s="5">
        <v>2018.0</v>
      </c>
      <c r="B1270" s="5" t="s">
        <v>327</v>
      </c>
      <c r="C1270" s="5" t="s">
        <v>347</v>
      </c>
      <c r="D1270" s="5" t="s">
        <v>151</v>
      </c>
      <c r="E1270" s="5">
        <v>280.0</v>
      </c>
      <c r="F1270" s="5">
        <v>61.0</v>
      </c>
      <c r="G1270" s="5">
        <f t="shared" si="1"/>
        <v>341</v>
      </c>
      <c r="H1270" s="10">
        <f t="shared" si="2"/>
        <v>0.8211143695</v>
      </c>
      <c r="I1270" s="10">
        <v>0.5302</v>
      </c>
      <c r="J1270" s="10">
        <v>0.3222</v>
      </c>
      <c r="K1270" s="5">
        <f t="shared" si="3"/>
        <v>0</v>
      </c>
    </row>
    <row r="1271" ht="15.0" customHeight="1">
      <c r="A1271" s="5">
        <v>2020.0</v>
      </c>
      <c r="B1271" s="5" t="s">
        <v>327</v>
      </c>
      <c r="C1271" s="5" t="s">
        <v>347</v>
      </c>
      <c r="D1271" s="5" t="s">
        <v>151</v>
      </c>
      <c r="E1271" s="5">
        <v>415.0</v>
      </c>
      <c r="F1271" s="5">
        <v>157.0</v>
      </c>
      <c r="G1271" s="5">
        <f t="shared" si="1"/>
        <v>572</v>
      </c>
      <c r="H1271" s="10">
        <f t="shared" si="2"/>
        <v>0.7255244755</v>
      </c>
      <c r="I1271" s="10">
        <v>0.4827</v>
      </c>
      <c r="J1271" s="10">
        <v>0.4957</v>
      </c>
      <c r="K1271" s="5">
        <f t="shared" si="3"/>
        <v>1</v>
      </c>
    </row>
    <row r="1272" ht="15.0" customHeight="1">
      <c r="A1272" s="5">
        <v>2022.0</v>
      </c>
      <c r="B1272" s="5" t="s">
        <v>327</v>
      </c>
      <c r="C1272" s="5" t="s">
        <v>347</v>
      </c>
      <c r="D1272" s="5" t="s">
        <v>151</v>
      </c>
      <c r="E1272" s="5">
        <v>262.0</v>
      </c>
      <c r="F1272" s="5">
        <v>82.0</v>
      </c>
      <c r="G1272" s="5">
        <f t="shared" si="1"/>
        <v>344</v>
      </c>
      <c r="H1272" s="10">
        <f t="shared" si="2"/>
        <v>0.761627907</v>
      </c>
      <c r="I1272" s="10">
        <v>0.4389</v>
      </c>
      <c r="J1272" s="10">
        <v>0.3139</v>
      </c>
      <c r="K1272" s="5">
        <f t="shared" si="3"/>
        <v>0</v>
      </c>
    </row>
    <row r="1273" ht="15.0" customHeight="1">
      <c r="A1273" s="5">
        <v>2024.0</v>
      </c>
      <c r="B1273" s="5" t="s">
        <v>327</v>
      </c>
      <c r="C1273" s="5" t="s">
        <v>347</v>
      </c>
      <c r="D1273" s="5" t="s">
        <v>151</v>
      </c>
      <c r="E1273" s="5">
        <v>381.0</v>
      </c>
      <c r="F1273" s="5">
        <v>184.0</v>
      </c>
      <c r="G1273" s="5">
        <f t="shared" si="1"/>
        <v>565</v>
      </c>
      <c r="H1273" s="10">
        <f t="shared" si="2"/>
        <v>0.6743362832</v>
      </c>
      <c r="I1273" s="10">
        <v>0.3766</v>
      </c>
      <c r="J1273" s="10">
        <v>0.4892</v>
      </c>
      <c r="K1273" s="5">
        <f t="shared" si="3"/>
        <v>1</v>
      </c>
    </row>
    <row r="1274" ht="15.0" customHeight="1">
      <c r="A1274" s="5">
        <v>2018.0</v>
      </c>
      <c r="B1274" s="5" t="s">
        <v>327</v>
      </c>
      <c r="C1274" s="5" t="s">
        <v>347</v>
      </c>
      <c r="D1274" s="5" t="s">
        <v>152</v>
      </c>
      <c r="E1274" s="5">
        <v>228.0</v>
      </c>
      <c r="F1274" s="5">
        <v>100.0</v>
      </c>
      <c r="G1274" s="5">
        <f t="shared" si="1"/>
        <v>328</v>
      </c>
      <c r="H1274" s="10">
        <f t="shared" si="2"/>
        <v>0.6951219512</v>
      </c>
      <c r="I1274" s="10">
        <v>0.4165</v>
      </c>
      <c r="J1274" s="10">
        <v>0.3495</v>
      </c>
      <c r="K1274" s="5">
        <f t="shared" si="3"/>
        <v>0</v>
      </c>
    </row>
    <row r="1275" ht="15.0" customHeight="1">
      <c r="A1275" s="5">
        <v>2020.0</v>
      </c>
      <c r="B1275" s="5" t="s">
        <v>327</v>
      </c>
      <c r="C1275" s="5" t="s">
        <v>347</v>
      </c>
      <c r="D1275" s="5" t="s">
        <v>152</v>
      </c>
      <c r="E1275" s="5">
        <v>372.0</v>
      </c>
      <c r="F1275" s="5">
        <v>186.0</v>
      </c>
      <c r="G1275" s="5">
        <f t="shared" si="1"/>
        <v>558</v>
      </c>
      <c r="H1275" s="10">
        <f t="shared" si="2"/>
        <v>0.6666666667</v>
      </c>
      <c r="I1275" s="10">
        <v>0.3746</v>
      </c>
      <c r="J1275" s="10">
        <v>0.553</v>
      </c>
      <c r="K1275" s="5">
        <f t="shared" si="3"/>
        <v>1</v>
      </c>
    </row>
    <row r="1276" ht="15.0" customHeight="1">
      <c r="A1276" s="5">
        <v>2022.0</v>
      </c>
      <c r="B1276" s="5" t="s">
        <v>327</v>
      </c>
      <c r="C1276" s="5" t="s">
        <v>347</v>
      </c>
      <c r="D1276" s="5" t="s">
        <v>152</v>
      </c>
      <c r="E1276" s="5">
        <v>217.0</v>
      </c>
      <c r="F1276" s="5">
        <v>111.0</v>
      </c>
      <c r="G1276" s="5">
        <f t="shared" si="1"/>
        <v>328</v>
      </c>
      <c r="H1276" s="10">
        <f t="shared" si="2"/>
        <v>0.6615853659</v>
      </c>
      <c r="I1276" s="10">
        <v>0.3577</v>
      </c>
      <c r="J1276" s="10">
        <v>0.3371</v>
      </c>
      <c r="K1276" s="5">
        <f t="shared" si="3"/>
        <v>0</v>
      </c>
    </row>
    <row r="1277" ht="15.0" customHeight="1">
      <c r="A1277" s="5">
        <v>2024.0</v>
      </c>
      <c r="B1277" s="5" t="s">
        <v>327</v>
      </c>
      <c r="C1277" s="5" t="s">
        <v>347</v>
      </c>
      <c r="D1277" s="5" t="s">
        <v>152</v>
      </c>
      <c r="E1277" s="5">
        <v>334.0</v>
      </c>
      <c r="F1277" s="5">
        <v>188.0</v>
      </c>
      <c r="G1277" s="5">
        <f t="shared" si="1"/>
        <v>522</v>
      </c>
      <c r="H1277" s="10">
        <f t="shared" si="2"/>
        <v>0.6398467433</v>
      </c>
      <c r="I1277" s="10">
        <v>0.3114</v>
      </c>
      <c r="J1277" s="10">
        <v>0.5455</v>
      </c>
      <c r="K1277" s="5">
        <f t="shared" si="3"/>
        <v>1</v>
      </c>
    </row>
    <row r="1278" ht="15.0" customHeight="1">
      <c r="A1278" s="5">
        <v>2018.0</v>
      </c>
      <c r="B1278" s="5" t="s">
        <v>327</v>
      </c>
      <c r="C1278" s="5" t="s">
        <v>347</v>
      </c>
      <c r="D1278" s="5" t="s">
        <v>153</v>
      </c>
      <c r="E1278" s="5">
        <v>259.0</v>
      </c>
      <c r="F1278" s="5">
        <v>139.0</v>
      </c>
      <c r="G1278" s="5">
        <f t="shared" si="1"/>
        <v>398</v>
      </c>
      <c r="H1278" s="10">
        <f t="shared" si="2"/>
        <v>0.6507537688</v>
      </c>
      <c r="I1278" s="10">
        <v>0.3993</v>
      </c>
      <c r="J1278" s="10">
        <v>0.3616</v>
      </c>
      <c r="K1278" s="5">
        <f t="shared" si="3"/>
        <v>0</v>
      </c>
    </row>
    <row r="1279" ht="15.0" customHeight="1">
      <c r="A1279" s="5">
        <v>2020.0</v>
      </c>
      <c r="B1279" s="5" t="s">
        <v>327</v>
      </c>
      <c r="C1279" s="5" t="s">
        <v>347</v>
      </c>
      <c r="D1279" s="5" t="s">
        <v>153</v>
      </c>
      <c r="E1279" s="5">
        <v>447.0</v>
      </c>
      <c r="F1279" s="5">
        <v>255.0</v>
      </c>
      <c r="G1279" s="5">
        <f t="shared" si="1"/>
        <v>702</v>
      </c>
      <c r="H1279" s="10">
        <f t="shared" si="2"/>
        <v>0.6367521368</v>
      </c>
      <c r="I1279" s="10">
        <v>0.3953</v>
      </c>
      <c r="J1279" s="10">
        <v>0.563</v>
      </c>
      <c r="K1279" s="5">
        <f t="shared" si="3"/>
        <v>1</v>
      </c>
    </row>
    <row r="1280" ht="15.0" customHeight="1">
      <c r="A1280" s="5">
        <v>2022.0</v>
      </c>
      <c r="B1280" s="5" t="s">
        <v>327</v>
      </c>
      <c r="C1280" s="5" t="s">
        <v>347</v>
      </c>
      <c r="D1280" s="5" t="s">
        <v>153</v>
      </c>
      <c r="E1280" s="5">
        <v>272.0</v>
      </c>
      <c r="F1280" s="5">
        <v>132.0</v>
      </c>
      <c r="G1280" s="5">
        <f t="shared" si="1"/>
        <v>404</v>
      </c>
      <c r="H1280" s="10">
        <f t="shared" si="2"/>
        <v>0.6732673267</v>
      </c>
      <c r="I1280" s="10">
        <v>0.4178</v>
      </c>
      <c r="J1280" s="10">
        <v>0.3369</v>
      </c>
      <c r="K1280" s="5">
        <f t="shared" si="3"/>
        <v>0</v>
      </c>
    </row>
    <row r="1281" ht="15.0" customHeight="1">
      <c r="A1281" s="5">
        <v>2024.0</v>
      </c>
      <c r="B1281" s="5" t="s">
        <v>327</v>
      </c>
      <c r="C1281" s="5" t="s">
        <v>347</v>
      </c>
      <c r="D1281" s="5" t="s">
        <v>153</v>
      </c>
      <c r="E1281" s="5">
        <v>431.0</v>
      </c>
      <c r="F1281" s="5">
        <v>275.0</v>
      </c>
      <c r="G1281" s="5">
        <f t="shared" si="1"/>
        <v>706</v>
      </c>
      <c r="H1281" s="10">
        <f t="shared" si="2"/>
        <v>0.6104815864</v>
      </c>
      <c r="I1281" s="10">
        <v>0.3471</v>
      </c>
      <c r="J1281" s="10">
        <v>0.5712</v>
      </c>
      <c r="K1281" s="5">
        <f t="shared" si="3"/>
        <v>1</v>
      </c>
    </row>
    <row r="1282" ht="15.0" customHeight="1">
      <c r="A1282" s="5">
        <v>2018.0</v>
      </c>
      <c r="B1282" s="5" t="s">
        <v>327</v>
      </c>
      <c r="C1282" s="5" t="s">
        <v>347</v>
      </c>
      <c r="D1282" s="5" t="s">
        <v>154</v>
      </c>
      <c r="E1282" s="5">
        <v>699.0</v>
      </c>
      <c r="F1282" s="5">
        <v>213.0</v>
      </c>
      <c r="G1282" s="5">
        <f t="shared" si="1"/>
        <v>912</v>
      </c>
      <c r="H1282" s="10">
        <f t="shared" si="2"/>
        <v>0.7664473684</v>
      </c>
      <c r="I1282" s="10">
        <v>0.4775</v>
      </c>
      <c r="J1282" s="10">
        <v>0.4554</v>
      </c>
      <c r="K1282" s="5">
        <f t="shared" si="3"/>
        <v>0</v>
      </c>
    </row>
    <row r="1283" ht="15.0" customHeight="1">
      <c r="A1283" s="5">
        <v>2020.0</v>
      </c>
      <c r="B1283" s="5" t="s">
        <v>327</v>
      </c>
      <c r="C1283" s="5" t="s">
        <v>347</v>
      </c>
      <c r="D1283" s="5" t="s">
        <v>154</v>
      </c>
      <c r="E1283" s="5">
        <v>984.0</v>
      </c>
      <c r="F1283" s="5">
        <v>394.0</v>
      </c>
      <c r="G1283" s="5">
        <f t="shared" si="1"/>
        <v>1378</v>
      </c>
      <c r="H1283" s="10">
        <f t="shared" si="2"/>
        <v>0.7140783745</v>
      </c>
      <c r="I1283" s="10">
        <v>0.4526</v>
      </c>
      <c r="J1283" s="10">
        <v>0.6344</v>
      </c>
      <c r="K1283" s="5">
        <f t="shared" si="3"/>
        <v>1</v>
      </c>
    </row>
    <row r="1284" ht="15.0" customHeight="1">
      <c r="A1284" s="5">
        <v>2022.0</v>
      </c>
      <c r="B1284" s="5" t="s">
        <v>327</v>
      </c>
      <c r="C1284" s="5" t="s">
        <v>347</v>
      </c>
      <c r="D1284" s="5" t="s">
        <v>154</v>
      </c>
      <c r="E1284" s="5">
        <v>643.0</v>
      </c>
      <c r="F1284" s="5">
        <v>261.0</v>
      </c>
      <c r="G1284" s="5">
        <f t="shared" si="1"/>
        <v>904</v>
      </c>
      <c r="H1284" s="10">
        <f t="shared" si="2"/>
        <v>0.7112831858</v>
      </c>
      <c r="I1284" s="10">
        <v>0.4488</v>
      </c>
      <c r="J1284" s="10">
        <v>0.433</v>
      </c>
      <c r="K1284" s="5">
        <f t="shared" si="3"/>
        <v>0</v>
      </c>
    </row>
    <row r="1285" ht="15.0" customHeight="1">
      <c r="A1285" s="5">
        <v>2024.0</v>
      </c>
      <c r="B1285" s="5" t="s">
        <v>327</v>
      </c>
      <c r="C1285" s="5" t="s">
        <v>347</v>
      </c>
      <c r="D1285" s="5" t="s">
        <v>154</v>
      </c>
      <c r="E1285" s="5">
        <v>912.0</v>
      </c>
      <c r="F1285" s="5">
        <v>445.0</v>
      </c>
      <c r="G1285" s="5">
        <f t="shared" si="1"/>
        <v>1357</v>
      </c>
      <c r="H1285" s="10">
        <f t="shared" si="2"/>
        <v>0.6720707443</v>
      </c>
      <c r="I1285" s="10">
        <v>0.4087</v>
      </c>
      <c r="J1285" s="10">
        <v>0.6211</v>
      </c>
      <c r="K1285" s="5">
        <f t="shared" si="3"/>
        <v>1</v>
      </c>
    </row>
    <row r="1286" ht="15.0" customHeight="1">
      <c r="A1286" s="5">
        <v>2018.0</v>
      </c>
      <c r="B1286" s="5" t="s">
        <v>327</v>
      </c>
      <c r="C1286" s="5" t="s">
        <v>347</v>
      </c>
      <c r="D1286" s="5" t="s">
        <v>155</v>
      </c>
      <c r="E1286" s="5">
        <v>176.0</v>
      </c>
      <c r="F1286" s="5">
        <v>72.0</v>
      </c>
      <c r="G1286" s="5">
        <f t="shared" si="1"/>
        <v>248</v>
      </c>
      <c r="H1286" s="10">
        <f t="shared" si="2"/>
        <v>0.7096774194</v>
      </c>
      <c r="I1286" s="10">
        <v>0.4281</v>
      </c>
      <c r="J1286" s="10">
        <v>0.4349</v>
      </c>
      <c r="K1286" s="5">
        <f t="shared" si="3"/>
        <v>0</v>
      </c>
    </row>
    <row r="1287" ht="15.0" customHeight="1">
      <c r="A1287" s="5">
        <v>2020.0</v>
      </c>
      <c r="B1287" s="5" t="s">
        <v>327</v>
      </c>
      <c r="C1287" s="5" t="s">
        <v>347</v>
      </c>
      <c r="D1287" s="5" t="s">
        <v>155</v>
      </c>
      <c r="E1287" s="5">
        <v>265.0</v>
      </c>
      <c r="F1287" s="5">
        <v>118.0</v>
      </c>
      <c r="G1287" s="5">
        <f t="shared" si="1"/>
        <v>383</v>
      </c>
      <c r="H1287" s="10">
        <f t="shared" si="2"/>
        <v>0.6919060052</v>
      </c>
      <c r="I1287" s="10">
        <v>0.4339</v>
      </c>
      <c r="J1287" s="10">
        <v>0.5751</v>
      </c>
      <c r="K1287" s="5">
        <f t="shared" si="3"/>
        <v>1</v>
      </c>
    </row>
    <row r="1288" ht="15.0" customHeight="1">
      <c r="A1288" s="5">
        <v>2022.0</v>
      </c>
      <c r="B1288" s="5" t="s">
        <v>327</v>
      </c>
      <c r="C1288" s="5" t="s">
        <v>347</v>
      </c>
      <c r="D1288" s="5" t="s">
        <v>155</v>
      </c>
      <c r="E1288" s="5">
        <v>179.0</v>
      </c>
      <c r="F1288" s="5">
        <v>86.0</v>
      </c>
      <c r="G1288" s="5">
        <f t="shared" si="1"/>
        <v>265</v>
      </c>
      <c r="H1288" s="10">
        <f t="shared" si="2"/>
        <v>0.6754716981</v>
      </c>
      <c r="I1288" s="10">
        <v>0.4116</v>
      </c>
      <c r="J1288" s="10">
        <v>0.3938</v>
      </c>
      <c r="K1288" s="5">
        <f t="shared" si="3"/>
        <v>0</v>
      </c>
    </row>
    <row r="1289" ht="15.0" customHeight="1">
      <c r="A1289" s="5">
        <v>2024.0</v>
      </c>
      <c r="B1289" s="5" t="s">
        <v>327</v>
      </c>
      <c r="C1289" s="5" t="s">
        <v>347</v>
      </c>
      <c r="D1289" s="5" t="s">
        <v>155</v>
      </c>
      <c r="E1289" s="5">
        <v>267.0</v>
      </c>
      <c r="F1289" s="5">
        <v>132.0</v>
      </c>
      <c r="G1289" s="5">
        <f t="shared" si="1"/>
        <v>399</v>
      </c>
      <c r="H1289" s="10">
        <f t="shared" si="2"/>
        <v>0.6691729323</v>
      </c>
      <c r="I1289" s="10">
        <v>0.3944</v>
      </c>
      <c r="J1289" s="10">
        <v>0.5894</v>
      </c>
      <c r="K1289" s="5">
        <f t="shared" si="3"/>
        <v>1</v>
      </c>
    </row>
    <row r="1290" ht="15.0" customHeight="1">
      <c r="A1290" s="5">
        <v>2018.0</v>
      </c>
      <c r="B1290" s="5" t="s">
        <v>327</v>
      </c>
      <c r="C1290" s="5" t="s">
        <v>347</v>
      </c>
      <c r="D1290" s="5" t="s">
        <v>156</v>
      </c>
      <c r="E1290" s="5">
        <v>288.0</v>
      </c>
      <c r="F1290" s="5">
        <v>110.0</v>
      </c>
      <c r="G1290" s="5">
        <f t="shared" si="1"/>
        <v>398</v>
      </c>
      <c r="H1290" s="10">
        <f t="shared" si="2"/>
        <v>0.7236180905</v>
      </c>
      <c r="I1290" s="10">
        <v>0.4141</v>
      </c>
      <c r="J1290" s="10">
        <v>0.4522</v>
      </c>
      <c r="K1290" s="5">
        <f t="shared" si="3"/>
        <v>0</v>
      </c>
    </row>
    <row r="1291" ht="15.0" customHeight="1">
      <c r="A1291" s="5">
        <v>2020.0</v>
      </c>
      <c r="B1291" s="5" t="s">
        <v>327</v>
      </c>
      <c r="C1291" s="5" t="s">
        <v>347</v>
      </c>
      <c r="D1291" s="5" t="s">
        <v>156</v>
      </c>
      <c r="E1291" s="5">
        <v>424.0</v>
      </c>
      <c r="F1291" s="5">
        <v>212.0</v>
      </c>
      <c r="G1291" s="5">
        <f t="shared" si="1"/>
        <v>636</v>
      </c>
      <c r="H1291" s="10">
        <f t="shared" si="2"/>
        <v>0.6666666667</v>
      </c>
      <c r="I1291" s="10">
        <v>0.3824</v>
      </c>
      <c r="J1291" s="10">
        <v>0.6591</v>
      </c>
      <c r="K1291" s="5">
        <f t="shared" si="3"/>
        <v>1</v>
      </c>
    </row>
    <row r="1292" ht="15.0" customHeight="1">
      <c r="A1292" s="5">
        <v>2022.0</v>
      </c>
      <c r="B1292" s="5" t="s">
        <v>327</v>
      </c>
      <c r="C1292" s="5" t="s">
        <v>347</v>
      </c>
      <c r="D1292" s="5" t="s">
        <v>156</v>
      </c>
      <c r="E1292" s="5">
        <v>328.0</v>
      </c>
      <c r="F1292" s="5">
        <v>139.0</v>
      </c>
      <c r="G1292" s="5">
        <f t="shared" si="1"/>
        <v>467</v>
      </c>
      <c r="H1292" s="10">
        <f t="shared" si="2"/>
        <v>0.7023554604</v>
      </c>
      <c r="I1292" s="10">
        <v>0.3741</v>
      </c>
      <c r="J1292" s="10">
        <v>0.4647</v>
      </c>
      <c r="K1292" s="5">
        <f t="shared" si="3"/>
        <v>0</v>
      </c>
    </row>
    <row r="1293" ht="15.0" customHeight="1">
      <c r="A1293" s="5">
        <v>2024.0</v>
      </c>
      <c r="B1293" s="5" t="s">
        <v>327</v>
      </c>
      <c r="C1293" s="5" t="s">
        <v>347</v>
      </c>
      <c r="D1293" s="5" t="s">
        <v>156</v>
      </c>
      <c r="E1293" s="5">
        <v>471.0</v>
      </c>
      <c r="F1293" s="5">
        <v>252.0</v>
      </c>
      <c r="G1293" s="5">
        <f t="shared" si="1"/>
        <v>723</v>
      </c>
      <c r="H1293" s="10">
        <f t="shared" si="2"/>
        <v>0.6514522822</v>
      </c>
      <c r="I1293" s="10">
        <v>0.3486</v>
      </c>
      <c r="J1293" s="10">
        <v>0.6633</v>
      </c>
      <c r="K1293" s="5">
        <f t="shared" si="3"/>
        <v>1</v>
      </c>
    </row>
    <row r="1294" ht="15.0" customHeight="1">
      <c r="A1294" s="5">
        <v>2018.0</v>
      </c>
      <c r="B1294" s="5" t="s">
        <v>327</v>
      </c>
      <c r="C1294" s="5" t="s">
        <v>347</v>
      </c>
      <c r="D1294" s="5" t="s">
        <v>158</v>
      </c>
      <c r="E1294" s="5">
        <v>353.0</v>
      </c>
      <c r="F1294" s="5">
        <v>112.0</v>
      </c>
      <c r="G1294" s="5">
        <f t="shared" si="1"/>
        <v>465</v>
      </c>
      <c r="H1294" s="10">
        <f t="shared" si="2"/>
        <v>0.7591397849</v>
      </c>
      <c r="I1294" s="10">
        <v>0.4808</v>
      </c>
      <c r="J1294" s="10">
        <v>0.4499</v>
      </c>
      <c r="K1294" s="5">
        <f t="shared" si="3"/>
        <v>0</v>
      </c>
    </row>
    <row r="1295" ht="15.0" customHeight="1">
      <c r="A1295" s="5">
        <v>2020.0</v>
      </c>
      <c r="B1295" s="5" t="s">
        <v>327</v>
      </c>
      <c r="C1295" s="5" t="s">
        <v>347</v>
      </c>
      <c r="D1295" s="5" t="s">
        <v>158</v>
      </c>
      <c r="E1295" s="5">
        <v>487.0</v>
      </c>
      <c r="F1295" s="5">
        <v>213.0</v>
      </c>
      <c r="G1295" s="5">
        <f t="shared" si="1"/>
        <v>700</v>
      </c>
      <c r="H1295" s="10">
        <f t="shared" si="2"/>
        <v>0.6957142857</v>
      </c>
      <c r="I1295" s="10">
        <v>0.4445</v>
      </c>
      <c r="J1295" s="10">
        <v>0.6066</v>
      </c>
      <c r="K1295" s="5">
        <f t="shared" si="3"/>
        <v>1</v>
      </c>
    </row>
    <row r="1296" ht="15.0" customHeight="1">
      <c r="A1296" s="5">
        <v>2022.0</v>
      </c>
      <c r="B1296" s="5" t="s">
        <v>327</v>
      </c>
      <c r="C1296" s="5" t="s">
        <v>347</v>
      </c>
      <c r="D1296" s="5" t="s">
        <v>158</v>
      </c>
      <c r="E1296" s="5">
        <v>329.0</v>
      </c>
      <c r="F1296" s="5">
        <v>127.0</v>
      </c>
      <c r="G1296" s="5">
        <f t="shared" si="1"/>
        <v>456</v>
      </c>
      <c r="H1296" s="10">
        <f t="shared" si="2"/>
        <v>0.7214912281</v>
      </c>
      <c r="I1296" s="10">
        <v>0.429</v>
      </c>
      <c r="J1296" s="10">
        <v>0.4207</v>
      </c>
      <c r="K1296" s="5">
        <f t="shared" si="3"/>
        <v>0</v>
      </c>
    </row>
    <row r="1297" ht="15.0" customHeight="1">
      <c r="A1297" s="5">
        <v>2024.0</v>
      </c>
      <c r="B1297" s="5" t="s">
        <v>327</v>
      </c>
      <c r="C1297" s="5" t="s">
        <v>347</v>
      </c>
      <c r="D1297" s="5" t="s">
        <v>158</v>
      </c>
      <c r="E1297" s="5">
        <v>457.0</v>
      </c>
      <c r="F1297" s="5">
        <v>212.0</v>
      </c>
      <c r="G1297" s="5">
        <f t="shared" si="1"/>
        <v>669</v>
      </c>
      <c r="H1297" s="10">
        <f t="shared" si="2"/>
        <v>0.6831091181</v>
      </c>
      <c r="I1297" s="10">
        <v>0.3527</v>
      </c>
      <c r="J1297" s="10">
        <v>0.5797</v>
      </c>
      <c r="K1297" s="5">
        <f t="shared" si="3"/>
        <v>1</v>
      </c>
    </row>
    <row r="1298" ht="15.0" customHeight="1">
      <c r="A1298" s="5">
        <v>2018.0</v>
      </c>
      <c r="B1298" s="5" t="s">
        <v>327</v>
      </c>
      <c r="C1298" s="5" t="s">
        <v>347</v>
      </c>
      <c r="D1298" s="5" t="s">
        <v>159</v>
      </c>
      <c r="E1298" s="5">
        <v>199.0</v>
      </c>
      <c r="F1298" s="5">
        <v>67.0</v>
      </c>
      <c r="G1298" s="5">
        <f t="shared" si="1"/>
        <v>266</v>
      </c>
      <c r="H1298" s="10">
        <f t="shared" si="2"/>
        <v>0.7481203008</v>
      </c>
      <c r="I1298" s="10">
        <v>0.4612</v>
      </c>
      <c r="J1298" s="10">
        <v>0.4085</v>
      </c>
      <c r="K1298" s="5">
        <f t="shared" si="3"/>
        <v>0</v>
      </c>
    </row>
    <row r="1299" ht="15.0" customHeight="1">
      <c r="A1299" s="5">
        <v>2020.0</v>
      </c>
      <c r="B1299" s="5" t="s">
        <v>327</v>
      </c>
      <c r="C1299" s="5" t="s">
        <v>347</v>
      </c>
      <c r="D1299" s="5" t="s">
        <v>159</v>
      </c>
      <c r="E1299" s="5">
        <v>315.0</v>
      </c>
      <c r="F1299" s="5">
        <v>126.0</v>
      </c>
      <c r="G1299" s="5">
        <f t="shared" si="1"/>
        <v>441</v>
      </c>
      <c r="H1299" s="10">
        <f t="shared" si="2"/>
        <v>0.7142857143</v>
      </c>
      <c r="I1299" s="10">
        <v>0.4565</v>
      </c>
      <c r="J1299" s="10">
        <v>0.5904</v>
      </c>
      <c r="K1299" s="5">
        <f t="shared" si="3"/>
        <v>1</v>
      </c>
    </row>
    <row r="1300" ht="15.0" customHeight="1">
      <c r="A1300" s="5">
        <v>2022.0</v>
      </c>
      <c r="B1300" s="5" t="s">
        <v>327</v>
      </c>
      <c r="C1300" s="5" t="s">
        <v>347</v>
      </c>
      <c r="D1300" s="5" t="s">
        <v>159</v>
      </c>
      <c r="E1300" s="5">
        <v>213.0</v>
      </c>
      <c r="F1300" s="5">
        <v>86.0</v>
      </c>
      <c r="G1300" s="5">
        <f t="shared" si="1"/>
        <v>299</v>
      </c>
      <c r="H1300" s="10">
        <f t="shared" si="2"/>
        <v>0.7123745819</v>
      </c>
      <c r="I1300" s="10">
        <v>0.4398</v>
      </c>
      <c r="J1300" s="10">
        <v>0.4136</v>
      </c>
      <c r="K1300" s="5">
        <f t="shared" si="3"/>
        <v>0</v>
      </c>
    </row>
    <row r="1301" ht="15.0" customHeight="1">
      <c r="A1301" s="5">
        <v>2024.0</v>
      </c>
      <c r="B1301" s="5" t="s">
        <v>327</v>
      </c>
      <c r="C1301" s="5" t="s">
        <v>347</v>
      </c>
      <c r="D1301" s="5" t="s">
        <v>159</v>
      </c>
      <c r="E1301" s="5">
        <v>300.0</v>
      </c>
      <c r="F1301" s="5">
        <v>131.0</v>
      </c>
      <c r="G1301" s="5">
        <f t="shared" si="1"/>
        <v>431</v>
      </c>
      <c r="H1301" s="10">
        <f t="shared" si="2"/>
        <v>0.6960556845</v>
      </c>
      <c r="I1301" s="10">
        <v>0.3892</v>
      </c>
      <c r="J1301" s="10">
        <v>0.5686</v>
      </c>
      <c r="K1301" s="5">
        <f t="shared" si="3"/>
        <v>1</v>
      </c>
    </row>
    <row r="1302" ht="15.0" customHeight="1">
      <c r="A1302" s="5">
        <v>2018.0</v>
      </c>
      <c r="B1302" s="5" t="s">
        <v>327</v>
      </c>
      <c r="C1302" s="5" t="s">
        <v>350</v>
      </c>
      <c r="D1302" s="5" t="s">
        <v>351</v>
      </c>
      <c r="E1302" s="5">
        <v>907.0</v>
      </c>
      <c r="F1302" s="5">
        <v>861.0</v>
      </c>
      <c r="G1302" s="5">
        <f t="shared" si="1"/>
        <v>1768</v>
      </c>
      <c r="H1302" s="10">
        <f t="shared" si="2"/>
        <v>0.5130090498</v>
      </c>
      <c r="I1302" s="10">
        <v>-0.0132</v>
      </c>
      <c r="J1302" s="10">
        <v>0.6074</v>
      </c>
      <c r="K1302" s="5">
        <f t="shared" si="3"/>
        <v>0</v>
      </c>
    </row>
    <row r="1303" ht="15.0" customHeight="1">
      <c r="A1303" s="5">
        <v>2020.0</v>
      </c>
      <c r="B1303" s="5" t="s">
        <v>327</v>
      </c>
      <c r="C1303" s="5" t="s">
        <v>350</v>
      </c>
      <c r="D1303" s="5" t="s">
        <v>351</v>
      </c>
      <c r="E1303" s="5">
        <v>1283.0</v>
      </c>
      <c r="F1303" s="5">
        <v>1354.0</v>
      </c>
      <c r="G1303" s="5">
        <f t="shared" si="1"/>
        <v>2637</v>
      </c>
      <c r="H1303" s="10">
        <f t="shared" si="2"/>
        <v>0.4865377323</v>
      </c>
      <c r="I1303" s="10">
        <v>-0.019</v>
      </c>
      <c r="J1303" s="10">
        <v>0.7955</v>
      </c>
      <c r="K1303" s="5">
        <f t="shared" si="3"/>
        <v>1</v>
      </c>
    </row>
    <row r="1304" ht="15.0" customHeight="1">
      <c r="A1304" s="5">
        <v>2022.0</v>
      </c>
      <c r="B1304" s="5" t="s">
        <v>327</v>
      </c>
      <c r="C1304" s="5" t="s">
        <v>350</v>
      </c>
      <c r="D1304" s="5" t="s">
        <v>351</v>
      </c>
      <c r="E1304" s="5">
        <v>1089.0</v>
      </c>
      <c r="F1304" s="5">
        <v>1068.0</v>
      </c>
      <c r="G1304" s="5">
        <f t="shared" si="1"/>
        <v>2157</v>
      </c>
      <c r="H1304" s="10">
        <f t="shared" si="2"/>
        <v>0.504867872</v>
      </c>
      <c r="I1304" s="10">
        <v>-0.0036</v>
      </c>
      <c r="J1304" s="10">
        <v>0.6382</v>
      </c>
      <c r="K1304" s="5">
        <f t="shared" si="3"/>
        <v>0</v>
      </c>
    </row>
    <row r="1305" ht="15.0" customHeight="1">
      <c r="A1305" s="5">
        <v>2024.0</v>
      </c>
      <c r="B1305" s="5" t="s">
        <v>327</v>
      </c>
      <c r="C1305" s="5" t="s">
        <v>350</v>
      </c>
      <c r="D1305" s="5" t="s">
        <v>351</v>
      </c>
      <c r="E1305" s="5">
        <v>1361.0</v>
      </c>
      <c r="F1305" s="5">
        <v>1448.0</v>
      </c>
      <c r="G1305" s="5">
        <f t="shared" si="1"/>
        <v>2809</v>
      </c>
      <c r="H1305" s="10">
        <f t="shared" si="2"/>
        <v>0.4845140619</v>
      </c>
      <c r="I1305" s="10">
        <v>-0.0187</v>
      </c>
      <c r="J1305" s="10">
        <v>0.7967</v>
      </c>
      <c r="K1305" s="5">
        <f t="shared" si="3"/>
        <v>1</v>
      </c>
    </row>
    <row r="1306" ht="15.0" customHeight="1">
      <c r="A1306" s="5">
        <v>2018.0</v>
      </c>
      <c r="B1306" s="5" t="s">
        <v>327</v>
      </c>
      <c r="C1306" s="5" t="s">
        <v>350</v>
      </c>
      <c r="D1306" s="5" t="s">
        <v>352</v>
      </c>
      <c r="E1306" s="5">
        <v>1051.0</v>
      </c>
      <c r="F1306" s="5">
        <v>888.0</v>
      </c>
      <c r="G1306" s="5">
        <f t="shared" si="1"/>
        <v>1939</v>
      </c>
      <c r="H1306" s="10">
        <f t="shared" si="2"/>
        <v>0.5420319752</v>
      </c>
      <c r="I1306" s="10">
        <v>0.0256</v>
      </c>
      <c r="J1306" s="10">
        <v>0.593</v>
      </c>
      <c r="K1306" s="5">
        <f t="shared" si="3"/>
        <v>0</v>
      </c>
    </row>
    <row r="1307" ht="15.0" customHeight="1">
      <c r="A1307" s="5">
        <v>2020.0</v>
      </c>
      <c r="B1307" s="5" t="s">
        <v>327</v>
      </c>
      <c r="C1307" s="5" t="s">
        <v>350</v>
      </c>
      <c r="D1307" s="5" t="s">
        <v>352</v>
      </c>
      <c r="E1307" s="5">
        <v>1509.0</v>
      </c>
      <c r="F1307" s="5">
        <v>1395.0</v>
      </c>
      <c r="G1307" s="5">
        <f t="shared" si="1"/>
        <v>2904</v>
      </c>
      <c r="H1307" s="10">
        <f t="shared" si="2"/>
        <v>0.5196280992</v>
      </c>
      <c r="I1307" s="10">
        <v>0.0524</v>
      </c>
      <c r="J1307" s="10">
        <v>0.7806</v>
      </c>
      <c r="K1307" s="5">
        <f t="shared" si="3"/>
        <v>1</v>
      </c>
    </row>
    <row r="1308" ht="15.0" customHeight="1">
      <c r="A1308" s="5">
        <v>2022.0</v>
      </c>
      <c r="B1308" s="5" t="s">
        <v>327</v>
      </c>
      <c r="C1308" s="5" t="s">
        <v>350</v>
      </c>
      <c r="D1308" s="5" t="s">
        <v>352</v>
      </c>
      <c r="E1308" s="5">
        <v>1273.0</v>
      </c>
      <c r="F1308" s="5">
        <v>1133.0</v>
      </c>
      <c r="G1308" s="5">
        <f t="shared" si="1"/>
        <v>2406</v>
      </c>
      <c r="H1308" s="10">
        <f t="shared" si="2"/>
        <v>0.5290939318</v>
      </c>
      <c r="I1308" s="10">
        <v>0.054</v>
      </c>
      <c r="J1308" s="10">
        <v>0.6335</v>
      </c>
      <c r="K1308" s="5">
        <f t="shared" si="3"/>
        <v>0</v>
      </c>
    </row>
    <row r="1309" ht="15.0" customHeight="1">
      <c r="A1309" s="5">
        <v>2024.0</v>
      </c>
      <c r="B1309" s="5" t="s">
        <v>327</v>
      </c>
      <c r="C1309" s="5" t="s">
        <v>350</v>
      </c>
      <c r="D1309" s="5" t="s">
        <v>352</v>
      </c>
      <c r="E1309" s="5">
        <v>1673.0</v>
      </c>
      <c r="F1309" s="5">
        <v>1448.0</v>
      </c>
      <c r="G1309" s="5">
        <f t="shared" si="1"/>
        <v>3121</v>
      </c>
      <c r="H1309" s="10">
        <f t="shared" si="2"/>
        <v>0.5360461391</v>
      </c>
      <c r="I1309" s="10">
        <v>0.0395</v>
      </c>
      <c r="J1309" s="10">
        <v>0.7954</v>
      </c>
      <c r="K1309" s="5">
        <f t="shared" si="3"/>
        <v>1</v>
      </c>
    </row>
    <row r="1310" ht="15.0" customHeight="1">
      <c r="A1310" s="5">
        <v>2018.0</v>
      </c>
      <c r="B1310" s="5" t="s">
        <v>327</v>
      </c>
      <c r="C1310" s="5" t="s">
        <v>350</v>
      </c>
      <c r="D1310" s="5" t="s">
        <v>353</v>
      </c>
      <c r="E1310" s="5">
        <v>735.0</v>
      </c>
      <c r="F1310" s="5">
        <v>521.0</v>
      </c>
      <c r="G1310" s="5">
        <f t="shared" si="1"/>
        <v>1256</v>
      </c>
      <c r="H1310" s="10">
        <f t="shared" si="2"/>
        <v>0.5851910828</v>
      </c>
      <c r="I1310" s="10">
        <v>0.1234</v>
      </c>
      <c r="J1310" s="10">
        <v>0.5623</v>
      </c>
      <c r="K1310" s="5">
        <f t="shared" si="3"/>
        <v>0</v>
      </c>
    </row>
    <row r="1311" ht="15.0" customHeight="1">
      <c r="A1311" s="5">
        <v>2020.0</v>
      </c>
      <c r="B1311" s="5" t="s">
        <v>327</v>
      </c>
      <c r="C1311" s="5" t="s">
        <v>350</v>
      </c>
      <c r="D1311" s="5" t="s">
        <v>353</v>
      </c>
      <c r="E1311" s="5">
        <v>977.0</v>
      </c>
      <c r="F1311" s="5">
        <v>859.0</v>
      </c>
      <c r="G1311" s="5">
        <f t="shared" si="1"/>
        <v>1836</v>
      </c>
      <c r="H1311" s="10">
        <f t="shared" si="2"/>
        <v>0.5321350763</v>
      </c>
      <c r="I1311" s="10">
        <v>0.1266</v>
      </c>
      <c r="J1311" s="10">
        <v>0.7525</v>
      </c>
      <c r="K1311" s="5">
        <f t="shared" si="3"/>
        <v>1</v>
      </c>
    </row>
    <row r="1312" ht="15.0" customHeight="1">
      <c r="A1312" s="5">
        <v>2022.0</v>
      </c>
      <c r="B1312" s="5" t="s">
        <v>327</v>
      </c>
      <c r="C1312" s="5" t="s">
        <v>350</v>
      </c>
      <c r="D1312" s="5" t="s">
        <v>353</v>
      </c>
      <c r="E1312" s="5">
        <v>796.0</v>
      </c>
      <c r="F1312" s="5">
        <v>678.0</v>
      </c>
      <c r="G1312" s="5">
        <f t="shared" si="1"/>
        <v>1474</v>
      </c>
      <c r="H1312" s="10">
        <f t="shared" si="2"/>
        <v>0.540027137</v>
      </c>
      <c r="I1312" s="10">
        <v>0.121</v>
      </c>
      <c r="J1312" s="10">
        <v>0.6131</v>
      </c>
      <c r="K1312" s="5">
        <f t="shared" si="3"/>
        <v>0</v>
      </c>
    </row>
    <row r="1313" ht="15.0" customHeight="1">
      <c r="A1313" s="5">
        <v>2024.0</v>
      </c>
      <c r="B1313" s="5" t="s">
        <v>327</v>
      </c>
      <c r="C1313" s="5" t="s">
        <v>350</v>
      </c>
      <c r="D1313" s="5" t="s">
        <v>353</v>
      </c>
      <c r="E1313" s="5">
        <v>975.0</v>
      </c>
      <c r="F1313" s="5">
        <v>935.0</v>
      </c>
      <c r="G1313" s="5">
        <f t="shared" si="1"/>
        <v>1910</v>
      </c>
      <c r="H1313" s="10">
        <f t="shared" si="2"/>
        <v>0.5104712042</v>
      </c>
      <c r="I1313" s="10">
        <v>0.092</v>
      </c>
      <c r="J1313" s="10">
        <v>0.7739</v>
      </c>
      <c r="K1313" s="5">
        <f t="shared" si="3"/>
        <v>1</v>
      </c>
    </row>
    <row r="1314" ht="15.0" customHeight="1">
      <c r="A1314" s="5">
        <v>2018.0</v>
      </c>
      <c r="B1314" s="5" t="s">
        <v>327</v>
      </c>
      <c r="C1314" s="5" t="s">
        <v>350</v>
      </c>
      <c r="D1314" s="5" t="s">
        <v>354</v>
      </c>
      <c r="E1314" s="5">
        <v>872.0</v>
      </c>
      <c r="F1314" s="5">
        <v>747.0</v>
      </c>
      <c r="G1314" s="5">
        <f t="shared" si="1"/>
        <v>1619</v>
      </c>
      <c r="H1314" s="10">
        <f t="shared" si="2"/>
        <v>0.5386040766</v>
      </c>
      <c r="I1314" s="10">
        <v>0.0514</v>
      </c>
      <c r="J1314" s="10">
        <v>0.5455</v>
      </c>
      <c r="K1314" s="5">
        <f t="shared" si="3"/>
        <v>0</v>
      </c>
    </row>
    <row r="1315" ht="15.0" customHeight="1">
      <c r="A1315" s="5">
        <v>2020.0</v>
      </c>
      <c r="B1315" s="5" t="s">
        <v>327</v>
      </c>
      <c r="C1315" s="5" t="s">
        <v>350</v>
      </c>
      <c r="D1315" s="5" t="s">
        <v>354</v>
      </c>
      <c r="E1315" s="5">
        <v>1269.0</v>
      </c>
      <c r="F1315" s="5">
        <v>1207.0</v>
      </c>
      <c r="G1315" s="5">
        <f t="shared" si="1"/>
        <v>2476</v>
      </c>
      <c r="H1315" s="10">
        <f t="shared" si="2"/>
        <v>0.5125201939</v>
      </c>
      <c r="I1315" s="10">
        <v>0.0709</v>
      </c>
      <c r="J1315" s="10">
        <v>0.7604</v>
      </c>
      <c r="K1315" s="5">
        <f t="shared" si="3"/>
        <v>1</v>
      </c>
    </row>
    <row r="1316" ht="15.0" customHeight="1">
      <c r="A1316" s="5">
        <v>2022.0</v>
      </c>
      <c r="B1316" s="5" t="s">
        <v>327</v>
      </c>
      <c r="C1316" s="5" t="s">
        <v>350</v>
      </c>
      <c r="D1316" s="5" t="s">
        <v>354</v>
      </c>
      <c r="E1316" s="5">
        <v>1000.0</v>
      </c>
      <c r="F1316" s="5">
        <v>903.0</v>
      </c>
      <c r="G1316" s="5">
        <f t="shared" si="1"/>
        <v>1903</v>
      </c>
      <c r="H1316" s="10">
        <f t="shared" si="2"/>
        <v>0.5254860746</v>
      </c>
      <c r="I1316" s="10">
        <v>0.0798</v>
      </c>
      <c r="J1316" s="10">
        <v>0.5843</v>
      </c>
      <c r="K1316" s="5">
        <f t="shared" si="3"/>
        <v>0</v>
      </c>
    </row>
    <row r="1317" ht="15.0" customHeight="1">
      <c r="A1317" s="5">
        <v>2024.0</v>
      </c>
      <c r="B1317" s="5" t="s">
        <v>327</v>
      </c>
      <c r="C1317" s="5" t="s">
        <v>350</v>
      </c>
      <c r="D1317" s="5" t="s">
        <v>354</v>
      </c>
      <c r="E1317" s="5">
        <v>1349.0</v>
      </c>
      <c r="F1317" s="5">
        <v>1196.0</v>
      </c>
      <c r="G1317" s="5">
        <f t="shared" si="1"/>
        <v>2545</v>
      </c>
      <c r="H1317" s="10">
        <f t="shared" si="2"/>
        <v>0.5300589391</v>
      </c>
      <c r="I1317" s="10">
        <v>0.0853</v>
      </c>
      <c r="J1317" s="10">
        <v>0.7568</v>
      </c>
      <c r="K1317" s="5">
        <f t="shared" si="3"/>
        <v>1</v>
      </c>
    </row>
    <row r="1318" ht="15.0" customHeight="1">
      <c r="A1318" s="5">
        <v>2018.0</v>
      </c>
      <c r="B1318" s="5" t="s">
        <v>327</v>
      </c>
      <c r="C1318" s="5" t="s">
        <v>355</v>
      </c>
      <c r="D1318" s="5" t="s">
        <v>162</v>
      </c>
      <c r="E1318" s="5">
        <v>497.0</v>
      </c>
      <c r="F1318" s="5">
        <v>253.0</v>
      </c>
      <c r="G1318" s="5">
        <f t="shared" si="1"/>
        <v>750</v>
      </c>
      <c r="H1318" s="10">
        <f t="shared" si="2"/>
        <v>0.6626666667</v>
      </c>
      <c r="I1318" s="10">
        <v>0.3973</v>
      </c>
      <c r="J1318" s="10">
        <v>0.4507</v>
      </c>
      <c r="K1318" s="5">
        <f t="shared" si="3"/>
        <v>0</v>
      </c>
    </row>
    <row r="1319" ht="15.0" customHeight="1">
      <c r="A1319" s="5">
        <v>2020.0</v>
      </c>
      <c r="B1319" s="5" t="s">
        <v>327</v>
      </c>
      <c r="C1319" s="5" t="s">
        <v>355</v>
      </c>
      <c r="D1319" s="5" t="s">
        <v>162</v>
      </c>
      <c r="E1319" s="5">
        <v>768.0</v>
      </c>
      <c r="F1319" s="5">
        <v>460.0</v>
      </c>
      <c r="G1319" s="5">
        <f t="shared" si="1"/>
        <v>1228</v>
      </c>
      <c r="H1319" s="10">
        <f t="shared" si="2"/>
        <v>0.6254071661</v>
      </c>
      <c r="I1319" s="10">
        <v>0.3653</v>
      </c>
      <c r="J1319" s="10">
        <v>0.6327</v>
      </c>
      <c r="K1319" s="5">
        <f t="shared" si="3"/>
        <v>1</v>
      </c>
    </row>
    <row r="1320" ht="15.0" customHeight="1">
      <c r="A1320" s="5">
        <v>2022.0</v>
      </c>
      <c r="B1320" s="5" t="s">
        <v>327</v>
      </c>
      <c r="C1320" s="5" t="s">
        <v>355</v>
      </c>
      <c r="D1320" s="5" t="s">
        <v>162</v>
      </c>
      <c r="E1320" s="5">
        <v>480.0</v>
      </c>
      <c r="F1320" s="5">
        <v>330.0</v>
      </c>
      <c r="G1320" s="5">
        <f t="shared" si="1"/>
        <v>810</v>
      </c>
      <c r="H1320" s="10">
        <f t="shared" si="2"/>
        <v>0.5925925926</v>
      </c>
      <c r="I1320" s="10">
        <v>0.355</v>
      </c>
      <c r="J1320" s="10">
        <v>0.4241</v>
      </c>
      <c r="K1320" s="5">
        <f t="shared" si="3"/>
        <v>0</v>
      </c>
    </row>
    <row r="1321" ht="15.0" customHeight="1">
      <c r="A1321" s="5">
        <v>2024.0</v>
      </c>
      <c r="B1321" s="5" t="s">
        <v>327</v>
      </c>
      <c r="C1321" s="5" t="s">
        <v>355</v>
      </c>
      <c r="D1321" s="5" t="s">
        <v>162</v>
      </c>
      <c r="E1321" s="5">
        <v>714.0</v>
      </c>
      <c r="F1321" s="5">
        <v>484.0</v>
      </c>
      <c r="G1321" s="5">
        <f t="shared" si="1"/>
        <v>1198</v>
      </c>
      <c r="H1321" s="10">
        <f t="shared" si="2"/>
        <v>0.5959933222</v>
      </c>
      <c r="I1321" s="10">
        <v>0.2931</v>
      </c>
      <c r="J1321" s="10">
        <v>0.5993</v>
      </c>
      <c r="K1321" s="5">
        <f t="shared" si="3"/>
        <v>1</v>
      </c>
    </row>
    <row r="1322" ht="15.0" customHeight="1">
      <c r="A1322" s="5">
        <v>2018.0</v>
      </c>
      <c r="B1322" s="5" t="s">
        <v>327</v>
      </c>
      <c r="C1322" s="5" t="s">
        <v>356</v>
      </c>
      <c r="D1322" s="5" t="s">
        <v>163</v>
      </c>
      <c r="E1322" s="5">
        <v>72.0</v>
      </c>
      <c r="F1322" s="5">
        <v>39.0</v>
      </c>
      <c r="G1322" s="5">
        <f t="shared" si="1"/>
        <v>111</v>
      </c>
      <c r="H1322" s="10">
        <f t="shared" si="2"/>
        <v>0.6486486486</v>
      </c>
      <c r="I1322" s="10">
        <v>0.2414</v>
      </c>
      <c r="J1322" s="10">
        <v>0.4957</v>
      </c>
      <c r="K1322" s="5">
        <f t="shared" si="3"/>
        <v>0</v>
      </c>
    </row>
    <row r="1323" ht="15.0" customHeight="1">
      <c r="A1323" s="5">
        <v>2020.0</v>
      </c>
      <c r="B1323" s="5" t="s">
        <v>327</v>
      </c>
      <c r="C1323" s="5" t="s">
        <v>356</v>
      </c>
      <c r="D1323" s="5" t="s">
        <v>163</v>
      </c>
      <c r="E1323" s="5">
        <v>101.0</v>
      </c>
      <c r="F1323" s="5">
        <v>100.0</v>
      </c>
      <c r="G1323" s="5">
        <f t="shared" si="1"/>
        <v>201</v>
      </c>
      <c r="H1323" s="10">
        <f t="shared" si="2"/>
        <v>0.5024875622</v>
      </c>
      <c r="I1323" s="10">
        <v>0.1176</v>
      </c>
      <c r="J1323" s="10">
        <v>0.739</v>
      </c>
      <c r="K1323" s="5">
        <f t="shared" si="3"/>
        <v>1</v>
      </c>
    </row>
    <row r="1324" ht="15.0" customHeight="1">
      <c r="A1324" s="5">
        <v>2022.0</v>
      </c>
      <c r="B1324" s="5" t="s">
        <v>327</v>
      </c>
      <c r="C1324" s="5" t="s">
        <v>356</v>
      </c>
      <c r="D1324" s="5" t="s">
        <v>163</v>
      </c>
      <c r="E1324" s="5">
        <v>72.0</v>
      </c>
      <c r="F1324" s="5">
        <v>69.0</v>
      </c>
      <c r="G1324" s="5">
        <f t="shared" si="1"/>
        <v>141</v>
      </c>
      <c r="H1324" s="10">
        <f t="shared" si="2"/>
        <v>0.5106382979</v>
      </c>
      <c r="I1324" s="10">
        <v>0.1119</v>
      </c>
      <c r="J1324" s="10">
        <v>0.5261</v>
      </c>
      <c r="K1324" s="5">
        <f t="shared" si="3"/>
        <v>0</v>
      </c>
    </row>
    <row r="1325" ht="15.0" customHeight="1">
      <c r="A1325" s="5">
        <v>2024.0</v>
      </c>
      <c r="B1325" s="5" t="s">
        <v>327</v>
      </c>
      <c r="C1325" s="5" t="s">
        <v>356</v>
      </c>
      <c r="D1325" s="5" t="s">
        <v>163</v>
      </c>
      <c r="E1325" s="5">
        <v>109.0</v>
      </c>
      <c r="F1325" s="5">
        <v>97.0</v>
      </c>
      <c r="G1325" s="5">
        <f t="shared" si="1"/>
        <v>206</v>
      </c>
      <c r="H1325" s="10">
        <f t="shared" si="2"/>
        <v>0.5291262136</v>
      </c>
      <c r="I1325" s="10">
        <v>0.0578</v>
      </c>
      <c r="J1325" s="10">
        <v>0.7437</v>
      </c>
      <c r="K1325" s="5">
        <f t="shared" si="3"/>
        <v>1</v>
      </c>
    </row>
    <row r="1326" ht="15.0" customHeight="1">
      <c r="A1326" s="5">
        <v>2018.0</v>
      </c>
      <c r="B1326" s="5" t="s">
        <v>327</v>
      </c>
      <c r="C1326" s="5" t="s">
        <v>190</v>
      </c>
      <c r="D1326" s="5" t="s">
        <v>164</v>
      </c>
      <c r="E1326" s="5">
        <v>671.0</v>
      </c>
      <c r="F1326" s="5">
        <v>526.0</v>
      </c>
      <c r="G1326" s="5">
        <f t="shared" si="1"/>
        <v>1197</v>
      </c>
      <c r="H1326" s="10">
        <f t="shared" si="2"/>
        <v>0.5605680869</v>
      </c>
      <c r="I1326" s="10">
        <v>0.0975</v>
      </c>
      <c r="J1326" s="10">
        <v>0.669</v>
      </c>
      <c r="K1326" s="5">
        <f t="shared" si="3"/>
        <v>0</v>
      </c>
    </row>
    <row r="1327" ht="15.0" customHeight="1">
      <c r="A1327" s="5">
        <v>2020.0</v>
      </c>
      <c r="B1327" s="5" t="s">
        <v>327</v>
      </c>
      <c r="C1327" s="5" t="s">
        <v>190</v>
      </c>
      <c r="D1327" s="5" t="s">
        <v>164</v>
      </c>
      <c r="E1327" s="5">
        <v>921.0</v>
      </c>
      <c r="F1327" s="5">
        <v>722.0</v>
      </c>
      <c r="G1327" s="5">
        <f t="shared" si="1"/>
        <v>1643</v>
      </c>
      <c r="H1327" s="10">
        <f t="shared" si="2"/>
        <v>0.5605599513</v>
      </c>
      <c r="I1327" s="10">
        <v>0.1303</v>
      </c>
      <c r="J1327" s="10">
        <v>0.817</v>
      </c>
      <c r="K1327" s="5">
        <f t="shared" si="3"/>
        <v>1</v>
      </c>
    </row>
    <row r="1328" ht="15.0" customHeight="1">
      <c r="A1328" s="5">
        <v>2022.0</v>
      </c>
      <c r="B1328" s="5" t="s">
        <v>327</v>
      </c>
      <c r="C1328" s="5" t="s">
        <v>190</v>
      </c>
      <c r="D1328" s="5" t="s">
        <v>164</v>
      </c>
      <c r="E1328" s="5">
        <v>770.0</v>
      </c>
      <c r="F1328" s="5">
        <v>546.0</v>
      </c>
      <c r="G1328" s="5">
        <f t="shared" si="1"/>
        <v>1316</v>
      </c>
      <c r="H1328" s="10">
        <f t="shared" si="2"/>
        <v>0.585106383</v>
      </c>
      <c r="I1328" s="10">
        <v>0.1394</v>
      </c>
      <c r="J1328" s="10">
        <v>0.6623</v>
      </c>
      <c r="K1328" s="5">
        <f t="shared" si="3"/>
        <v>0</v>
      </c>
    </row>
    <row r="1329" ht="15.0" customHeight="1">
      <c r="A1329" s="5">
        <v>2024.0</v>
      </c>
      <c r="B1329" s="5" t="s">
        <v>327</v>
      </c>
      <c r="C1329" s="5" t="s">
        <v>190</v>
      </c>
      <c r="D1329" s="5" t="s">
        <v>164</v>
      </c>
      <c r="E1329" s="5">
        <v>955.0</v>
      </c>
      <c r="F1329" s="5">
        <v>692.0</v>
      </c>
      <c r="G1329" s="5">
        <f t="shared" si="1"/>
        <v>1647</v>
      </c>
      <c r="H1329" s="10">
        <f t="shared" si="2"/>
        <v>0.5798421372</v>
      </c>
      <c r="I1329" s="10">
        <v>0.1031</v>
      </c>
      <c r="J1329" s="10">
        <v>0.8206</v>
      </c>
      <c r="K1329" s="5">
        <f t="shared" si="3"/>
        <v>1</v>
      </c>
    </row>
    <row r="1330" ht="15.0" customHeight="1">
      <c r="A1330" s="5">
        <v>2018.0</v>
      </c>
      <c r="B1330" s="5" t="s">
        <v>327</v>
      </c>
      <c r="C1330" s="5" t="s">
        <v>190</v>
      </c>
      <c r="D1330" s="5" t="s">
        <v>165</v>
      </c>
      <c r="E1330" s="5">
        <v>661.0</v>
      </c>
      <c r="F1330" s="5">
        <v>518.0</v>
      </c>
      <c r="G1330" s="5">
        <f t="shared" si="1"/>
        <v>1179</v>
      </c>
      <c r="H1330" s="10">
        <f t="shared" si="2"/>
        <v>0.5606446141</v>
      </c>
      <c r="I1330" s="10">
        <v>0.1025</v>
      </c>
      <c r="J1330" s="10">
        <v>0.671</v>
      </c>
      <c r="K1330" s="5">
        <f t="shared" si="3"/>
        <v>0</v>
      </c>
    </row>
    <row r="1331" ht="15.0" customHeight="1">
      <c r="A1331" s="5">
        <v>2020.0</v>
      </c>
      <c r="B1331" s="5" t="s">
        <v>327</v>
      </c>
      <c r="C1331" s="5" t="s">
        <v>190</v>
      </c>
      <c r="D1331" s="5" t="s">
        <v>165</v>
      </c>
      <c r="E1331" s="5">
        <v>880.0</v>
      </c>
      <c r="F1331" s="5">
        <v>792.0</v>
      </c>
      <c r="G1331" s="5">
        <f t="shared" si="1"/>
        <v>1672</v>
      </c>
      <c r="H1331" s="10">
        <f t="shared" si="2"/>
        <v>0.5263157895</v>
      </c>
      <c r="I1331" s="10">
        <v>0.1046</v>
      </c>
      <c r="J1331" s="10">
        <v>0.8136</v>
      </c>
      <c r="K1331" s="5">
        <f t="shared" si="3"/>
        <v>1</v>
      </c>
    </row>
    <row r="1332" ht="15.0" customHeight="1">
      <c r="A1332" s="5">
        <v>2022.0</v>
      </c>
      <c r="B1332" s="5" t="s">
        <v>327</v>
      </c>
      <c r="C1332" s="5" t="s">
        <v>190</v>
      </c>
      <c r="D1332" s="5" t="s">
        <v>165</v>
      </c>
      <c r="E1332" s="5">
        <v>731.0</v>
      </c>
      <c r="F1332" s="5">
        <v>608.0</v>
      </c>
      <c r="G1332" s="5">
        <f t="shared" si="1"/>
        <v>1339</v>
      </c>
      <c r="H1332" s="10">
        <f t="shared" si="2"/>
        <v>0.5459297984</v>
      </c>
      <c r="I1332" s="10">
        <v>0.106</v>
      </c>
      <c r="J1332" s="10">
        <v>0.6695</v>
      </c>
      <c r="K1332" s="5">
        <f t="shared" si="3"/>
        <v>0</v>
      </c>
    </row>
    <row r="1333" ht="15.0" customHeight="1">
      <c r="A1333" s="5">
        <v>2024.0</v>
      </c>
      <c r="B1333" s="5" t="s">
        <v>327</v>
      </c>
      <c r="C1333" s="5" t="s">
        <v>190</v>
      </c>
      <c r="D1333" s="5" t="s">
        <v>165</v>
      </c>
      <c r="E1333" s="5">
        <v>910.0</v>
      </c>
      <c r="F1333" s="5">
        <v>742.0</v>
      </c>
      <c r="G1333" s="5">
        <f t="shared" si="1"/>
        <v>1652</v>
      </c>
      <c r="H1333" s="10">
        <f t="shared" si="2"/>
        <v>0.5508474576</v>
      </c>
      <c r="I1333" s="10">
        <v>0.1032</v>
      </c>
      <c r="J1333" s="10">
        <v>0.8277</v>
      </c>
      <c r="K1333" s="5">
        <f t="shared" si="3"/>
        <v>1</v>
      </c>
    </row>
    <row r="1334" ht="15.0" customHeight="1">
      <c r="A1334" s="5">
        <v>2018.0</v>
      </c>
      <c r="B1334" s="5" t="s">
        <v>327</v>
      </c>
      <c r="C1334" s="5" t="s">
        <v>190</v>
      </c>
      <c r="D1334" s="5" t="s">
        <v>166</v>
      </c>
      <c r="E1334" s="5">
        <v>319.0</v>
      </c>
      <c r="F1334" s="5">
        <v>311.0</v>
      </c>
      <c r="G1334" s="5">
        <f t="shared" si="1"/>
        <v>630</v>
      </c>
      <c r="H1334" s="10">
        <f t="shared" si="2"/>
        <v>0.5063492063</v>
      </c>
      <c r="I1334" s="10">
        <v>-0.0295</v>
      </c>
      <c r="J1334" s="10">
        <v>0.6884</v>
      </c>
      <c r="K1334" s="5">
        <f t="shared" si="3"/>
        <v>0</v>
      </c>
    </row>
    <row r="1335" ht="15.0" customHeight="1">
      <c r="A1335" s="5">
        <v>2020.0</v>
      </c>
      <c r="B1335" s="5" t="s">
        <v>327</v>
      </c>
      <c r="C1335" s="5" t="s">
        <v>190</v>
      </c>
      <c r="D1335" s="5" t="s">
        <v>166</v>
      </c>
      <c r="E1335" s="5">
        <v>433.0</v>
      </c>
      <c r="F1335" s="5">
        <v>414.0</v>
      </c>
      <c r="G1335" s="5">
        <f t="shared" si="1"/>
        <v>847</v>
      </c>
      <c r="H1335" s="10">
        <f t="shared" si="2"/>
        <v>0.5112160567</v>
      </c>
      <c r="I1335" s="10">
        <v>0.019</v>
      </c>
      <c r="J1335" s="10">
        <v>0.8453</v>
      </c>
      <c r="K1335" s="5">
        <f t="shared" si="3"/>
        <v>1</v>
      </c>
    </row>
    <row r="1336" ht="15.0" customHeight="1">
      <c r="A1336" s="5">
        <v>2022.0</v>
      </c>
      <c r="B1336" s="5" t="s">
        <v>327</v>
      </c>
      <c r="C1336" s="5" t="s">
        <v>190</v>
      </c>
      <c r="D1336" s="5" t="s">
        <v>166</v>
      </c>
      <c r="E1336" s="5">
        <v>388.0</v>
      </c>
      <c r="F1336" s="5">
        <v>338.0</v>
      </c>
      <c r="G1336" s="5">
        <f t="shared" si="1"/>
        <v>726</v>
      </c>
      <c r="H1336" s="10">
        <f t="shared" si="2"/>
        <v>0.5344352617</v>
      </c>
      <c r="I1336" s="10">
        <v>0.0322</v>
      </c>
      <c r="J1336" s="10">
        <v>0.7311</v>
      </c>
      <c r="K1336" s="5">
        <f t="shared" si="3"/>
        <v>0</v>
      </c>
    </row>
    <row r="1337" ht="15.0" customHeight="1">
      <c r="A1337" s="5">
        <v>2024.0</v>
      </c>
      <c r="B1337" s="5" t="s">
        <v>327</v>
      </c>
      <c r="C1337" s="5" t="s">
        <v>190</v>
      </c>
      <c r="D1337" s="5" t="s">
        <v>166</v>
      </c>
      <c r="E1337" s="5">
        <v>446.0</v>
      </c>
      <c r="F1337" s="5">
        <v>410.0</v>
      </c>
      <c r="G1337" s="5">
        <f t="shared" si="1"/>
        <v>856</v>
      </c>
      <c r="H1337" s="10">
        <f t="shared" si="2"/>
        <v>0.5210280374</v>
      </c>
      <c r="I1337" s="10">
        <v>0.0237</v>
      </c>
      <c r="J1337" s="10">
        <v>0.8467</v>
      </c>
      <c r="K1337" s="5">
        <f t="shared" si="3"/>
        <v>1</v>
      </c>
    </row>
    <row r="1338" ht="15.0" customHeight="1">
      <c r="A1338" s="5">
        <v>2018.0</v>
      </c>
      <c r="B1338" s="5" t="s">
        <v>327</v>
      </c>
      <c r="C1338" s="5" t="s">
        <v>190</v>
      </c>
      <c r="D1338" s="5" t="s">
        <v>167</v>
      </c>
      <c r="E1338" s="5">
        <v>528.0</v>
      </c>
      <c r="F1338" s="5">
        <v>489.0</v>
      </c>
      <c r="G1338" s="5">
        <f t="shared" si="1"/>
        <v>1017</v>
      </c>
      <c r="H1338" s="10">
        <f t="shared" si="2"/>
        <v>0.5191740413</v>
      </c>
      <c r="I1338" s="10">
        <v>0.0329</v>
      </c>
      <c r="J1338" s="10">
        <v>0.6073</v>
      </c>
      <c r="K1338" s="5">
        <f t="shared" si="3"/>
        <v>0</v>
      </c>
    </row>
    <row r="1339" ht="15.0" customHeight="1">
      <c r="A1339" s="5">
        <v>2020.0</v>
      </c>
      <c r="B1339" s="5" t="s">
        <v>327</v>
      </c>
      <c r="C1339" s="5" t="s">
        <v>190</v>
      </c>
      <c r="D1339" s="5" t="s">
        <v>167</v>
      </c>
      <c r="E1339" s="5">
        <v>734.0</v>
      </c>
      <c r="F1339" s="5">
        <v>699.0</v>
      </c>
      <c r="G1339" s="5">
        <f t="shared" si="1"/>
        <v>1433</v>
      </c>
      <c r="H1339" s="10">
        <f t="shared" si="2"/>
        <v>0.5122121424</v>
      </c>
      <c r="I1339" s="10">
        <v>0.0373</v>
      </c>
      <c r="J1339" s="10">
        <v>0.8101</v>
      </c>
      <c r="K1339" s="5">
        <f t="shared" si="3"/>
        <v>1</v>
      </c>
    </row>
    <row r="1340" ht="15.0" customHeight="1">
      <c r="A1340" s="5">
        <v>2022.0</v>
      </c>
      <c r="B1340" s="5" t="s">
        <v>327</v>
      </c>
      <c r="C1340" s="5" t="s">
        <v>190</v>
      </c>
      <c r="D1340" s="5" t="s">
        <v>167</v>
      </c>
      <c r="E1340" s="5">
        <v>603.0</v>
      </c>
      <c r="F1340" s="5">
        <v>543.0</v>
      </c>
      <c r="G1340" s="5">
        <f t="shared" si="1"/>
        <v>1146</v>
      </c>
      <c r="H1340" s="10">
        <f t="shared" si="2"/>
        <v>0.5261780105</v>
      </c>
      <c r="I1340" s="10">
        <v>0.049</v>
      </c>
      <c r="J1340" s="10">
        <v>0.6605</v>
      </c>
      <c r="K1340" s="5">
        <f t="shared" si="3"/>
        <v>0</v>
      </c>
    </row>
    <row r="1341" ht="15.0" customHeight="1">
      <c r="A1341" s="5">
        <v>2024.0</v>
      </c>
      <c r="B1341" s="5" t="s">
        <v>327</v>
      </c>
      <c r="C1341" s="5" t="s">
        <v>190</v>
      </c>
      <c r="D1341" s="5" t="s">
        <v>167</v>
      </c>
      <c r="E1341" s="5">
        <v>744.0</v>
      </c>
      <c r="F1341" s="5">
        <v>678.0</v>
      </c>
      <c r="G1341" s="5">
        <f t="shared" si="1"/>
        <v>1422</v>
      </c>
      <c r="H1341" s="10">
        <f t="shared" si="2"/>
        <v>0.5232067511</v>
      </c>
      <c r="I1341" s="10">
        <v>0.0316</v>
      </c>
      <c r="J1341" s="10">
        <v>0.8016</v>
      </c>
      <c r="K1341" s="5">
        <f t="shared" si="3"/>
        <v>1</v>
      </c>
    </row>
    <row r="1342" ht="15.0" customHeight="1">
      <c r="A1342" s="5">
        <v>2018.0</v>
      </c>
      <c r="B1342" s="5" t="s">
        <v>327</v>
      </c>
      <c r="C1342" s="5" t="s">
        <v>190</v>
      </c>
      <c r="D1342" s="5" t="s">
        <v>357</v>
      </c>
      <c r="E1342" s="5">
        <v>540.0</v>
      </c>
      <c r="F1342" s="5">
        <v>425.0</v>
      </c>
      <c r="G1342" s="5">
        <f t="shared" si="1"/>
        <v>965</v>
      </c>
      <c r="H1342" s="10">
        <f t="shared" si="2"/>
        <v>0.5595854922</v>
      </c>
      <c r="I1342" s="10">
        <v>0.0211</v>
      </c>
      <c r="J1342" s="10">
        <v>0.63</v>
      </c>
      <c r="K1342" s="5">
        <f t="shared" si="3"/>
        <v>0</v>
      </c>
    </row>
    <row r="1343" ht="15.0" customHeight="1">
      <c r="A1343" s="5">
        <v>2020.0</v>
      </c>
      <c r="B1343" s="5" t="s">
        <v>327</v>
      </c>
      <c r="C1343" s="5" t="s">
        <v>190</v>
      </c>
      <c r="D1343" s="5" t="s">
        <v>357</v>
      </c>
      <c r="E1343" s="5">
        <v>751.0</v>
      </c>
      <c r="F1343" s="5">
        <v>608.0</v>
      </c>
      <c r="G1343" s="5">
        <f t="shared" si="1"/>
        <v>1359</v>
      </c>
      <c r="H1343" s="10">
        <f t="shared" si="2"/>
        <v>0.5526122149</v>
      </c>
      <c r="I1343" s="10">
        <v>0.0528</v>
      </c>
      <c r="J1343" s="10">
        <v>0.8147</v>
      </c>
      <c r="K1343" s="5">
        <f t="shared" si="3"/>
        <v>1</v>
      </c>
    </row>
    <row r="1344" ht="15.0" customHeight="1">
      <c r="A1344" s="5">
        <v>2022.0</v>
      </c>
      <c r="B1344" s="5" t="s">
        <v>327</v>
      </c>
      <c r="C1344" s="5" t="s">
        <v>190</v>
      </c>
      <c r="D1344" s="5" t="s">
        <v>357</v>
      </c>
      <c r="E1344" s="5">
        <v>656.0</v>
      </c>
      <c r="F1344" s="5">
        <v>499.0</v>
      </c>
      <c r="G1344" s="5">
        <f t="shared" si="1"/>
        <v>1155</v>
      </c>
      <c r="H1344" s="10">
        <f t="shared" si="2"/>
        <v>0.567965368</v>
      </c>
      <c r="I1344" s="10">
        <v>0.0899</v>
      </c>
      <c r="J1344" s="10">
        <v>0.6879</v>
      </c>
      <c r="K1344" s="5">
        <f t="shared" si="3"/>
        <v>0</v>
      </c>
    </row>
    <row r="1345" ht="15.0" customHeight="1">
      <c r="A1345" s="5">
        <v>2024.0</v>
      </c>
      <c r="B1345" s="5" t="s">
        <v>327</v>
      </c>
      <c r="C1345" s="5" t="s">
        <v>190</v>
      </c>
      <c r="D1345" s="5" t="s">
        <v>357</v>
      </c>
      <c r="E1345" s="5">
        <v>775.0</v>
      </c>
      <c r="F1345" s="5">
        <v>645.0</v>
      </c>
      <c r="G1345" s="5">
        <f t="shared" si="1"/>
        <v>1420</v>
      </c>
      <c r="H1345" s="10">
        <f t="shared" si="2"/>
        <v>0.5457746479</v>
      </c>
      <c r="I1345" s="10">
        <v>0.0564</v>
      </c>
      <c r="J1345" s="10">
        <v>0.8166</v>
      </c>
      <c r="K1345" s="5">
        <f t="shared" si="3"/>
        <v>1</v>
      </c>
    </row>
    <row r="1346" ht="15.0" customHeight="1">
      <c r="A1346" s="5">
        <v>2018.0</v>
      </c>
      <c r="B1346" s="5" t="s">
        <v>327</v>
      </c>
      <c r="C1346" s="5" t="s">
        <v>190</v>
      </c>
      <c r="D1346" s="5" t="s">
        <v>358</v>
      </c>
      <c r="E1346" s="5">
        <v>356.0</v>
      </c>
      <c r="F1346" s="5">
        <v>341.0</v>
      </c>
      <c r="G1346" s="5">
        <f t="shared" si="1"/>
        <v>697</v>
      </c>
      <c r="H1346" s="10">
        <f t="shared" si="2"/>
        <v>0.5107604017</v>
      </c>
      <c r="I1346" s="10">
        <v>-0.0542</v>
      </c>
      <c r="J1346" s="10">
        <v>0.6456</v>
      </c>
      <c r="K1346" s="5">
        <f t="shared" si="3"/>
        <v>0</v>
      </c>
    </row>
    <row r="1347" ht="15.0" customHeight="1">
      <c r="A1347" s="5">
        <v>2020.0</v>
      </c>
      <c r="B1347" s="5" t="s">
        <v>327</v>
      </c>
      <c r="C1347" s="5" t="s">
        <v>190</v>
      </c>
      <c r="D1347" s="5" t="s">
        <v>358</v>
      </c>
      <c r="E1347" s="5">
        <v>515.0</v>
      </c>
      <c r="F1347" s="5">
        <v>464.0</v>
      </c>
      <c r="G1347" s="5">
        <f t="shared" si="1"/>
        <v>979</v>
      </c>
      <c r="H1347" s="10">
        <f t="shared" si="2"/>
        <v>0.5260469867</v>
      </c>
      <c r="I1347" s="10">
        <v>-8.0E-4</v>
      </c>
      <c r="J1347" s="10">
        <v>0.8018</v>
      </c>
      <c r="K1347" s="5">
        <f t="shared" si="3"/>
        <v>1</v>
      </c>
    </row>
    <row r="1348" ht="15.0" customHeight="1">
      <c r="A1348" s="5">
        <v>2022.0</v>
      </c>
      <c r="B1348" s="5" t="s">
        <v>327</v>
      </c>
      <c r="C1348" s="5" t="s">
        <v>190</v>
      </c>
      <c r="D1348" s="5" t="s">
        <v>358</v>
      </c>
      <c r="E1348" s="5">
        <v>422.0</v>
      </c>
      <c r="F1348" s="5">
        <v>349.0</v>
      </c>
      <c r="G1348" s="5">
        <f t="shared" si="1"/>
        <v>771</v>
      </c>
      <c r="H1348" s="10">
        <f t="shared" si="2"/>
        <v>0.5473411154</v>
      </c>
      <c r="I1348" s="10">
        <v>0.0202</v>
      </c>
      <c r="J1348" s="10">
        <v>0.6479</v>
      </c>
      <c r="K1348" s="5">
        <f t="shared" si="3"/>
        <v>0</v>
      </c>
    </row>
    <row r="1349" ht="15.0" customHeight="1">
      <c r="A1349" s="5">
        <v>2024.0</v>
      </c>
      <c r="B1349" s="5" t="s">
        <v>327</v>
      </c>
      <c r="C1349" s="5" t="s">
        <v>190</v>
      </c>
      <c r="D1349" s="5" t="s">
        <v>358</v>
      </c>
      <c r="E1349" s="5">
        <v>511.0</v>
      </c>
      <c r="F1349" s="5">
        <v>453.0</v>
      </c>
      <c r="G1349" s="5">
        <f t="shared" si="1"/>
        <v>964</v>
      </c>
      <c r="H1349" s="10">
        <f t="shared" si="2"/>
        <v>0.5300829876</v>
      </c>
      <c r="I1349" s="10">
        <v>0.0271</v>
      </c>
      <c r="J1349" s="10">
        <v>0.7908</v>
      </c>
      <c r="K1349" s="5">
        <f t="shared" si="3"/>
        <v>1</v>
      </c>
    </row>
    <row r="1350" ht="15.0" customHeight="1">
      <c r="A1350" s="5">
        <v>2018.0</v>
      </c>
      <c r="B1350" s="5" t="s">
        <v>327</v>
      </c>
      <c r="C1350" s="5" t="s">
        <v>359</v>
      </c>
      <c r="D1350" s="5" t="s">
        <v>168</v>
      </c>
      <c r="E1350" s="5">
        <v>413.0</v>
      </c>
      <c r="F1350" s="5">
        <v>327.0</v>
      </c>
      <c r="G1350" s="5">
        <f t="shared" si="1"/>
        <v>740</v>
      </c>
      <c r="H1350" s="10">
        <f t="shared" si="2"/>
        <v>0.5581081081</v>
      </c>
      <c r="I1350" s="10">
        <v>0.1533</v>
      </c>
      <c r="J1350" s="10">
        <v>0.5878</v>
      </c>
      <c r="K1350" s="5">
        <f t="shared" si="3"/>
        <v>0</v>
      </c>
    </row>
    <row r="1351" ht="15.0" customHeight="1">
      <c r="A1351" s="5">
        <v>2020.0</v>
      </c>
      <c r="B1351" s="5" t="s">
        <v>327</v>
      </c>
      <c r="C1351" s="5" t="s">
        <v>359</v>
      </c>
      <c r="D1351" s="5" t="s">
        <v>168</v>
      </c>
      <c r="E1351" s="5">
        <v>554.0</v>
      </c>
      <c r="F1351" s="5">
        <v>570.0</v>
      </c>
      <c r="G1351" s="5">
        <f t="shared" si="1"/>
        <v>1124</v>
      </c>
      <c r="H1351" s="10">
        <f t="shared" si="2"/>
        <v>0.4928825623</v>
      </c>
      <c r="I1351" s="10">
        <v>0.0941</v>
      </c>
      <c r="J1351" s="10">
        <v>0.7838</v>
      </c>
      <c r="K1351" s="5">
        <f t="shared" si="3"/>
        <v>1</v>
      </c>
    </row>
    <row r="1352" ht="15.0" customHeight="1">
      <c r="A1352" s="5">
        <v>2022.0</v>
      </c>
      <c r="B1352" s="5" t="s">
        <v>327</v>
      </c>
      <c r="C1352" s="5" t="s">
        <v>359</v>
      </c>
      <c r="D1352" s="5" t="s">
        <v>168</v>
      </c>
      <c r="E1352" s="5">
        <v>430.0</v>
      </c>
      <c r="F1352" s="5">
        <v>446.0</v>
      </c>
      <c r="G1352" s="5">
        <f t="shared" si="1"/>
        <v>876</v>
      </c>
      <c r="H1352" s="10">
        <f t="shared" si="2"/>
        <v>0.4908675799</v>
      </c>
      <c r="I1352" s="10">
        <v>0.0642</v>
      </c>
      <c r="J1352" s="10">
        <v>0.605</v>
      </c>
      <c r="K1352" s="5">
        <f t="shared" si="3"/>
        <v>0</v>
      </c>
    </row>
    <row r="1353" ht="15.0" customHeight="1">
      <c r="A1353" s="5">
        <v>2024.0</v>
      </c>
      <c r="B1353" s="5" t="s">
        <v>327</v>
      </c>
      <c r="C1353" s="5" t="s">
        <v>359</v>
      </c>
      <c r="D1353" s="5" t="s">
        <v>168</v>
      </c>
      <c r="E1353" s="5">
        <v>553.0</v>
      </c>
      <c r="F1353" s="5">
        <v>581.0</v>
      </c>
      <c r="G1353" s="5">
        <f t="shared" si="1"/>
        <v>1134</v>
      </c>
      <c r="H1353" s="10">
        <f t="shared" si="2"/>
        <v>0.487654321</v>
      </c>
      <c r="I1353" s="10">
        <v>0.0322</v>
      </c>
      <c r="J1353" s="10">
        <v>0.7456</v>
      </c>
      <c r="K1353" s="5">
        <f t="shared" si="3"/>
        <v>1</v>
      </c>
    </row>
    <row r="1354" ht="15.0" customHeight="1">
      <c r="A1354" s="5">
        <v>2018.0</v>
      </c>
      <c r="B1354" s="5" t="s">
        <v>327</v>
      </c>
      <c r="C1354" s="5" t="s">
        <v>359</v>
      </c>
      <c r="D1354" s="5" t="s">
        <v>169</v>
      </c>
      <c r="E1354" s="5">
        <v>327.0</v>
      </c>
      <c r="F1354" s="5">
        <v>246.0</v>
      </c>
      <c r="G1354" s="5">
        <f t="shared" si="1"/>
        <v>573</v>
      </c>
      <c r="H1354" s="10">
        <f t="shared" si="2"/>
        <v>0.5706806283</v>
      </c>
      <c r="I1354" s="10">
        <v>0.1681</v>
      </c>
      <c r="J1354" s="10">
        <v>0.5457</v>
      </c>
      <c r="K1354" s="5">
        <f t="shared" si="3"/>
        <v>0</v>
      </c>
    </row>
    <row r="1355" ht="15.0" customHeight="1">
      <c r="A1355" s="5">
        <v>2020.0</v>
      </c>
      <c r="B1355" s="5" t="s">
        <v>327</v>
      </c>
      <c r="C1355" s="5" t="s">
        <v>359</v>
      </c>
      <c r="D1355" s="5" t="s">
        <v>169</v>
      </c>
      <c r="E1355" s="5">
        <v>439.0</v>
      </c>
      <c r="F1355" s="5">
        <v>426.0</v>
      </c>
      <c r="G1355" s="5">
        <f t="shared" si="1"/>
        <v>865</v>
      </c>
      <c r="H1355" s="10">
        <f t="shared" si="2"/>
        <v>0.5075144509</v>
      </c>
      <c r="I1355" s="10">
        <v>0.1375</v>
      </c>
      <c r="J1355" s="10">
        <v>0.7251</v>
      </c>
      <c r="K1355" s="5">
        <f t="shared" si="3"/>
        <v>1</v>
      </c>
    </row>
    <row r="1356" ht="15.0" customHeight="1">
      <c r="A1356" s="5">
        <v>2022.0</v>
      </c>
      <c r="B1356" s="5" t="s">
        <v>327</v>
      </c>
      <c r="C1356" s="5" t="s">
        <v>359</v>
      </c>
      <c r="D1356" s="5" t="s">
        <v>169</v>
      </c>
      <c r="E1356" s="5">
        <v>363.0</v>
      </c>
      <c r="F1356" s="5">
        <v>318.0</v>
      </c>
      <c r="G1356" s="5">
        <f t="shared" si="1"/>
        <v>681</v>
      </c>
      <c r="H1356" s="10">
        <f t="shared" si="2"/>
        <v>0.5330396476</v>
      </c>
      <c r="I1356" s="10">
        <v>0.0992</v>
      </c>
      <c r="J1356" s="10">
        <v>0.5771</v>
      </c>
      <c r="K1356" s="5">
        <f t="shared" si="3"/>
        <v>0</v>
      </c>
    </row>
    <row r="1357" ht="15.0" customHeight="1">
      <c r="A1357" s="5">
        <v>2024.0</v>
      </c>
      <c r="B1357" s="5" t="s">
        <v>327</v>
      </c>
      <c r="C1357" s="5" t="s">
        <v>359</v>
      </c>
      <c r="D1357" s="5" t="s">
        <v>169</v>
      </c>
      <c r="E1357" s="5">
        <v>473.0</v>
      </c>
      <c r="F1357" s="5">
        <v>465.0</v>
      </c>
      <c r="G1357" s="5">
        <f t="shared" si="1"/>
        <v>938</v>
      </c>
      <c r="H1357" s="10">
        <f t="shared" si="2"/>
        <v>0.5042643923</v>
      </c>
      <c r="I1357" s="10">
        <v>0.0874</v>
      </c>
      <c r="J1357" s="10">
        <v>0.7595</v>
      </c>
      <c r="K1357" s="5">
        <f t="shared" si="3"/>
        <v>1</v>
      </c>
    </row>
    <row r="1358" ht="15.0" customHeight="1">
      <c r="A1358" s="5">
        <v>2018.0</v>
      </c>
      <c r="B1358" s="5" t="s">
        <v>327</v>
      </c>
      <c r="C1358" s="5" t="s">
        <v>359</v>
      </c>
      <c r="D1358" s="5" t="s">
        <v>171</v>
      </c>
      <c r="E1358" s="5">
        <v>506.0</v>
      </c>
      <c r="F1358" s="5">
        <v>393.0</v>
      </c>
      <c r="G1358" s="5">
        <f t="shared" si="1"/>
        <v>899</v>
      </c>
      <c r="H1358" s="10">
        <f t="shared" si="2"/>
        <v>0.5628476085</v>
      </c>
      <c r="I1358" s="10">
        <v>0.1332</v>
      </c>
      <c r="J1358" s="10">
        <v>0.6063</v>
      </c>
      <c r="K1358" s="5">
        <f t="shared" si="3"/>
        <v>0</v>
      </c>
    </row>
    <row r="1359" ht="15.0" customHeight="1">
      <c r="A1359" s="5">
        <v>2020.0</v>
      </c>
      <c r="B1359" s="5" t="s">
        <v>327</v>
      </c>
      <c r="C1359" s="5" t="s">
        <v>359</v>
      </c>
      <c r="D1359" s="5" t="s">
        <v>171</v>
      </c>
      <c r="E1359" s="5">
        <v>653.0</v>
      </c>
      <c r="F1359" s="5">
        <v>612.0</v>
      </c>
      <c r="G1359" s="5">
        <f t="shared" si="1"/>
        <v>1265</v>
      </c>
      <c r="H1359" s="10">
        <f t="shared" si="2"/>
        <v>0.5162055336</v>
      </c>
      <c r="I1359" s="10">
        <v>0.1174</v>
      </c>
      <c r="J1359" s="10">
        <v>0.7575</v>
      </c>
      <c r="K1359" s="5">
        <f t="shared" si="3"/>
        <v>1</v>
      </c>
    </row>
    <row r="1360" ht="15.0" customHeight="1">
      <c r="A1360" s="5">
        <v>2022.0</v>
      </c>
      <c r="B1360" s="5" t="s">
        <v>327</v>
      </c>
      <c r="C1360" s="5" t="s">
        <v>359</v>
      </c>
      <c r="D1360" s="5" t="s">
        <v>171</v>
      </c>
      <c r="E1360" s="5">
        <v>579.0</v>
      </c>
      <c r="F1360" s="5">
        <v>437.0</v>
      </c>
      <c r="G1360" s="5">
        <f t="shared" si="1"/>
        <v>1016</v>
      </c>
      <c r="H1360" s="10">
        <f t="shared" si="2"/>
        <v>0.5698818898</v>
      </c>
      <c r="I1360" s="10">
        <v>0.0932</v>
      </c>
      <c r="J1360" s="10">
        <v>0.6069</v>
      </c>
      <c r="K1360" s="5">
        <f t="shared" si="3"/>
        <v>0</v>
      </c>
    </row>
    <row r="1361" ht="15.0" customHeight="1">
      <c r="A1361" s="5">
        <v>2024.0</v>
      </c>
      <c r="B1361" s="5" t="s">
        <v>327</v>
      </c>
      <c r="C1361" s="5" t="s">
        <v>359</v>
      </c>
      <c r="D1361" s="5" t="s">
        <v>171</v>
      </c>
      <c r="E1361" s="5">
        <v>700.0</v>
      </c>
      <c r="F1361" s="5">
        <v>639.0</v>
      </c>
      <c r="G1361" s="5">
        <f t="shared" si="1"/>
        <v>1339</v>
      </c>
      <c r="H1361" s="10">
        <f t="shared" si="2"/>
        <v>0.5227781927</v>
      </c>
      <c r="I1361" s="10">
        <v>0.0506</v>
      </c>
      <c r="J1361" s="10">
        <v>0.7975</v>
      </c>
      <c r="K1361" s="5">
        <f t="shared" si="3"/>
        <v>1</v>
      </c>
    </row>
    <row r="1362" ht="15.0" customHeight="1">
      <c r="A1362" s="5">
        <v>2018.0</v>
      </c>
      <c r="B1362" s="5" t="s">
        <v>327</v>
      </c>
      <c r="C1362" s="5" t="s">
        <v>99</v>
      </c>
      <c r="D1362" s="5" t="s">
        <v>172</v>
      </c>
      <c r="E1362" s="5">
        <v>380.0</v>
      </c>
      <c r="F1362" s="5">
        <v>668.0</v>
      </c>
      <c r="G1362" s="5">
        <f t="shared" si="1"/>
        <v>1048</v>
      </c>
      <c r="H1362" s="10">
        <f t="shared" si="2"/>
        <v>0.3625954198</v>
      </c>
      <c r="I1362" s="10">
        <v>-0.1313</v>
      </c>
      <c r="J1362" s="10">
        <v>0.6218</v>
      </c>
      <c r="K1362" s="5">
        <f t="shared" si="3"/>
        <v>0</v>
      </c>
    </row>
    <row r="1363" ht="15.0" customHeight="1">
      <c r="A1363" s="5">
        <v>2020.0</v>
      </c>
      <c r="B1363" s="5" t="s">
        <v>327</v>
      </c>
      <c r="C1363" s="5" t="s">
        <v>99</v>
      </c>
      <c r="D1363" s="5" t="s">
        <v>172</v>
      </c>
      <c r="E1363" s="5">
        <v>533.0</v>
      </c>
      <c r="F1363" s="5">
        <v>1046.0</v>
      </c>
      <c r="G1363" s="5">
        <f t="shared" si="1"/>
        <v>1579</v>
      </c>
      <c r="H1363" s="10">
        <f t="shared" si="2"/>
        <v>0.3375554148</v>
      </c>
      <c r="I1363" s="10">
        <v>-0.1804</v>
      </c>
      <c r="J1363" s="10">
        <v>0.8306</v>
      </c>
      <c r="K1363" s="5">
        <f t="shared" si="3"/>
        <v>1</v>
      </c>
    </row>
    <row r="1364" ht="15.0" customHeight="1">
      <c r="A1364" s="5">
        <v>2022.0</v>
      </c>
      <c r="B1364" s="5" t="s">
        <v>327</v>
      </c>
      <c r="C1364" s="5" t="s">
        <v>99</v>
      </c>
      <c r="D1364" s="5" t="s">
        <v>172</v>
      </c>
      <c r="E1364" s="5">
        <v>454.0</v>
      </c>
      <c r="F1364" s="5">
        <v>825.0</v>
      </c>
      <c r="G1364" s="5">
        <f t="shared" si="1"/>
        <v>1279</v>
      </c>
      <c r="H1364" s="10">
        <f t="shared" si="2"/>
        <v>0.3549648163</v>
      </c>
      <c r="I1364" s="10">
        <v>-0.1943</v>
      </c>
      <c r="J1364" s="10">
        <v>0.6644</v>
      </c>
      <c r="K1364" s="5">
        <f t="shared" si="3"/>
        <v>0</v>
      </c>
    </row>
    <row r="1365" ht="15.0" customHeight="1">
      <c r="A1365" s="5">
        <v>2024.0</v>
      </c>
      <c r="B1365" s="5" t="s">
        <v>327</v>
      </c>
      <c r="C1365" s="5" t="s">
        <v>99</v>
      </c>
      <c r="D1365" s="5" t="s">
        <v>172</v>
      </c>
      <c r="E1365" s="5">
        <v>546.0</v>
      </c>
      <c r="F1365" s="5">
        <v>1089.0</v>
      </c>
      <c r="G1365" s="5">
        <f t="shared" si="1"/>
        <v>1635</v>
      </c>
      <c r="H1365" s="10">
        <f t="shared" si="2"/>
        <v>0.3339449541</v>
      </c>
      <c r="I1365" s="10">
        <v>-0.237</v>
      </c>
      <c r="J1365" s="10">
        <v>0.8191</v>
      </c>
      <c r="K1365" s="5">
        <f t="shared" si="3"/>
        <v>1</v>
      </c>
    </row>
    <row r="1366" ht="15.0" customHeight="1">
      <c r="A1366" s="5">
        <v>2018.0</v>
      </c>
      <c r="B1366" s="5" t="s">
        <v>327</v>
      </c>
      <c r="C1366" s="5" t="s">
        <v>99</v>
      </c>
      <c r="D1366" s="5" t="s">
        <v>173</v>
      </c>
      <c r="E1366" s="5">
        <v>444.0</v>
      </c>
      <c r="F1366" s="5">
        <v>728.0</v>
      </c>
      <c r="G1366" s="5">
        <f t="shared" si="1"/>
        <v>1172</v>
      </c>
      <c r="H1366" s="10">
        <f t="shared" si="2"/>
        <v>0.3788395904</v>
      </c>
      <c r="I1366" s="10">
        <v>-0.0241</v>
      </c>
      <c r="J1366" s="10">
        <v>0.5977</v>
      </c>
      <c r="K1366" s="5">
        <f t="shared" si="3"/>
        <v>0</v>
      </c>
    </row>
    <row r="1367" ht="15.0" customHeight="1">
      <c r="A1367" s="5">
        <v>2020.0</v>
      </c>
      <c r="B1367" s="5" t="s">
        <v>327</v>
      </c>
      <c r="C1367" s="5" t="s">
        <v>99</v>
      </c>
      <c r="D1367" s="5" t="s">
        <v>173</v>
      </c>
      <c r="E1367" s="5">
        <v>619.0</v>
      </c>
      <c r="F1367" s="5">
        <v>1176.0</v>
      </c>
      <c r="G1367" s="5">
        <f t="shared" si="1"/>
        <v>1795</v>
      </c>
      <c r="H1367" s="10">
        <f t="shared" si="2"/>
        <v>0.3448467967</v>
      </c>
      <c r="I1367" s="10">
        <v>-0.08</v>
      </c>
      <c r="J1367" s="10">
        <v>0.8159</v>
      </c>
      <c r="K1367" s="5">
        <f t="shared" si="3"/>
        <v>1</v>
      </c>
    </row>
    <row r="1368" ht="15.0" customHeight="1">
      <c r="A1368" s="5">
        <v>2022.0</v>
      </c>
      <c r="B1368" s="5" t="s">
        <v>327</v>
      </c>
      <c r="C1368" s="5" t="s">
        <v>99</v>
      </c>
      <c r="D1368" s="5" t="s">
        <v>173</v>
      </c>
      <c r="E1368" s="5">
        <v>529.0</v>
      </c>
      <c r="F1368" s="5">
        <v>916.0</v>
      </c>
      <c r="G1368" s="5">
        <f t="shared" si="1"/>
        <v>1445</v>
      </c>
      <c r="H1368" s="10">
        <f t="shared" si="2"/>
        <v>0.3660899654</v>
      </c>
      <c r="I1368" s="10">
        <v>-0.1217</v>
      </c>
      <c r="J1368" s="10">
        <v>0.6638</v>
      </c>
      <c r="K1368" s="5">
        <f t="shared" si="3"/>
        <v>0</v>
      </c>
    </row>
    <row r="1369" ht="15.0" customHeight="1">
      <c r="A1369" s="5">
        <v>2024.0</v>
      </c>
      <c r="B1369" s="5" t="s">
        <v>327</v>
      </c>
      <c r="C1369" s="5" t="s">
        <v>99</v>
      </c>
      <c r="D1369" s="5" t="s">
        <v>173</v>
      </c>
      <c r="E1369" s="5">
        <v>636.0</v>
      </c>
      <c r="F1369" s="5">
        <v>1262.0</v>
      </c>
      <c r="G1369" s="5">
        <f t="shared" si="1"/>
        <v>1898</v>
      </c>
      <c r="H1369" s="10">
        <f t="shared" si="2"/>
        <v>0.335089568</v>
      </c>
      <c r="I1369" s="10">
        <v>-0.1826</v>
      </c>
      <c r="J1369" s="10">
        <v>0.8372</v>
      </c>
      <c r="K1369" s="5">
        <f t="shared" si="3"/>
        <v>1</v>
      </c>
    </row>
    <row r="1370" ht="15.0" customHeight="1">
      <c r="A1370" s="5">
        <v>2018.0</v>
      </c>
      <c r="B1370" s="5" t="s">
        <v>327</v>
      </c>
      <c r="C1370" s="5" t="s">
        <v>99</v>
      </c>
      <c r="D1370" s="5" t="s">
        <v>175</v>
      </c>
      <c r="E1370" s="5">
        <v>146.0</v>
      </c>
      <c r="F1370" s="5">
        <v>290.0</v>
      </c>
      <c r="G1370" s="5">
        <f t="shared" si="1"/>
        <v>436</v>
      </c>
      <c r="H1370" s="10">
        <f t="shared" si="2"/>
        <v>0.3348623853</v>
      </c>
      <c r="I1370" s="10">
        <v>-0.0872</v>
      </c>
      <c r="J1370" s="10">
        <v>0.5579</v>
      </c>
      <c r="K1370" s="5">
        <f t="shared" si="3"/>
        <v>0</v>
      </c>
    </row>
    <row r="1371" ht="15.0" customHeight="1">
      <c r="A1371" s="5">
        <v>2020.0</v>
      </c>
      <c r="B1371" s="5" t="s">
        <v>327</v>
      </c>
      <c r="C1371" s="5" t="s">
        <v>99</v>
      </c>
      <c r="D1371" s="5" t="s">
        <v>175</v>
      </c>
      <c r="E1371" s="5">
        <v>459.0</v>
      </c>
      <c r="F1371" s="5">
        <v>929.0</v>
      </c>
      <c r="G1371" s="5">
        <f t="shared" si="1"/>
        <v>1388</v>
      </c>
      <c r="H1371" s="10">
        <f t="shared" si="2"/>
        <v>0.3306916427</v>
      </c>
      <c r="I1371" s="10">
        <v>-0.1542</v>
      </c>
      <c r="J1371" s="10">
        <v>1.5508</v>
      </c>
      <c r="K1371" s="5">
        <f t="shared" si="3"/>
        <v>1</v>
      </c>
    </row>
    <row r="1372" ht="15.0" customHeight="1">
      <c r="A1372" s="5">
        <v>2022.0</v>
      </c>
      <c r="B1372" s="5" t="s">
        <v>327</v>
      </c>
      <c r="C1372" s="5" t="s">
        <v>99</v>
      </c>
      <c r="D1372" s="5" t="s">
        <v>175</v>
      </c>
      <c r="E1372" s="5">
        <v>142.0</v>
      </c>
      <c r="F1372" s="5">
        <v>349.0</v>
      </c>
      <c r="G1372" s="5">
        <f t="shared" si="1"/>
        <v>491</v>
      </c>
      <c r="H1372" s="10">
        <f t="shared" si="2"/>
        <v>0.2892057026</v>
      </c>
      <c r="I1372" s="10">
        <v>-0.1839</v>
      </c>
      <c r="J1372" s="10">
        <v>0.5573</v>
      </c>
      <c r="K1372" s="5">
        <f t="shared" si="3"/>
        <v>0</v>
      </c>
    </row>
    <row r="1373" ht="15.0" customHeight="1">
      <c r="A1373" s="5">
        <v>2024.0</v>
      </c>
      <c r="B1373" s="5" t="s">
        <v>327</v>
      </c>
      <c r="C1373" s="5" t="s">
        <v>99</v>
      </c>
      <c r="D1373" s="5" t="s">
        <v>175</v>
      </c>
      <c r="E1373" s="5">
        <v>224.0</v>
      </c>
      <c r="F1373" s="5">
        <v>495.0</v>
      </c>
      <c r="G1373" s="5">
        <f t="shared" si="1"/>
        <v>719</v>
      </c>
      <c r="H1373" s="10">
        <f t="shared" si="2"/>
        <v>0.3115438108</v>
      </c>
      <c r="I1373" s="10">
        <v>-0.2443</v>
      </c>
      <c r="J1373" s="10">
        <v>0.7773</v>
      </c>
      <c r="K1373" s="5">
        <f t="shared" si="3"/>
        <v>1</v>
      </c>
    </row>
    <row r="1374" ht="15.0" customHeight="1">
      <c r="A1374" s="5">
        <v>2018.0</v>
      </c>
      <c r="B1374" s="5" t="s">
        <v>327</v>
      </c>
      <c r="C1374" s="5" t="s">
        <v>99</v>
      </c>
      <c r="D1374" s="5" t="s">
        <v>177</v>
      </c>
      <c r="E1374" s="5">
        <v>340.0</v>
      </c>
      <c r="F1374" s="5">
        <v>571.0</v>
      </c>
      <c r="G1374" s="5">
        <f t="shared" si="1"/>
        <v>911</v>
      </c>
      <c r="H1374" s="10">
        <f t="shared" si="2"/>
        <v>0.3732162459</v>
      </c>
      <c r="I1374" s="10">
        <v>-0.0989</v>
      </c>
      <c r="J1374" s="10">
        <v>0.6181</v>
      </c>
      <c r="K1374" s="5">
        <f t="shared" si="3"/>
        <v>0</v>
      </c>
    </row>
    <row r="1375" ht="15.0" customHeight="1">
      <c r="A1375" s="5">
        <v>2020.0</v>
      </c>
      <c r="B1375" s="5" t="s">
        <v>327</v>
      </c>
      <c r="C1375" s="5" t="s">
        <v>99</v>
      </c>
      <c r="D1375" s="5" t="s">
        <v>177</v>
      </c>
      <c r="E1375" s="5">
        <v>311.0</v>
      </c>
      <c r="F1375" s="5">
        <v>628.0</v>
      </c>
      <c r="G1375" s="5">
        <f t="shared" si="1"/>
        <v>939</v>
      </c>
      <c r="H1375" s="10">
        <f t="shared" si="2"/>
        <v>0.3312034079</v>
      </c>
      <c r="I1375" s="10">
        <v>-0.1692</v>
      </c>
      <c r="J1375" s="10">
        <v>0.5653</v>
      </c>
      <c r="K1375" s="5">
        <f t="shared" si="3"/>
        <v>1</v>
      </c>
    </row>
    <row r="1376" ht="15.0" customHeight="1">
      <c r="A1376" s="5">
        <v>2022.0</v>
      </c>
      <c r="B1376" s="5" t="s">
        <v>327</v>
      </c>
      <c r="C1376" s="5" t="s">
        <v>99</v>
      </c>
      <c r="D1376" s="5" t="s">
        <v>177</v>
      </c>
      <c r="E1376" s="5">
        <v>400.0</v>
      </c>
      <c r="F1376" s="5">
        <v>731.0</v>
      </c>
      <c r="G1376" s="5">
        <f t="shared" si="1"/>
        <v>1131</v>
      </c>
      <c r="H1376" s="10">
        <f t="shared" si="2"/>
        <v>0.3536693192</v>
      </c>
      <c r="I1376" s="10">
        <v>-0.1946</v>
      </c>
      <c r="J1376" s="10">
        <v>0.688</v>
      </c>
      <c r="K1376" s="5">
        <f t="shared" si="3"/>
        <v>0</v>
      </c>
    </row>
    <row r="1377" ht="15.0" customHeight="1">
      <c r="A1377" s="5">
        <v>2024.0</v>
      </c>
      <c r="B1377" s="5" t="s">
        <v>327</v>
      </c>
      <c r="C1377" s="5" t="s">
        <v>99</v>
      </c>
      <c r="D1377" s="5" t="s">
        <v>177</v>
      </c>
      <c r="E1377" s="5">
        <v>478.0</v>
      </c>
      <c r="F1377" s="5">
        <v>948.0</v>
      </c>
      <c r="G1377" s="5">
        <f t="shared" si="1"/>
        <v>1426</v>
      </c>
      <c r="H1377" s="10">
        <f t="shared" si="2"/>
        <v>0.3352033661</v>
      </c>
      <c r="I1377" s="10">
        <v>-0.2179</v>
      </c>
      <c r="J1377" s="10">
        <v>0.8354</v>
      </c>
      <c r="K1377" s="5">
        <f t="shared" si="3"/>
        <v>1</v>
      </c>
    </row>
    <row r="1378" ht="15.0" customHeight="1">
      <c r="A1378" s="5">
        <v>2018.0</v>
      </c>
      <c r="B1378" s="5" t="s">
        <v>327</v>
      </c>
      <c r="C1378" s="5" t="s">
        <v>99</v>
      </c>
      <c r="D1378" s="5" t="s">
        <v>178</v>
      </c>
      <c r="E1378" s="5">
        <v>233.0</v>
      </c>
      <c r="F1378" s="5">
        <v>451.0</v>
      </c>
      <c r="G1378" s="5">
        <f t="shared" si="1"/>
        <v>684</v>
      </c>
      <c r="H1378" s="10">
        <f t="shared" si="2"/>
        <v>0.3406432749</v>
      </c>
      <c r="I1378" s="10">
        <v>-0.1246</v>
      </c>
      <c r="J1378" s="10">
        <v>0.6263</v>
      </c>
      <c r="K1378" s="5">
        <f t="shared" si="3"/>
        <v>0</v>
      </c>
    </row>
    <row r="1379" ht="15.0" customHeight="1">
      <c r="A1379" s="5">
        <v>2020.0</v>
      </c>
      <c r="B1379" s="5" t="s">
        <v>327</v>
      </c>
      <c r="C1379" s="5" t="s">
        <v>99</v>
      </c>
      <c r="D1379" s="5" t="s">
        <v>178</v>
      </c>
      <c r="E1379" s="5">
        <v>215.0</v>
      </c>
      <c r="F1379" s="5">
        <v>479.0</v>
      </c>
      <c r="G1379" s="5">
        <f t="shared" si="1"/>
        <v>694</v>
      </c>
      <c r="H1379" s="10">
        <f t="shared" si="2"/>
        <v>0.3097982709</v>
      </c>
      <c r="I1379" s="10">
        <v>-0.1448</v>
      </c>
      <c r="J1379" s="10">
        <v>0.5983</v>
      </c>
      <c r="K1379" s="5">
        <f t="shared" si="3"/>
        <v>1</v>
      </c>
    </row>
    <row r="1380" ht="15.0" customHeight="1">
      <c r="A1380" s="5">
        <v>2022.0</v>
      </c>
      <c r="B1380" s="5" t="s">
        <v>327</v>
      </c>
      <c r="C1380" s="5" t="s">
        <v>99</v>
      </c>
      <c r="D1380" s="5" t="s">
        <v>178</v>
      </c>
      <c r="E1380" s="5">
        <v>278.0</v>
      </c>
      <c r="F1380" s="5">
        <v>482.0</v>
      </c>
      <c r="G1380" s="5">
        <f t="shared" si="1"/>
        <v>760</v>
      </c>
      <c r="H1380" s="10">
        <f t="shared" si="2"/>
        <v>0.3657894737</v>
      </c>
      <c r="I1380" s="10">
        <v>-0.1699</v>
      </c>
      <c r="J1380" s="10">
        <v>0.662</v>
      </c>
      <c r="K1380" s="5">
        <f t="shared" si="3"/>
        <v>0</v>
      </c>
    </row>
    <row r="1381" ht="15.0" customHeight="1">
      <c r="A1381" s="5">
        <v>2024.0</v>
      </c>
      <c r="B1381" s="5" t="s">
        <v>327</v>
      </c>
      <c r="C1381" s="5" t="s">
        <v>99</v>
      </c>
      <c r="D1381" s="5" t="s">
        <v>178</v>
      </c>
      <c r="E1381" s="5">
        <v>360.0</v>
      </c>
      <c r="F1381" s="5">
        <v>645.0</v>
      </c>
      <c r="G1381" s="5">
        <f t="shared" si="1"/>
        <v>1005</v>
      </c>
      <c r="H1381" s="10">
        <f t="shared" si="2"/>
        <v>0.3582089552</v>
      </c>
      <c r="I1381" s="10">
        <v>-0.2417</v>
      </c>
      <c r="J1381" s="10">
        <v>0.8151</v>
      </c>
      <c r="K1381" s="5">
        <f t="shared" si="3"/>
        <v>1</v>
      </c>
    </row>
    <row r="1382" ht="15.0" customHeight="1">
      <c r="A1382" s="5">
        <v>2018.0</v>
      </c>
      <c r="B1382" s="5" t="s">
        <v>327</v>
      </c>
      <c r="C1382" s="5" t="s">
        <v>360</v>
      </c>
      <c r="D1382" s="5" t="s">
        <v>180</v>
      </c>
      <c r="E1382" s="5">
        <v>35.0</v>
      </c>
      <c r="F1382" s="5">
        <v>49.0</v>
      </c>
      <c r="G1382" s="5">
        <f t="shared" si="1"/>
        <v>84</v>
      </c>
      <c r="H1382" s="10">
        <f t="shared" si="2"/>
        <v>0.4166666667</v>
      </c>
      <c r="I1382" s="10">
        <v>0.0473</v>
      </c>
      <c r="J1382" s="10">
        <v>0.497</v>
      </c>
      <c r="K1382" s="5">
        <f t="shared" si="3"/>
        <v>0</v>
      </c>
    </row>
    <row r="1383" ht="15.0" customHeight="1">
      <c r="A1383" s="5">
        <v>2020.0</v>
      </c>
      <c r="B1383" s="5" t="s">
        <v>327</v>
      </c>
      <c r="C1383" s="5" t="s">
        <v>360</v>
      </c>
      <c r="D1383" s="5" t="s">
        <v>180</v>
      </c>
      <c r="E1383" s="5">
        <v>239.0</v>
      </c>
      <c r="F1383" s="5">
        <v>427.0</v>
      </c>
      <c r="G1383" s="5">
        <f t="shared" si="1"/>
        <v>666</v>
      </c>
      <c r="H1383" s="10">
        <f t="shared" si="2"/>
        <v>0.3588588589</v>
      </c>
      <c r="I1383" s="10">
        <v>-0.1307</v>
      </c>
      <c r="J1383" s="10">
        <v>3.7841</v>
      </c>
      <c r="K1383" s="5">
        <f t="shared" si="3"/>
        <v>1</v>
      </c>
    </row>
    <row r="1384" ht="15.0" customHeight="1">
      <c r="A1384" s="5">
        <v>2022.0</v>
      </c>
      <c r="B1384" s="5" t="s">
        <v>327</v>
      </c>
      <c r="C1384" s="5" t="s">
        <v>360</v>
      </c>
      <c r="D1384" s="5" t="s">
        <v>180</v>
      </c>
      <c r="E1384" s="5">
        <v>203.0</v>
      </c>
      <c r="F1384" s="5">
        <v>331.0</v>
      </c>
      <c r="G1384" s="5">
        <f t="shared" si="1"/>
        <v>534</v>
      </c>
      <c r="H1384" s="10">
        <f t="shared" si="2"/>
        <v>0.3801498127</v>
      </c>
      <c r="I1384" s="10">
        <v>-0.1975</v>
      </c>
      <c r="J1384" s="10">
        <v>3.2963</v>
      </c>
      <c r="K1384" s="5">
        <f t="shared" si="3"/>
        <v>0</v>
      </c>
    </row>
    <row r="1385" ht="15.0" customHeight="1">
      <c r="A1385" s="5">
        <v>2024.0</v>
      </c>
      <c r="B1385" s="5" t="s">
        <v>327</v>
      </c>
      <c r="C1385" s="5" t="s">
        <v>360</v>
      </c>
      <c r="D1385" s="5" t="s">
        <v>180</v>
      </c>
      <c r="E1385" s="5">
        <v>264.0</v>
      </c>
      <c r="F1385" s="5">
        <v>439.0</v>
      </c>
      <c r="G1385" s="5">
        <f t="shared" si="1"/>
        <v>703</v>
      </c>
      <c r="H1385" s="10">
        <f t="shared" si="2"/>
        <v>0.3755334282</v>
      </c>
      <c r="I1385" s="10">
        <v>-0.2622</v>
      </c>
      <c r="J1385" s="10">
        <v>4.2866</v>
      </c>
      <c r="K1385" s="5">
        <f t="shared" si="3"/>
        <v>1</v>
      </c>
    </row>
    <row r="1386" ht="15.0" customHeight="1">
      <c r="A1386" s="5">
        <v>2018.0</v>
      </c>
      <c r="B1386" s="5" t="s">
        <v>327</v>
      </c>
      <c r="C1386" s="5" t="s">
        <v>360</v>
      </c>
      <c r="D1386" s="5" t="s">
        <v>181</v>
      </c>
      <c r="E1386" s="5">
        <v>280.0</v>
      </c>
      <c r="F1386" s="5">
        <v>430.0</v>
      </c>
      <c r="G1386" s="5">
        <f t="shared" si="1"/>
        <v>710</v>
      </c>
      <c r="H1386" s="10">
        <f t="shared" si="2"/>
        <v>0.3943661972</v>
      </c>
      <c r="I1386" s="10">
        <v>-0.1259</v>
      </c>
      <c r="J1386" s="10">
        <v>0.5457</v>
      </c>
      <c r="K1386" s="5">
        <f t="shared" si="3"/>
        <v>0</v>
      </c>
    </row>
    <row r="1387" ht="15.0" customHeight="1">
      <c r="A1387" s="5">
        <v>2020.0</v>
      </c>
      <c r="B1387" s="5" t="s">
        <v>327</v>
      </c>
      <c r="C1387" s="5" t="s">
        <v>360</v>
      </c>
      <c r="D1387" s="5" t="s">
        <v>181</v>
      </c>
      <c r="E1387" s="5">
        <v>341.0</v>
      </c>
      <c r="F1387" s="5">
        <v>762.0</v>
      </c>
      <c r="G1387" s="5">
        <f t="shared" si="1"/>
        <v>1103</v>
      </c>
      <c r="H1387" s="10">
        <f t="shared" si="2"/>
        <v>0.309156845</v>
      </c>
      <c r="I1387" s="10">
        <v>-0.1803</v>
      </c>
      <c r="J1387" s="10">
        <v>0.7828</v>
      </c>
      <c r="K1387" s="5">
        <f t="shared" si="3"/>
        <v>1</v>
      </c>
    </row>
    <row r="1388" ht="15.0" customHeight="1">
      <c r="A1388" s="5">
        <v>2022.0</v>
      </c>
      <c r="B1388" s="5" t="s">
        <v>327</v>
      </c>
      <c r="C1388" s="5" t="s">
        <v>360</v>
      </c>
      <c r="D1388" s="5" t="s">
        <v>181</v>
      </c>
      <c r="E1388" s="5">
        <v>308.0</v>
      </c>
      <c r="F1388" s="5">
        <v>558.0</v>
      </c>
      <c r="G1388" s="5">
        <f t="shared" si="1"/>
        <v>866</v>
      </c>
      <c r="H1388" s="10">
        <f t="shared" si="2"/>
        <v>0.3556581986</v>
      </c>
      <c r="I1388" s="10">
        <v>-0.2194</v>
      </c>
      <c r="J1388" s="10">
        <v>0.6271</v>
      </c>
      <c r="K1388" s="5">
        <f t="shared" si="3"/>
        <v>0</v>
      </c>
    </row>
    <row r="1389" ht="15.0" customHeight="1">
      <c r="A1389" s="5">
        <v>2024.0</v>
      </c>
      <c r="B1389" s="5" t="s">
        <v>327</v>
      </c>
      <c r="C1389" s="5" t="s">
        <v>360</v>
      </c>
      <c r="D1389" s="5" t="s">
        <v>181</v>
      </c>
      <c r="E1389" s="5">
        <v>361.0</v>
      </c>
      <c r="F1389" s="5">
        <v>775.0</v>
      </c>
      <c r="G1389" s="5">
        <f t="shared" si="1"/>
        <v>1136</v>
      </c>
      <c r="H1389" s="10">
        <f t="shared" si="2"/>
        <v>0.3177816901</v>
      </c>
      <c r="I1389" s="10">
        <v>-0.2851</v>
      </c>
      <c r="J1389" s="10">
        <v>0.7824</v>
      </c>
      <c r="K1389" s="5">
        <f t="shared" si="3"/>
        <v>1</v>
      </c>
    </row>
    <row r="1390" ht="15.0" customHeight="1">
      <c r="A1390" s="5">
        <v>2018.0</v>
      </c>
      <c r="B1390" s="5" t="s">
        <v>327</v>
      </c>
      <c r="C1390" s="5" t="s">
        <v>361</v>
      </c>
      <c r="D1390" s="5" t="s">
        <v>182</v>
      </c>
      <c r="E1390" s="5">
        <v>901.0</v>
      </c>
      <c r="F1390" s="5">
        <v>1107.0</v>
      </c>
      <c r="G1390" s="5">
        <f t="shared" si="1"/>
        <v>2008</v>
      </c>
      <c r="H1390" s="10">
        <f t="shared" si="2"/>
        <v>0.4487051793</v>
      </c>
      <c r="I1390" s="10">
        <v>-0.076</v>
      </c>
      <c r="J1390" s="10">
        <v>0.6475</v>
      </c>
      <c r="K1390" s="5">
        <f t="shared" si="3"/>
        <v>0</v>
      </c>
    </row>
    <row r="1391" ht="15.0" customHeight="1">
      <c r="A1391" s="5">
        <v>2020.0</v>
      </c>
      <c r="B1391" s="5" t="s">
        <v>327</v>
      </c>
      <c r="C1391" s="5" t="s">
        <v>361</v>
      </c>
      <c r="D1391" s="5" t="s">
        <v>182</v>
      </c>
      <c r="E1391" s="5">
        <v>1318.0</v>
      </c>
      <c r="F1391" s="5">
        <v>1709.0</v>
      </c>
      <c r="G1391" s="5">
        <f t="shared" si="1"/>
        <v>3027</v>
      </c>
      <c r="H1391" s="10">
        <f t="shared" si="2"/>
        <v>0.4354146019</v>
      </c>
      <c r="I1391" s="10">
        <v>-0.0707</v>
      </c>
      <c r="J1391" s="10">
        <v>0.833</v>
      </c>
      <c r="K1391" s="5">
        <f t="shared" si="3"/>
        <v>1</v>
      </c>
    </row>
    <row r="1392" ht="15.0" customHeight="1">
      <c r="A1392" s="5">
        <v>2022.0</v>
      </c>
      <c r="B1392" s="5" t="s">
        <v>327</v>
      </c>
      <c r="C1392" s="5" t="s">
        <v>361</v>
      </c>
      <c r="D1392" s="5" t="s">
        <v>182</v>
      </c>
      <c r="E1392" s="5">
        <v>1136.0</v>
      </c>
      <c r="F1392" s="5">
        <v>1415.0</v>
      </c>
      <c r="G1392" s="5">
        <f t="shared" si="1"/>
        <v>2551</v>
      </c>
      <c r="H1392" s="10">
        <f t="shared" si="2"/>
        <v>0.4453155625</v>
      </c>
      <c r="I1392" s="10">
        <v>-0.0852</v>
      </c>
      <c r="J1392" s="10">
        <v>0.6945</v>
      </c>
      <c r="K1392" s="5">
        <f t="shared" si="3"/>
        <v>0</v>
      </c>
    </row>
    <row r="1393" ht="15.0" customHeight="1">
      <c r="A1393" s="5">
        <v>2024.0</v>
      </c>
      <c r="B1393" s="5" t="s">
        <v>327</v>
      </c>
      <c r="C1393" s="5" t="s">
        <v>361</v>
      </c>
      <c r="D1393" s="5" t="s">
        <v>182</v>
      </c>
      <c r="E1393" s="5">
        <v>1441.0</v>
      </c>
      <c r="F1393" s="5">
        <v>1674.0</v>
      </c>
      <c r="G1393" s="5">
        <f t="shared" si="1"/>
        <v>3115</v>
      </c>
      <c r="H1393" s="10">
        <f t="shared" si="2"/>
        <v>0.462600321</v>
      </c>
      <c r="I1393" s="10">
        <v>-0.101</v>
      </c>
      <c r="J1393" s="10">
        <v>0.8258</v>
      </c>
      <c r="K1393" s="5">
        <f t="shared" si="3"/>
        <v>1</v>
      </c>
    </row>
    <row r="1394" ht="15.0" customHeight="1">
      <c r="A1394" s="5">
        <v>2018.0</v>
      </c>
      <c r="B1394" s="5" t="s">
        <v>327</v>
      </c>
      <c r="C1394" s="5" t="s">
        <v>361</v>
      </c>
      <c r="D1394" s="5" t="s">
        <v>183</v>
      </c>
      <c r="E1394" s="5">
        <v>419.0</v>
      </c>
      <c r="F1394" s="5">
        <v>543.0</v>
      </c>
      <c r="G1394" s="5">
        <f t="shared" si="1"/>
        <v>962</v>
      </c>
      <c r="H1394" s="10">
        <f t="shared" si="2"/>
        <v>0.4355509356</v>
      </c>
      <c r="I1394" s="10">
        <v>-0.0831</v>
      </c>
      <c r="J1394" s="10">
        <v>0.6228</v>
      </c>
      <c r="K1394" s="5">
        <f t="shared" si="3"/>
        <v>0</v>
      </c>
    </row>
    <row r="1395" ht="15.0" customHeight="1">
      <c r="A1395" s="5">
        <v>2020.0</v>
      </c>
      <c r="B1395" s="5" t="s">
        <v>327</v>
      </c>
      <c r="C1395" s="5" t="s">
        <v>361</v>
      </c>
      <c r="D1395" s="5" t="s">
        <v>183</v>
      </c>
      <c r="E1395" s="5">
        <v>561.0</v>
      </c>
      <c r="F1395" s="5">
        <v>856.0</v>
      </c>
      <c r="G1395" s="5">
        <f t="shared" si="1"/>
        <v>1417</v>
      </c>
      <c r="H1395" s="10">
        <f t="shared" si="2"/>
        <v>0.3959068454</v>
      </c>
      <c r="I1395" s="10">
        <v>-0.0866</v>
      </c>
      <c r="J1395" s="10">
        <v>0.813</v>
      </c>
      <c r="K1395" s="5">
        <f t="shared" si="3"/>
        <v>1</v>
      </c>
    </row>
    <row r="1396" ht="15.0" customHeight="1">
      <c r="A1396" s="5">
        <v>2022.0</v>
      </c>
      <c r="B1396" s="5" t="s">
        <v>327</v>
      </c>
      <c r="C1396" s="5" t="s">
        <v>361</v>
      </c>
      <c r="D1396" s="5" t="s">
        <v>183</v>
      </c>
      <c r="E1396" s="5">
        <v>496.0</v>
      </c>
      <c r="F1396" s="5">
        <v>652.0</v>
      </c>
      <c r="G1396" s="5">
        <f t="shared" si="1"/>
        <v>1148</v>
      </c>
      <c r="H1396" s="10">
        <f t="shared" si="2"/>
        <v>0.4320557491</v>
      </c>
      <c r="I1396" s="10">
        <v>-0.101</v>
      </c>
      <c r="J1396" s="10">
        <v>0.6624</v>
      </c>
      <c r="K1396" s="5">
        <f t="shared" si="3"/>
        <v>0</v>
      </c>
    </row>
    <row r="1397" ht="15.0" customHeight="1">
      <c r="A1397" s="5">
        <v>2024.0</v>
      </c>
      <c r="B1397" s="5" t="s">
        <v>327</v>
      </c>
      <c r="C1397" s="5" t="s">
        <v>361</v>
      </c>
      <c r="D1397" s="5" t="s">
        <v>183</v>
      </c>
      <c r="E1397" s="5">
        <v>606.0</v>
      </c>
      <c r="F1397" s="5">
        <v>825.0</v>
      </c>
      <c r="G1397" s="5">
        <f t="shared" si="1"/>
        <v>1431</v>
      </c>
      <c r="H1397" s="10">
        <f t="shared" si="2"/>
        <v>0.4234800839</v>
      </c>
      <c r="I1397" s="10">
        <v>-0.1144</v>
      </c>
      <c r="J1397" s="10">
        <v>0.8229</v>
      </c>
      <c r="K1397" s="5">
        <f t="shared" si="3"/>
        <v>1</v>
      </c>
    </row>
    <row r="1398" ht="15.0" customHeight="1">
      <c r="A1398" s="5">
        <v>2018.0</v>
      </c>
      <c r="B1398" s="5" t="s">
        <v>327</v>
      </c>
      <c r="C1398" s="5" t="s">
        <v>362</v>
      </c>
      <c r="D1398" s="5" t="s">
        <v>184</v>
      </c>
      <c r="E1398" s="5">
        <v>436.0</v>
      </c>
      <c r="F1398" s="5">
        <v>430.0</v>
      </c>
      <c r="G1398" s="5">
        <f t="shared" si="1"/>
        <v>866</v>
      </c>
      <c r="H1398" s="10">
        <f t="shared" si="2"/>
        <v>0.5034642032</v>
      </c>
      <c r="I1398" s="10">
        <v>-0.0577</v>
      </c>
      <c r="J1398" s="10">
        <v>0.6687</v>
      </c>
      <c r="K1398" s="5">
        <f t="shared" si="3"/>
        <v>0</v>
      </c>
    </row>
    <row r="1399" ht="15.0" customHeight="1">
      <c r="A1399" s="5">
        <v>2020.0</v>
      </c>
      <c r="B1399" s="5" t="s">
        <v>327</v>
      </c>
      <c r="C1399" s="5" t="s">
        <v>362</v>
      </c>
      <c r="D1399" s="5" t="s">
        <v>184</v>
      </c>
      <c r="E1399" s="5">
        <v>563.0</v>
      </c>
      <c r="F1399" s="5">
        <v>573.0</v>
      </c>
      <c r="G1399" s="5">
        <f t="shared" si="1"/>
        <v>1136</v>
      </c>
      <c r="H1399" s="10">
        <f t="shared" si="2"/>
        <v>0.4955985915</v>
      </c>
      <c r="I1399" s="10">
        <v>-0.0342</v>
      </c>
      <c r="J1399" s="10">
        <v>0.8085</v>
      </c>
      <c r="K1399" s="5">
        <f t="shared" si="3"/>
        <v>1</v>
      </c>
    </row>
    <row r="1400" ht="15.0" customHeight="1">
      <c r="A1400" s="5">
        <v>2022.0</v>
      </c>
      <c r="B1400" s="5" t="s">
        <v>327</v>
      </c>
      <c r="C1400" s="5" t="s">
        <v>362</v>
      </c>
      <c r="D1400" s="5" t="s">
        <v>184</v>
      </c>
      <c r="E1400" s="5">
        <v>508.0</v>
      </c>
      <c r="F1400" s="5">
        <v>437.0</v>
      </c>
      <c r="G1400" s="5">
        <f t="shared" si="1"/>
        <v>945</v>
      </c>
      <c r="H1400" s="10">
        <f t="shared" si="2"/>
        <v>0.5375661376</v>
      </c>
      <c r="I1400" s="10">
        <v>-0.0158</v>
      </c>
      <c r="J1400" s="10">
        <v>0.6789</v>
      </c>
      <c r="K1400" s="5">
        <f t="shared" si="3"/>
        <v>0</v>
      </c>
    </row>
    <row r="1401" ht="15.0" customHeight="1">
      <c r="A1401" s="5">
        <v>2024.0</v>
      </c>
      <c r="B1401" s="5" t="s">
        <v>327</v>
      </c>
      <c r="C1401" s="5" t="s">
        <v>362</v>
      </c>
      <c r="D1401" s="5" t="s">
        <v>184</v>
      </c>
      <c r="E1401" s="5">
        <v>585.0</v>
      </c>
      <c r="F1401" s="5">
        <v>527.0</v>
      </c>
      <c r="G1401" s="5">
        <f t="shared" si="1"/>
        <v>1112</v>
      </c>
      <c r="H1401" s="10">
        <f t="shared" si="2"/>
        <v>0.5260791367</v>
      </c>
      <c r="I1401" s="10">
        <v>-0.019</v>
      </c>
      <c r="J1401" s="10">
        <v>0.8129</v>
      </c>
      <c r="K1401" s="5">
        <f t="shared" si="3"/>
        <v>1</v>
      </c>
    </row>
    <row r="1402" ht="15.0" customHeight="1">
      <c r="A1402" s="5">
        <v>2018.0</v>
      </c>
      <c r="B1402" s="5" t="s">
        <v>327</v>
      </c>
      <c r="C1402" s="5" t="s">
        <v>362</v>
      </c>
      <c r="D1402" s="5" t="s">
        <v>185</v>
      </c>
      <c r="E1402" s="5">
        <v>451.0</v>
      </c>
      <c r="F1402" s="5">
        <v>565.0</v>
      </c>
      <c r="G1402" s="5">
        <f t="shared" si="1"/>
        <v>1016</v>
      </c>
      <c r="H1402" s="10">
        <f t="shared" si="2"/>
        <v>0.4438976378</v>
      </c>
      <c r="I1402" s="10">
        <v>-0.0618</v>
      </c>
      <c r="J1402" s="10">
        <v>0.5962</v>
      </c>
      <c r="K1402" s="5">
        <f t="shared" si="3"/>
        <v>0</v>
      </c>
    </row>
    <row r="1403" ht="15.0" customHeight="1">
      <c r="A1403" s="5">
        <v>2020.0</v>
      </c>
      <c r="B1403" s="5" t="s">
        <v>327</v>
      </c>
      <c r="C1403" s="5" t="s">
        <v>362</v>
      </c>
      <c r="D1403" s="5" t="s">
        <v>185</v>
      </c>
      <c r="E1403" s="5">
        <v>634.0</v>
      </c>
      <c r="F1403" s="5">
        <v>855.0</v>
      </c>
      <c r="G1403" s="5">
        <f t="shared" si="1"/>
        <v>1489</v>
      </c>
      <c r="H1403" s="10">
        <f t="shared" si="2"/>
        <v>0.4257891202</v>
      </c>
      <c r="I1403" s="10">
        <v>-0.0618</v>
      </c>
      <c r="J1403" s="10">
        <v>0.807</v>
      </c>
      <c r="K1403" s="5">
        <f t="shared" si="3"/>
        <v>1</v>
      </c>
    </row>
    <row r="1404" ht="15.0" customHeight="1">
      <c r="A1404" s="5">
        <v>2022.0</v>
      </c>
      <c r="B1404" s="5" t="s">
        <v>327</v>
      </c>
      <c r="C1404" s="5" t="s">
        <v>362</v>
      </c>
      <c r="D1404" s="5" t="s">
        <v>185</v>
      </c>
      <c r="E1404" s="5">
        <v>524.0</v>
      </c>
      <c r="F1404" s="5">
        <v>659.0</v>
      </c>
      <c r="G1404" s="5">
        <f t="shared" si="1"/>
        <v>1183</v>
      </c>
      <c r="H1404" s="10">
        <f t="shared" si="2"/>
        <v>0.4429416737</v>
      </c>
      <c r="I1404" s="10">
        <v>-0.083</v>
      </c>
      <c r="J1404" s="10">
        <v>0.6374</v>
      </c>
      <c r="K1404" s="5">
        <f t="shared" si="3"/>
        <v>0</v>
      </c>
    </row>
    <row r="1405" ht="15.0" customHeight="1">
      <c r="A1405" s="5">
        <v>2024.0</v>
      </c>
      <c r="B1405" s="5" t="s">
        <v>327</v>
      </c>
      <c r="C1405" s="5" t="s">
        <v>362</v>
      </c>
      <c r="D1405" s="5" t="s">
        <v>185</v>
      </c>
      <c r="E1405" s="5">
        <v>639.0</v>
      </c>
      <c r="F1405" s="5">
        <v>886.0</v>
      </c>
      <c r="G1405" s="5">
        <f t="shared" si="1"/>
        <v>1525</v>
      </c>
      <c r="H1405" s="10">
        <f t="shared" si="2"/>
        <v>0.4190163934</v>
      </c>
      <c r="I1405" s="10">
        <v>-0.1223</v>
      </c>
      <c r="J1405" s="10">
        <v>0.7869</v>
      </c>
      <c r="K1405" s="5">
        <f t="shared" si="3"/>
        <v>1</v>
      </c>
    </row>
    <row r="1406" ht="15.0" customHeight="1">
      <c r="A1406" s="5">
        <v>2018.0</v>
      </c>
      <c r="B1406" s="5" t="s">
        <v>327</v>
      </c>
      <c r="C1406" s="5" t="s">
        <v>362</v>
      </c>
      <c r="D1406" s="5" t="s">
        <v>187</v>
      </c>
      <c r="E1406" s="5">
        <v>165.0</v>
      </c>
      <c r="F1406" s="5">
        <v>205.0</v>
      </c>
      <c r="G1406" s="5">
        <f t="shared" si="1"/>
        <v>370</v>
      </c>
      <c r="H1406" s="10">
        <f t="shared" si="2"/>
        <v>0.4459459459</v>
      </c>
      <c r="I1406" s="10">
        <v>-0.0472</v>
      </c>
      <c r="J1406" s="10">
        <v>0.6526</v>
      </c>
      <c r="K1406" s="5">
        <f t="shared" si="3"/>
        <v>0</v>
      </c>
    </row>
    <row r="1407" ht="15.0" customHeight="1">
      <c r="A1407" s="5">
        <v>2020.0</v>
      </c>
      <c r="B1407" s="5" t="s">
        <v>327</v>
      </c>
      <c r="C1407" s="5" t="s">
        <v>362</v>
      </c>
      <c r="D1407" s="5" t="s">
        <v>187</v>
      </c>
      <c r="E1407" s="5">
        <v>245.0</v>
      </c>
      <c r="F1407" s="5">
        <v>290.0</v>
      </c>
      <c r="G1407" s="5">
        <f t="shared" si="1"/>
        <v>535</v>
      </c>
      <c r="H1407" s="10">
        <f t="shared" si="2"/>
        <v>0.4579439252</v>
      </c>
      <c r="I1407" s="10">
        <v>-0.0617</v>
      </c>
      <c r="J1407" s="10">
        <v>0.8057</v>
      </c>
      <c r="K1407" s="5">
        <f t="shared" si="3"/>
        <v>1</v>
      </c>
    </row>
    <row r="1408" ht="15.0" customHeight="1">
      <c r="A1408" s="5">
        <v>2022.0</v>
      </c>
      <c r="B1408" s="5" t="s">
        <v>327</v>
      </c>
      <c r="C1408" s="5" t="s">
        <v>362</v>
      </c>
      <c r="D1408" s="5" t="s">
        <v>187</v>
      </c>
      <c r="E1408" s="5">
        <v>186.0</v>
      </c>
      <c r="F1408" s="5">
        <v>236.0</v>
      </c>
      <c r="G1408" s="5">
        <f t="shared" si="1"/>
        <v>422</v>
      </c>
      <c r="H1408" s="10">
        <f t="shared" si="2"/>
        <v>0.4407582938</v>
      </c>
      <c r="I1408" s="10">
        <v>-0.0856</v>
      </c>
      <c r="J1408" s="10">
        <v>0.6453</v>
      </c>
      <c r="K1408" s="5">
        <f t="shared" si="3"/>
        <v>0</v>
      </c>
    </row>
    <row r="1409" ht="15.0" customHeight="1">
      <c r="A1409" s="5">
        <v>2024.0</v>
      </c>
      <c r="B1409" s="5" t="s">
        <v>327</v>
      </c>
      <c r="C1409" s="5" t="s">
        <v>362</v>
      </c>
      <c r="D1409" s="5" t="s">
        <v>187</v>
      </c>
      <c r="E1409" s="5">
        <v>228.0</v>
      </c>
      <c r="F1409" s="5">
        <v>306.0</v>
      </c>
      <c r="G1409" s="5">
        <f t="shared" si="1"/>
        <v>534</v>
      </c>
      <c r="H1409" s="10">
        <f t="shared" si="2"/>
        <v>0.4269662921</v>
      </c>
      <c r="I1409" s="10">
        <v>-0.1381</v>
      </c>
      <c r="J1409" s="10">
        <v>0.8018</v>
      </c>
      <c r="K1409" s="5">
        <f t="shared" si="3"/>
        <v>1</v>
      </c>
    </row>
    <row r="1410" ht="15.0" customHeight="1">
      <c r="A1410" s="5">
        <v>2018.0</v>
      </c>
      <c r="B1410" s="5" t="s">
        <v>327</v>
      </c>
      <c r="C1410" s="5" t="s">
        <v>362</v>
      </c>
      <c r="D1410" s="5" t="s">
        <v>188</v>
      </c>
      <c r="E1410" s="5">
        <v>373.0</v>
      </c>
      <c r="F1410" s="5">
        <v>332.0</v>
      </c>
      <c r="G1410" s="5">
        <f t="shared" si="1"/>
        <v>705</v>
      </c>
      <c r="H1410" s="10">
        <f t="shared" si="2"/>
        <v>0.5290780142</v>
      </c>
      <c r="I1410" s="10">
        <v>0.0078</v>
      </c>
      <c r="J1410" s="10">
        <v>0.6193</v>
      </c>
      <c r="K1410" s="5">
        <f t="shared" si="3"/>
        <v>0</v>
      </c>
    </row>
    <row r="1411" ht="15.0" customHeight="1">
      <c r="A1411" s="5">
        <v>2020.0</v>
      </c>
      <c r="B1411" s="5" t="s">
        <v>327</v>
      </c>
      <c r="C1411" s="5" t="s">
        <v>362</v>
      </c>
      <c r="D1411" s="5" t="s">
        <v>188</v>
      </c>
      <c r="E1411" s="5">
        <v>481.0</v>
      </c>
      <c r="F1411" s="5">
        <v>473.0</v>
      </c>
      <c r="G1411" s="5">
        <f t="shared" si="1"/>
        <v>954</v>
      </c>
      <c r="H1411" s="10">
        <f t="shared" si="2"/>
        <v>0.5041928721</v>
      </c>
      <c r="I1411" s="10">
        <v>0.0301</v>
      </c>
      <c r="J1411" s="10">
        <v>0.7762</v>
      </c>
      <c r="K1411" s="5">
        <f t="shared" si="3"/>
        <v>1</v>
      </c>
    </row>
    <row r="1412" ht="15.0" customHeight="1">
      <c r="A1412" s="5">
        <v>2022.0</v>
      </c>
      <c r="B1412" s="5" t="s">
        <v>327</v>
      </c>
      <c r="C1412" s="5" t="s">
        <v>362</v>
      </c>
      <c r="D1412" s="5" t="s">
        <v>188</v>
      </c>
      <c r="E1412" s="5">
        <v>394.0</v>
      </c>
      <c r="F1412" s="5">
        <v>360.0</v>
      </c>
      <c r="G1412" s="5">
        <f t="shared" si="1"/>
        <v>754</v>
      </c>
      <c r="H1412" s="10">
        <f t="shared" si="2"/>
        <v>0.5225464191</v>
      </c>
      <c r="I1412" s="10">
        <v>0.0395</v>
      </c>
      <c r="J1412" s="10">
        <v>0.6331</v>
      </c>
      <c r="K1412" s="5">
        <f t="shared" si="3"/>
        <v>0</v>
      </c>
    </row>
    <row r="1413" ht="15.0" customHeight="1">
      <c r="A1413" s="5">
        <v>2024.0</v>
      </c>
      <c r="B1413" s="5" t="s">
        <v>327</v>
      </c>
      <c r="C1413" s="5" t="s">
        <v>362</v>
      </c>
      <c r="D1413" s="5" t="s">
        <v>188</v>
      </c>
      <c r="E1413" s="5">
        <v>496.0</v>
      </c>
      <c r="F1413" s="5">
        <v>458.0</v>
      </c>
      <c r="G1413" s="5">
        <f t="shared" si="1"/>
        <v>954</v>
      </c>
      <c r="H1413" s="10">
        <f t="shared" si="2"/>
        <v>0.5199161426</v>
      </c>
      <c r="I1413" s="10">
        <v>0.0408</v>
      </c>
      <c r="J1413" s="10">
        <v>0.795</v>
      </c>
      <c r="K1413" s="5">
        <f t="shared" si="3"/>
        <v>1</v>
      </c>
    </row>
    <row r="1414" ht="15.0" customHeight="1">
      <c r="A1414" s="5">
        <v>2018.0</v>
      </c>
      <c r="B1414" s="5" t="s">
        <v>327</v>
      </c>
      <c r="C1414" s="5" t="s">
        <v>362</v>
      </c>
      <c r="D1414" s="5" t="s">
        <v>363</v>
      </c>
      <c r="E1414" s="5">
        <v>280.0</v>
      </c>
      <c r="F1414" s="5">
        <v>241.0</v>
      </c>
      <c r="G1414" s="5">
        <f t="shared" si="1"/>
        <v>521</v>
      </c>
      <c r="H1414" s="10">
        <f t="shared" si="2"/>
        <v>0.537428023</v>
      </c>
      <c r="I1414" s="10">
        <v>-0.0729</v>
      </c>
      <c r="J1414" s="10">
        <v>0.6696</v>
      </c>
      <c r="K1414" s="5">
        <f t="shared" si="3"/>
        <v>0</v>
      </c>
    </row>
    <row r="1415" ht="15.0" customHeight="1">
      <c r="A1415" s="5">
        <v>2020.0</v>
      </c>
      <c r="B1415" s="5" t="s">
        <v>327</v>
      </c>
      <c r="C1415" s="5" t="s">
        <v>362</v>
      </c>
      <c r="D1415" s="5" t="s">
        <v>363</v>
      </c>
      <c r="E1415" s="5">
        <v>362.0</v>
      </c>
      <c r="F1415" s="5">
        <v>355.0</v>
      </c>
      <c r="G1415" s="5">
        <f t="shared" si="1"/>
        <v>717</v>
      </c>
      <c r="H1415" s="10">
        <f t="shared" si="2"/>
        <v>0.5048814505</v>
      </c>
      <c r="I1415" s="10">
        <v>-0.0238</v>
      </c>
      <c r="J1415" s="10">
        <v>0.8546</v>
      </c>
      <c r="K1415" s="5">
        <f t="shared" si="3"/>
        <v>1</v>
      </c>
    </row>
    <row r="1416" ht="15.0" customHeight="1">
      <c r="A1416" s="5">
        <v>2022.0</v>
      </c>
      <c r="B1416" s="5" t="s">
        <v>327</v>
      </c>
      <c r="C1416" s="5" t="s">
        <v>362</v>
      </c>
      <c r="D1416" s="5" t="s">
        <v>363</v>
      </c>
      <c r="E1416" s="5">
        <v>322.0</v>
      </c>
      <c r="F1416" s="5">
        <v>270.0</v>
      </c>
      <c r="G1416" s="5">
        <f t="shared" si="1"/>
        <v>592</v>
      </c>
      <c r="H1416" s="10">
        <f t="shared" si="2"/>
        <v>0.5439189189</v>
      </c>
      <c r="I1416" s="10">
        <v>0.0025</v>
      </c>
      <c r="J1416" s="10">
        <v>0.7309</v>
      </c>
      <c r="K1416" s="5">
        <f t="shared" si="3"/>
        <v>0</v>
      </c>
    </row>
    <row r="1417" ht="15.0" customHeight="1">
      <c r="A1417" s="5">
        <v>2024.0</v>
      </c>
      <c r="B1417" s="5" t="s">
        <v>327</v>
      </c>
      <c r="C1417" s="5" t="s">
        <v>362</v>
      </c>
      <c r="D1417" s="5" t="s">
        <v>363</v>
      </c>
      <c r="E1417" s="5">
        <v>356.0</v>
      </c>
      <c r="F1417" s="5">
        <v>335.0</v>
      </c>
      <c r="G1417" s="5">
        <f t="shared" si="1"/>
        <v>691</v>
      </c>
      <c r="H1417" s="10">
        <f t="shared" si="2"/>
        <v>0.515195369</v>
      </c>
      <c r="I1417" s="10">
        <v>-0.0377</v>
      </c>
      <c r="J1417" s="10">
        <v>0.8396</v>
      </c>
      <c r="K1417" s="5">
        <f t="shared" si="3"/>
        <v>1</v>
      </c>
    </row>
    <row r="1418" ht="15.0" customHeight="1">
      <c r="A1418" s="5">
        <v>2018.0</v>
      </c>
      <c r="B1418" s="5" t="s">
        <v>327</v>
      </c>
      <c r="C1418" s="5" t="s">
        <v>362</v>
      </c>
      <c r="D1418" s="5" t="s">
        <v>364</v>
      </c>
      <c r="E1418" s="5">
        <v>420.0</v>
      </c>
      <c r="F1418" s="5">
        <v>322.0</v>
      </c>
      <c r="G1418" s="5">
        <f t="shared" si="1"/>
        <v>742</v>
      </c>
      <c r="H1418" s="10">
        <f t="shared" si="2"/>
        <v>0.5660377358</v>
      </c>
      <c r="I1418" s="10">
        <v>0.0212</v>
      </c>
      <c r="J1418" s="10">
        <v>0.6793</v>
      </c>
      <c r="K1418" s="5">
        <f t="shared" si="3"/>
        <v>0</v>
      </c>
    </row>
    <row r="1419" ht="15.0" customHeight="1">
      <c r="A1419" s="5">
        <v>2020.0</v>
      </c>
      <c r="B1419" s="5" t="s">
        <v>327</v>
      </c>
      <c r="C1419" s="5" t="s">
        <v>362</v>
      </c>
      <c r="D1419" s="5" t="s">
        <v>364</v>
      </c>
      <c r="E1419" s="5">
        <v>530.0</v>
      </c>
      <c r="F1419" s="5">
        <v>477.0</v>
      </c>
      <c r="G1419" s="5">
        <f t="shared" si="1"/>
        <v>1007</v>
      </c>
      <c r="H1419" s="10">
        <f t="shared" si="2"/>
        <v>0.5263157895</v>
      </c>
      <c r="I1419" s="10">
        <v>-0.0099</v>
      </c>
      <c r="J1419" s="10">
        <v>0.8302</v>
      </c>
      <c r="K1419" s="5">
        <f t="shared" si="3"/>
        <v>1</v>
      </c>
    </row>
    <row r="1420" ht="15.0" customHeight="1">
      <c r="A1420" s="5">
        <v>2022.0</v>
      </c>
      <c r="B1420" s="5" t="s">
        <v>327</v>
      </c>
      <c r="C1420" s="5" t="s">
        <v>362</v>
      </c>
      <c r="D1420" s="5" t="s">
        <v>364</v>
      </c>
      <c r="E1420" s="5">
        <v>490.0</v>
      </c>
      <c r="F1420" s="5">
        <v>382.0</v>
      </c>
      <c r="G1420" s="5">
        <f t="shared" si="1"/>
        <v>872</v>
      </c>
      <c r="H1420" s="10">
        <f t="shared" si="2"/>
        <v>0.5619266055</v>
      </c>
      <c r="I1420" s="10">
        <v>0.0201</v>
      </c>
      <c r="J1420" s="10">
        <v>0.7297</v>
      </c>
      <c r="K1420" s="5">
        <f t="shared" si="3"/>
        <v>0</v>
      </c>
    </row>
    <row r="1421" ht="15.0" customHeight="1">
      <c r="A1421" s="5">
        <v>2024.0</v>
      </c>
      <c r="B1421" s="5" t="s">
        <v>327</v>
      </c>
      <c r="C1421" s="5" t="s">
        <v>362</v>
      </c>
      <c r="D1421" s="5" t="s">
        <v>364</v>
      </c>
      <c r="E1421" s="5">
        <v>553.0</v>
      </c>
      <c r="F1421" s="5">
        <v>445.0</v>
      </c>
      <c r="G1421" s="5">
        <f t="shared" si="1"/>
        <v>998</v>
      </c>
      <c r="H1421" s="10">
        <f t="shared" si="2"/>
        <v>0.5541082164</v>
      </c>
      <c r="I1421" s="10">
        <v>0.0101</v>
      </c>
      <c r="J1421" s="10">
        <v>0.8365</v>
      </c>
      <c r="K1421" s="5">
        <f t="shared" si="3"/>
        <v>1</v>
      </c>
    </row>
    <row r="1422" ht="15.0" customHeight="1">
      <c r="A1422" s="5">
        <v>2018.0</v>
      </c>
      <c r="B1422" s="5" t="s">
        <v>327</v>
      </c>
      <c r="C1422" s="5" t="s">
        <v>362</v>
      </c>
      <c r="D1422" s="5" t="s">
        <v>189</v>
      </c>
      <c r="E1422" s="5">
        <v>118.0</v>
      </c>
      <c r="F1422" s="5">
        <v>143.0</v>
      </c>
      <c r="G1422" s="5">
        <f t="shared" si="1"/>
        <v>261</v>
      </c>
      <c r="H1422" s="10">
        <f t="shared" si="2"/>
        <v>0.4521072797</v>
      </c>
      <c r="I1422" s="10">
        <v>0.0585</v>
      </c>
      <c r="J1422" s="10">
        <v>0.5637</v>
      </c>
      <c r="K1422" s="5">
        <f t="shared" si="3"/>
        <v>0</v>
      </c>
    </row>
    <row r="1423" ht="15.0" customHeight="1">
      <c r="A1423" s="5">
        <v>2020.0</v>
      </c>
      <c r="B1423" s="5" t="s">
        <v>327</v>
      </c>
      <c r="C1423" s="5" t="s">
        <v>362</v>
      </c>
      <c r="D1423" s="5" t="s">
        <v>189</v>
      </c>
      <c r="E1423" s="5">
        <v>160.0</v>
      </c>
      <c r="F1423" s="5">
        <v>247.0</v>
      </c>
      <c r="G1423" s="5">
        <f t="shared" si="1"/>
        <v>407</v>
      </c>
      <c r="H1423" s="10">
        <f t="shared" si="2"/>
        <v>0.3931203931</v>
      </c>
      <c r="I1423" s="10">
        <v>-0.0057</v>
      </c>
      <c r="J1423" s="10">
        <v>0.7752</v>
      </c>
      <c r="K1423" s="5">
        <f t="shared" si="3"/>
        <v>1</v>
      </c>
    </row>
    <row r="1424" ht="15.0" customHeight="1">
      <c r="A1424" s="5">
        <v>2022.0</v>
      </c>
      <c r="B1424" s="5" t="s">
        <v>327</v>
      </c>
      <c r="C1424" s="5" t="s">
        <v>362</v>
      </c>
      <c r="D1424" s="5" t="s">
        <v>189</v>
      </c>
      <c r="E1424" s="5">
        <v>145.0</v>
      </c>
      <c r="F1424" s="5">
        <v>189.0</v>
      </c>
      <c r="G1424" s="5">
        <f t="shared" si="1"/>
        <v>334</v>
      </c>
      <c r="H1424" s="10">
        <f t="shared" si="2"/>
        <v>0.4341317365</v>
      </c>
      <c r="I1424" s="10">
        <v>-0.0612</v>
      </c>
      <c r="J1424" s="10">
        <v>0.6386</v>
      </c>
      <c r="K1424" s="5">
        <f t="shared" si="3"/>
        <v>0</v>
      </c>
    </row>
    <row r="1425" ht="15.0" customHeight="1">
      <c r="A1425" s="5">
        <v>2024.0</v>
      </c>
      <c r="B1425" s="5" t="s">
        <v>327</v>
      </c>
      <c r="C1425" s="5" t="s">
        <v>362</v>
      </c>
      <c r="D1425" s="5" t="s">
        <v>189</v>
      </c>
      <c r="E1425" s="5">
        <v>177.0</v>
      </c>
      <c r="F1425" s="5">
        <v>256.0</v>
      </c>
      <c r="G1425" s="5">
        <f t="shared" si="1"/>
        <v>433</v>
      </c>
      <c r="H1425" s="10">
        <f t="shared" si="2"/>
        <v>0.4087759815</v>
      </c>
      <c r="I1425" s="10">
        <v>-0.0843</v>
      </c>
      <c r="J1425" s="10">
        <v>0.8109</v>
      </c>
      <c r="K1425" s="5">
        <f t="shared" si="3"/>
        <v>1</v>
      </c>
    </row>
    <row r="1426" ht="15.0" customHeight="1">
      <c r="A1426" s="5">
        <v>2018.0</v>
      </c>
      <c r="B1426" s="5" t="s">
        <v>327</v>
      </c>
      <c r="C1426" s="5" t="s">
        <v>362</v>
      </c>
      <c r="D1426" s="5" t="s">
        <v>191</v>
      </c>
      <c r="E1426" s="5">
        <v>297.0</v>
      </c>
      <c r="F1426" s="5">
        <v>386.0</v>
      </c>
      <c r="G1426" s="5">
        <f t="shared" si="1"/>
        <v>683</v>
      </c>
      <c r="H1426" s="10">
        <f t="shared" si="2"/>
        <v>0.4348462665</v>
      </c>
      <c r="I1426" s="10">
        <v>-0.0342</v>
      </c>
      <c r="J1426" s="10">
        <v>0.6543</v>
      </c>
      <c r="K1426" s="5">
        <f t="shared" si="3"/>
        <v>0</v>
      </c>
    </row>
    <row r="1427" ht="15.0" customHeight="1">
      <c r="A1427" s="5">
        <v>2020.0</v>
      </c>
      <c r="B1427" s="5" t="s">
        <v>327</v>
      </c>
      <c r="C1427" s="5" t="s">
        <v>362</v>
      </c>
      <c r="D1427" s="5" t="s">
        <v>191</v>
      </c>
      <c r="E1427" s="5">
        <v>395.0</v>
      </c>
      <c r="F1427" s="5">
        <v>561.0</v>
      </c>
      <c r="G1427" s="5">
        <f t="shared" si="1"/>
        <v>956</v>
      </c>
      <c r="H1427" s="10">
        <f t="shared" si="2"/>
        <v>0.4131799163</v>
      </c>
      <c r="I1427" s="10">
        <v>-0.0514</v>
      </c>
      <c r="J1427" s="10">
        <v>0.8192</v>
      </c>
      <c r="K1427" s="5">
        <f t="shared" si="3"/>
        <v>1</v>
      </c>
    </row>
    <row r="1428" ht="15.0" customHeight="1">
      <c r="A1428" s="5">
        <v>2022.0</v>
      </c>
      <c r="B1428" s="5" t="s">
        <v>327</v>
      </c>
      <c r="C1428" s="5" t="s">
        <v>362</v>
      </c>
      <c r="D1428" s="5" t="s">
        <v>191</v>
      </c>
      <c r="E1428" s="5">
        <v>350.0</v>
      </c>
      <c r="F1428" s="5">
        <v>475.0</v>
      </c>
      <c r="G1428" s="5">
        <f t="shared" si="1"/>
        <v>825</v>
      </c>
      <c r="H1428" s="10">
        <f t="shared" si="2"/>
        <v>0.4242424242</v>
      </c>
      <c r="I1428" s="10">
        <v>-0.1014</v>
      </c>
      <c r="J1428" s="10">
        <v>0.7149</v>
      </c>
      <c r="K1428" s="5">
        <f t="shared" si="3"/>
        <v>0</v>
      </c>
    </row>
    <row r="1429" ht="15.0" customHeight="1">
      <c r="A1429" s="5">
        <v>2024.0</v>
      </c>
      <c r="B1429" s="5" t="s">
        <v>327</v>
      </c>
      <c r="C1429" s="5" t="s">
        <v>362</v>
      </c>
      <c r="D1429" s="5" t="s">
        <v>191</v>
      </c>
      <c r="E1429" s="5">
        <v>423.0</v>
      </c>
      <c r="F1429" s="5">
        <v>592.0</v>
      </c>
      <c r="G1429" s="5">
        <f t="shared" si="1"/>
        <v>1015</v>
      </c>
      <c r="H1429" s="10">
        <f t="shared" si="2"/>
        <v>0.4167487685</v>
      </c>
      <c r="I1429" s="10">
        <v>-0.1493</v>
      </c>
      <c r="J1429" s="10">
        <v>0.8515</v>
      </c>
      <c r="K1429" s="5">
        <f t="shared" si="3"/>
        <v>1</v>
      </c>
    </row>
    <row r="1430" ht="15.0" customHeight="1">
      <c r="A1430" s="5">
        <v>2018.0</v>
      </c>
      <c r="B1430" s="5" t="s">
        <v>327</v>
      </c>
      <c r="C1430" s="5" t="s">
        <v>365</v>
      </c>
      <c r="D1430" s="5" t="s">
        <v>193</v>
      </c>
      <c r="E1430" s="5">
        <v>294.0</v>
      </c>
      <c r="F1430" s="5">
        <v>490.0</v>
      </c>
      <c r="G1430" s="5">
        <f t="shared" si="1"/>
        <v>784</v>
      </c>
      <c r="H1430" s="10">
        <f t="shared" si="2"/>
        <v>0.375</v>
      </c>
      <c r="I1430" s="10">
        <v>-0.1436</v>
      </c>
      <c r="J1430" s="10">
        <v>0.6342</v>
      </c>
      <c r="K1430" s="5">
        <f t="shared" si="3"/>
        <v>0</v>
      </c>
    </row>
    <row r="1431" ht="15.0" customHeight="1">
      <c r="A1431" s="5">
        <v>2020.0</v>
      </c>
      <c r="B1431" s="5" t="s">
        <v>327</v>
      </c>
      <c r="C1431" s="5" t="s">
        <v>365</v>
      </c>
      <c r="D1431" s="5" t="s">
        <v>193</v>
      </c>
      <c r="E1431" s="5">
        <v>393.0</v>
      </c>
      <c r="F1431" s="5">
        <v>741.0</v>
      </c>
      <c r="G1431" s="5">
        <f t="shared" si="1"/>
        <v>1134</v>
      </c>
      <c r="H1431" s="10">
        <f t="shared" si="2"/>
        <v>0.3465608466</v>
      </c>
      <c r="I1431" s="10">
        <v>-0.1712</v>
      </c>
      <c r="J1431" s="10">
        <v>0.8259</v>
      </c>
      <c r="K1431" s="5">
        <f t="shared" si="3"/>
        <v>1</v>
      </c>
    </row>
    <row r="1432" ht="15.0" customHeight="1">
      <c r="A1432" s="5">
        <v>2022.0</v>
      </c>
      <c r="B1432" s="5" t="s">
        <v>327</v>
      </c>
      <c r="C1432" s="5" t="s">
        <v>365</v>
      </c>
      <c r="D1432" s="5" t="s">
        <v>193</v>
      </c>
      <c r="E1432" s="5">
        <v>327.0</v>
      </c>
      <c r="F1432" s="5">
        <v>610.0</v>
      </c>
      <c r="G1432" s="5">
        <f t="shared" si="1"/>
        <v>937</v>
      </c>
      <c r="H1432" s="10">
        <f t="shared" si="2"/>
        <v>0.3489861259</v>
      </c>
      <c r="I1432" s="10">
        <v>-0.2363</v>
      </c>
      <c r="J1432" s="10">
        <v>0.677</v>
      </c>
      <c r="K1432" s="5">
        <f t="shared" si="3"/>
        <v>0</v>
      </c>
    </row>
    <row r="1433" ht="15.0" customHeight="1">
      <c r="A1433" s="5">
        <v>2024.0</v>
      </c>
      <c r="B1433" s="5" t="s">
        <v>327</v>
      </c>
      <c r="C1433" s="5" t="s">
        <v>365</v>
      </c>
      <c r="D1433" s="5" t="s">
        <v>193</v>
      </c>
      <c r="E1433" s="5">
        <v>409.0</v>
      </c>
      <c r="F1433" s="5">
        <v>764.0</v>
      </c>
      <c r="G1433" s="5">
        <f t="shared" si="1"/>
        <v>1173</v>
      </c>
      <c r="H1433" s="10">
        <f t="shared" si="2"/>
        <v>0.3486786019</v>
      </c>
      <c r="I1433" s="10">
        <v>-0.2781</v>
      </c>
      <c r="J1433" s="10">
        <v>0.8343</v>
      </c>
      <c r="K1433" s="5">
        <f t="shared" si="3"/>
        <v>1</v>
      </c>
    </row>
    <row r="1434" ht="15.0" customHeight="1">
      <c r="A1434" s="5">
        <v>2018.0</v>
      </c>
      <c r="B1434" s="5" t="s">
        <v>327</v>
      </c>
      <c r="C1434" s="5" t="s">
        <v>365</v>
      </c>
      <c r="D1434" s="5" t="s">
        <v>195</v>
      </c>
      <c r="E1434" s="5">
        <v>571.0</v>
      </c>
      <c r="F1434" s="5">
        <v>923.0</v>
      </c>
      <c r="G1434" s="5">
        <f t="shared" si="1"/>
        <v>1494</v>
      </c>
      <c r="H1434" s="10">
        <f t="shared" si="2"/>
        <v>0.3821954485</v>
      </c>
      <c r="I1434" s="10">
        <v>-0.0938</v>
      </c>
      <c r="J1434" s="10">
        <v>0.5934</v>
      </c>
      <c r="K1434" s="5">
        <f t="shared" si="3"/>
        <v>0</v>
      </c>
    </row>
    <row r="1435" ht="15.0" customHeight="1">
      <c r="A1435" s="5">
        <v>2020.0</v>
      </c>
      <c r="B1435" s="5" t="s">
        <v>327</v>
      </c>
      <c r="C1435" s="5" t="s">
        <v>365</v>
      </c>
      <c r="D1435" s="5" t="s">
        <v>195</v>
      </c>
      <c r="E1435" s="5">
        <v>787.0</v>
      </c>
      <c r="F1435" s="5">
        <v>1491.0</v>
      </c>
      <c r="G1435" s="5">
        <f t="shared" si="1"/>
        <v>2278</v>
      </c>
      <c r="H1435" s="10">
        <f t="shared" si="2"/>
        <v>0.3454784899</v>
      </c>
      <c r="I1435" s="10">
        <v>-0.1462</v>
      </c>
      <c r="J1435" s="10">
        <v>0.7948</v>
      </c>
      <c r="K1435" s="5">
        <f t="shared" si="3"/>
        <v>1</v>
      </c>
    </row>
    <row r="1436" ht="15.0" customHeight="1">
      <c r="A1436" s="5">
        <v>2022.0</v>
      </c>
      <c r="B1436" s="5" t="s">
        <v>327</v>
      </c>
      <c r="C1436" s="5" t="s">
        <v>365</v>
      </c>
      <c r="D1436" s="5" t="s">
        <v>195</v>
      </c>
      <c r="E1436" s="5">
        <v>654.0</v>
      </c>
      <c r="F1436" s="5">
        <v>1185.0</v>
      </c>
      <c r="G1436" s="5">
        <f t="shared" si="1"/>
        <v>1839</v>
      </c>
      <c r="H1436" s="10">
        <f t="shared" si="2"/>
        <v>0.3556280587</v>
      </c>
      <c r="I1436" s="10">
        <v>-0.185</v>
      </c>
      <c r="J1436" s="10">
        <v>0.6491</v>
      </c>
      <c r="K1436" s="5">
        <f t="shared" si="3"/>
        <v>0</v>
      </c>
    </row>
    <row r="1437" ht="15.0" customHeight="1">
      <c r="A1437" s="5">
        <v>2024.0</v>
      </c>
      <c r="B1437" s="5" t="s">
        <v>327</v>
      </c>
      <c r="C1437" s="5" t="s">
        <v>365</v>
      </c>
      <c r="D1437" s="5" t="s">
        <v>195</v>
      </c>
      <c r="E1437" s="5">
        <v>805.0</v>
      </c>
      <c r="F1437" s="5">
        <v>1577.0</v>
      </c>
      <c r="G1437" s="5">
        <f t="shared" si="1"/>
        <v>2382</v>
      </c>
      <c r="H1437" s="10">
        <f t="shared" si="2"/>
        <v>0.3379513014</v>
      </c>
      <c r="I1437" s="10">
        <v>-0.2358</v>
      </c>
      <c r="J1437" s="10">
        <v>0.8083</v>
      </c>
      <c r="K1437" s="5">
        <f t="shared" si="3"/>
        <v>1</v>
      </c>
    </row>
    <row r="1438" ht="15.0" customHeight="1">
      <c r="A1438" s="5">
        <v>2018.0</v>
      </c>
      <c r="B1438" s="5" t="s">
        <v>327</v>
      </c>
      <c r="C1438" s="5" t="s">
        <v>365</v>
      </c>
      <c r="D1438" s="5" t="s">
        <v>196</v>
      </c>
      <c r="E1438" s="5">
        <v>368.0</v>
      </c>
      <c r="F1438" s="5">
        <v>745.0</v>
      </c>
      <c r="G1438" s="5">
        <f t="shared" si="1"/>
        <v>1113</v>
      </c>
      <c r="H1438" s="10">
        <f t="shared" si="2"/>
        <v>0.3306379155</v>
      </c>
      <c r="I1438" s="10">
        <v>-0.1456</v>
      </c>
      <c r="J1438" s="10">
        <v>0.6357</v>
      </c>
      <c r="K1438" s="5">
        <f t="shared" si="3"/>
        <v>0</v>
      </c>
    </row>
    <row r="1439" ht="15.0" customHeight="1">
      <c r="A1439" s="5">
        <v>2020.0</v>
      </c>
      <c r="B1439" s="5" t="s">
        <v>327</v>
      </c>
      <c r="C1439" s="5" t="s">
        <v>365</v>
      </c>
      <c r="D1439" s="5" t="s">
        <v>196</v>
      </c>
      <c r="E1439" s="5">
        <v>502.0</v>
      </c>
      <c r="F1439" s="5">
        <v>1143.0</v>
      </c>
      <c r="G1439" s="5">
        <f t="shared" si="1"/>
        <v>1645</v>
      </c>
      <c r="H1439" s="10">
        <f t="shared" si="2"/>
        <v>0.3051671733</v>
      </c>
      <c r="I1439" s="10">
        <v>-0.2077</v>
      </c>
      <c r="J1439" s="10">
        <v>0.8233</v>
      </c>
      <c r="K1439" s="5">
        <f t="shared" si="3"/>
        <v>1</v>
      </c>
    </row>
    <row r="1440" ht="15.0" customHeight="1">
      <c r="A1440" s="5">
        <v>2022.0</v>
      </c>
      <c r="B1440" s="5" t="s">
        <v>327</v>
      </c>
      <c r="C1440" s="5" t="s">
        <v>365</v>
      </c>
      <c r="D1440" s="5" t="s">
        <v>196</v>
      </c>
      <c r="E1440" s="5">
        <v>452.0</v>
      </c>
      <c r="F1440" s="5">
        <v>895.0</v>
      </c>
      <c r="G1440" s="5">
        <f t="shared" si="1"/>
        <v>1347</v>
      </c>
      <c r="H1440" s="10">
        <f t="shared" si="2"/>
        <v>0.3355605048</v>
      </c>
      <c r="I1440" s="10">
        <v>-0.2515</v>
      </c>
      <c r="J1440" s="10">
        <v>0.6776</v>
      </c>
      <c r="K1440" s="5">
        <f t="shared" si="3"/>
        <v>0</v>
      </c>
    </row>
    <row r="1441" ht="15.0" customHeight="1">
      <c r="A1441" s="5">
        <v>2024.0</v>
      </c>
      <c r="B1441" s="5" t="s">
        <v>327</v>
      </c>
      <c r="C1441" s="5" t="s">
        <v>365</v>
      </c>
      <c r="D1441" s="5" t="s">
        <v>196</v>
      </c>
      <c r="E1441" s="5">
        <v>547.0</v>
      </c>
      <c r="F1441" s="5">
        <v>1179.0</v>
      </c>
      <c r="G1441" s="5">
        <f t="shared" si="1"/>
        <v>1726</v>
      </c>
      <c r="H1441" s="10">
        <f t="shared" si="2"/>
        <v>0.3169177289</v>
      </c>
      <c r="I1441" s="10">
        <v>-0.285</v>
      </c>
      <c r="J1441" s="10">
        <v>0.8452</v>
      </c>
      <c r="K1441" s="5">
        <f t="shared" si="3"/>
        <v>1</v>
      </c>
    </row>
    <row r="1442" ht="15.0" customHeight="1">
      <c r="A1442" s="5">
        <v>2018.0</v>
      </c>
      <c r="B1442" s="5" t="s">
        <v>327</v>
      </c>
      <c r="C1442" s="5" t="s">
        <v>365</v>
      </c>
      <c r="D1442" s="5" t="s">
        <v>197</v>
      </c>
      <c r="E1442" s="5">
        <v>171.0</v>
      </c>
      <c r="F1442" s="5">
        <v>354.0</v>
      </c>
      <c r="G1442" s="5">
        <f t="shared" si="1"/>
        <v>525</v>
      </c>
      <c r="H1442" s="10">
        <f t="shared" si="2"/>
        <v>0.3257142857</v>
      </c>
      <c r="I1442" s="10">
        <v>-0.1161</v>
      </c>
      <c r="J1442" s="10">
        <v>0.6566</v>
      </c>
      <c r="K1442" s="5">
        <f t="shared" si="3"/>
        <v>0</v>
      </c>
    </row>
    <row r="1443" ht="15.0" customHeight="1">
      <c r="A1443" s="5">
        <v>2020.0</v>
      </c>
      <c r="B1443" s="5" t="s">
        <v>327</v>
      </c>
      <c r="C1443" s="5" t="s">
        <v>365</v>
      </c>
      <c r="D1443" s="5" t="s">
        <v>197</v>
      </c>
      <c r="E1443" s="5">
        <v>238.0</v>
      </c>
      <c r="F1443" s="5">
        <v>490.0</v>
      </c>
      <c r="G1443" s="5">
        <f t="shared" si="1"/>
        <v>728</v>
      </c>
      <c r="H1443" s="10">
        <f t="shared" si="2"/>
        <v>0.3269230769</v>
      </c>
      <c r="I1443" s="10">
        <v>-0.1901</v>
      </c>
      <c r="J1443" s="10">
        <v>0.8189</v>
      </c>
      <c r="K1443" s="5">
        <f t="shared" si="3"/>
        <v>1</v>
      </c>
    </row>
    <row r="1444" ht="15.0" customHeight="1">
      <c r="A1444" s="5">
        <v>2022.0</v>
      </c>
      <c r="B1444" s="5" t="s">
        <v>327</v>
      </c>
      <c r="C1444" s="5" t="s">
        <v>365</v>
      </c>
      <c r="D1444" s="5" t="s">
        <v>197</v>
      </c>
      <c r="E1444" s="5">
        <v>228.0</v>
      </c>
      <c r="F1444" s="5">
        <v>401.0</v>
      </c>
      <c r="G1444" s="5">
        <f t="shared" si="1"/>
        <v>629</v>
      </c>
      <c r="H1444" s="10">
        <f t="shared" si="2"/>
        <v>0.3624801272</v>
      </c>
      <c r="I1444" s="10">
        <v>-0.2486</v>
      </c>
      <c r="J1444" s="10">
        <v>0.6981</v>
      </c>
      <c r="K1444" s="5">
        <f t="shared" si="3"/>
        <v>0</v>
      </c>
    </row>
    <row r="1445" ht="15.0" customHeight="1">
      <c r="A1445" s="5">
        <v>2024.0</v>
      </c>
      <c r="B1445" s="5" t="s">
        <v>327</v>
      </c>
      <c r="C1445" s="5" t="s">
        <v>365</v>
      </c>
      <c r="D1445" s="5" t="s">
        <v>197</v>
      </c>
      <c r="E1445" s="5">
        <v>245.0</v>
      </c>
      <c r="F1445" s="5">
        <v>537.0</v>
      </c>
      <c r="G1445" s="5">
        <f t="shared" si="1"/>
        <v>782</v>
      </c>
      <c r="H1445" s="10">
        <f t="shared" si="2"/>
        <v>0.3132992327</v>
      </c>
      <c r="I1445" s="10">
        <v>-0.29</v>
      </c>
      <c r="J1445" s="10">
        <v>0.84</v>
      </c>
      <c r="K1445" s="5">
        <f t="shared" si="3"/>
        <v>1</v>
      </c>
    </row>
    <row r="1446" ht="15.0" customHeight="1">
      <c r="A1446" s="5">
        <v>2018.0</v>
      </c>
      <c r="B1446" s="5" t="s">
        <v>327</v>
      </c>
      <c r="C1446" s="5" t="s">
        <v>366</v>
      </c>
      <c r="D1446" s="5" t="s">
        <v>198</v>
      </c>
      <c r="E1446" s="5">
        <v>423.0</v>
      </c>
      <c r="F1446" s="5">
        <v>423.0</v>
      </c>
      <c r="G1446" s="5">
        <f t="shared" si="1"/>
        <v>846</v>
      </c>
      <c r="H1446" s="10">
        <f t="shared" si="2"/>
        <v>0.5</v>
      </c>
      <c r="I1446" s="10">
        <v>0.0043</v>
      </c>
      <c r="J1446" s="10">
        <v>0.6116</v>
      </c>
      <c r="K1446" s="5">
        <f t="shared" si="3"/>
        <v>0</v>
      </c>
    </row>
    <row r="1447" ht="15.0" customHeight="1">
      <c r="A1447" s="5">
        <v>2020.0</v>
      </c>
      <c r="B1447" s="5" t="s">
        <v>327</v>
      </c>
      <c r="C1447" s="5" t="s">
        <v>366</v>
      </c>
      <c r="D1447" s="5" t="s">
        <v>198</v>
      </c>
      <c r="E1447" s="5">
        <v>573.0</v>
      </c>
      <c r="F1447" s="5">
        <v>606.0</v>
      </c>
      <c r="G1447" s="5">
        <f t="shared" si="1"/>
        <v>1179</v>
      </c>
      <c r="H1447" s="10">
        <f t="shared" si="2"/>
        <v>0.4860050891</v>
      </c>
      <c r="I1447" s="10">
        <v>-0.0264</v>
      </c>
      <c r="J1447" s="10">
        <v>0.7988</v>
      </c>
      <c r="K1447" s="5">
        <f t="shared" si="3"/>
        <v>1</v>
      </c>
    </row>
    <row r="1448" ht="15.0" customHeight="1">
      <c r="A1448" s="5">
        <v>2022.0</v>
      </c>
      <c r="B1448" s="5" t="s">
        <v>327</v>
      </c>
      <c r="C1448" s="5" t="s">
        <v>366</v>
      </c>
      <c r="D1448" s="5" t="s">
        <v>198</v>
      </c>
      <c r="E1448" s="5">
        <v>477.0</v>
      </c>
      <c r="F1448" s="5">
        <v>476.0</v>
      </c>
      <c r="G1448" s="5">
        <f t="shared" si="1"/>
        <v>953</v>
      </c>
      <c r="H1448" s="10">
        <f t="shared" si="2"/>
        <v>0.500524659</v>
      </c>
      <c r="I1448" s="10">
        <v>-0.0263</v>
      </c>
      <c r="J1448" s="10">
        <v>0.6591</v>
      </c>
      <c r="K1448" s="5">
        <f t="shared" si="3"/>
        <v>0</v>
      </c>
    </row>
    <row r="1449" ht="15.0" customHeight="1">
      <c r="A1449" s="5">
        <v>2024.0</v>
      </c>
      <c r="B1449" s="5" t="s">
        <v>327</v>
      </c>
      <c r="C1449" s="5" t="s">
        <v>366</v>
      </c>
      <c r="D1449" s="5" t="s">
        <v>198</v>
      </c>
      <c r="E1449" s="5">
        <v>601.0</v>
      </c>
      <c r="F1449" s="5">
        <v>605.0</v>
      </c>
      <c r="G1449" s="5">
        <f t="shared" si="1"/>
        <v>1206</v>
      </c>
      <c r="H1449" s="10">
        <f t="shared" si="2"/>
        <v>0.4983416252</v>
      </c>
      <c r="I1449" s="10">
        <v>-0.0678</v>
      </c>
      <c r="J1449" s="10">
        <v>0.8171</v>
      </c>
      <c r="K1449" s="5">
        <f t="shared" si="3"/>
        <v>1</v>
      </c>
    </row>
    <row r="1450" ht="15.0" customHeight="1">
      <c r="A1450" s="5">
        <v>2018.0</v>
      </c>
      <c r="B1450" s="5" t="s">
        <v>327</v>
      </c>
      <c r="C1450" s="5" t="s">
        <v>366</v>
      </c>
      <c r="D1450" s="5" t="s">
        <v>199</v>
      </c>
      <c r="E1450" s="5">
        <v>370.0</v>
      </c>
      <c r="F1450" s="5">
        <v>293.0</v>
      </c>
      <c r="G1450" s="5">
        <f t="shared" si="1"/>
        <v>663</v>
      </c>
      <c r="H1450" s="10">
        <f t="shared" si="2"/>
        <v>0.5580693816</v>
      </c>
      <c r="I1450" s="10">
        <v>0.0957</v>
      </c>
      <c r="J1450" s="10">
        <v>0.5191</v>
      </c>
      <c r="K1450" s="5">
        <f t="shared" si="3"/>
        <v>0</v>
      </c>
    </row>
    <row r="1451" ht="15.0" customHeight="1">
      <c r="A1451" s="5">
        <v>2020.0</v>
      </c>
      <c r="B1451" s="5" t="s">
        <v>327</v>
      </c>
      <c r="C1451" s="5" t="s">
        <v>366</v>
      </c>
      <c r="D1451" s="5" t="s">
        <v>199</v>
      </c>
      <c r="E1451" s="5">
        <v>488.0</v>
      </c>
      <c r="F1451" s="5">
        <v>509.0</v>
      </c>
      <c r="G1451" s="5">
        <f t="shared" si="1"/>
        <v>997</v>
      </c>
      <c r="H1451" s="10">
        <f t="shared" si="2"/>
        <v>0.4894684052</v>
      </c>
      <c r="I1451" s="10">
        <v>0.1001</v>
      </c>
      <c r="J1451" s="10">
        <v>0.6833</v>
      </c>
      <c r="K1451" s="5">
        <f t="shared" si="3"/>
        <v>1</v>
      </c>
    </row>
    <row r="1452" ht="15.0" customHeight="1">
      <c r="A1452" s="5">
        <v>2022.0</v>
      </c>
      <c r="B1452" s="5" t="s">
        <v>327</v>
      </c>
      <c r="C1452" s="5" t="s">
        <v>366</v>
      </c>
      <c r="D1452" s="5" t="s">
        <v>199</v>
      </c>
      <c r="E1452" s="5">
        <v>428.0</v>
      </c>
      <c r="F1452" s="5">
        <v>350.0</v>
      </c>
      <c r="G1452" s="5">
        <f t="shared" si="1"/>
        <v>778</v>
      </c>
      <c r="H1452" s="10">
        <f t="shared" si="2"/>
        <v>0.5501285347</v>
      </c>
      <c r="I1452" s="10">
        <v>0.0889</v>
      </c>
      <c r="J1452" s="10">
        <v>0.549</v>
      </c>
      <c r="K1452" s="5">
        <f t="shared" si="3"/>
        <v>0</v>
      </c>
    </row>
    <row r="1453" ht="15.0" customHeight="1">
      <c r="A1453" s="5">
        <v>2024.0</v>
      </c>
      <c r="B1453" s="5" t="s">
        <v>327</v>
      </c>
      <c r="C1453" s="5" t="s">
        <v>366</v>
      </c>
      <c r="D1453" s="5" t="s">
        <v>199</v>
      </c>
      <c r="E1453" s="5">
        <v>523.0</v>
      </c>
      <c r="F1453" s="5">
        <v>542.0</v>
      </c>
      <c r="G1453" s="5">
        <f t="shared" si="1"/>
        <v>1065</v>
      </c>
      <c r="H1453" s="10">
        <f t="shared" si="2"/>
        <v>0.4910798122</v>
      </c>
      <c r="I1453" s="10">
        <v>0.015</v>
      </c>
      <c r="J1453" s="10">
        <v>0.7245</v>
      </c>
      <c r="K1453" s="5">
        <f t="shared" si="3"/>
        <v>1</v>
      </c>
    </row>
    <row r="1454" ht="15.0" customHeight="1">
      <c r="A1454" s="5">
        <v>2018.0</v>
      </c>
      <c r="B1454" s="5" t="s">
        <v>327</v>
      </c>
      <c r="C1454" s="5" t="s">
        <v>366</v>
      </c>
      <c r="D1454" s="5" t="s">
        <v>200</v>
      </c>
      <c r="E1454" s="5">
        <v>335.0</v>
      </c>
      <c r="F1454" s="5">
        <v>282.0</v>
      </c>
      <c r="G1454" s="5">
        <f t="shared" si="1"/>
        <v>617</v>
      </c>
      <c r="H1454" s="10">
        <f t="shared" si="2"/>
        <v>0.5429497569</v>
      </c>
      <c r="I1454" s="10">
        <v>0.1708</v>
      </c>
      <c r="J1454" s="10">
        <v>0.5375</v>
      </c>
      <c r="K1454" s="5">
        <f t="shared" si="3"/>
        <v>0</v>
      </c>
    </row>
    <row r="1455" ht="15.0" customHeight="1">
      <c r="A1455" s="5">
        <v>2020.0</v>
      </c>
      <c r="B1455" s="5" t="s">
        <v>327</v>
      </c>
      <c r="C1455" s="5" t="s">
        <v>366</v>
      </c>
      <c r="D1455" s="5" t="s">
        <v>200</v>
      </c>
      <c r="E1455" s="5">
        <v>429.0</v>
      </c>
      <c r="F1455" s="5">
        <v>512.0</v>
      </c>
      <c r="G1455" s="5">
        <f t="shared" si="1"/>
        <v>941</v>
      </c>
      <c r="H1455" s="10">
        <f t="shared" si="2"/>
        <v>0.4558979809</v>
      </c>
      <c r="I1455" s="10">
        <v>0.1047</v>
      </c>
      <c r="J1455" s="10">
        <v>0.7352</v>
      </c>
      <c r="K1455" s="5">
        <f t="shared" si="3"/>
        <v>1</v>
      </c>
    </row>
    <row r="1456" ht="15.0" customHeight="1">
      <c r="A1456" s="5">
        <v>2022.0</v>
      </c>
      <c r="B1456" s="5" t="s">
        <v>327</v>
      </c>
      <c r="C1456" s="5" t="s">
        <v>366</v>
      </c>
      <c r="D1456" s="5" t="s">
        <v>200</v>
      </c>
      <c r="E1456" s="5">
        <v>367.0</v>
      </c>
      <c r="F1456" s="5">
        <v>362.0</v>
      </c>
      <c r="G1456" s="5">
        <f t="shared" si="1"/>
        <v>729</v>
      </c>
      <c r="H1456" s="10">
        <f t="shared" si="2"/>
        <v>0.5034293553</v>
      </c>
      <c r="I1456" s="10">
        <v>0.0732</v>
      </c>
      <c r="J1456" s="10">
        <v>0.574</v>
      </c>
      <c r="K1456" s="5">
        <f t="shared" si="3"/>
        <v>0</v>
      </c>
    </row>
    <row r="1457" ht="15.0" customHeight="1">
      <c r="A1457" s="5">
        <v>2024.0</v>
      </c>
      <c r="B1457" s="5" t="s">
        <v>327</v>
      </c>
      <c r="C1457" s="5" t="s">
        <v>366</v>
      </c>
      <c r="D1457" s="5" t="s">
        <v>200</v>
      </c>
      <c r="E1457" s="5">
        <v>472.0</v>
      </c>
      <c r="F1457" s="5">
        <v>517.0</v>
      </c>
      <c r="G1457" s="5">
        <f t="shared" si="1"/>
        <v>989</v>
      </c>
      <c r="H1457" s="10">
        <f t="shared" si="2"/>
        <v>0.4772497472</v>
      </c>
      <c r="I1457" s="10">
        <v>0.0269</v>
      </c>
      <c r="J1457" s="10">
        <v>0.7403</v>
      </c>
      <c r="K1457" s="5">
        <f t="shared" si="3"/>
        <v>1</v>
      </c>
    </row>
    <row r="1458" ht="15.0" customHeight="1">
      <c r="A1458" s="5">
        <v>2018.0</v>
      </c>
      <c r="B1458" s="5" t="s">
        <v>327</v>
      </c>
      <c r="C1458" s="5" t="s">
        <v>367</v>
      </c>
      <c r="D1458" s="5" t="s">
        <v>206</v>
      </c>
      <c r="E1458" s="5">
        <v>146.0</v>
      </c>
      <c r="F1458" s="5">
        <v>146.0</v>
      </c>
      <c r="G1458" s="5">
        <f t="shared" si="1"/>
        <v>292</v>
      </c>
      <c r="H1458" s="10">
        <f t="shared" si="2"/>
        <v>0.5</v>
      </c>
      <c r="I1458" s="10">
        <v>0.1248</v>
      </c>
      <c r="J1458" s="10">
        <v>0.511</v>
      </c>
      <c r="K1458" s="5">
        <f t="shared" si="3"/>
        <v>0</v>
      </c>
    </row>
    <row r="1459" ht="15.0" customHeight="1">
      <c r="A1459" s="5">
        <v>2020.0</v>
      </c>
      <c r="B1459" s="5" t="s">
        <v>327</v>
      </c>
      <c r="C1459" s="5" t="s">
        <v>367</v>
      </c>
      <c r="D1459" s="5" t="s">
        <v>206</v>
      </c>
      <c r="E1459" s="5">
        <v>207.0</v>
      </c>
      <c r="F1459" s="5">
        <v>289.0</v>
      </c>
      <c r="G1459" s="5">
        <f t="shared" si="1"/>
        <v>496</v>
      </c>
      <c r="H1459" s="10">
        <f t="shared" si="2"/>
        <v>0.4173387097</v>
      </c>
      <c r="I1459" s="10">
        <v>0.057</v>
      </c>
      <c r="J1459" s="10">
        <v>0.7436</v>
      </c>
      <c r="K1459" s="5">
        <f t="shared" si="3"/>
        <v>1</v>
      </c>
    </row>
    <row r="1460" ht="15.0" customHeight="1">
      <c r="A1460" s="5">
        <v>2022.0</v>
      </c>
      <c r="B1460" s="5" t="s">
        <v>327</v>
      </c>
      <c r="C1460" s="5" t="s">
        <v>367</v>
      </c>
      <c r="D1460" s="5" t="s">
        <v>206</v>
      </c>
      <c r="E1460" s="5">
        <v>168.0</v>
      </c>
      <c r="F1460" s="5">
        <v>194.0</v>
      </c>
      <c r="G1460" s="5">
        <f t="shared" si="1"/>
        <v>362</v>
      </c>
      <c r="H1460" s="10">
        <f t="shared" si="2"/>
        <v>0.4640883978</v>
      </c>
      <c r="I1460" s="10">
        <v>0.0658</v>
      </c>
      <c r="J1460" s="10">
        <v>0.5411</v>
      </c>
      <c r="K1460" s="5">
        <f t="shared" si="3"/>
        <v>0</v>
      </c>
    </row>
    <row r="1461" ht="15.0" customHeight="1">
      <c r="A1461" s="5">
        <v>2024.0</v>
      </c>
      <c r="B1461" s="5" t="s">
        <v>327</v>
      </c>
      <c r="C1461" s="5" t="s">
        <v>367</v>
      </c>
      <c r="D1461" s="5" t="s">
        <v>206</v>
      </c>
      <c r="E1461" s="5">
        <v>222.0</v>
      </c>
      <c r="F1461" s="5">
        <v>276.0</v>
      </c>
      <c r="G1461" s="5">
        <f t="shared" si="1"/>
        <v>498</v>
      </c>
      <c r="H1461" s="10">
        <f t="shared" si="2"/>
        <v>0.4457831325</v>
      </c>
      <c r="I1461" s="10">
        <v>0.0464</v>
      </c>
      <c r="J1461" s="10">
        <v>0.7004</v>
      </c>
      <c r="K1461" s="5">
        <f t="shared" si="3"/>
        <v>1</v>
      </c>
    </row>
    <row r="1462" ht="15.0" customHeight="1">
      <c r="A1462" s="5">
        <v>2018.0</v>
      </c>
      <c r="B1462" s="5" t="s">
        <v>327</v>
      </c>
      <c r="C1462" s="5" t="s">
        <v>367</v>
      </c>
      <c r="D1462" s="5" t="s">
        <v>208</v>
      </c>
      <c r="E1462" s="5">
        <v>390.0</v>
      </c>
      <c r="F1462" s="5">
        <v>375.0</v>
      </c>
      <c r="G1462" s="5">
        <f t="shared" si="1"/>
        <v>765</v>
      </c>
      <c r="H1462" s="10">
        <f t="shared" si="2"/>
        <v>0.5098039216</v>
      </c>
      <c r="I1462" s="10">
        <v>0.1545</v>
      </c>
      <c r="J1462" s="10">
        <v>0.6397</v>
      </c>
      <c r="K1462" s="5">
        <f t="shared" si="3"/>
        <v>0</v>
      </c>
    </row>
    <row r="1463" ht="15.0" customHeight="1">
      <c r="A1463" s="5">
        <v>2020.0</v>
      </c>
      <c r="B1463" s="5" t="s">
        <v>327</v>
      </c>
      <c r="C1463" s="5" t="s">
        <v>367</v>
      </c>
      <c r="D1463" s="5" t="s">
        <v>208</v>
      </c>
      <c r="E1463" s="5">
        <v>524.0</v>
      </c>
      <c r="F1463" s="5">
        <v>554.0</v>
      </c>
      <c r="G1463" s="5">
        <f t="shared" si="1"/>
        <v>1078</v>
      </c>
      <c r="H1463" s="10">
        <f t="shared" si="2"/>
        <v>0.4860853432</v>
      </c>
      <c r="I1463" s="10">
        <v>0.1049</v>
      </c>
      <c r="J1463" s="10">
        <v>0.8021</v>
      </c>
      <c r="K1463" s="5">
        <f t="shared" si="3"/>
        <v>1</v>
      </c>
    </row>
    <row r="1464" ht="15.0" customHeight="1">
      <c r="A1464" s="5">
        <v>2022.0</v>
      </c>
      <c r="B1464" s="5" t="s">
        <v>327</v>
      </c>
      <c r="C1464" s="5" t="s">
        <v>367</v>
      </c>
      <c r="D1464" s="5" t="s">
        <v>208</v>
      </c>
      <c r="E1464" s="5">
        <v>476.0</v>
      </c>
      <c r="F1464" s="5">
        <v>440.0</v>
      </c>
      <c r="G1464" s="5">
        <f t="shared" si="1"/>
        <v>916</v>
      </c>
      <c r="H1464" s="10">
        <f t="shared" si="2"/>
        <v>0.519650655</v>
      </c>
      <c r="I1464" s="10">
        <v>0.0919</v>
      </c>
      <c r="J1464" s="10">
        <v>0.6628</v>
      </c>
      <c r="K1464" s="5">
        <f t="shared" si="3"/>
        <v>0</v>
      </c>
    </row>
    <row r="1465" ht="15.0" customHeight="1">
      <c r="A1465" s="5">
        <v>2024.0</v>
      </c>
      <c r="B1465" s="5" t="s">
        <v>327</v>
      </c>
      <c r="C1465" s="5" t="s">
        <v>367</v>
      </c>
      <c r="D1465" s="5" t="s">
        <v>208</v>
      </c>
      <c r="E1465" s="5">
        <v>625.0</v>
      </c>
      <c r="F1465" s="5">
        <v>613.0</v>
      </c>
      <c r="G1465" s="5">
        <f t="shared" si="1"/>
        <v>1238</v>
      </c>
      <c r="H1465" s="10">
        <f t="shared" si="2"/>
        <v>0.5048465267</v>
      </c>
      <c r="I1465" s="10">
        <v>0.045</v>
      </c>
      <c r="J1465" s="10">
        <v>0.7951</v>
      </c>
      <c r="K1465" s="5">
        <f t="shared" si="3"/>
        <v>1</v>
      </c>
    </row>
    <row r="1466" ht="15.0" customHeight="1">
      <c r="A1466" s="5">
        <v>2018.0</v>
      </c>
      <c r="B1466" s="5" t="s">
        <v>327</v>
      </c>
      <c r="C1466" s="5" t="s">
        <v>368</v>
      </c>
      <c r="D1466" s="5" t="s">
        <v>210</v>
      </c>
      <c r="E1466" s="5">
        <v>404.0</v>
      </c>
      <c r="F1466" s="5">
        <v>420.0</v>
      </c>
      <c r="G1466" s="5">
        <f t="shared" si="1"/>
        <v>824</v>
      </c>
      <c r="H1466" s="10">
        <f t="shared" si="2"/>
        <v>0.4902912621</v>
      </c>
      <c r="I1466" s="10">
        <v>0.1337</v>
      </c>
      <c r="J1466" s="10">
        <v>0.5921</v>
      </c>
      <c r="K1466" s="5">
        <f t="shared" si="3"/>
        <v>0</v>
      </c>
    </row>
    <row r="1467" ht="15.0" customHeight="1">
      <c r="A1467" s="5">
        <v>2020.0</v>
      </c>
      <c r="B1467" s="5" t="s">
        <v>327</v>
      </c>
      <c r="C1467" s="5" t="s">
        <v>368</v>
      </c>
      <c r="D1467" s="5" t="s">
        <v>210</v>
      </c>
      <c r="E1467" s="5">
        <v>582.0</v>
      </c>
      <c r="F1467" s="5">
        <v>702.0</v>
      </c>
      <c r="G1467" s="5">
        <f t="shared" si="1"/>
        <v>1284</v>
      </c>
      <c r="H1467" s="10">
        <f t="shared" si="2"/>
        <v>0.453271028</v>
      </c>
      <c r="I1467" s="10">
        <v>0.0738</v>
      </c>
      <c r="J1467" s="10">
        <v>0.803</v>
      </c>
      <c r="K1467" s="5">
        <f t="shared" si="3"/>
        <v>1</v>
      </c>
    </row>
    <row r="1468" ht="15.0" customHeight="1">
      <c r="A1468" s="5">
        <v>2022.0</v>
      </c>
      <c r="B1468" s="5" t="s">
        <v>327</v>
      </c>
      <c r="C1468" s="5" t="s">
        <v>368</v>
      </c>
      <c r="D1468" s="5" t="s">
        <v>210</v>
      </c>
      <c r="E1468" s="5">
        <v>471.0</v>
      </c>
      <c r="F1468" s="5">
        <v>484.0</v>
      </c>
      <c r="G1468" s="5">
        <f t="shared" si="1"/>
        <v>955</v>
      </c>
      <c r="H1468" s="10">
        <f t="shared" si="2"/>
        <v>0.4931937173</v>
      </c>
      <c r="I1468" s="10">
        <v>0.0327</v>
      </c>
      <c r="J1468" s="10">
        <v>0.5899</v>
      </c>
      <c r="K1468" s="5">
        <f t="shared" si="3"/>
        <v>0</v>
      </c>
    </row>
    <row r="1469" ht="15.0" customHeight="1">
      <c r="A1469" s="5">
        <v>2024.0</v>
      </c>
      <c r="B1469" s="5" t="s">
        <v>327</v>
      </c>
      <c r="C1469" s="5" t="s">
        <v>368</v>
      </c>
      <c r="D1469" s="5" t="s">
        <v>210</v>
      </c>
      <c r="E1469" s="5">
        <v>628.0</v>
      </c>
      <c r="F1469" s="5">
        <v>719.0</v>
      </c>
      <c r="G1469" s="5">
        <f t="shared" si="1"/>
        <v>1347</v>
      </c>
      <c r="H1469" s="10">
        <f t="shared" si="2"/>
        <v>0.4662212324</v>
      </c>
      <c r="I1469" s="10">
        <v>-0.0103</v>
      </c>
      <c r="J1469" s="10">
        <v>0.7737</v>
      </c>
      <c r="K1469" s="5">
        <f t="shared" si="3"/>
        <v>1</v>
      </c>
    </row>
    <row r="1470" ht="15.0" customHeight="1">
      <c r="A1470" s="5">
        <v>2018.0</v>
      </c>
      <c r="B1470" s="5" t="s">
        <v>327</v>
      </c>
      <c r="C1470" s="5" t="s">
        <v>368</v>
      </c>
      <c r="D1470" s="5" t="s">
        <v>211</v>
      </c>
      <c r="E1470" s="5">
        <v>361.0</v>
      </c>
      <c r="F1470" s="5">
        <v>329.0</v>
      </c>
      <c r="G1470" s="5">
        <f t="shared" si="1"/>
        <v>690</v>
      </c>
      <c r="H1470" s="10">
        <f t="shared" si="2"/>
        <v>0.5231884058</v>
      </c>
      <c r="I1470" s="10">
        <v>0.1516</v>
      </c>
      <c r="J1470" s="10">
        <v>0.4983</v>
      </c>
      <c r="K1470" s="5">
        <f t="shared" si="3"/>
        <v>0</v>
      </c>
    </row>
    <row r="1471" ht="15.0" customHeight="1">
      <c r="A1471" s="5">
        <v>2020.0</v>
      </c>
      <c r="B1471" s="5" t="s">
        <v>327</v>
      </c>
      <c r="C1471" s="5" t="s">
        <v>368</v>
      </c>
      <c r="D1471" s="5" t="s">
        <v>211</v>
      </c>
      <c r="E1471" s="5">
        <v>518.0</v>
      </c>
      <c r="F1471" s="5">
        <v>622.0</v>
      </c>
      <c r="G1471" s="5">
        <f t="shared" si="1"/>
        <v>1140</v>
      </c>
      <c r="H1471" s="10">
        <f t="shared" si="2"/>
        <v>0.4543859649</v>
      </c>
      <c r="I1471" s="10">
        <v>0.0973</v>
      </c>
      <c r="J1471" s="10">
        <v>0.7063</v>
      </c>
      <c r="K1471" s="5">
        <f t="shared" si="3"/>
        <v>1</v>
      </c>
    </row>
    <row r="1472" ht="15.0" customHeight="1">
      <c r="A1472" s="5">
        <v>2022.0</v>
      </c>
      <c r="B1472" s="5" t="s">
        <v>327</v>
      </c>
      <c r="C1472" s="5" t="s">
        <v>368</v>
      </c>
      <c r="D1472" s="5" t="s">
        <v>211</v>
      </c>
      <c r="E1472" s="5">
        <v>423.0</v>
      </c>
      <c r="F1472" s="5">
        <v>411.0</v>
      </c>
      <c r="G1472" s="5">
        <f t="shared" si="1"/>
        <v>834</v>
      </c>
      <c r="H1472" s="10">
        <f t="shared" si="2"/>
        <v>0.5071942446</v>
      </c>
      <c r="I1472" s="10">
        <v>0.0956</v>
      </c>
      <c r="J1472" s="10">
        <v>0.5076</v>
      </c>
      <c r="K1472" s="5">
        <f t="shared" si="3"/>
        <v>0</v>
      </c>
    </row>
    <row r="1473" ht="15.0" customHeight="1">
      <c r="A1473" s="5">
        <v>2024.0</v>
      </c>
      <c r="B1473" s="5" t="s">
        <v>327</v>
      </c>
      <c r="C1473" s="5" t="s">
        <v>368</v>
      </c>
      <c r="D1473" s="5" t="s">
        <v>211</v>
      </c>
      <c r="E1473" s="5">
        <v>588.0</v>
      </c>
      <c r="F1473" s="5">
        <v>628.0</v>
      </c>
      <c r="G1473" s="5">
        <f t="shared" si="1"/>
        <v>1216</v>
      </c>
      <c r="H1473" s="10">
        <f t="shared" si="2"/>
        <v>0.4835526316</v>
      </c>
      <c r="I1473" s="10">
        <v>0.0548</v>
      </c>
      <c r="J1473" s="10">
        <v>0.7095</v>
      </c>
      <c r="K1473" s="5">
        <f t="shared" si="3"/>
        <v>1</v>
      </c>
    </row>
    <row r="1474" ht="15.0" customHeight="1">
      <c r="A1474" s="5">
        <v>2018.0</v>
      </c>
      <c r="B1474" s="5" t="s">
        <v>327</v>
      </c>
      <c r="C1474" s="5" t="s">
        <v>368</v>
      </c>
      <c r="D1474" s="5" t="s">
        <v>212</v>
      </c>
      <c r="E1474" s="5">
        <v>723.0</v>
      </c>
      <c r="F1474" s="5">
        <v>723.0</v>
      </c>
      <c r="G1474" s="5">
        <f t="shared" si="1"/>
        <v>1446</v>
      </c>
      <c r="H1474" s="10">
        <f t="shared" si="2"/>
        <v>0.5</v>
      </c>
      <c r="I1474" s="10">
        <v>0.1013</v>
      </c>
      <c r="J1474" s="10">
        <v>0.5691</v>
      </c>
      <c r="K1474" s="5">
        <f t="shared" si="3"/>
        <v>0</v>
      </c>
    </row>
    <row r="1475" ht="15.0" customHeight="1">
      <c r="A1475" s="5">
        <v>2020.0</v>
      </c>
      <c r="B1475" s="5" t="s">
        <v>327</v>
      </c>
      <c r="C1475" s="5" t="s">
        <v>368</v>
      </c>
      <c r="D1475" s="5" t="s">
        <v>212</v>
      </c>
      <c r="E1475" s="5">
        <v>1003.0</v>
      </c>
      <c r="F1475" s="5">
        <v>1306.0</v>
      </c>
      <c r="G1475" s="5">
        <f t="shared" si="1"/>
        <v>2309</v>
      </c>
      <c r="H1475" s="10">
        <f t="shared" si="2"/>
        <v>0.4343871806</v>
      </c>
      <c r="I1475" s="10">
        <v>0.0635</v>
      </c>
      <c r="J1475" s="10">
        <v>0.8188</v>
      </c>
      <c r="K1475" s="5">
        <f t="shared" si="3"/>
        <v>1</v>
      </c>
    </row>
    <row r="1476" ht="15.0" customHeight="1">
      <c r="A1476" s="5">
        <v>2022.0</v>
      </c>
      <c r="B1476" s="5" t="s">
        <v>327</v>
      </c>
      <c r="C1476" s="5" t="s">
        <v>368</v>
      </c>
      <c r="D1476" s="5" t="s">
        <v>212</v>
      </c>
      <c r="E1476" s="5">
        <v>874.0</v>
      </c>
      <c r="F1476" s="5">
        <v>886.0</v>
      </c>
      <c r="G1476" s="5">
        <f t="shared" si="1"/>
        <v>1760</v>
      </c>
      <c r="H1476" s="10">
        <f t="shared" si="2"/>
        <v>0.4965909091</v>
      </c>
      <c r="I1476" s="10">
        <v>0.0484</v>
      </c>
      <c r="J1476" s="10">
        <v>0.6126</v>
      </c>
      <c r="K1476" s="5">
        <f t="shared" si="3"/>
        <v>0</v>
      </c>
    </row>
    <row r="1477" ht="15.0" customHeight="1">
      <c r="A1477" s="5">
        <v>2024.0</v>
      </c>
      <c r="B1477" s="5" t="s">
        <v>327</v>
      </c>
      <c r="C1477" s="5" t="s">
        <v>368</v>
      </c>
      <c r="D1477" s="5" t="s">
        <v>212</v>
      </c>
      <c r="E1477" s="5">
        <v>1120.0</v>
      </c>
      <c r="F1477" s="5">
        <v>1352.0</v>
      </c>
      <c r="G1477" s="5">
        <f t="shared" si="1"/>
        <v>2472</v>
      </c>
      <c r="H1477" s="10">
        <f t="shared" si="2"/>
        <v>0.4530744337</v>
      </c>
      <c r="I1477" s="10">
        <v>0.009</v>
      </c>
      <c r="J1477" s="10">
        <v>0.7977</v>
      </c>
      <c r="K1477" s="5">
        <f t="shared" si="3"/>
        <v>1</v>
      </c>
    </row>
    <row r="1478" ht="15.0" customHeight="1">
      <c r="A1478" s="5">
        <v>2018.0</v>
      </c>
      <c r="B1478" s="5" t="s">
        <v>327</v>
      </c>
      <c r="C1478" s="5" t="s">
        <v>368</v>
      </c>
      <c r="D1478" s="5" t="s">
        <v>214</v>
      </c>
      <c r="E1478" s="5">
        <v>162.0</v>
      </c>
      <c r="F1478" s="5">
        <v>162.0</v>
      </c>
      <c r="G1478" s="5">
        <f t="shared" si="1"/>
        <v>324</v>
      </c>
      <c r="H1478" s="10">
        <f t="shared" si="2"/>
        <v>0.5</v>
      </c>
      <c r="I1478" s="10">
        <v>0.207</v>
      </c>
      <c r="J1478" s="10">
        <v>0.4641</v>
      </c>
      <c r="K1478" s="5">
        <f t="shared" si="3"/>
        <v>0</v>
      </c>
    </row>
    <row r="1479" ht="15.0" customHeight="1">
      <c r="A1479" s="5">
        <v>2020.0</v>
      </c>
      <c r="B1479" s="5" t="s">
        <v>327</v>
      </c>
      <c r="C1479" s="5" t="s">
        <v>368</v>
      </c>
      <c r="D1479" s="5" t="s">
        <v>214</v>
      </c>
      <c r="E1479" s="5">
        <v>252.0</v>
      </c>
      <c r="F1479" s="5">
        <v>304.0</v>
      </c>
      <c r="G1479" s="5">
        <f t="shared" si="1"/>
        <v>556</v>
      </c>
      <c r="H1479" s="10">
        <f t="shared" si="2"/>
        <v>0.4532374101</v>
      </c>
      <c r="I1479" s="10">
        <v>0.1101</v>
      </c>
      <c r="J1479" s="10">
        <v>0.6881</v>
      </c>
      <c r="K1479" s="5">
        <f t="shared" si="3"/>
        <v>1</v>
      </c>
    </row>
    <row r="1480" ht="15.0" customHeight="1">
      <c r="A1480" s="5">
        <v>2022.0</v>
      </c>
      <c r="B1480" s="5" t="s">
        <v>327</v>
      </c>
      <c r="C1480" s="5" t="s">
        <v>368</v>
      </c>
      <c r="D1480" s="5" t="s">
        <v>214</v>
      </c>
      <c r="E1480" s="5">
        <v>189.0</v>
      </c>
      <c r="F1480" s="5">
        <v>189.0</v>
      </c>
      <c r="G1480" s="5">
        <f t="shared" si="1"/>
        <v>378</v>
      </c>
      <c r="H1480" s="10">
        <f t="shared" si="2"/>
        <v>0.5</v>
      </c>
      <c r="I1480" s="10">
        <v>0.0681</v>
      </c>
      <c r="J1480" s="10">
        <v>0.4859</v>
      </c>
      <c r="K1480" s="5">
        <f t="shared" si="3"/>
        <v>0</v>
      </c>
    </row>
    <row r="1481" ht="15.0" customHeight="1">
      <c r="A1481" s="5">
        <v>2024.0</v>
      </c>
      <c r="B1481" s="5" t="s">
        <v>327</v>
      </c>
      <c r="C1481" s="5" t="s">
        <v>368</v>
      </c>
      <c r="D1481" s="5" t="s">
        <v>214</v>
      </c>
      <c r="E1481" s="5">
        <v>237.0</v>
      </c>
      <c r="F1481" s="5">
        <v>324.0</v>
      </c>
      <c r="G1481" s="5">
        <f t="shared" si="1"/>
        <v>561</v>
      </c>
      <c r="H1481" s="10">
        <f t="shared" si="2"/>
        <v>0.422459893</v>
      </c>
      <c r="I1481" s="10">
        <v>0.0</v>
      </c>
      <c r="J1481" s="10">
        <v>0.6808</v>
      </c>
      <c r="K1481" s="5">
        <f t="shared" si="3"/>
        <v>1</v>
      </c>
    </row>
    <row r="1482" ht="15.0" customHeight="1">
      <c r="A1482" s="5">
        <v>2018.0</v>
      </c>
      <c r="B1482" s="5" t="s">
        <v>327</v>
      </c>
      <c r="C1482" s="5" t="s">
        <v>369</v>
      </c>
      <c r="D1482" s="5" t="s">
        <v>216</v>
      </c>
      <c r="E1482" s="5">
        <v>900.0</v>
      </c>
      <c r="F1482" s="5">
        <v>609.0</v>
      </c>
      <c r="G1482" s="5">
        <f t="shared" si="1"/>
        <v>1509</v>
      </c>
      <c r="H1482" s="10">
        <f t="shared" si="2"/>
        <v>0.5964214712</v>
      </c>
      <c r="I1482" s="10">
        <v>0.1829</v>
      </c>
      <c r="J1482" s="10">
        <v>0.5047</v>
      </c>
      <c r="K1482" s="5">
        <f t="shared" si="3"/>
        <v>0</v>
      </c>
    </row>
    <row r="1483" ht="15.0" customHeight="1">
      <c r="A1483" s="5">
        <v>2020.0</v>
      </c>
      <c r="B1483" s="5" t="s">
        <v>327</v>
      </c>
      <c r="C1483" s="5" t="s">
        <v>369</v>
      </c>
      <c r="D1483" s="5" t="s">
        <v>216</v>
      </c>
      <c r="E1483" s="5">
        <v>1381.0</v>
      </c>
      <c r="F1483" s="5">
        <v>1106.0</v>
      </c>
      <c r="G1483" s="5">
        <f t="shared" si="1"/>
        <v>2487</v>
      </c>
      <c r="H1483" s="10">
        <f t="shared" si="2"/>
        <v>0.555287495</v>
      </c>
      <c r="I1483" s="10">
        <v>0.1822</v>
      </c>
      <c r="J1483" s="10">
        <v>0.7263</v>
      </c>
      <c r="K1483" s="5">
        <f t="shared" si="3"/>
        <v>1</v>
      </c>
    </row>
    <row r="1484" ht="15.0" customHeight="1">
      <c r="A1484" s="5">
        <v>2022.0</v>
      </c>
      <c r="B1484" s="5" t="s">
        <v>327</v>
      </c>
      <c r="C1484" s="5" t="s">
        <v>369</v>
      </c>
      <c r="D1484" s="5" t="s">
        <v>216</v>
      </c>
      <c r="E1484" s="5">
        <v>1015.0</v>
      </c>
      <c r="F1484" s="5">
        <v>743.0</v>
      </c>
      <c r="G1484" s="5">
        <f t="shared" si="1"/>
        <v>1758</v>
      </c>
      <c r="H1484" s="10">
        <f t="shared" si="2"/>
        <v>0.5773606371</v>
      </c>
      <c r="I1484" s="10">
        <v>0.1671</v>
      </c>
      <c r="J1484" s="10">
        <v>0.5256</v>
      </c>
      <c r="K1484" s="5">
        <f t="shared" si="3"/>
        <v>0</v>
      </c>
    </row>
    <row r="1485" ht="15.0" customHeight="1">
      <c r="A1485" s="5">
        <v>2024.0</v>
      </c>
      <c r="B1485" s="5" t="s">
        <v>327</v>
      </c>
      <c r="C1485" s="5" t="s">
        <v>369</v>
      </c>
      <c r="D1485" s="5" t="s">
        <v>216</v>
      </c>
      <c r="E1485" s="5">
        <v>1321.0</v>
      </c>
      <c r="F1485" s="5">
        <v>1098.0</v>
      </c>
      <c r="G1485" s="5">
        <f t="shared" si="1"/>
        <v>2419</v>
      </c>
      <c r="H1485" s="10">
        <f t="shared" si="2"/>
        <v>0.546093427</v>
      </c>
      <c r="I1485" s="10">
        <v>0.1374</v>
      </c>
      <c r="J1485" s="10">
        <v>0.7055</v>
      </c>
      <c r="K1485" s="5">
        <f t="shared" si="3"/>
        <v>1</v>
      </c>
    </row>
    <row r="1486" ht="15.0" customHeight="1">
      <c r="A1486" s="5">
        <v>2018.0</v>
      </c>
      <c r="B1486" s="5" t="s">
        <v>327</v>
      </c>
      <c r="C1486" s="5" t="s">
        <v>369</v>
      </c>
      <c r="D1486" s="5" t="s">
        <v>217</v>
      </c>
      <c r="E1486" s="5">
        <v>491.0</v>
      </c>
      <c r="F1486" s="5">
        <v>442.0</v>
      </c>
      <c r="G1486" s="5">
        <f t="shared" si="1"/>
        <v>933</v>
      </c>
      <c r="H1486" s="10">
        <f t="shared" si="2"/>
        <v>0.5262593783</v>
      </c>
      <c r="I1486" s="10">
        <v>0.082</v>
      </c>
      <c r="J1486" s="10">
        <v>0.6213</v>
      </c>
      <c r="K1486" s="5">
        <f t="shared" si="3"/>
        <v>0</v>
      </c>
    </row>
    <row r="1487" ht="15.0" customHeight="1">
      <c r="A1487" s="5">
        <v>2020.0</v>
      </c>
      <c r="B1487" s="5" t="s">
        <v>327</v>
      </c>
      <c r="C1487" s="5" t="s">
        <v>369</v>
      </c>
      <c r="D1487" s="5" t="s">
        <v>217</v>
      </c>
      <c r="E1487" s="5">
        <v>632.0</v>
      </c>
      <c r="F1487" s="5">
        <v>698.0</v>
      </c>
      <c r="G1487" s="5">
        <f t="shared" si="1"/>
        <v>1330</v>
      </c>
      <c r="H1487" s="10">
        <f t="shared" si="2"/>
        <v>0.4751879699</v>
      </c>
      <c r="I1487" s="10">
        <v>0.0515</v>
      </c>
      <c r="J1487" s="10">
        <v>0.8065</v>
      </c>
      <c r="K1487" s="5">
        <f t="shared" si="3"/>
        <v>1</v>
      </c>
    </row>
    <row r="1488" ht="15.0" customHeight="1">
      <c r="A1488" s="5">
        <v>2022.0</v>
      </c>
      <c r="B1488" s="5" t="s">
        <v>327</v>
      </c>
      <c r="C1488" s="5" t="s">
        <v>369</v>
      </c>
      <c r="D1488" s="5" t="s">
        <v>217</v>
      </c>
      <c r="E1488" s="5">
        <v>497.0</v>
      </c>
      <c r="F1488" s="5">
        <v>505.0</v>
      </c>
      <c r="G1488" s="5">
        <f t="shared" si="1"/>
        <v>1002</v>
      </c>
      <c r="H1488" s="10">
        <f t="shared" si="2"/>
        <v>0.496007984</v>
      </c>
      <c r="I1488" s="10">
        <v>0.0371</v>
      </c>
      <c r="J1488" s="10">
        <v>0.6298</v>
      </c>
      <c r="K1488" s="5">
        <f t="shared" si="3"/>
        <v>0</v>
      </c>
    </row>
    <row r="1489" ht="15.0" customHeight="1">
      <c r="A1489" s="5">
        <v>2024.0</v>
      </c>
      <c r="B1489" s="5" t="s">
        <v>327</v>
      </c>
      <c r="C1489" s="5" t="s">
        <v>369</v>
      </c>
      <c r="D1489" s="5" t="s">
        <v>217</v>
      </c>
      <c r="E1489" s="5">
        <v>600.0</v>
      </c>
      <c r="F1489" s="5">
        <v>681.0</v>
      </c>
      <c r="G1489" s="5">
        <f t="shared" si="1"/>
        <v>1281</v>
      </c>
      <c r="H1489" s="10">
        <f t="shared" si="2"/>
        <v>0.4683840749</v>
      </c>
      <c r="I1489" s="10">
        <v>0.0128</v>
      </c>
      <c r="J1489" s="10">
        <v>0.7797</v>
      </c>
      <c r="K1489" s="5">
        <f t="shared" si="3"/>
        <v>1</v>
      </c>
    </row>
    <row r="1490" ht="15.0" customHeight="1">
      <c r="A1490" s="5">
        <v>2018.0</v>
      </c>
      <c r="B1490" s="5" t="s">
        <v>327</v>
      </c>
      <c r="C1490" s="5" t="s">
        <v>369</v>
      </c>
      <c r="D1490" s="5" t="s">
        <v>218</v>
      </c>
      <c r="E1490" s="5">
        <v>515.0</v>
      </c>
      <c r="F1490" s="5">
        <v>483.0</v>
      </c>
      <c r="G1490" s="5">
        <f t="shared" si="1"/>
        <v>998</v>
      </c>
      <c r="H1490" s="10">
        <f t="shared" si="2"/>
        <v>0.5160320641</v>
      </c>
      <c r="I1490" s="10">
        <v>0.0957</v>
      </c>
      <c r="J1490" s="10">
        <v>0.5809</v>
      </c>
      <c r="K1490" s="5">
        <f t="shared" si="3"/>
        <v>0</v>
      </c>
    </row>
    <row r="1491" ht="15.0" customHeight="1">
      <c r="A1491" s="5">
        <v>2020.0</v>
      </c>
      <c r="B1491" s="5" t="s">
        <v>327</v>
      </c>
      <c r="C1491" s="5" t="s">
        <v>369</v>
      </c>
      <c r="D1491" s="5" t="s">
        <v>218</v>
      </c>
      <c r="E1491" s="5">
        <v>744.0</v>
      </c>
      <c r="F1491" s="5">
        <v>753.0</v>
      </c>
      <c r="G1491" s="5">
        <f t="shared" si="1"/>
        <v>1497</v>
      </c>
      <c r="H1491" s="10">
        <f t="shared" si="2"/>
        <v>0.496993988</v>
      </c>
      <c r="I1491" s="10">
        <v>0.0926</v>
      </c>
      <c r="J1491" s="10">
        <v>0.7789</v>
      </c>
      <c r="K1491" s="5">
        <f t="shared" si="3"/>
        <v>1</v>
      </c>
    </row>
    <row r="1492" ht="15.0" customHeight="1">
      <c r="A1492" s="5">
        <v>2022.0</v>
      </c>
      <c r="B1492" s="5" t="s">
        <v>327</v>
      </c>
      <c r="C1492" s="5" t="s">
        <v>369</v>
      </c>
      <c r="D1492" s="5" t="s">
        <v>218</v>
      </c>
      <c r="E1492" s="5">
        <v>616.0</v>
      </c>
      <c r="F1492" s="5">
        <v>541.0</v>
      </c>
      <c r="G1492" s="5">
        <f t="shared" si="1"/>
        <v>1157</v>
      </c>
      <c r="H1492" s="10">
        <f t="shared" si="2"/>
        <v>0.5324114088</v>
      </c>
      <c r="I1492" s="10">
        <v>0.0747</v>
      </c>
      <c r="J1492" s="10">
        <v>0.6086</v>
      </c>
      <c r="K1492" s="5">
        <f t="shared" si="3"/>
        <v>0</v>
      </c>
    </row>
    <row r="1493" ht="15.0" customHeight="1">
      <c r="A1493" s="5">
        <v>2024.0</v>
      </c>
      <c r="B1493" s="5" t="s">
        <v>327</v>
      </c>
      <c r="C1493" s="5" t="s">
        <v>369</v>
      </c>
      <c r="D1493" s="5" t="s">
        <v>218</v>
      </c>
      <c r="E1493" s="5">
        <v>824.0</v>
      </c>
      <c r="F1493" s="5">
        <v>795.0</v>
      </c>
      <c r="G1493" s="5">
        <f t="shared" si="1"/>
        <v>1619</v>
      </c>
      <c r="H1493" s="10">
        <f t="shared" si="2"/>
        <v>0.5089561458</v>
      </c>
      <c r="I1493" s="10">
        <v>0.0596</v>
      </c>
      <c r="J1493" s="10">
        <v>0.7658</v>
      </c>
      <c r="K1493" s="5">
        <f t="shared" si="3"/>
        <v>1</v>
      </c>
    </row>
    <row r="1494" ht="15.0" customHeight="1">
      <c r="A1494" s="5">
        <v>2018.0</v>
      </c>
      <c r="B1494" s="5" t="s">
        <v>327</v>
      </c>
      <c r="C1494" s="5" t="s">
        <v>369</v>
      </c>
      <c r="D1494" s="5" t="s">
        <v>219</v>
      </c>
      <c r="E1494" s="5">
        <v>769.0</v>
      </c>
      <c r="F1494" s="5">
        <v>753.0</v>
      </c>
      <c r="G1494" s="5">
        <f t="shared" si="1"/>
        <v>1522</v>
      </c>
      <c r="H1494" s="10">
        <f t="shared" si="2"/>
        <v>0.5052562418</v>
      </c>
      <c r="I1494" s="10">
        <v>0.0053</v>
      </c>
      <c r="J1494" s="10">
        <v>0.5464</v>
      </c>
      <c r="K1494" s="5">
        <f t="shared" si="3"/>
        <v>0</v>
      </c>
    </row>
    <row r="1495" ht="15.0" customHeight="1">
      <c r="A1495" s="5">
        <v>2020.0</v>
      </c>
      <c r="B1495" s="5" t="s">
        <v>327</v>
      </c>
      <c r="C1495" s="5" t="s">
        <v>369</v>
      </c>
      <c r="D1495" s="5" t="s">
        <v>219</v>
      </c>
      <c r="E1495" s="5">
        <v>1109.0</v>
      </c>
      <c r="F1495" s="5">
        <v>1280.0</v>
      </c>
      <c r="G1495" s="5">
        <f t="shared" si="1"/>
        <v>2389</v>
      </c>
      <c r="H1495" s="10">
        <f t="shared" si="2"/>
        <v>0.4642109669</v>
      </c>
      <c r="I1495" s="10">
        <v>0.0159</v>
      </c>
      <c r="J1495" s="10">
        <v>0.7759</v>
      </c>
      <c r="K1495" s="5">
        <f t="shared" si="3"/>
        <v>1</v>
      </c>
    </row>
    <row r="1496" ht="15.0" customHeight="1">
      <c r="A1496" s="5">
        <v>2022.0</v>
      </c>
      <c r="B1496" s="5" t="s">
        <v>327</v>
      </c>
      <c r="C1496" s="5" t="s">
        <v>369</v>
      </c>
      <c r="D1496" s="5" t="s">
        <v>219</v>
      </c>
      <c r="E1496" s="5">
        <v>885.0</v>
      </c>
      <c r="F1496" s="5">
        <v>945.0</v>
      </c>
      <c r="G1496" s="5">
        <f t="shared" si="1"/>
        <v>1830</v>
      </c>
      <c r="H1496" s="10">
        <f t="shared" si="2"/>
        <v>0.4836065574</v>
      </c>
      <c r="I1496" s="10">
        <v>-0.0046</v>
      </c>
      <c r="J1496" s="10">
        <v>0.5957</v>
      </c>
      <c r="K1496" s="5">
        <f t="shared" si="3"/>
        <v>0</v>
      </c>
    </row>
    <row r="1497" ht="15.0" customHeight="1">
      <c r="A1497" s="5">
        <v>2024.0</v>
      </c>
      <c r="B1497" s="5" t="s">
        <v>327</v>
      </c>
      <c r="C1497" s="5" t="s">
        <v>369</v>
      </c>
      <c r="D1497" s="5" t="s">
        <v>219</v>
      </c>
      <c r="E1497" s="5">
        <v>1193.0</v>
      </c>
      <c r="F1497" s="5">
        <v>1334.0</v>
      </c>
      <c r="G1497" s="5">
        <f t="shared" si="1"/>
        <v>2527</v>
      </c>
      <c r="H1497" s="10">
        <f t="shared" si="2"/>
        <v>0.4721013059</v>
      </c>
      <c r="I1497" s="10">
        <v>-0.02</v>
      </c>
      <c r="J1497" s="10">
        <v>0.7889</v>
      </c>
      <c r="K1497" s="5">
        <f t="shared" si="3"/>
        <v>1</v>
      </c>
    </row>
    <row r="1498" ht="15.0" customHeight="1">
      <c r="A1498" s="5">
        <v>2018.0</v>
      </c>
      <c r="B1498" s="5" t="s">
        <v>327</v>
      </c>
      <c r="C1498" s="5" t="s">
        <v>369</v>
      </c>
      <c r="D1498" s="5" t="s">
        <v>223</v>
      </c>
      <c r="E1498" s="5">
        <v>1294.0</v>
      </c>
      <c r="F1498" s="5">
        <v>949.0</v>
      </c>
      <c r="G1498" s="5">
        <f t="shared" si="1"/>
        <v>2243</v>
      </c>
      <c r="H1498" s="10">
        <f t="shared" si="2"/>
        <v>0.5769059296</v>
      </c>
      <c r="I1498" s="10">
        <v>0.085</v>
      </c>
      <c r="J1498" s="10">
        <v>0.6027</v>
      </c>
      <c r="K1498" s="5">
        <f t="shared" si="3"/>
        <v>0</v>
      </c>
    </row>
    <row r="1499" ht="15.0" customHeight="1">
      <c r="A1499" s="5">
        <v>2020.0</v>
      </c>
      <c r="B1499" s="5" t="s">
        <v>327</v>
      </c>
      <c r="C1499" s="5" t="s">
        <v>369</v>
      </c>
      <c r="D1499" s="5" t="s">
        <v>223</v>
      </c>
      <c r="E1499" s="5">
        <v>1720.0</v>
      </c>
      <c r="F1499" s="5">
        <v>1542.0</v>
      </c>
      <c r="G1499" s="5">
        <f t="shared" si="1"/>
        <v>3262</v>
      </c>
      <c r="H1499" s="10">
        <f t="shared" si="2"/>
        <v>0.5272838749</v>
      </c>
      <c r="I1499" s="10">
        <v>0.0823</v>
      </c>
      <c r="J1499" s="10">
        <v>0.7778</v>
      </c>
      <c r="K1499" s="5">
        <f t="shared" si="3"/>
        <v>1</v>
      </c>
    </row>
    <row r="1500" ht="15.0" customHeight="1">
      <c r="A1500" s="5">
        <v>2022.0</v>
      </c>
      <c r="B1500" s="5" t="s">
        <v>327</v>
      </c>
      <c r="C1500" s="5" t="s">
        <v>369</v>
      </c>
      <c r="D1500" s="5" t="s">
        <v>223</v>
      </c>
      <c r="E1500" s="5">
        <v>1457.0</v>
      </c>
      <c r="F1500" s="5">
        <v>1179.0</v>
      </c>
      <c r="G1500" s="5">
        <f t="shared" si="1"/>
        <v>2636</v>
      </c>
      <c r="H1500" s="10">
        <f t="shared" si="2"/>
        <v>0.5527314112</v>
      </c>
      <c r="I1500" s="10">
        <v>0.0821</v>
      </c>
      <c r="J1500" s="10">
        <v>0.6185</v>
      </c>
      <c r="K1500" s="5">
        <f t="shared" si="3"/>
        <v>0</v>
      </c>
    </row>
    <row r="1501" ht="15.0" customHeight="1">
      <c r="A1501" s="5">
        <v>2024.0</v>
      </c>
      <c r="B1501" s="5" t="s">
        <v>327</v>
      </c>
      <c r="C1501" s="5" t="s">
        <v>369</v>
      </c>
      <c r="D1501" s="5" t="s">
        <v>223</v>
      </c>
      <c r="E1501" s="5">
        <v>1923.0</v>
      </c>
      <c r="F1501" s="5">
        <v>1578.0</v>
      </c>
      <c r="G1501" s="5">
        <f t="shared" si="1"/>
        <v>3501</v>
      </c>
      <c r="H1501" s="10">
        <f t="shared" si="2"/>
        <v>0.5492716367</v>
      </c>
      <c r="I1501" s="10">
        <v>0.0739</v>
      </c>
      <c r="J1501" s="10">
        <v>0.782</v>
      </c>
      <c r="K1501" s="5">
        <f t="shared" si="3"/>
        <v>1</v>
      </c>
    </row>
    <row r="1502" ht="15.0" customHeight="1">
      <c r="A1502" s="5">
        <v>2018.0</v>
      </c>
      <c r="B1502" s="5" t="s">
        <v>327</v>
      </c>
      <c r="C1502" s="5" t="s">
        <v>369</v>
      </c>
      <c r="D1502" s="5" t="s">
        <v>224</v>
      </c>
      <c r="E1502" s="5">
        <v>554.0</v>
      </c>
      <c r="F1502" s="5">
        <v>591.0</v>
      </c>
      <c r="G1502" s="5">
        <f t="shared" si="1"/>
        <v>1145</v>
      </c>
      <c r="H1502" s="10">
        <f t="shared" si="2"/>
        <v>0.4838427948</v>
      </c>
      <c r="I1502" s="10">
        <v>-0.0329</v>
      </c>
      <c r="J1502" s="10">
        <v>0.6619</v>
      </c>
      <c r="K1502" s="5">
        <f t="shared" si="3"/>
        <v>0</v>
      </c>
    </row>
    <row r="1503" ht="15.0" customHeight="1">
      <c r="A1503" s="5">
        <v>2020.0</v>
      </c>
      <c r="B1503" s="5" t="s">
        <v>327</v>
      </c>
      <c r="C1503" s="5" t="s">
        <v>369</v>
      </c>
      <c r="D1503" s="5" t="s">
        <v>224</v>
      </c>
      <c r="E1503" s="5">
        <v>739.0</v>
      </c>
      <c r="F1503" s="5">
        <v>808.0</v>
      </c>
      <c r="G1503" s="5">
        <f t="shared" si="1"/>
        <v>1547</v>
      </c>
      <c r="H1503" s="10">
        <f t="shared" si="2"/>
        <v>0.4776987718</v>
      </c>
      <c r="I1503" s="10">
        <v>-0.0047</v>
      </c>
      <c r="J1503" s="10">
        <v>0.8108</v>
      </c>
      <c r="K1503" s="5">
        <f t="shared" si="3"/>
        <v>1</v>
      </c>
    </row>
    <row r="1504" ht="15.0" customHeight="1">
      <c r="A1504" s="5">
        <v>2022.0</v>
      </c>
      <c r="B1504" s="5" t="s">
        <v>327</v>
      </c>
      <c r="C1504" s="5" t="s">
        <v>369</v>
      </c>
      <c r="D1504" s="5" t="s">
        <v>224</v>
      </c>
      <c r="E1504" s="5">
        <v>640.0</v>
      </c>
      <c r="F1504" s="5">
        <v>661.0</v>
      </c>
      <c r="G1504" s="5">
        <f t="shared" si="1"/>
        <v>1301</v>
      </c>
      <c r="H1504" s="10">
        <f t="shared" si="2"/>
        <v>0.4919292852</v>
      </c>
      <c r="I1504" s="10">
        <v>0.0085</v>
      </c>
      <c r="J1504" s="10">
        <v>0.688</v>
      </c>
      <c r="K1504" s="5">
        <f t="shared" si="3"/>
        <v>0</v>
      </c>
    </row>
    <row r="1505" ht="15.0" customHeight="1">
      <c r="A1505" s="5">
        <v>2024.0</v>
      </c>
      <c r="B1505" s="5" t="s">
        <v>327</v>
      </c>
      <c r="C1505" s="5" t="s">
        <v>369</v>
      </c>
      <c r="D1505" s="5" t="s">
        <v>224</v>
      </c>
      <c r="E1505" s="5">
        <v>755.0</v>
      </c>
      <c r="F1505" s="5">
        <v>789.0</v>
      </c>
      <c r="G1505" s="5">
        <f t="shared" si="1"/>
        <v>1544</v>
      </c>
      <c r="H1505" s="10">
        <f t="shared" si="2"/>
        <v>0.4889896373</v>
      </c>
      <c r="I1505" s="10">
        <v>-0.0261</v>
      </c>
      <c r="J1505" s="10">
        <v>0.805</v>
      </c>
      <c r="K1505" s="5">
        <f t="shared" si="3"/>
        <v>1</v>
      </c>
    </row>
    <row r="1506" ht="15.0" customHeight="1">
      <c r="A1506" s="5">
        <v>2018.0</v>
      </c>
      <c r="B1506" s="5" t="s">
        <v>327</v>
      </c>
      <c r="C1506" s="5" t="s">
        <v>369</v>
      </c>
      <c r="D1506" s="5" t="s">
        <v>225</v>
      </c>
      <c r="E1506" s="5">
        <v>281.0</v>
      </c>
      <c r="F1506" s="5">
        <v>268.0</v>
      </c>
      <c r="G1506" s="5">
        <f t="shared" si="1"/>
        <v>549</v>
      </c>
      <c r="H1506" s="10">
        <f t="shared" si="2"/>
        <v>0.5118397086</v>
      </c>
      <c r="I1506" s="10">
        <v>0.095</v>
      </c>
      <c r="J1506" s="10">
        <v>0.5971</v>
      </c>
      <c r="K1506" s="5">
        <f t="shared" si="3"/>
        <v>0</v>
      </c>
    </row>
    <row r="1507" ht="15.0" customHeight="1">
      <c r="A1507" s="5">
        <v>2020.0</v>
      </c>
      <c r="B1507" s="5" t="s">
        <v>327</v>
      </c>
      <c r="C1507" s="5" t="s">
        <v>369</v>
      </c>
      <c r="D1507" s="5" t="s">
        <v>225</v>
      </c>
      <c r="E1507" s="5">
        <v>373.0</v>
      </c>
      <c r="F1507" s="5">
        <v>443.0</v>
      </c>
      <c r="G1507" s="5">
        <f t="shared" si="1"/>
        <v>816</v>
      </c>
      <c r="H1507" s="10">
        <f t="shared" si="2"/>
        <v>0.4571078431</v>
      </c>
      <c r="I1507" s="10">
        <v>0.0547</v>
      </c>
      <c r="J1507" s="10">
        <v>0.7831</v>
      </c>
      <c r="K1507" s="5">
        <f t="shared" si="3"/>
        <v>1</v>
      </c>
    </row>
    <row r="1508" ht="15.0" customHeight="1">
      <c r="A1508" s="5">
        <v>2022.0</v>
      </c>
      <c r="B1508" s="5" t="s">
        <v>327</v>
      </c>
      <c r="C1508" s="5" t="s">
        <v>369</v>
      </c>
      <c r="D1508" s="5" t="s">
        <v>225</v>
      </c>
      <c r="E1508" s="5">
        <v>293.0</v>
      </c>
      <c r="F1508" s="5">
        <v>336.0</v>
      </c>
      <c r="G1508" s="5">
        <f t="shared" si="1"/>
        <v>629</v>
      </c>
      <c r="H1508" s="10">
        <f t="shared" si="2"/>
        <v>0.4658187599</v>
      </c>
      <c r="I1508" s="10">
        <v>0.0578</v>
      </c>
      <c r="J1508" s="10">
        <v>0.6161</v>
      </c>
      <c r="K1508" s="5">
        <f t="shared" si="3"/>
        <v>0</v>
      </c>
    </row>
    <row r="1509" ht="15.0" customHeight="1">
      <c r="A1509" s="5">
        <v>2024.0</v>
      </c>
      <c r="B1509" s="5" t="s">
        <v>327</v>
      </c>
      <c r="C1509" s="5" t="s">
        <v>369</v>
      </c>
      <c r="D1509" s="5" t="s">
        <v>225</v>
      </c>
      <c r="E1509" s="5">
        <v>358.0</v>
      </c>
      <c r="F1509" s="5">
        <v>461.0</v>
      </c>
      <c r="G1509" s="5">
        <f t="shared" si="1"/>
        <v>819</v>
      </c>
      <c r="H1509" s="10">
        <f t="shared" si="2"/>
        <v>0.4371184371</v>
      </c>
      <c r="I1509" s="10">
        <v>0.0232</v>
      </c>
      <c r="J1509" s="10">
        <v>0.7905</v>
      </c>
      <c r="K1509" s="5">
        <f t="shared" si="3"/>
        <v>1</v>
      </c>
    </row>
    <row r="1510" ht="15.0" customHeight="1">
      <c r="A1510" s="5">
        <v>2018.0</v>
      </c>
      <c r="B1510" s="5" t="s">
        <v>327</v>
      </c>
      <c r="C1510" s="5" t="s">
        <v>370</v>
      </c>
      <c r="D1510" s="5" t="s">
        <v>227</v>
      </c>
      <c r="E1510" s="5">
        <v>71.0</v>
      </c>
      <c r="F1510" s="5">
        <v>87.0</v>
      </c>
      <c r="G1510" s="5">
        <f t="shared" si="1"/>
        <v>158</v>
      </c>
      <c r="H1510" s="10">
        <f t="shared" si="2"/>
        <v>0.4493670886</v>
      </c>
      <c r="I1510" s="10">
        <v>0.0649</v>
      </c>
      <c r="J1510" s="10">
        <v>0.4595</v>
      </c>
      <c r="K1510" s="5">
        <f t="shared" si="3"/>
        <v>0</v>
      </c>
    </row>
    <row r="1511" ht="15.0" customHeight="1">
      <c r="A1511" s="5">
        <v>2020.0</v>
      </c>
      <c r="B1511" s="5" t="s">
        <v>327</v>
      </c>
      <c r="C1511" s="5" t="s">
        <v>370</v>
      </c>
      <c r="D1511" s="5" t="s">
        <v>227</v>
      </c>
      <c r="E1511" s="5">
        <v>92.0</v>
      </c>
      <c r="F1511" s="5">
        <v>174.0</v>
      </c>
      <c r="G1511" s="5">
        <f t="shared" si="1"/>
        <v>266</v>
      </c>
      <c r="H1511" s="10">
        <f t="shared" si="2"/>
        <v>0.3458646617</v>
      </c>
      <c r="I1511" s="10">
        <v>-0.0496</v>
      </c>
      <c r="J1511" s="10">
        <v>0.6945</v>
      </c>
      <c r="K1511" s="5">
        <f t="shared" si="3"/>
        <v>1</v>
      </c>
    </row>
    <row r="1512" ht="15.0" customHeight="1">
      <c r="A1512" s="5">
        <v>2022.0</v>
      </c>
      <c r="B1512" s="5" t="s">
        <v>327</v>
      </c>
      <c r="C1512" s="5" t="s">
        <v>370</v>
      </c>
      <c r="D1512" s="5" t="s">
        <v>227</v>
      </c>
      <c r="E1512" s="5">
        <v>79.0</v>
      </c>
      <c r="F1512" s="5">
        <v>114.0</v>
      </c>
      <c r="G1512" s="5">
        <f t="shared" si="1"/>
        <v>193</v>
      </c>
      <c r="H1512" s="10">
        <f t="shared" si="2"/>
        <v>0.4093264249</v>
      </c>
      <c r="I1512" s="10">
        <v>-0.0878</v>
      </c>
      <c r="J1512" s="10">
        <v>0.5133</v>
      </c>
      <c r="K1512" s="5">
        <f t="shared" si="3"/>
        <v>0</v>
      </c>
    </row>
    <row r="1513" ht="15.0" customHeight="1">
      <c r="A1513" s="5">
        <v>2024.0</v>
      </c>
      <c r="B1513" s="5" t="s">
        <v>327</v>
      </c>
      <c r="C1513" s="5" t="s">
        <v>370</v>
      </c>
      <c r="D1513" s="5" t="s">
        <v>227</v>
      </c>
      <c r="E1513" s="5">
        <v>112.0</v>
      </c>
      <c r="F1513" s="5">
        <v>199.0</v>
      </c>
      <c r="G1513" s="5">
        <f t="shared" si="1"/>
        <v>311</v>
      </c>
      <c r="H1513" s="10">
        <f t="shared" si="2"/>
        <v>0.3601286174</v>
      </c>
      <c r="I1513" s="10">
        <v>-0.2019</v>
      </c>
      <c r="J1513" s="10">
        <v>0.73</v>
      </c>
      <c r="K1513" s="5">
        <f t="shared" si="3"/>
        <v>1</v>
      </c>
    </row>
    <row r="1514" ht="15.0" customHeight="1">
      <c r="A1514" s="5">
        <v>2018.0</v>
      </c>
      <c r="B1514" s="5" t="s">
        <v>327</v>
      </c>
      <c r="C1514" s="5" t="s">
        <v>370</v>
      </c>
      <c r="D1514" s="5" t="s">
        <v>228</v>
      </c>
      <c r="E1514" s="5">
        <v>169.0</v>
      </c>
      <c r="F1514" s="5">
        <v>336.0</v>
      </c>
      <c r="G1514" s="5">
        <f t="shared" si="1"/>
        <v>505</v>
      </c>
      <c r="H1514" s="10">
        <f t="shared" si="2"/>
        <v>0.3346534653</v>
      </c>
      <c r="I1514" s="10">
        <v>-0.1509</v>
      </c>
      <c r="J1514" s="10">
        <v>0.6047</v>
      </c>
      <c r="K1514" s="5">
        <f t="shared" si="3"/>
        <v>0</v>
      </c>
    </row>
    <row r="1515" ht="15.0" customHeight="1">
      <c r="A1515" s="5">
        <v>2020.0</v>
      </c>
      <c r="B1515" s="5" t="s">
        <v>327</v>
      </c>
      <c r="C1515" s="5" t="s">
        <v>370</v>
      </c>
      <c r="D1515" s="5" t="s">
        <v>228</v>
      </c>
      <c r="E1515" s="5">
        <v>244.0</v>
      </c>
      <c r="F1515" s="5">
        <v>464.0</v>
      </c>
      <c r="G1515" s="5">
        <f t="shared" si="1"/>
        <v>708</v>
      </c>
      <c r="H1515" s="10">
        <f t="shared" si="2"/>
        <v>0.3446327684</v>
      </c>
      <c r="I1515" s="10">
        <v>-0.17</v>
      </c>
      <c r="J1515" s="10">
        <v>0.7815</v>
      </c>
      <c r="K1515" s="5">
        <f t="shared" si="3"/>
        <v>1</v>
      </c>
    </row>
    <row r="1516" ht="15.0" customHeight="1">
      <c r="A1516" s="5">
        <v>2022.0</v>
      </c>
      <c r="B1516" s="5" t="s">
        <v>327</v>
      </c>
      <c r="C1516" s="5" t="s">
        <v>370</v>
      </c>
      <c r="D1516" s="5" t="s">
        <v>228</v>
      </c>
      <c r="E1516" s="5">
        <v>196.0</v>
      </c>
      <c r="F1516" s="5">
        <v>365.0</v>
      </c>
      <c r="G1516" s="5">
        <f t="shared" si="1"/>
        <v>561</v>
      </c>
      <c r="H1516" s="10">
        <f t="shared" si="2"/>
        <v>0.3493761141</v>
      </c>
      <c r="I1516" s="10">
        <v>-0.1919</v>
      </c>
      <c r="J1516" s="10">
        <v>0.6296</v>
      </c>
      <c r="K1516" s="5">
        <f t="shared" si="3"/>
        <v>0</v>
      </c>
    </row>
    <row r="1517" ht="15.0" customHeight="1">
      <c r="A1517" s="5">
        <v>2024.0</v>
      </c>
      <c r="B1517" s="5" t="s">
        <v>327</v>
      </c>
      <c r="C1517" s="5" t="s">
        <v>370</v>
      </c>
      <c r="D1517" s="5" t="s">
        <v>228</v>
      </c>
      <c r="E1517" s="5">
        <v>259.0</v>
      </c>
      <c r="F1517" s="5">
        <v>480.0</v>
      </c>
      <c r="G1517" s="5">
        <f t="shared" si="1"/>
        <v>739</v>
      </c>
      <c r="H1517" s="10">
        <f t="shared" si="2"/>
        <v>0.350473613</v>
      </c>
      <c r="I1517" s="10">
        <v>-0.2202</v>
      </c>
      <c r="J1517" s="10">
        <v>0.8094</v>
      </c>
      <c r="K1517" s="5">
        <f t="shared" si="3"/>
        <v>1</v>
      </c>
    </row>
    <row r="1518" ht="15.0" customHeight="1">
      <c r="A1518" s="5">
        <v>2018.0</v>
      </c>
      <c r="B1518" s="5" t="s">
        <v>327</v>
      </c>
      <c r="C1518" s="5" t="s">
        <v>370</v>
      </c>
      <c r="D1518" s="5" t="s">
        <v>371</v>
      </c>
      <c r="E1518" s="5">
        <v>154.0</v>
      </c>
      <c r="F1518" s="5">
        <v>168.0</v>
      </c>
      <c r="G1518" s="5">
        <f t="shared" si="1"/>
        <v>322</v>
      </c>
      <c r="H1518" s="10">
        <f t="shared" si="2"/>
        <v>0.4782608696</v>
      </c>
      <c r="I1518" s="10">
        <v>-0.0099</v>
      </c>
      <c r="J1518" s="10">
        <v>0.5545</v>
      </c>
      <c r="K1518" s="5">
        <f t="shared" si="3"/>
        <v>0</v>
      </c>
    </row>
    <row r="1519" ht="15.0" customHeight="1">
      <c r="A1519" s="5">
        <v>2020.0</v>
      </c>
      <c r="B1519" s="5" t="s">
        <v>327</v>
      </c>
      <c r="C1519" s="5" t="s">
        <v>370</v>
      </c>
      <c r="D1519" s="5" t="s">
        <v>371</v>
      </c>
      <c r="E1519" s="5">
        <v>212.0</v>
      </c>
      <c r="F1519" s="5">
        <v>277.0</v>
      </c>
      <c r="G1519" s="5">
        <f t="shared" si="1"/>
        <v>489</v>
      </c>
      <c r="H1519" s="10">
        <f t="shared" si="2"/>
        <v>0.4335378323</v>
      </c>
      <c r="I1519" s="10">
        <v>-0.0341</v>
      </c>
      <c r="J1519" s="10">
        <v>0.7581</v>
      </c>
      <c r="K1519" s="5">
        <f t="shared" si="3"/>
        <v>1</v>
      </c>
    </row>
    <row r="1520" ht="15.0" customHeight="1">
      <c r="A1520" s="5">
        <v>2022.0</v>
      </c>
      <c r="B1520" s="5" t="s">
        <v>327</v>
      </c>
      <c r="C1520" s="5" t="s">
        <v>370</v>
      </c>
      <c r="D1520" s="5" t="s">
        <v>371</v>
      </c>
      <c r="E1520" s="5">
        <v>145.0</v>
      </c>
      <c r="F1520" s="5">
        <v>194.0</v>
      </c>
      <c r="G1520" s="5">
        <f t="shared" si="1"/>
        <v>339</v>
      </c>
      <c r="H1520" s="10">
        <f t="shared" si="2"/>
        <v>0.4277286136</v>
      </c>
      <c r="I1520" s="10">
        <v>-0.0719</v>
      </c>
      <c r="J1520" s="10">
        <v>0.5539</v>
      </c>
      <c r="K1520" s="5">
        <f t="shared" si="3"/>
        <v>0</v>
      </c>
    </row>
    <row r="1521" ht="15.0" customHeight="1">
      <c r="A1521" s="5">
        <v>2024.0</v>
      </c>
      <c r="B1521" s="5" t="s">
        <v>327</v>
      </c>
      <c r="C1521" s="5" t="s">
        <v>370</v>
      </c>
      <c r="D1521" s="5" t="s">
        <v>371</v>
      </c>
      <c r="E1521" s="5">
        <v>204.0</v>
      </c>
      <c r="F1521" s="5">
        <v>301.0</v>
      </c>
      <c r="G1521" s="5">
        <f t="shared" si="1"/>
        <v>505</v>
      </c>
      <c r="H1521" s="10">
        <f t="shared" si="2"/>
        <v>0.403960396</v>
      </c>
      <c r="I1521" s="10">
        <v>-0.1116</v>
      </c>
      <c r="J1521" s="10">
        <v>0.7722</v>
      </c>
      <c r="K1521" s="5">
        <f t="shared" si="3"/>
        <v>1</v>
      </c>
    </row>
    <row r="1522" ht="15.0" customHeight="1">
      <c r="A1522" s="5">
        <v>2018.0</v>
      </c>
      <c r="B1522" s="5" t="s">
        <v>327</v>
      </c>
      <c r="C1522" s="5" t="s">
        <v>370</v>
      </c>
      <c r="D1522" s="5" t="s">
        <v>230</v>
      </c>
      <c r="E1522" s="5">
        <v>90.0</v>
      </c>
      <c r="F1522" s="5">
        <v>94.0</v>
      </c>
      <c r="G1522" s="5">
        <f t="shared" si="1"/>
        <v>184</v>
      </c>
      <c r="H1522" s="10">
        <f t="shared" si="2"/>
        <v>0.4891304348</v>
      </c>
      <c r="I1522" s="10">
        <v>0.0973</v>
      </c>
      <c r="J1522" s="10">
        <v>0.4745</v>
      </c>
      <c r="K1522" s="5">
        <f t="shared" si="3"/>
        <v>0</v>
      </c>
    </row>
    <row r="1523" ht="15.0" customHeight="1">
      <c r="A1523" s="5">
        <v>2020.0</v>
      </c>
      <c r="B1523" s="5" t="s">
        <v>327</v>
      </c>
      <c r="C1523" s="5" t="s">
        <v>370</v>
      </c>
      <c r="D1523" s="5" t="s">
        <v>230</v>
      </c>
      <c r="E1523" s="5">
        <v>130.0</v>
      </c>
      <c r="F1523" s="5">
        <v>174.0</v>
      </c>
      <c r="G1523" s="5">
        <f t="shared" si="1"/>
        <v>304</v>
      </c>
      <c r="H1523" s="10">
        <f t="shared" si="2"/>
        <v>0.4276315789</v>
      </c>
      <c r="I1523" s="10">
        <v>0.0626</v>
      </c>
      <c r="J1523" s="10">
        <v>0.7053</v>
      </c>
      <c r="K1523" s="5">
        <f t="shared" si="3"/>
        <v>1</v>
      </c>
    </row>
    <row r="1524" ht="15.0" customHeight="1">
      <c r="A1524" s="5">
        <v>2022.0</v>
      </c>
      <c r="B1524" s="5" t="s">
        <v>327</v>
      </c>
      <c r="C1524" s="5" t="s">
        <v>370</v>
      </c>
      <c r="D1524" s="5" t="s">
        <v>230</v>
      </c>
      <c r="E1524" s="5">
        <v>91.0</v>
      </c>
      <c r="F1524" s="5">
        <v>105.0</v>
      </c>
      <c r="G1524" s="5">
        <f t="shared" si="1"/>
        <v>196</v>
      </c>
      <c r="H1524" s="10">
        <f t="shared" si="2"/>
        <v>0.4642857143</v>
      </c>
      <c r="I1524" s="10">
        <v>0.037</v>
      </c>
      <c r="J1524" s="10">
        <v>0.4537</v>
      </c>
      <c r="K1524" s="5">
        <f t="shared" si="3"/>
        <v>0</v>
      </c>
    </row>
    <row r="1525" ht="15.0" customHeight="1">
      <c r="A1525" s="5">
        <v>2024.0</v>
      </c>
      <c r="B1525" s="5" t="s">
        <v>327</v>
      </c>
      <c r="C1525" s="5" t="s">
        <v>370</v>
      </c>
      <c r="D1525" s="5" t="s">
        <v>230</v>
      </c>
      <c r="E1525" s="5">
        <v>128.0</v>
      </c>
      <c r="F1525" s="5">
        <v>200.0</v>
      </c>
      <c r="G1525" s="5">
        <f t="shared" si="1"/>
        <v>328</v>
      </c>
      <c r="H1525" s="10">
        <f t="shared" si="2"/>
        <v>0.3902439024</v>
      </c>
      <c r="I1525" s="10">
        <v>-0.086</v>
      </c>
      <c r="J1525" s="10">
        <v>0.6876</v>
      </c>
      <c r="K1525" s="5">
        <f t="shared" si="3"/>
        <v>1</v>
      </c>
    </row>
    <row r="1526" ht="15.0" customHeight="1">
      <c r="A1526" s="5">
        <v>2018.0</v>
      </c>
      <c r="B1526" s="5" t="s">
        <v>327</v>
      </c>
      <c r="C1526" s="5" t="s">
        <v>372</v>
      </c>
      <c r="D1526" s="5" t="s">
        <v>232</v>
      </c>
      <c r="E1526" s="5">
        <v>324.0</v>
      </c>
      <c r="F1526" s="5">
        <v>461.0</v>
      </c>
      <c r="G1526" s="5">
        <f t="shared" si="1"/>
        <v>785</v>
      </c>
      <c r="H1526" s="10">
        <f t="shared" si="2"/>
        <v>0.4127388535</v>
      </c>
      <c r="I1526" s="10">
        <v>-0.0682</v>
      </c>
      <c r="J1526" s="10">
        <v>0.6174</v>
      </c>
      <c r="K1526" s="5">
        <f t="shared" si="3"/>
        <v>0</v>
      </c>
    </row>
    <row r="1527" ht="15.0" customHeight="1">
      <c r="A1527" s="5">
        <v>2020.0</v>
      </c>
      <c r="B1527" s="5" t="s">
        <v>327</v>
      </c>
      <c r="C1527" s="5" t="s">
        <v>372</v>
      </c>
      <c r="D1527" s="5" t="s">
        <v>232</v>
      </c>
      <c r="E1527" s="5">
        <v>407.0</v>
      </c>
      <c r="F1527" s="5">
        <v>759.0</v>
      </c>
      <c r="G1527" s="5">
        <f t="shared" si="1"/>
        <v>1166</v>
      </c>
      <c r="H1527" s="10">
        <f t="shared" si="2"/>
        <v>0.3490566038</v>
      </c>
      <c r="I1527" s="10">
        <v>-0.1187</v>
      </c>
      <c r="J1527" s="10">
        <v>0.8003</v>
      </c>
      <c r="K1527" s="5">
        <f t="shared" si="3"/>
        <v>1</v>
      </c>
    </row>
    <row r="1528" ht="15.0" customHeight="1">
      <c r="A1528" s="5">
        <v>2022.0</v>
      </c>
      <c r="B1528" s="5" t="s">
        <v>327</v>
      </c>
      <c r="C1528" s="5" t="s">
        <v>372</v>
      </c>
      <c r="D1528" s="5" t="s">
        <v>232</v>
      </c>
      <c r="E1528" s="5">
        <v>319.0</v>
      </c>
      <c r="F1528" s="5">
        <v>601.0</v>
      </c>
      <c r="G1528" s="5">
        <f t="shared" si="1"/>
        <v>920</v>
      </c>
      <c r="H1528" s="10">
        <f t="shared" si="2"/>
        <v>0.3467391304</v>
      </c>
      <c r="I1528" s="10">
        <v>-0.1795</v>
      </c>
      <c r="J1528" s="10">
        <v>0.6425</v>
      </c>
      <c r="K1528" s="5">
        <f t="shared" si="3"/>
        <v>0</v>
      </c>
    </row>
    <row r="1529" ht="15.0" customHeight="1">
      <c r="A1529" s="5">
        <v>2024.0</v>
      </c>
      <c r="B1529" s="5" t="s">
        <v>327</v>
      </c>
      <c r="C1529" s="5" t="s">
        <v>372</v>
      </c>
      <c r="D1529" s="5" t="s">
        <v>232</v>
      </c>
      <c r="E1529" s="5">
        <v>412.0</v>
      </c>
      <c r="F1529" s="5">
        <v>767.0</v>
      </c>
      <c r="G1529" s="5">
        <f t="shared" si="1"/>
        <v>1179</v>
      </c>
      <c r="H1529" s="10">
        <f t="shared" si="2"/>
        <v>0.3494486853</v>
      </c>
      <c r="I1529" s="10">
        <v>-0.2304</v>
      </c>
      <c r="J1529" s="10">
        <v>0.7918</v>
      </c>
      <c r="K1529" s="5">
        <f t="shared" si="3"/>
        <v>1</v>
      </c>
    </row>
    <row r="1530" ht="15.0" customHeight="1">
      <c r="A1530" s="5">
        <v>2018.0</v>
      </c>
      <c r="B1530" s="5" t="s">
        <v>327</v>
      </c>
      <c r="C1530" s="5" t="s">
        <v>372</v>
      </c>
      <c r="D1530" s="5" t="s">
        <v>233</v>
      </c>
      <c r="E1530" s="5">
        <v>276.0</v>
      </c>
      <c r="F1530" s="5">
        <v>361.0</v>
      </c>
      <c r="G1530" s="5">
        <f t="shared" si="1"/>
        <v>637</v>
      </c>
      <c r="H1530" s="10">
        <f t="shared" si="2"/>
        <v>0.4332810047</v>
      </c>
      <c r="I1530" s="10">
        <v>-0.0912</v>
      </c>
      <c r="J1530" s="10">
        <v>0.5976</v>
      </c>
      <c r="K1530" s="5">
        <f t="shared" si="3"/>
        <v>0</v>
      </c>
    </row>
    <row r="1531" ht="15.0" customHeight="1">
      <c r="A1531" s="5">
        <v>2020.0</v>
      </c>
      <c r="B1531" s="5" t="s">
        <v>327</v>
      </c>
      <c r="C1531" s="5" t="s">
        <v>372</v>
      </c>
      <c r="D1531" s="5" t="s">
        <v>233</v>
      </c>
      <c r="E1531" s="5">
        <v>348.0</v>
      </c>
      <c r="F1531" s="5">
        <v>591.0</v>
      </c>
      <c r="G1531" s="5">
        <f t="shared" si="1"/>
        <v>939</v>
      </c>
      <c r="H1531" s="10">
        <f t="shared" si="2"/>
        <v>0.3706070288</v>
      </c>
      <c r="I1531" s="10">
        <v>-0.1493</v>
      </c>
      <c r="J1531" s="10">
        <v>0.7964</v>
      </c>
      <c r="K1531" s="5">
        <f t="shared" si="3"/>
        <v>1</v>
      </c>
    </row>
    <row r="1532" ht="15.0" customHeight="1">
      <c r="A1532" s="5">
        <v>2022.0</v>
      </c>
      <c r="B1532" s="5" t="s">
        <v>327</v>
      </c>
      <c r="C1532" s="5" t="s">
        <v>372</v>
      </c>
      <c r="D1532" s="5" t="s">
        <v>233</v>
      </c>
      <c r="E1532" s="5">
        <v>273.0</v>
      </c>
      <c r="F1532" s="5">
        <v>469.0</v>
      </c>
      <c r="G1532" s="5">
        <f t="shared" si="1"/>
        <v>742</v>
      </c>
      <c r="H1532" s="10">
        <f t="shared" si="2"/>
        <v>0.3679245283</v>
      </c>
      <c r="I1532" s="10">
        <v>-0.1875</v>
      </c>
      <c r="J1532" s="10">
        <v>0.6183</v>
      </c>
      <c r="K1532" s="5">
        <f t="shared" si="3"/>
        <v>0</v>
      </c>
    </row>
    <row r="1533" ht="15.0" customHeight="1">
      <c r="A1533" s="5">
        <v>2024.0</v>
      </c>
      <c r="B1533" s="5" t="s">
        <v>327</v>
      </c>
      <c r="C1533" s="5" t="s">
        <v>372</v>
      </c>
      <c r="D1533" s="5" t="s">
        <v>233</v>
      </c>
      <c r="E1533" s="5">
        <v>361.0</v>
      </c>
      <c r="F1533" s="5">
        <v>633.0</v>
      </c>
      <c r="G1533" s="5">
        <f t="shared" si="1"/>
        <v>994</v>
      </c>
      <c r="H1533" s="10">
        <f t="shared" si="2"/>
        <v>0.3631790744</v>
      </c>
      <c r="I1533" s="10">
        <v>-0.2447</v>
      </c>
      <c r="J1533" s="10">
        <v>0.8029</v>
      </c>
      <c r="K1533" s="5">
        <f t="shared" si="3"/>
        <v>1</v>
      </c>
    </row>
    <row r="1534" ht="15.0" customHeight="1">
      <c r="A1534" s="5">
        <v>2018.0</v>
      </c>
      <c r="B1534" s="5" t="s">
        <v>327</v>
      </c>
      <c r="C1534" s="5" t="s">
        <v>372</v>
      </c>
      <c r="D1534" s="5" t="s">
        <v>234</v>
      </c>
      <c r="E1534" s="5">
        <v>188.0</v>
      </c>
      <c r="F1534" s="5">
        <v>354.0</v>
      </c>
      <c r="G1534" s="5">
        <f t="shared" si="1"/>
        <v>542</v>
      </c>
      <c r="H1534" s="10">
        <f t="shared" si="2"/>
        <v>0.3468634686</v>
      </c>
      <c r="I1534" s="10">
        <v>-0.1777</v>
      </c>
      <c r="J1534" s="10">
        <v>0.606</v>
      </c>
      <c r="K1534" s="5">
        <f t="shared" si="3"/>
        <v>0</v>
      </c>
    </row>
    <row r="1535" ht="15.0" customHeight="1">
      <c r="A1535" s="5">
        <v>2020.0</v>
      </c>
      <c r="B1535" s="5" t="s">
        <v>327</v>
      </c>
      <c r="C1535" s="5" t="s">
        <v>372</v>
      </c>
      <c r="D1535" s="5" t="s">
        <v>234</v>
      </c>
      <c r="E1535" s="5">
        <v>300.0</v>
      </c>
      <c r="F1535" s="5">
        <v>570.0</v>
      </c>
      <c r="G1535" s="5">
        <f t="shared" si="1"/>
        <v>870</v>
      </c>
      <c r="H1535" s="10">
        <f t="shared" si="2"/>
        <v>0.3448275862</v>
      </c>
      <c r="I1535" s="10">
        <v>-0.2123</v>
      </c>
      <c r="J1535" s="10">
        <v>0.8513</v>
      </c>
      <c r="K1535" s="5">
        <f t="shared" si="3"/>
        <v>1</v>
      </c>
    </row>
    <row r="1536" ht="15.0" customHeight="1">
      <c r="A1536" s="5">
        <v>2022.0</v>
      </c>
      <c r="B1536" s="5" t="s">
        <v>327</v>
      </c>
      <c r="C1536" s="5" t="s">
        <v>372</v>
      </c>
      <c r="D1536" s="5" t="s">
        <v>234</v>
      </c>
      <c r="E1536" s="5">
        <v>243.0</v>
      </c>
      <c r="F1536" s="5">
        <v>462.0</v>
      </c>
      <c r="G1536" s="5">
        <f t="shared" si="1"/>
        <v>705</v>
      </c>
      <c r="H1536" s="10">
        <f t="shared" si="2"/>
        <v>0.3446808511</v>
      </c>
      <c r="I1536" s="10">
        <v>-0.2607</v>
      </c>
      <c r="J1536" s="10">
        <v>0.6987</v>
      </c>
      <c r="K1536" s="5">
        <f t="shared" si="3"/>
        <v>0</v>
      </c>
    </row>
    <row r="1537" ht="15.0" customHeight="1">
      <c r="A1537" s="5">
        <v>2024.0</v>
      </c>
      <c r="B1537" s="5" t="s">
        <v>327</v>
      </c>
      <c r="C1537" s="5" t="s">
        <v>372</v>
      </c>
      <c r="D1537" s="5" t="s">
        <v>234</v>
      </c>
      <c r="E1537" s="5">
        <v>286.0</v>
      </c>
      <c r="F1537" s="5">
        <v>553.0</v>
      </c>
      <c r="G1537" s="5">
        <f t="shared" si="1"/>
        <v>839</v>
      </c>
      <c r="H1537" s="10">
        <f t="shared" si="2"/>
        <v>0.3408820024</v>
      </c>
      <c r="I1537" s="10">
        <v>-0.2877</v>
      </c>
      <c r="J1537" s="10">
        <v>0.8154</v>
      </c>
      <c r="K1537" s="5">
        <f t="shared" si="3"/>
        <v>1</v>
      </c>
    </row>
    <row r="1538" ht="15.0" customHeight="1">
      <c r="A1538" s="5">
        <v>2018.0</v>
      </c>
      <c r="B1538" s="5" t="s">
        <v>327</v>
      </c>
      <c r="C1538" s="5" t="s">
        <v>372</v>
      </c>
      <c r="D1538" s="5" t="s">
        <v>236</v>
      </c>
      <c r="E1538" s="5">
        <v>228.0</v>
      </c>
      <c r="F1538" s="5">
        <v>355.0</v>
      </c>
      <c r="G1538" s="5">
        <f t="shared" si="1"/>
        <v>583</v>
      </c>
      <c r="H1538" s="10">
        <f t="shared" si="2"/>
        <v>0.3910806175</v>
      </c>
      <c r="I1538" s="10">
        <v>-0.1086</v>
      </c>
      <c r="J1538" s="10">
        <v>0.579</v>
      </c>
      <c r="K1538" s="5">
        <f t="shared" si="3"/>
        <v>0</v>
      </c>
    </row>
    <row r="1539" ht="15.0" customHeight="1">
      <c r="A1539" s="5">
        <v>2020.0</v>
      </c>
      <c r="B1539" s="5" t="s">
        <v>327</v>
      </c>
      <c r="C1539" s="5" t="s">
        <v>372</v>
      </c>
      <c r="D1539" s="5" t="s">
        <v>236</v>
      </c>
      <c r="E1539" s="5">
        <v>313.0</v>
      </c>
      <c r="F1539" s="5">
        <v>600.0</v>
      </c>
      <c r="G1539" s="5">
        <f t="shared" si="1"/>
        <v>913</v>
      </c>
      <c r="H1539" s="10">
        <f t="shared" si="2"/>
        <v>0.3428258488</v>
      </c>
      <c r="I1539" s="10">
        <v>-0.1556</v>
      </c>
      <c r="J1539" s="10">
        <v>0.7981</v>
      </c>
      <c r="K1539" s="5">
        <f t="shared" si="3"/>
        <v>1</v>
      </c>
    </row>
    <row r="1540" ht="15.0" customHeight="1">
      <c r="A1540" s="5">
        <v>2022.0</v>
      </c>
      <c r="B1540" s="5" t="s">
        <v>327</v>
      </c>
      <c r="C1540" s="5" t="s">
        <v>372</v>
      </c>
      <c r="D1540" s="5" t="s">
        <v>236</v>
      </c>
      <c r="E1540" s="5">
        <v>241.0</v>
      </c>
      <c r="F1540" s="5">
        <v>466.0</v>
      </c>
      <c r="G1540" s="5">
        <f t="shared" si="1"/>
        <v>707</v>
      </c>
      <c r="H1540" s="10">
        <f t="shared" si="2"/>
        <v>0.3408769448</v>
      </c>
      <c r="I1540" s="10">
        <v>-0.2002</v>
      </c>
      <c r="J1540" s="10">
        <v>0.6433</v>
      </c>
      <c r="K1540" s="5">
        <f t="shared" si="3"/>
        <v>0</v>
      </c>
    </row>
    <row r="1541" ht="15.0" customHeight="1">
      <c r="A1541" s="5">
        <v>2024.0</v>
      </c>
      <c r="B1541" s="5" t="s">
        <v>327</v>
      </c>
      <c r="C1541" s="5" t="s">
        <v>372</v>
      </c>
      <c r="D1541" s="5" t="s">
        <v>236</v>
      </c>
      <c r="E1541" s="5">
        <v>302.0</v>
      </c>
      <c r="F1541" s="5">
        <v>608.0</v>
      </c>
      <c r="G1541" s="5">
        <f t="shared" si="1"/>
        <v>910</v>
      </c>
      <c r="H1541" s="10">
        <f t="shared" si="2"/>
        <v>0.3318681319</v>
      </c>
      <c r="I1541" s="10">
        <v>-0.2431</v>
      </c>
      <c r="J1541" s="10">
        <v>0.8103</v>
      </c>
      <c r="K1541" s="5">
        <f t="shared" si="3"/>
        <v>1</v>
      </c>
    </row>
    <row r="1542" ht="15.0" customHeight="1">
      <c r="A1542" s="5">
        <v>2018.0</v>
      </c>
      <c r="B1542" s="5" t="s">
        <v>327</v>
      </c>
      <c r="C1542" s="5" t="s">
        <v>373</v>
      </c>
      <c r="D1542" s="5" t="s">
        <v>237</v>
      </c>
      <c r="E1542" s="5">
        <v>62.0</v>
      </c>
      <c r="F1542" s="5">
        <v>104.0</v>
      </c>
      <c r="G1542" s="5">
        <f t="shared" si="1"/>
        <v>166</v>
      </c>
      <c r="H1542" s="10">
        <f t="shared" si="2"/>
        <v>0.3734939759</v>
      </c>
      <c r="I1542" s="10">
        <v>-0.113</v>
      </c>
      <c r="J1542" s="10">
        <v>0.4899</v>
      </c>
      <c r="K1542" s="5">
        <f t="shared" si="3"/>
        <v>0</v>
      </c>
    </row>
    <row r="1543" ht="15.0" customHeight="1">
      <c r="A1543" s="5">
        <v>2020.0</v>
      </c>
      <c r="B1543" s="5" t="s">
        <v>327</v>
      </c>
      <c r="C1543" s="5" t="s">
        <v>373</v>
      </c>
      <c r="D1543" s="5" t="s">
        <v>237</v>
      </c>
      <c r="E1543" s="5">
        <v>82.0</v>
      </c>
      <c r="F1543" s="5">
        <v>171.0</v>
      </c>
      <c r="G1543" s="5">
        <f t="shared" si="1"/>
        <v>253</v>
      </c>
      <c r="H1543" s="10">
        <f t="shared" si="2"/>
        <v>0.3241106719</v>
      </c>
      <c r="I1543" s="10">
        <v>-0.1528</v>
      </c>
      <c r="J1543" s="10">
        <v>0.6783</v>
      </c>
      <c r="K1543" s="5">
        <f t="shared" si="3"/>
        <v>1</v>
      </c>
    </row>
    <row r="1544" ht="15.0" customHeight="1">
      <c r="A1544" s="5">
        <v>2022.0</v>
      </c>
      <c r="B1544" s="5" t="s">
        <v>327</v>
      </c>
      <c r="C1544" s="5" t="s">
        <v>373</v>
      </c>
      <c r="D1544" s="5" t="s">
        <v>237</v>
      </c>
      <c r="E1544" s="5">
        <v>65.0</v>
      </c>
      <c r="F1544" s="5">
        <v>129.0</v>
      </c>
      <c r="G1544" s="5">
        <f t="shared" si="1"/>
        <v>194</v>
      </c>
      <c r="H1544" s="10">
        <f t="shared" si="2"/>
        <v>0.3350515464</v>
      </c>
      <c r="I1544" s="10">
        <v>-0.187</v>
      </c>
      <c r="J1544" s="10">
        <v>0.5257</v>
      </c>
      <c r="K1544" s="5">
        <f t="shared" si="3"/>
        <v>0</v>
      </c>
    </row>
    <row r="1545" ht="15.0" customHeight="1">
      <c r="A1545" s="5">
        <v>2024.0</v>
      </c>
      <c r="B1545" s="5" t="s">
        <v>327</v>
      </c>
      <c r="C1545" s="5" t="s">
        <v>373</v>
      </c>
      <c r="D1545" s="5" t="s">
        <v>237</v>
      </c>
      <c r="E1545" s="5">
        <v>92.0</v>
      </c>
      <c r="F1545" s="5">
        <v>167.0</v>
      </c>
      <c r="G1545" s="5">
        <f t="shared" si="1"/>
        <v>259</v>
      </c>
      <c r="H1545" s="10">
        <f t="shared" si="2"/>
        <v>0.3552123552</v>
      </c>
      <c r="I1545" s="10">
        <v>-0.2289</v>
      </c>
      <c r="J1545" s="10">
        <v>0.7057</v>
      </c>
      <c r="K1545" s="5">
        <f t="shared" si="3"/>
        <v>1</v>
      </c>
    </row>
    <row r="1546" ht="15.0" customHeight="1">
      <c r="A1546" s="5">
        <v>2018.0</v>
      </c>
      <c r="B1546" s="5" t="s">
        <v>327</v>
      </c>
      <c r="C1546" s="5" t="s">
        <v>374</v>
      </c>
      <c r="D1546" s="5" t="s">
        <v>238</v>
      </c>
      <c r="E1546" s="5">
        <v>243.0</v>
      </c>
      <c r="F1546" s="5">
        <v>335.0</v>
      </c>
      <c r="G1546" s="5">
        <f t="shared" si="1"/>
        <v>578</v>
      </c>
      <c r="H1546" s="10">
        <f t="shared" si="2"/>
        <v>0.4204152249</v>
      </c>
      <c r="I1546" s="10">
        <v>-0.0152</v>
      </c>
      <c r="J1546" s="10">
        <v>0.5629</v>
      </c>
      <c r="K1546" s="5">
        <f t="shared" si="3"/>
        <v>0</v>
      </c>
    </row>
    <row r="1547" ht="15.0" customHeight="1">
      <c r="A1547" s="5">
        <v>2020.0</v>
      </c>
      <c r="B1547" s="5" t="s">
        <v>327</v>
      </c>
      <c r="C1547" s="5" t="s">
        <v>374</v>
      </c>
      <c r="D1547" s="5" t="s">
        <v>238</v>
      </c>
      <c r="E1547" s="5">
        <v>331.0</v>
      </c>
      <c r="F1547" s="5">
        <v>571.0</v>
      </c>
      <c r="G1547" s="5">
        <f t="shared" si="1"/>
        <v>902</v>
      </c>
      <c r="H1547" s="10">
        <f t="shared" si="2"/>
        <v>0.366962306</v>
      </c>
      <c r="I1547" s="10">
        <v>-0.0838</v>
      </c>
      <c r="J1547" s="10">
        <v>0.7638</v>
      </c>
      <c r="K1547" s="5">
        <f t="shared" si="3"/>
        <v>1</v>
      </c>
    </row>
    <row r="1548" ht="15.0" customHeight="1">
      <c r="A1548" s="5">
        <v>2022.0</v>
      </c>
      <c r="B1548" s="5" t="s">
        <v>327</v>
      </c>
      <c r="C1548" s="5" t="s">
        <v>374</v>
      </c>
      <c r="D1548" s="5" t="s">
        <v>238</v>
      </c>
      <c r="E1548" s="5">
        <v>258.0</v>
      </c>
      <c r="F1548" s="5">
        <v>418.0</v>
      </c>
      <c r="G1548" s="5">
        <f t="shared" si="1"/>
        <v>676</v>
      </c>
      <c r="H1548" s="10">
        <f t="shared" si="2"/>
        <v>0.3816568047</v>
      </c>
      <c r="I1548" s="10">
        <v>-0.1261</v>
      </c>
      <c r="J1548" s="10">
        <v>0.5681</v>
      </c>
      <c r="K1548" s="5">
        <f t="shared" si="3"/>
        <v>0</v>
      </c>
    </row>
    <row r="1549" ht="15.0" customHeight="1">
      <c r="A1549" s="5">
        <v>2024.0</v>
      </c>
      <c r="B1549" s="5" t="s">
        <v>327</v>
      </c>
      <c r="C1549" s="5" t="s">
        <v>374</v>
      </c>
      <c r="D1549" s="5" t="s">
        <v>238</v>
      </c>
      <c r="E1549" s="5">
        <v>335.0</v>
      </c>
      <c r="F1549" s="5">
        <v>581.0</v>
      </c>
      <c r="G1549" s="5">
        <f t="shared" si="1"/>
        <v>916</v>
      </c>
      <c r="H1549" s="10">
        <f t="shared" si="2"/>
        <v>0.365720524</v>
      </c>
      <c r="I1549" s="10">
        <v>-0.1262</v>
      </c>
      <c r="J1549" s="10">
        <v>0.7508</v>
      </c>
      <c r="K1549" s="5">
        <f t="shared" si="3"/>
        <v>1</v>
      </c>
    </row>
    <row r="1550" ht="15.0" customHeight="1">
      <c r="A1550" s="5">
        <v>2018.0</v>
      </c>
      <c r="B1550" s="5" t="s">
        <v>327</v>
      </c>
      <c r="C1550" s="5" t="s">
        <v>375</v>
      </c>
      <c r="D1550" s="5" t="s">
        <v>239</v>
      </c>
      <c r="E1550" s="5">
        <v>142.0</v>
      </c>
      <c r="F1550" s="5">
        <v>172.0</v>
      </c>
      <c r="G1550" s="5">
        <f t="shared" si="1"/>
        <v>314</v>
      </c>
      <c r="H1550" s="10">
        <f t="shared" si="2"/>
        <v>0.4522292994</v>
      </c>
      <c r="I1550" s="10">
        <v>0.0384</v>
      </c>
      <c r="J1550" s="10">
        <v>0.5459</v>
      </c>
      <c r="K1550" s="5">
        <f t="shared" si="3"/>
        <v>0</v>
      </c>
    </row>
    <row r="1551" ht="15.0" customHeight="1">
      <c r="A1551" s="5">
        <v>2020.0</v>
      </c>
      <c r="B1551" s="5" t="s">
        <v>327</v>
      </c>
      <c r="C1551" s="5" t="s">
        <v>375</v>
      </c>
      <c r="D1551" s="5" t="s">
        <v>239</v>
      </c>
      <c r="E1551" s="5">
        <v>212.0</v>
      </c>
      <c r="F1551" s="5">
        <v>308.0</v>
      </c>
      <c r="G1551" s="5">
        <f t="shared" si="1"/>
        <v>520</v>
      </c>
      <c r="H1551" s="10">
        <f t="shared" si="2"/>
        <v>0.4076923077</v>
      </c>
      <c r="I1551" s="10">
        <v>-0.0137</v>
      </c>
      <c r="J1551" s="10">
        <v>0.7927</v>
      </c>
      <c r="K1551" s="5">
        <f t="shared" si="3"/>
        <v>1</v>
      </c>
    </row>
    <row r="1552" ht="15.0" customHeight="1">
      <c r="A1552" s="5">
        <v>2022.0</v>
      </c>
      <c r="B1552" s="5" t="s">
        <v>327</v>
      </c>
      <c r="C1552" s="5" t="s">
        <v>375</v>
      </c>
      <c r="D1552" s="5" t="s">
        <v>239</v>
      </c>
      <c r="E1552" s="5">
        <v>160.0</v>
      </c>
      <c r="F1552" s="5">
        <v>227.0</v>
      </c>
      <c r="G1552" s="5">
        <f t="shared" si="1"/>
        <v>387</v>
      </c>
      <c r="H1552" s="10">
        <f t="shared" si="2"/>
        <v>0.4134366925</v>
      </c>
      <c r="I1552" s="10">
        <v>-0.0643</v>
      </c>
      <c r="J1552" s="10">
        <v>0.6066</v>
      </c>
      <c r="K1552" s="5">
        <f t="shared" si="3"/>
        <v>0</v>
      </c>
    </row>
    <row r="1553" ht="15.0" customHeight="1">
      <c r="A1553" s="5">
        <v>2024.0</v>
      </c>
      <c r="B1553" s="5" t="s">
        <v>327</v>
      </c>
      <c r="C1553" s="5" t="s">
        <v>375</v>
      </c>
      <c r="D1553" s="5" t="s">
        <v>239</v>
      </c>
      <c r="E1553" s="5">
        <v>210.0</v>
      </c>
      <c r="F1553" s="5">
        <v>309.0</v>
      </c>
      <c r="G1553" s="5">
        <f t="shared" si="1"/>
        <v>519</v>
      </c>
      <c r="H1553" s="10">
        <f t="shared" si="2"/>
        <v>0.4046242775</v>
      </c>
      <c r="I1553" s="10">
        <v>-0.0909</v>
      </c>
      <c r="J1553" s="10">
        <v>0.7997</v>
      </c>
      <c r="K1553" s="5">
        <f t="shared" si="3"/>
        <v>1</v>
      </c>
    </row>
    <row r="1554" ht="15.0" customHeight="1">
      <c r="A1554" s="5">
        <v>2018.0</v>
      </c>
      <c r="B1554" s="5" t="s">
        <v>327</v>
      </c>
      <c r="C1554" s="5" t="s">
        <v>376</v>
      </c>
      <c r="D1554" s="5" t="s">
        <v>240</v>
      </c>
      <c r="E1554" s="5">
        <v>192.0</v>
      </c>
      <c r="F1554" s="5">
        <v>253.0</v>
      </c>
      <c r="G1554" s="5">
        <f t="shared" si="1"/>
        <v>445</v>
      </c>
      <c r="H1554" s="10">
        <f t="shared" si="2"/>
        <v>0.4314606742</v>
      </c>
      <c r="I1554" s="10">
        <v>-0.0475</v>
      </c>
      <c r="J1554" s="10">
        <v>0.5854</v>
      </c>
      <c r="K1554" s="5">
        <f t="shared" si="3"/>
        <v>0</v>
      </c>
    </row>
    <row r="1555" ht="15.0" customHeight="1">
      <c r="A1555" s="5">
        <v>2020.0</v>
      </c>
      <c r="B1555" s="5" t="s">
        <v>327</v>
      </c>
      <c r="C1555" s="5" t="s">
        <v>376</v>
      </c>
      <c r="D1555" s="5" t="s">
        <v>240</v>
      </c>
      <c r="E1555" s="5">
        <v>272.0</v>
      </c>
      <c r="F1555" s="5">
        <v>400.0</v>
      </c>
      <c r="G1555" s="5">
        <f t="shared" si="1"/>
        <v>672</v>
      </c>
      <c r="H1555" s="10">
        <f t="shared" si="2"/>
        <v>0.4047619048</v>
      </c>
      <c r="I1555" s="10">
        <v>-0.1089</v>
      </c>
      <c r="J1555" s="10">
        <v>0.7953</v>
      </c>
      <c r="K1555" s="5">
        <f t="shared" si="3"/>
        <v>1</v>
      </c>
    </row>
    <row r="1556" ht="15.0" customHeight="1">
      <c r="A1556" s="5">
        <v>2022.0</v>
      </c>
      <c r="B1556" s="5" t="s">
        <v>327</v>
      </c>
      <c r="C1556" s="5" t="s">
        <v>376</v>
      </c>
      <c r="D1556" s="5" t="s">
        <v>240</v>
      </c>
      <c r="E1556" s="5">
        <v>243.0</v>
      </c>
      <c r="F1556" s="5">
        <v>318.0</v>
      </c>
      <c r="G1556" s="5">
        <f t="shared" si="1"/>
        <v>561</v>
      </c>
      <c r="H1556" s="10">
        <f t="shared" si="2"/>
        <v>0.4331550802</v>
      </c>
      <c r="I1556" s="10">
        <v>-0.1093</v>
      </c>
      <c r="J1556" s="10">
        <v>0.6131</v>
      </c>
      <c r="K1556" s="5">
        <f t="shared" si="3"/>
        <v>0</v>
      </c>
    </row>
    <row r="1557" ht="15.0" customHeight="1">
      <c r="A1557" s="5">
        <v>2024.0</v>
      </c>
      <c r="B1557" s="5" t="s">
        <v>327</v>
      </c>
      <c r="C1557" s="5" t="s">
        <v>376</v>
      </c>
      <c r="D1557" s="5" t="s">
        <v>240</v>
      </c>
      <c r="E1557" s="5">
        <v>331.0</v>
      </c>
      <c r="F1557" s="5">
        <v>458.0</v>
      </c>
      <c r="G1557" s="5">
        <f t="shared" si="1"/>
        <v>789</v>
      </c>
      <c r="H1557" s="10">
        <f t="shared" si="2"/>
        <v>0.4195183777</v>
      </c>
      <c r="I1557" s="10">
        <v>-0.0886</v>
      </c>
      <c r="J1557" s="10">
        <v>0.8126</v>
      </c>
      <c r="K1557" s="5">
        <f t="shared" si="3"/>
        <v>1</v>
      </c>
    </row>
    <row r="1558" ht="15.0" customHeight="1">
      <c r="A1558" s="5">
        <v>2018.0</v>
      </c>
      <c r="B1558" s="5" t="s">
        <v>327</v>
      </c>
      <c r="C1558" s="5" t="s">
        <v>377</v>
      </c>
      <c r="D1558" s="5" t="s">
        <v>241</v>
      </c>
      <c r="E1558" s="5">
        <v>229.0</v>
      </c>
      <c r="F1558" s="5">
        <v>476.0</v>
      </c>
      <c r="G1558" s="5">
        <f t="shared" si="1"/>
        <v>705</v>
      </c>
      <c r="H1558" s="10">
        <f t="shared" si="2"/>
        <v>0.324822695</v>
      </c>
      <c r="I1558" s="10">
        <v>-0.2492</v>
      </c>
      <c r="J1558" s="10">
        <v>0.5709</v>
      </c>
      <c r="K1558" s="5">
        <f t="shared" si="3"/>
        <v>0</v>
      </c>
    </row>
    <row r="1559" ht="15.0" customHeight="1">
      <c r="A1559" s="5">
        <v>2020.0</v>
      </c>
      <c r="B1559" s="5" t="s">
        <v>327</v>
      </c>
      <c r="C1559" s="5" t="s">
        <v>377</v>
      </c>
      <c r="D1559" s="5" t="s">
        <v>241</v>
      </c>
      <c r="E1559" s="5">
        <v>276.0</v>
      </c>
      <c r="F1559" s="5">
        <v>722.0</v>
      </c>
      <c r="G1559" s="5">
        <f t="shared" si="1"/>
        <v>998</v>
      </c>
      <c r="H1559" s="10">
        <f t="shared" si="2"/>
        <v>0.2765531062</v>
      </c>
      <c r="I1559" s="10">
        <v>-0.2999</v>
      </c>
      <c r="J1559" s="10">
        <v>0.7426</v>
      </c>
      <c r="K1559" s="5">
        <f t="shared" si="3"/>
        <v>1</v>
      </c>
    </row>
    <row r="1560" ht="15.0" customHeight="1">
      <c r="A1560" s="5">
        <v>2022.0</v>
      </c>
      <c r="B1560" s="5" t="s">
        <v>327</v>
      </c>
      <c r="C1560" s="5" t="s">
        <v>377</v>
      </c>
      <c r="D1560" s="5" t="s">
        <v>241</v>
      </c>
      <c r="E1560" s="5">
        <v>242.0</v>
      </c>
      <c r="F1560" s="5">
        <v>587.0</v>
      </c>
      <c r="G1560" s="5">
        <f t="shared" si="1"/>
        <v>829</v>
      </c>
      <c r="H1560" s="10">
        <f t="shared" si="2"/>
        <v>0.2919179735</v>
      </c>
      <c r="I1560" s="10">
        <v>-0.3034</v>
      </c>
      <c r="J1560" s="10">
        <v>0.6105</v>
      </c>
      <c r="K1560" s="5">
        <f t="shared" si="3"/>
        <v>0</v>
      </c>
    </row>
    <row r="1561" ht="15.0" customHeight="1">
      <c r="A1561" s="5">
        <v>2024.0</v>
      </c>
      <c r="B1561" s="5" t="s">
        <v>327</v>
      </c>
      <c r="C1561" s="5" t="s">
        <v>377</v>
      </c>
      <c r="D1561" s="5" t="s">
        <v>241</v>
      </c>
      <c r="E1561" s="5">
        <v>307.0</v>
      </c>
      <c r="F1561" s="5">
        <v>746.0</v>
      </c>
      <c r="G1561" s="5">
        <f t="shared" si="1"/>
        <v>1053</v>
      </c>
      <c r="H1561" s="10">
        <f t="shared" si="2"/>
        <v>0.2915479582</v>
      </c>
      <c r="I1561" s="10">
        <v>-0.3495</v>
      </c>
      <c r="J1561" s="10">
        <v>0.7527</v>
      </c>
      <c r="K1561" s="5">
        <f t="shared" si="3"/>
        <v>1</v>
      </c>
    </row>
    <row r="1562" ht="15.0" customHeight="1">
      <c r="A1562" s="5">
        <v>2018.0</v>
      </c>
      <c r="B1562" s="5" t="s">
        <v>327</v>
      </c>
      <c r="C1562" s="5" t="s">
        <v>377</v>
      </c>
      <c r="D1562" s="5" t="s">
        <v>242</v>
      </c>
      <c r="E1562" s="5">
        <v>193.0</v>
      </c>
      <c r="F1562" s="5">
        <v>317.0</v>
      </c>
      <c r="G1562" s="5">
        <f t="shared" si="1"/>
        <v>510</v>
      </c>
      <c r="H1562" s="10">
        <f t="shared" si="2"/>
        <v>0.3784313725</v>
      </c>
      <c r="I1562" s="10">
        <v>-0.1641</v>
      </c>
      <c r="J1562" s="10">
        <v>0.6116</v>
      </c>
      <c r="K1562" s="5">
        <f t="shared" si="3"/>
        <v>0</v>
      </c>
    </row>
    <row r="1563" ht="15.0" customHeight="1">
      <c r="A1563" s="5">
        <v>2020.0</v>
      </c>
      <c r="B1563" s="5" t="s">
        <v>327</v>
      </c>
      <c r="C1563" s="5" t="s">
        <v>377</v>
      </c>
      <c r="D1563" s="5" t="s">
        <v>242</v>
      </c>
      <c r="E1563" s="5">
        <v>227.0</v>
      </c>
      <c r="F1563" s="5">
        <v>473.0</v>
      </c>
      <c r="G1563" s="5">
        <f t="shared" si="1"/>
        <v>700</v>
      </c>
      <c r="H1563" s="10">
        <f t="shared" si="2"/>
        <v>0.3242857143</v>
      </c>
      <c r="I1563" s="10">
        <v>-0.2038</v>
      </c>
      <c r="J1563" s="10">
        <v>0.7883</v>
      </c>
      <c r="K1563" s="5">
        <f t="shared" si="3"/>
        <v>1</v>
      </c>
    </row>
    <row r="1564" ht="15.0" customHeight="1">
      <c r="A1564" s="5">
        <v>2022.0</v>
      </c>
      <c r="B1564" s="5" t="s">
        <v>327</v>
      </c>
      <c r="C1564" s="5" t="s">
        <v>377</v>
      </c>
      <c r="D1564" s="5" t="s">
        <v>242</v>
      </c>
      <c r="E1564" s="5">
        <v>194.0</v>
      </c>
      <c r="F1564" s="5">
        <v>394.0</v>
      </c>
      <c r="G1564" s="5">
        <f t="shared" si="1"/>
        <v>588</v>
      </c>
      <c r="H1564" s="10">
        <f t="shared" si="2"/>
        <v>0.3299319728</v>
      </c>
      <c r="I1564" s="10">
        <v>-0.2225</v>
      </c>
      <c r="J1564" s="10">
        <v>0.6674</v>
      </c>
      <c r="K1564" s="5">
        <f t="shared" si="3"/>
        <v>0</v>
      </c>
    </row>
    <row r="1565" ht="15.0" customHeight="1">
      <c r="A1565" s="5">
        <v>2024.0</v>
      </c>
      <c r="B1565" s="5" t="s">
        <v>327</v>
      </c>
      <c r="C1565" s="5" t="s">
        <v>377</v>
      </c>
      <c r="D1565" s="5" t="s">
        <v>242</v>
      </c>
      <c r="E1565" s="5">
        <v>232.0</v>
      </c>
      <c r="F1565" s="5">
        <v>487.0</v>
      </c>
      <c r="G1565" s="5">
        <f t="shared" si="1"/>
        <v>719</v>
      </c>
      <c r="H1565" s="10">
        <f t="shared" si="2"/>
        <v>0.3226703755</v>
      </c>
      <c r="I1565" s="10">
        <v>-0.3025</v>
      </c>
      <c r="J1565" s="10">
        <v>0.791</v>
      </c>
      <c r="K1565" s="5">
        <f t="shared" si="3"/>
        <v>1</v>
      </c>
    </row>
    <row r="1566" ht="15.0" customHeight="1">
      <c r="A1566" s="5">
        <v>2018.0</v>
      </c>
      <c r="B1566" s="5" t="s">
        <v>327</v>
      </c>
      <c r="C1566" s="5" t="s">
        <v>377</v>
      </c>
      <c r="D1566" s="5" t="s">
        <v>243</v>
      </c>
      <c r="E1566" s="5">
        <v>137.0</v>
      </c>
      <c r="F1566" s="5">
        <v>266.0</v>
      </c>
      <c r="G1566" s="5">
        <f t="shared" si="1"/>
        <v>403</v>
      </c>
      <c r="H1566" s="10">
        <f t="shared" si="2"/>
        <v>0.3399503722</v>
      </c>
      <c r="I1566" s="10">
        <v>-0.1331</v>
      </c>
      <c r="J1566" s="10">
        <v>0.57</v>
      </c>
      <c r="K1566" s="5">
        <f t="shared" si="3"/>
        <v>0</v>
      </c>
    </row>
    <row r="1567" ht="15.0" customHeight="1">
      <c r="A1567" s="5">
        <v>2020.0</v>
      </c>
      <c r="B1567" s="5" t="s">
        <v>327</v>
      </c>
      <c r="C1567" s="5" t="s">
        <v>377</v>
      </c>
      <c r="D1567" s="5" t="s">
        <v>243</v>
      </c>
      <c r="E1567" s="5">
        <v>171.0</v>
      </c>
      <c r="F1567" s="5">
        <v>435.0</v>
      </c>
      <c r="G1567" s="5">
        <f t="shared" si="1"/>
        <v>606</v>
      </c>
      <c r="H1567" s="10">
        <f t="shared" si="2"/>
        <v>0.2821782178</v>
      </c>
      <c r="I1567" s="10">
        <v>-0.2046</v>
      </c>
      <c r="J1567" s="10">
        <v>0.7799</v>
      </c>
      <c r="K1567" s="5">
        <f t="shared" si="3"/>
        <v>1</v>
      </c>
    </row>
    <row r="1568" ht="15.0" customHeight="1">
      <c r="A1568" s="5">
        <v>2022.0</v>
      </c>
      <c r="B1568" s="5" t="s">
        <v>327</v>
      </c>
      <c r="C1568" s="5" t="s">
        <v>377</v>
      </c>
      <c r="D1568" s="5" t="s">
        <v>243</v>
      </c>
      <c r="E1568" s="5">
        <v>151.0</v>
      </c>
      <c r="F1568" s="5">
        <v>358.0</v>
      </c>
      <c r="G1568" s="5">
        <f t="shared" si="1"/>
        <v>509</v>
      </c>
      <c r="H1568" s="10">
        <f t="shared" si="2"/>
        <v>0.2966601179</v>
      </c>
      <c r="I1568" s="10">
        <v>-0.2481</v>
      </c>
      <c r="J1568" s="10">
        <v>0.6576</v>
      </c>
      <c r="K1568" s="5">
        <f t="shared" si="3"/>
        <v>0</v>
      </c>
    </row>
    <row r="1569" ht="15.0" customHeight="1">
      <c r="A1569" s="5">
        <v>2024.0</v>
      </c>
      <c r="B1569" s="5" t="s">
        <v>327</v>
      </c>
      <c r="C1569" s="5" t="s">
        <v>377</v>
      </c>
      <c r="D1569" s="5" t="s">
        <v>243</v>
      </c>
      <c r="E1569" s="5">
        <v>178.0</v>
      </c>
      <c r="F1569" s="5">
        <v>480.0</v>
      </c>
      <c r="G1569" s="5">
        <f t="shared" si="1"/>
        <v>658</v>
      </c>
      <c r="H1569" s="10">
        <f t="shared" si="2"/>
        <v>0.2705167173</v>
      </c>
      <c r="I1569" s="10">
        <v>-0.3166</v>
      </c>
      <c r="J1569" s="10">
        <v>0.8266</v>
      </c>
      <c r="K1569" s="5">
        <f t="shared" si="3"/>
        <v>1</v>
      </c>
    </row>
    <row r="1570" ht="15.0" customHeight="1">
      <c r="A1570" s="5">
        <v>2018.0</v>
      </c>
      <c r="B1570" s="5" t="s">
        <v>327</v>
      </c>
      <c r="C1570" s="5" t="s">
        <v>377</v>
      </c>
      <c r="D1570" s="5" t="s">
        <v>245</v>
      </c>
      <c r="E1570" s="5">
        <v>145.0</v>
      </c>
      <c r="F1570" s="5">
        <v>270.0</v>
      </c>
      <c r="G1570" s="5">
        <f t="shared" si="1"/>
        <v>415</v>
      </c>
      <c r="H1570" s="10">
        <f t="shared" si="2"/>
        <v>0.3493975904</v>
      </c>
      <c r="I1570" s="10">
        <v>-0.2299</v>
      </c>
      <c r="J1570" s="10">
        <v>0.602</v>
      </c>
      <c r="K1570" s="5">
        <f t="shared" si="3"/>
        <v>0</v>
      </c>
    </row>
    <row r="1571" ht="15.0" customHeight="1">
      <c r="A1571" s="5">
        <v>2020.0</v>
      </c>
      <c r="B1571" s="5" t="s">
        <v>327</v>
      </c>
      <c r="C1571" s="5" t="s">
        <v>377</v>
      </c>
      <c r="D1571" s="5" t="s">
        <v>245</v>
      </c>
      <c r="E1571" s="5">
        <v>197.0</v>
      </c>
      <c r="F1571" s="5">
        <v>397.0</v>
      </c>
      <c r="G1571" s="5">
        <f t="shared" si="1"/>
        <v>594</v>
      </c>
      <c r="H1571" s="10">
        <f t="shared" si="2"/>
        <v>0.3316498316</v>
      </c>
      <c r="I1571" s="10">
        <v>-0.265</v>
      </c>
      <c r="J1571" s="10">
        <v>0.7755</v>
      </c>
      <c r="K1571" s="5">
        <f t="shared" si="3"/>
        <v>1</v>
      </c>
    </row>
    <row r="1572" ht="15.0" customHeight="1">
      <c r="A1572" s="5">
        <v>2022.0</v>
      </c>
      <c r="B1572" s="5" t="s">
        <v>327</v>
      </c>
      <c r="C1572" s="5" t="s">
        <v>377</v>
      </c>
      <c r="D1572" s="5" t="s">
        <v>245</v>
      </c>
      <c r="E1572" s="5">
        <v>161.0</v>
      </c>
      <c r="F1572" s="5">
        <v>314.0</v>
      </c>
      <c r="G1572" s="5">
        <f t="shared" si="1"/>
        <v>475</v>
      </c>
      <c r="H1572" s="10">
        <f t="shared" si="2"/>
        <v>0.3389473684</v>
      </c>
      <c r="I1572" s="10">
        <v>-0.3141</v>
      </c>
      <c r="J1572" s="10">
        <v>0.6242</v>
      </c>
      <c r="K1572" s="5">
        <f t="shared" si="3"/>
        <v>0</v>
      </c>
    </row>
    <row r="1573" ht="15.0" customHeight="1">
      <c r="A1573" s="5">
        <v>2024.0</v>
      </c>
      <c r="B1573" s="5" t="s">
        <v>327</v>
      </c>
      <c r="C1573" s="5" t="s">
        <v>377</v>
      </c>
      <c r="D1573" s="5" t="s">
        <v>245</v>
      </c>
      <c r="E1573" s="5">
        <v>180.0</v>
      </c>
      <c r="F1573" s="5">
        <v>430.0</v>
      </c>
      <c r="G1573" s="5">
        <f t="shared" si="1"/>
        <v>610</v>
      </c>
      <c r="H1573" s="10">
        <f t="shared" si="2"/>
        <v>0.2950819672</v>
      </c>
      <c r="I1573" s="10">
        <v>-0.3592</v>
      </c>
      <c r="J1573" s="10">
        <v>0.7881</v>
      </c>
      <c r="K1573" s="5">
        <f t="shared" si="3"/>
        <v>1</v>
      </c>
    </row>
    <row r="1574" ht="15.0" customHeight="1">
      <c r="A1574" s="5">
        <v>2018.0</v>
      </c>
      <c r="B1574" s="5" t="s">
        <v>327</v>
      </c>
      <c r="C1574" s="5" t="s">
        <v>377</v>
      </c>
      <c r="D1574" s="5" t="s">
        <v>246</v>
      </c>
      <c r="E1574" s="5">
        <v>263.0</v>
      </c>
      <c r="F1574" s="5">
        <v>380.0</v>
      </c>
      <c r="G1574" s="5">
        <f t="shared" si="1"/>
        <v>643</v>
      </c>
      <c r="H1574" s="10">
        <f t="shared" si="2"/>
        <v>0.4090202177</v>
      </c>
      <c r="I1574" s="10">
        <v>-0.0935</v>
      </c>
      <c r="J1574" s="10">
        <v>0.554</v>
      </c>
      <c r="K1574" s="5">
        <f t="shared" si="3"/>
        <v>0</v>
      </c>
    </row>
    <row r="1575" ht="15.0" customHeight="1">
      <c r="A1575" s="5">
        <v>2020.0</v>
      </c>
      <c r="B1575" s="5" t="s">
        <v>327</v>
      </c>
      <c r="C1575" s="5" t="s">
        <v>377</v>
      </c>
      <c r="D1575" s="5" t="s">
        <v>246</v>
      </c>
      <c r="E1575" s="5">
        <v>336.0</v>
      </c>
      <c r="F1575" s="5">
        <v>577.0</v>
      </c>
      <c r="G1575" s="5">
        <f t="shared" si="1"/>
        <v>913</v>
      </c>
      <c r="H1575" s="10">
        <f t="shared" si="2"/>
        <v>0.3680175246</v>
      </c>
      <c r="I1575" s="10">
        <v>-0.1269</v>
      </c>
      <c r="J1575" s="10">
        <v>0.7067</v>
      </c>
      <c r="K1575" s="5">
        <f t="shared" si="3"/>
        <v>1</v>
      </c>
    </row>
    <row r="1576" ht="15.0" customHeight="1">
      <c r="A1576" s="5">
        <v>2022.0</v>
      </c>
      <c r="B1576" s="5" t="s">
        <v>327</v>
      </c>
      <c r="C1576" s="5" t="s">
        <v>377</v>
      </c>
      <c r="D1576" s="5" t="s">
        <v>246</v>
      </c>
      <c r="E1576" s="5">
        <v>282.0</v>
      </c>
      <c r="F1576" s="5">
        <v>442.0</v>
      </c>
      <c r="G1576" s="5">
        <f t="shared" si="1"/>
        <v>724</v>
      </c>
      <c r="H1576" s="10">
        <f t="shared" si="2"/>
        <v>0.3895027624</v>
      </c>
      <c r="I1576" s="10">
        <v>-0.1554</v>
      </c>
      <c r="J1576" s="10">
        <v>0.592</v>
      </c>
      <c r="K1576" s="5">
        <f t="shared" si="3"/>
        <v>0</v>
      </c>
    </row>
    <row r="1577" ht="15.0" customHeight="1">
      <c r="A1577" s="5">
        <v>2024.0</v>
      </c>
      <c r="B1577" s="5" t="s">
        <v>327</v>
      </c>
      <c r="C1577" s="5" t="s">
        <v>377</v>
      </c>
      <c r="D1577" s="5" t="s">
        <v>246</v>
      </c>
      <c r="E1577" s="5">
        <v>345.0</v>
      </c>
      <c r="F1577" s="5">
        <v>573.0</v>
      </c>
      <c r="G1577" s="5">
        <f t="shared" si="1"/>
        <v>918</v>
      </c>
      <c r="H1577" s="10">
        <f t="shared" si="2"/>
        <v>0.3758169935</v>
      </c>
      <c r="I1577" s="10">
        <v>-0.199</v>
      </c>
      <c r="J1577" s="10">
        <v>0.7309</v>
      </c>
      <c r="K1577" s="5">
        <f t="shared" si="3"/>
        <v>1</v>
      </c>
    </row>
    <row r="1578" ht="15.0" customHeight="1">
      <c r="A1578" s="5">
        <v>2018.0</v>
      </c>
      <c r="B1578" s="5" t="s">
        <v>327</v>
      </c>
      <c r="C1578" s="5" t="s">
        <v>378</v>
      </c>
      <c r="D1578" s="5" t="s">
        <v>247</v>
      </c>
      <c r="E1578" s="5">
        <v>690.0</v>
      </c>
      <c r="F1578" s="5">
        <v>687.0</v>
      </c>
      <c r="G1578" s="5">
        <f t="shared" si="1"/>
        <v>1377</v>
      </c>
      <c r="H1578" s="10">
        <f t="shared" si="2"/>
        <v>0.5010893246</v>
      </c>
      <c r="I1578" s="10">
        <v>0.0183</v>
      </c>
      <c r="J1578" s="10">
        <v>0.5929</v>
      </c>
      <c r="K1578" s="5">
        <f t="shared" si="3"/>
        <v>0</v>
      </c>
    </row>
    <row r="1579" ht="15.0" customHeight="1">
      <c r="A1579" s="5">
        <v>2020.0</v>
      </c>
      <c r="B1579" s="5" t="s">
        <v>327</v>
      </c>
      <c r="C1579" s="5" t="s">
        <v>378</v>
      </c>
      <c r="D1579" s="5" t="s">
        <v>247</v>
      </c>
      <c r="E1579" s="5">
        <v>993.0</v>
      </c>
      <c r="F1579" s="5">
        <v>1180.0</v>
      </c>
      <c r="G1579" s="5">
        <f t="shared" si="1"/>
        <v>2173</v>
      </c>
      <c r="H1579" s="10">
        <f t="shared" si="2"/>
        <v>0.4569719282</v>
      </c>
      <c r="I1579" s="10">
        <v>-0.013</v>
      </c>
      <c r="J1579" s="10">
        <v>0.8093</v>
      </c>
      <c r="K1579" s="5">
        <f t="shared" si="3"/>
        <v>1</v>
      </c>
    </row>
    <row r="1580" ht="15.0" customHeight="1">
      <c r="A1580" s="5">
        <v>2022.0</v>
      </c>
      <c r="B1580" s="5" t="s">
        <v>327</v>
      </c>
      <c r="C1580" s="5" t="s">
        <v>378</v>
      </c>
      <c r="D1580" s="5" t="s">
        <v>247</v>
      </c>
      <c r="E1580" s="5">
        <v>922.0</v>
      </c>
      <c r="F1580" s="5">
        <v>894.0</v>
      </c>
      <c r="G1580" s="5">
        <f t="shared" si="1"/>
        <v>1816</v>
      </c>
      <c r="H1580" s="10">
        <f t="shared" si="2"/>
        <v>0.5077092511</v>
      </c>
      <c r="I1580" s="10">
        <v>-0.0253</v>
      </c>
      <c r="J1580" s="10">
        <v>0.6662</v>
      </c>
      <c r="K1580" s="5">
        <f t="shared" si="3"/>
        <v>0</v>
      </c>
    </row>
    <row r="1581" ht="15.0" customHeight="1">
      <c r="A1581" s="5">
        <v>2024.0</v>
      </c>
      <c r="B1581" s="5" t="s">
        <v>327</v>
      </c>
      <c r="C1581" s="5" t="s">
        <v>378</v>
      </c>
      <c r="D1581" s="5" t="s">
        <v>247</v>
      </c>
      <c r="E1581" s="5">
        <v>1084.0</v>
      </c>
      <c r="F1581" s="5">
        <v>1187.0</v>
      </c>
      <c r="G1581" s="5">
        <f t="shared" si="1"/>
        <v>2271</v>
      </c>
      <c r="H1581" s="10">
        <f t="shared" si="2"/>
        <v>0.4773227653</v>
      </c>
      <c r="I1581" s="10">
        <v>-0.0601</v>
      </c>
      <c r="J1581" s="10">
        <v>0.8222</v>
      </c>
      <c r="K1581" s="5">
        <f t="shared" si="3"/>
        <v>1</v>
      </c>
    </row>
    <row r="1582" ht="15.0" customHeight="1">
      <c r="A1582" s="5">
        <v>2018.0</v>
      </c>
      <c r="B1582" s="5" t="s">
        <v>327</v>
      </c>
      <c r="C1582" s="5" t="s">
        <v>378</v>
      </c>
      <c r="D1582" s="5" t="s">
        <v>248</v>
      </c>
      <c r="E1582" s="5">
        <v>571.0</v>
      </c>
      <c r="F1582" s="5">
        <v>575.0</v>
      </c>
      <c r="G1582" s="5">
        <f t="shared" si="1"/>
        <v>1146</v>
      </c>
      <c r="H1582" s="10">
        <f t="shared" si="2"/>
        <v>0.4982547993</v>
      </c>
      <c r="I1582" s="10">
        <v>-0.0358</v>
      </c>
      <c r="J1582" s="10">
        <v>0.5525</v>
      </c>
      <c r="K1582" s="5">
        <f t="shared" si="3"/>
        <v>0</v>
      </c>
    </row>
    <row r="1583" ht="15.0" customHeight="1">
      <c r="A1583" s="5">
        <v>2020.0</v>
      </c>
      <c r="B1583" s="5" t="s">
        <v>327</v>
      </c>
      <c r="C1583" s="5" t="s">
        <v>378</v>
      </c>
      <c r="D1583" s="5" t="s">
        <v>248</v>
      </c>
      <c r="E1583" s="5">
        <v>845.0</v>
      </c>
      <c r="F1583" s="5">
        <v>932.0</v>
      </c>
      <c r="G1583" s="5">
        <f t="shared" si="1"/>
        <v>1777</v>
      </c>
      <c r="H1583" s="10">
        <f t="shared" si="2"/>
        <v>0.4755205402</v>
      </c>
      <c r="I1583" s="10">
        <v>-0.0177</v>
      </c>
      <c r="J1583" s="10">
        <v>0.7693</v>
      </c>
      <c r="K1583" s="5">
        <f t="shared" si="3"/>
        <v>1</v>
      </c>
    </row>
    <row r="1584" ht="15.0" customHeight="1">
      <c r="A1584" s="5">
        <v>2022.0</v>
      </c>
      <c r="B1584" s="5" t="s">
        <v>327</v>
      </c>
      <c r="C1584" s="5" t="s">
        <v>378</v>
      </c>
      <c r="D1584" s="5" t="s">
        <v>248</v>
      </c>
      <c r="E1584" s="5">
        <v>653.0</v>
      </c>
      <c r="F1584" s="5">
        <v>694.0</v>
      </c>
      <c r="G1584" s="5">
        <f t="shared" si="1"/>
        <v>1347</v>
      </c>
      <c r="H1584" s="10">
        <f t="shared" si="2"/>
        <v>0.4847809948</v>
      </c>
      <c r="I1584" s="10">
        <v>-0.0145</v>
      </c>
      <c r="J1584" s="10">
        <v>0.5908</v>
      </c>
      <c r="K1584" s="5">
        <f t="shared" si="3"/>
        <v>0</v>
      </c>
    </row>
    <row r="1585" ht="15.0" customHeight="1">
      <c r="A1585" s="5">
        <v>2024.0</v>
      </c>
      <c r="B1585" s="5" t="s">
        <v>327</v>
      </c>
      <c r="C1585" s="5" t="s">
        <v>378</v>
      </c>
      <c r="D1585" s="5" t="s">
        <v>248</v>
      </c>
      <c r="E1585" s="5">
        <v>880.0</v>
      </c>
      <c r="F1585" s="5">
        <v>960.0</v>
      </c>
      <c r="G1585" s="5">
        <f t="shared" si="1"/>
        <v>1840</v>
      </c>
      <c r="H1585" s="10">
        <f t="shared" si="2"/>
        <v>0.4782608696</v>
      </c>
      <c r="I1585" s="10">
        <v>-0.052</v>
      </c>
      <c r="J1585" s="10">
        <v>0.7718</v>
      </c>
      <c r="K1585" s="5">
        <f t="shared" si="3"/>
        <v>1</v>
      </c>
    </row>
    <row r="1586" ht="15.0" customHeight="1">
      <c r="A1586" s="5">
        <v>2018.0</v>
      </c>
      <c r="B1586" s="5" t="s">
        <v>327</v>
      </c>
      <c r="C1586" s="5" t="s">
        <v>379</v>
      </c>
      <c r="D1586" s="5" t="s">
        <v>254</v>
      </c>
      <c r="E1586" s="5">
        <v>250.0</v>
      </c>
      <c r="F1586" s="5">
        <v>344.0</v>
      </c>
      <c r="G1586" s="5">
        <f t="shared" si="1"/>
        <v>594</v>
      </c>
      <c r="H1586" s="10">
        <f t="shared" si="2"/>
        <v>0.4208754209</v>
      </c>
      <c r="I1586" s="10">
        <v>0.0414</v>
      </c>
      <c r="J1586" s="10">
        <v>0.5116</v>
      </c>
      <c r="K1586" s="5">
        <f t="shared" si="3"/>
        <v>0</v>
      </c>
    </row>
    <row r="1587" ht="15.0" customHeight="1">
      <c r="A1587" s="5">
        <v>2020.0</v>
      </c>
      <c r="B1587" s="5" t="s">
        <v>327</v>
      </c>
      <c r="C1587" s="5" t="s">
        <v>379</v>
      </c>
      <c r="D1587" s="5" t="s">
        <v>254</v>
      </c>
      <c r="E1587" s="5">
        <v>379.0</v>
      </c>
      <c r="F1587" s="5">
        <v>605.0</v>
      </c>
      <c r="G1587" s="5">
        <f t="shared" si="1"/>
        <v>984</v>
      </c>
      <c r="H1587" s="10">
        <f t="shared" si="2"/>
        <v>0.3851626016</v>
      </c>
      <c r="I1587" s="10">
        <v>-0.0244</v>
      </c>
      <c r="J1587" s="10">
        <v>0.7289</v>
      </c>
      <c r="K1587" s="5">
        <f t="shared" si="3"/>
        <v>1</v>
      </c>
    </row>
    <row r="1588" ht="15.0" customHeight="1">
      <c r="A1588" s="5">
        <v>2022.0</v>
      </c>
      <c r="B1588" s="5" t="s">
        <v>327</v>
      </c>
      <c r="C1588" s="5" t="s">
        <v>379</v>
      </c>
      <c r="D1588" s="5" t="s">
        <v>254</v>
      </c>
      <c r="E1588" s="5">
        <v>305.0</v>
      </c>
      <c r="F1588" s="5">
        <v>419.0</v>
      </c>
      <c r="G1588" s="5">
        <f t="shared" si="1"/>
        <v>724</v>
      </c>
      <c r="H1588" s="10">
        <f t="shared" si="2"/>
        <v>0.4212707182</v>
      </c>
      <c r="I1588" s="10">
        <v>-0.0554</v>
      </c>
      <c r="J1588" s="10">
        <v>0.5347</v>
      </c>
      <c r="K1588" s="5">
        <f t="shared" si="3"/>
        <v>0</v>
      </c>
    </row>
    <row r="1589" ht="15.0" customHeight="1">
      <c r="A1589" s="5">
        <v>2024.0</v>
      </c>
      <c r="B1589" s="5" t="s">
        <v>327</v>
      </c>
      <c r="C1589" s="5" t="s">
        <v>379</v>
      </c>
      <c r="D1589" s="5" t="s">
        <v>254</v>
      </c>
      <c r="E1589" s="5">
        <v>416.0</v>
      </c>
      <c r="F1589" s="5">
        <v>658.0</v>
      </c>
      <c r="G1589" s="5">
        <f t="shared" si="1"/>
        <v>1074</v>
      </c>
      <c r="H1589" s="10">
        <f t="shared" si="2"/>
        <v>0.3873370577</v>
      </c>
      <c r="I1589" s="10">
        <v>-0.1375</v>
      </c>
      <c r="J1589" s="10">
        <v>0.7381</v>
      </c>
      <c r="K1589" s="5">
        <f t="shared" si="3"/>
        <v>1</v>
      </c>
    </row>
    <row r="1590" ht="15.0" customHeight="1">
      <c r="A1590" s="5">
        <v>2018.0</v>
      </c>
      <c r="B1590" s="5" t="s">
        <v>327</v>
      </c>
      <c r="C1590" s="5" t="s">
        <v>263</v>
      </c>
      <c r="D1590" s="5" t="s">
        <v>255</v>
      </c>
      <c r="E1590" s="5">
        <v>548.0</v>
      </c>
      <c r="F1590" s="5">
        <v>870.0</v>
      </c>
      <c r="G1590" s="5">
        <f t="shared" si="1"/>
        <v>1418</v>
      </c>
      <c r="H1590" s="10">
        <f t="shared" si="2"/>
        <v>0.3864598025</v>
      </c>
      <c r="I1590" s="10">
        <v>-0.0977</v>
      </c>
      <c r="J1590" s="10">
        <v>0.5444</v>
      </c>
      <c r="K1590" s="5">
        <f t="shared" si="3"/>
        <v>0</v>
      </c>
    </row>
    <row r="1591" ht="15.0" customHeight="1">
      <c r="A1591" s="5">
        <v>2020.0</v>
      </c>
      <c r="B1591" s="5" t="s">
        <v>327</v>
      </c>
      <c r="C1591" s="5" t="s">
        <v>263</v>
      </c>
      <c r="D1591" s="5" t="s">
        <v>255</v>
      </c>
      <c r="E1591" s="5">
        <v>786.0</v>
      </c>
      <c r="F1591" s="5">
        <v>1523.0</v>
      </c>
      <c r="G1591" s="5">
        <f t="shared" si="1"/>
        <v>2309</v>
      </c>
      <c r="H1591" s="10">
        <f t="shared" si="2"/>
        <v>0.3404071026</v>
      </c>
      <c r="I1591" s="10">
        <v>-0.1635</v>
      </c>
      <c r="J1591" s="10">
        <v>0.7897</v>
      </c>
      <c r="K1591" s="5">
        <f t="shared" si="3"/>
        <v>1</v>
      </c>
    </row>
    <row r="1592" ht="15.0" customHeight="1">
      <c r="A1592" s="5">
        <v>2022.0</v>
      </c>
      <c r="B1592" s="5" t="s">
        <v>327</v>
      </c>
      <c r="C1592" s="5" t="s">
        <v>263</v>
      </c>
      <c r="D1592" s="5" t="s">
        <v>255</v>
      </c>
      <c r="E1592" s="5">
        <v>628.0</v>
      </c>
      <c r="F1592" s="5">
        <v>1170.0</v>
      </c>
      <c r="G1592" s="5">
        <f t="shared" si="1"/>
        <v>1798</v>
      </c>
      <c r="H1592" s="10">
        <f t="shared" si="2"/>
        <v>0.3492769744</v>
      </c>
      <c r="I1592" s="10">
        <v>-0.2082</v>
      </c>
      <c r="J1592" s="10">
        <v>0.6166</v>
      </c>
      <c r="K1592" s="5">
        <f t="shared" si="3"/>
        <v>0</v>
      </c>
    </row>
    <row r="1593" ht="15.0" customHeight="1">
      <c r="A1593" s="5">
        <v>2024.0</v>
      </c>
      <c r="B1593" s="5" t="s">
        <v>327</v>
      </c>
      <c r="C1593" s="5" t="s">
        <v>263</v>
      </c>
      <c r="D1593" s="5" t="s">
        <v>255</v>
      </c>
      <c r="E1593" s="5">
        <v>541.0</v>
      </c>
      <c r="F1593" s="5">
        <v>1106.0</v>
      </c>
      <c r="G1593" s="5">
        <f t="shared" si="1"/>
        <v>1647</v>
      </c>
      <c r="H1593" s="10">
        <f t="shared" si="2"/>
        <v>0.328476017</v>
      </c>
      <c r="I1593" s="10">
        <v>-0.2584</v>
      </c>
      <c r="J1593" s="10">
        <v>0.7999</v>
      </c>
      <c r="K1593" s="5">
        <f t="shared" si="3"/>
        <v>1</v>
      </c>
    </row>
    <row r="1594" ht="15.0" customHeight="1">
      <c r="A1594" s="5">
        <v>2018.0</v>
      </c>
      <c r="B1594" s="5" t="s">
        <v>327</v>
      </c>
      <c r="C1594" s="5" t="s">
        <v>263</v>
      </c>
      <c r="D1594" s="5" t="s">
        <v>257</v>
      </c>
      <c r="E1594" s="5">
        <v>176.0</v>
      </c>
      <c r="F1594" s="5">
        <v>268.0</v>
      </c>
      <c r="G1594" s="5">
        <f t="shared" si="1"/>
        <v>444</v>
      </c>
      <c r="H1594" s="10">
        <f t="shared" si="2"/>
        <v>0.3963963964</v>
      </c>
      <c r="I1594" s="10">
        <v>-0.0175</v>
      </c>
      <c r="J1594" s="10">
        <v>0.5661</v>
      </c>
      <c r="K1594" s="5">
        <f t="shared" si="3"/>
        <v>0</v>
      </c>
    </row>
    <row r="1595" ht="15.0" customHeight="1">
      <c r="A1595" s="5">
        <v>2020.0</v>
      </c>
      <c r="B1595" s="5" t="s">
        <v>327</v>
      </c>
      <c r="C1595" s="5" t="s">
        <v>263</v>
      </c>
      <c r="D1595" s="5" t="s">
        <v>257</v>
      </c>
      <c r="E1595" s="5">
        <v>246.0</v>
      </c>
      <c r="F1595" s="5">
        <v>448.0</v>
      </c>
      <c r="G1595" s="5">
        <f t="shared" si="1"/>
        <v>694</v>
      </c>
      <c r="H1595" s="10">
        <f t="shared" si="2"/>
        <v>0.3544668588</v>
      </c>
      <c r="I1595" s="10">
        <v>-0.0858</v>
      </c>
      <c r="J1595" s="10">
        <v>0.7833</v>
      </c>
      <c r="K1595" s="5">
        <f t="shared" si="3"/>
        <v>1</v>
      </c>
    </row>
    <row r="1596" ht="15.0" customHeight="1">
      <c r="A1596" s="5">
        <v>2022.0</v>
      </c>
      <c r="B1596" s="5" t="s">
        <v>327</v>
      </c>
      <c r="C1596" s="5" t="s">
        <v>263</v>
      </c>
      <c r="D1596" s="5" t="s">
        <v>257</v>
      </c>
      <c r="E1596" s="5">
        <v>212.0</v>
      </c>
      <c r="F1596" s="5">
        <v>363.0</v>
      </c>
      <c r="G1596" s="5">
        <f t="shared" si="1"/>
        <v>575</v>
      </c>
      <c r="H1596" s="10">
        <f t="shared" si="2"/>
        <v>0.3686956522</v>
      </c>
      <c r="I1596" s="10">
        <v>-0.1211</v>
      </c>
      <c r="J1596" s="10">
        <v>0.6389</v>
      </c>
      <c r="K1596" s="5">
        <f t="shared" si="3"/>
        <v>0</v>
      </c>
    </row>
    <row r="1597" ht="15.0" customHeight="1">
      <c r="A1597" s="5">
        <v>2024.0</v>
      </c>
      <c r="B1597" s="5" t="s">
        <v>327</v>
      </c>
      <c r="C1597" s="5" t="s">
        <v>263</v>
      </c>
      <c r="D1597" s="5" t="s">
        <v>257</v>
      </c>
      <c r="E1597" s="5">
        <v>500.0</v>
      </c>
      <c r="F1597" s="5">
        <v>982.0</v>
      </c>
      <c r="G1597" s="5">
        <f t="shared" si="1"/>
        <v>1482</v>
      </c>
      <c r="H1597" s="10">
        <f t="shared" si="2"/>
        <v>0.3373819163</v>
      </c>
      <c r="I1597" s="10">
        <v>-0.2137</v>
      </c>
      <c r="J1597" s="10">
        <v>0.8037</v>
      </c>
      <c r="K1597" s="5">
        <f t="shared" si="3"/>
        <v>1</v>
      </c>
    </row>
    <row r="1598" ht="15.0" customHeight="1">
      <c r="A1598" s="5">
        <v>2018.0</v>
      </c>
      <c r="B1598" s="5" t="s">
        <v>327</v>
      </c>
      <c r="C1598" s="5" t="s">
        <v>380</v>
      </c>
      <c r="D1598" s="5" t="s">
        <v>258</v>
      </c>
      <c r="E1598" s="5">
        <v>190.0</v>
      </c>
      <c r="F1598" s="5">
        <v>165.0</v>
      </c>
      <c r="G1598" s="5">
        <f t="shared" si="1"/>
        <v>355</v>
      </c>
      <c r="H1598" s="10">
        <f t="shared" si="2"/>
        <v>0.5352112676</v>
      </c>
      <c r="I1598" s="10">
        <v>0.1488</v>
      </c>
      <c r="J1598" s="10">
        <v>0.4787</v>
      </c>
      <c r="K1598" s="5">
        <f t="shared" si="3"/>
        <v>0</v>
      </c>
    </row>
    <row r="1599" ht="15.0" customHeight="1">
      <c r="A1599" s="5">
        <v>2020.0</v>
      </c>
      <c r="B1599" s="5" t="s">
        <v>327</v>
      </c>
      <c r="C1599" s="5" t="s">
        <v>380</v>
      </c>
      <c r="D1599" s="5" t="s">
        <v>258</v>
      </c>
      <c r="E1599" s="5">
        <v>249.0</v>
      </c>
      <c r="F1599" s="5">
        <v>326.0</v>
      </c>
      <c r="G1599" s="5">
        <f t="shared" si="1"/>
        <v>575</v>
      </c>
      <c r="H1599" s="10">
        <f t="shared" si="2"/>
        <v>0.4330434783</v>
      </c>
      <c r="I1599" s="10">
        <v>0.0741</v>
      </c>
      <c r="J1599" s="10">
        <v>0.6987</v>
      </c>
      <c r="K1599" s="5">
        <f t="shared" si="3"/>
        <v>1</v>
      </c>
    </row>
    <row r="1600" ht="15.0" customHeight="1">
      <c r="A1600" s="5">
        <v>2022.0</v>
      </c>
      <c r="B1600" s="5" t="s">
        <v>327</v>
      </c>
      <c r="C1600" s="5" t="s">
        <v>380</v>
      </c>
      <c r="D1600" s="5" t="s">
        <v>258</v>
      </c>
      <c r="E1600" s="5">
        <v>199.0</v>
      </c>
      <c r="F1600" s="5">
        <v>215.0</v>
      </c>
      <c r="G1600" s="5">
        <f t="shared" si="1"/>
        <v>414</v>
      </c>
      <c r="H1600" s="10">
        <f t="shared" si="2"/>
        <v>0.4806763285</v>
      </c>
      <c r="I1600" s="10">
        <v>0.0487</v>
      </c>
      <c r="J1600" s="10">
        <v>0.5169</v>
      </c>
      <c r="K1600" s="5">
        <f t="shared" si="3"/>
        <v>0</v>
      </c>
    </row>
    <row r="1601" ht="15.0" customHeight="1">
      <c r="A1601" s="5">
        <v>2024.0</v>
      </c>
      <c r="B1601" s="5" t="s">
        <v>327</v>
      </c>
      <c r="C1601" s="5" t="s">
        <v>380</v>
      </c>
      <c r="D1601" s="5" t="s">
        <v>258</v>
      </c>
      <c r="E1601" s="5">
        <v>281.0</v>
      </c>
      <c r="F1601" s="5">
        <v>310.0</v>
      </c>
      <c r="G1601" s="5">
        <f t="shared" si="1"/>
        <v>591</v>
      </c>
      <c r="H1601" s="10">
        <f t="shared" si="2"/>
        <v>0.475465313</v>
      </c>
      <c r="I1601" s="10">
        <v>0.0276</v>
      </c>
      <c r="J1601" s="10">
        <v>0.6801</v>
      </c>
      <c r="K1601" s="5">
        <f t="shared" si="3"/>
        <v>1</v>
      </c>
    </row>
    <row r="1602" ht="15.0" customHeight="1">
      <c r="A1602" s="5">
        <v>2018.0</v>
      </c>
      <c r="B1602" s="5" t="s">
        <v>327</v>
      </c>
      <c r="C1602" s="5" t="s">
        <v>381</v>
      </c>
      <c r="D1602" s="5" t="s">
        <v>259</v>
      </c>
      <c r="E1602" s="5">
        <v>372.0</v>
      </c>
      <c r="F1602" s="5">
        <v>432.0</v>
      </c>
      <c r="G1602" s="5">
        <f t="shared" si="1"/>
        <v>804</v>
      </c>
      <c r="H1602" s="10">
        <f t="shared" si="2"/>
        <v>0.4626865672</v>
      </c>
      <c r="I1602" s="10">
        <v>-0.1401</v>
      </c>
      <c r="J1602" s="10">
        <v>0.62</v>
      </c>
      <c r="K1602" s="5">
        <f t="shared" si="3"/>
        <v>0</v>
      </c>
    </row>
    <row r="1603" ht="15.0" customHeight="1">
      <c r="A1603" s="5">
        <v>2020.0</v>
      </c>
      <c r="B1603" s="5" t="s">
        <v>327</v>
      </c>
      <c r="C1603" s="5" t="s">
        <v>381</v>
      </c>
      <c r="D1603" s="5" t="s">
        <v>259</v>
      </c>
      <c r="E1603" s="5">
        <v>467.0</v>
      </c>
      <c r="F1603" s="5">
        <v>684.0</v>
      </c>
      <c r="G1603" s="5">
        <f t="shared" si="1"/>
        <v>1151</v>
      </c>
      <c r="H1603" s="10">
        <f t="shared" si="2"/>
        <v>0.4057341442</v>
      </c>
      <c r="I1603" s="10">
        <v>-0.1436</v>
      </c>
      <c r="J1603" s="10">
        <v>0.7911</v>
      </c>
      <c r="K1603" s="5">
        <f t="shared" si="3"/>
        <v>1</v>
      </c>
    </row>
    <row r="1604" ht="15.0" customHeight="1">
      <c r="A1604" s="5">
        <v>2022.0</v>
      </c>
      <c r="B1604" s="5" t="s">
        <v>327</v>
      </c>
      <c r="C1604" s="5" t="s">
        <v>381</v>
      </c>
      <c r="D1604" s="5" t="s">
        <v>259</v>
      </c>
      <c r="E1604" s="5">
        <v>427.0</v>
      </c>
      <c r="F1604" s="5">
        <v>553.0</v>
      </c>
      <c r="G1604" s="5">
        <f t="shared" si="1"/>
        <v>980</v>
      </c>
      <c r="H1604" s="10">
        <f t="shared" si="2"/>
        <v>0.4357142857</v>
      </c>
      <c r="I1604" s="10">
        <v>-0.1235</v>
      </c>
      <c r="J1604" s="10">
        <v>0.6685</v>
      </c>
      <c r="K1604" s="5">
        <f t="shared" si="3"/>
        <v>0</v>
      </c>
    </row>
    <row r="1605" ht="15.0" customHeight="1">
      <c r="A1605" s="5">
        <v>2024.0</v>
      </c>
      <c r="B1605" s="5" t="s">
        <v>327</v>
      </c>
      <c r="C1605" s="5" t="s">
        <v>381</v>
      </c>
      <c r="D1605" s="5" t="s">
        <v>259</v>
      </c>
      <c r="E1605" s="5">
        <v>514.0</v>
      </c>
      <c r="F1605" s="5">
        <v>713.0</v>
      </c>
      <c r="G1605" s="5">
        <f t="shared" si="1"/>
        <v>1227</v>
      </c>
      <c r="H1605" s="10">
        <f t="shared" si="2"/>
        <v>0.4189079055</v>
      </c>
      <c r="I1605" s="10">
        <v>-0.165</v>
      </c>
      <c r="J1605" s="10">
        <v>0.8099</v>
      </c>
      <c r="K1605" s="5">
        <f t="shared" si="3"/>
        <v>1</v>
      </c>
    </row>
    <row r="1606" ht="15.0" customHeight="1">
      <c r="A1606" s="5">
        <v>2018.0</v>
      </c>
      <c r="B1606" s="5" t="s">
        <v>327</v>
      </c>
      <c r="C1606" s="5" t="s">
        <v>381</v>
      </c>
      <c r="D1606" s="5" t="s">
        <v>260</v>
      </c>
      <c r="E1606" s="5">
        <v>292.0</v>
      </c>
      <c r="F1606" s="5">
        <v>408.0</v>
      </c>
      <c r="G1606" s="5">
        <f t="shared" si="1"/>
        <v>700</v>
      </c>
      <c r="H1606" s="10">
        <f t="shared" si="2"/>
        <v>0.4171428571</v>
      </c>
      <c r="I1606" s="10">
        <v>-0.1258</v>
      </c>
      <c r="J1606" s="10">
        <v>0.6074</v>
      </c>
      <c r="K1606" s="5">
        <f t="shared" si="3"/>
        <v>0</v>
      </c>
    </row>
    <row r="1607" ht="15.0" customHeight="1">
      <c r="A1607" s="5">
        <v>2020.0</v>
      </c>
      <c r="B1607" s="5" t="s">
        <v>327</v>
      </c>
      <c r="C1607" s="5" t="s">
        <v>381</v>
      </c>
      <c r="D1607" s="5" t="s">
        <v>260</v>
      </c>
      <c r="E1607" s="5">
        <v>385.0</v>
      </c>
      <c r="F1607" s="5">
        <v>656.0</v>
      </c>
      <c r="G1607" s="5">
        <f t="shared" si="1"/>
        <v>1041</v>
      </c>
      <c r="H1607" s="10">
        <f t="shared" si="2"/>
        <v>0.3698366955</v>
      </c>
      <c r="I1607" s="10">
        <v>-0.1658</v>
      </c>
      <c r="J1607" s="10">
        <v>0.8139</v>
      </c>
      <c r="K1607" s="5">
        <f t="shared" si="3"/>
        <v>1</v>
      </c>
    </row>
    <row r="1608" ht="15.0" customHeight="1">
      <c r="A1608" s="5">
        <v>2022.0</v>
      </c>
      <c r="B1608" s="5" t="s">
        <v>327</v>
      </c>
      <c r="C1608" s="5" t="s">
        <v>381</v>
      </c>
      <c r="D1608" s="5" t="s">
        <v>260</v>
      </c>
      <c r="E1608" s="5">
        <v>338.0</v>
      </c>
      <c r="F1608" s="5">
        <v>507.0</v>
      </c>
      <c r="G1608" s="5">
        <f t="shared" si="1"/>
        <v>845</v>
      </c>
      <c r="H1608" s="10">
        <f t="shared" si="2"/>
        <v>0.4</v>
      </c>
      <c r="I1608" s="10">
        <v>-0.172</v>
      </c>
      <c r="J1608" s="10">
        <v>0.6793</v>
      </c>
      <c r="K1608" s="5">
        <f t="shared" si="3"/>
        <v>0</v>
      </c>
    </row>
    <row r="1609" ht="15.0" customHeight="1">
      <c r="A1609" s="5">
        <v>2024.0</v>
      </c>
      <c r="B1609" s="5" t="s">
        <v>327</v>
      </c>
      <c r="C1609" s="5" t="s">
        <v>381</v>
      </c>
      <c r="D1609" s="5" t="s">
        <v>260</v>
      </c>
      <c r="E1609" s="5">
        <v>425.0</v>
      </c>
      <c r="F1609" s="5">
        <v>656.0</v>
      </c>
      <c r="G1609" s="5">
        <f t="shared" si="1"/>
        <v>1081</v>
      </c>
      <c r="H1609" s="10">
        <f t="shared" si="2"/>
        <v>0.3931544866</v>
      </c>
      <c r="I1609" s="10">
        <v>-0.192</v>
      </c>
      <c r="J1609" s="10">
        <v>0.811</v>
      </c>
      <c r="K1609" s="5">
        <f t="shared" si="3"/>
        <v>1</v>
      </c>
    </row>
    <row r="1610" ht="15.0" customHeight="1">
      <c r="A1610" s="5">
        <v>2018.0</v>
      </c>
      <c r="B1610" s="5" t="s">
        <v>327</v>
      </c>
      <c r="C1610" s="5" t="s">
        <v>381</v>
      </c>
      <c r="D1610" s="5" t="s">
        <v>264</v>
      </c>
      <c r="E1610" s="5">
        <v>383.0</v>
      </c>
      <c r="F1610" s="5">
        <v>419.0</v>
      </c>
      <c r="G1610" s="5">
        <f t="shared" si="1"/>
        <v>802</v>
      </c>
      <c r="H1610" s="10">
        <f t="shared" si="2"/>
        <v>0.4775561097</v>
      </c>
      <c r="I1610" s="10">
        <v>-0.0464</v>
      </c>
      <c r="J1610" s="10">
        <v>0.5222</v>
      </c>
      <c r="K1610" s="5">
        <f t="shared" si="3"/>
        <v>0</v>
      </c>
    </row>
    <row r="1611" ht="15.0" customHeight="1">
      <c r="A1611" s="5">
        <v>2020.0</v>
      </c>
      <c r="B1611" s="5" t="s">
        <v>327</v>
      </c>
      <c r="C1611" s="5" t="s">
        <v>381</v>
      </c>
      <c r="D1611" s="5" t="s">
        <v>264</v>
      </c>
      <c r="E1611" s="5">
        <v>620.0</v>
      </c>
      <c r="F1611" s="5">
        <v>647.0</v>
      </c>
      <c r="G1611" s="5">
        <f t="shared" si="1"/>
        <v>1267</v>
      </c>
      <c r="H1611" s="10">
        <f t="shared" si="2"/>
        <v>0.4893449092</v>
      </c>
      <c r="I1611" s="10">
        <v>-0.0027</v>
      </c>
      <c r="J1611" s="10">
        <v>0.6965</v>
      </c>
      <c r="K1611" s="5">
        <f t="shared" si="3"/>
        <v>1</v>
      </c>
    </row>
    <row r="1612" ht="15.0" customHeight="1">
      <c r="A1612" s="5">
        <v>2022.0</v>
      </c>
      <c r="B1612" s="5" t="s">
        <v>327</v>
      </c>
      <c r="C1612" s="5" t="s">
        <v>381</v>
      </c>
      <c r="D1612" s="5" t="s">
        <v>264</v>
      </c>
      <c r="E1612" s="5">
        <v>444.0</v>
      </c>
      <c r="F1612" s="5">
        <v>467.0</v>
      </c>
      <c r="G1612" s="5">
        <f t="shared" si="1"/>
        <v>911</v>
      </c>
      <c r="H1612" s="10">
        <f t="shared" si="2"/>
        <v>0.4873765093</v>
      </c>
      <c r="I1612" s="10">
        <v>-0.016</v>
      </c>
      <c r="J1612" s="10">
        <v>0.5218</v>
      </c>
      <c r="K1612" s="5">
        <f t="shared" si="3"/>
        <v>0</v>
      </c>
    </row>
    <row r="1613" ht="15.0" customHeight="1">
      <c r="A1613" s="5">
        <v>2024.0</v>
      </c>
      <c r="B1613" s="5" t="s">
        <v>327</v>
      </c>
      <c r="C1613" s="5" t="s">
        <v>381</v>
      </c>
      <c r="D1613" s="5" t="s">
        <v>264</v>
      </c>
      <c r="E1613" s="5">
        <v>624.0</v>
      </c>
      <c r="F1613" s="5">
        <v>618.0</v>
      </c>
      <c r="G1613" s="5">
        <f t="shared" si="1"/>
        <v>1242</v>
      </c>
      <c r="H1613" s="10">
        <f t="shared" si="2"/>
        <v>0.5024154589</v>
      </c>
      <c r="I1613" s="10">
        <v>-0.0029</v>
      </c>
      <c r="J1613" s="10">
        <v>0.7089</v>
      </c>
      <c r="K1613" s="5">
        <f t="shared" si="3"/>
        <v>1</v>
      </c>
    </row>
    <row r="1614" ht="15.0" customHeight="1">
      <c r="A1614" s="5">
        <v>2018.0</v>
      </c>
      <c r="B1614" s="5" t="s">
        <v>327</v>
      </c>
      <c r="C1614" s="5" t="s">
        <v>381</v>
      </c>
      <c r="D1614" s="5" t="s">
        <v>265</v>
      </c>
      <c r="E1614" s="5">
        <v>249.0</v>
      </c>
      <c r="F1614" s="5">
        <v>275.0</v>
      </c>
      <c r="G1614" s="5">
        <f t="shared" si="1"/>
        <v>524</v>
      </c>
      <c r="H1614" s="10">
        <f t="shared" si="2"/>
        <v>0.4751908397</v>
      </c>
      <c r="I1614" s="10">
        <v>-0.0707</v>
      </c>
      <c r="J1614" s="10">
        <v>0.6928</v>
      </c>
      <c r="K1614" s="5">
        <f t="shared" si="3"/>
        <v>0</v>
      </c>
    </row>
    <row r="1615" ht="15.0" customHeight="1">
      <c r="A1615" s="5">
        <v>2020.0</v>
      </c>
      <c r="B1615" s="5" t="s">
        <v>327</v>
      </c>
      <c r="C1615" s="5" t="s">
        <v>381</v>
      </c>
      <c r="D1615" s="5" t="s">
        <v>265</v>
      </c>
      <c r="E1615" s="5">
        <v>295.0</v>
      </c>
      <c r="F1615" s="5">
        <v>392.0</v>
      </c>
      <c r="G1615" s="5">
        <f t="shared" si="1"/>
        <v>687</v>
      </c>
      <c r="H1615" s="10">
        <f t="shared" si="2"/>
        <v>0.4294032023</v>
      </c>
      <c r="I1615" s="10">
        <v>-0.098</v>
      </c>
      <c r="J1615" s="10">
        <v>0.8419</v>
      </c>
      <c r="K1615" s="5">
        <f t="shared" si="3"/>
        <v>1</v>
      </c>
    </row>
    <row r="1616" ht="15.0" customHeight="1">
      <c r="A1616" s="5">
        <v>2022.0</v>
      </c>
      <c r="B1616" s="5" t="s">
        <v>327</v>
      </c>
      <c r="C1616" s="5" t="s">
        <v>381</v>
      </c>
      <c r="D1616" s="5" t="s">
        <v>265</v>
      </c>
      <c r="E1616" s="5">
        <v>247.0</v>
      </c>
      <c r="F1616" s="5">
        <v>333.0</v>
      </c>
      <c r="G1616" s="5">
        <f t="shared" si="1"/>
        <v>580</v>
      </c>
      <c r="H1616" s="10">
        <f t="shared" si="2"/>
        <v>0.425862069</v>
      </c>
      <c r="I1616" s="10">
        <v>-0.1047</v>
      </c>
      <c r="J1616" s="10">
        <v>0.7143</v>
      </c>
      <c r="K1616" s="5">
        <f t="shared" si="3"/>
        <v>0</v>
      </c>
    </row>
    <row r="1617" ht="15.0" customHeight="1">
      <c r="A1617" s="5">
        <v>2024.0</v>
      </c>
      <c r="B1617" s="5" t="s">
        <v>327</v>
      </c>
      <c r="C1617" s="5" t="s">
        <v>381</v>
      </c>
      <c r="D1617" s="5" t="s">
        <v>265</v>
      </c>
      <c r="E1617" s="5">
        <v>284.0</v>
      </c>
      <c r="F1617" s="5">
        <v>414.0</v>
      </c>
      <c r="G1617" s="5">
        <f t="shared" si="1"/>
        <v>698</v>
      </c>
      <c r="H1617" s="10">
        <f t="shared" si="2"/>
        <v>0.4068767908</v>
      </c>
      <c r="I1617" s="10">
        <v>-0.1309</v>
      </c>
      <c r="J1617" s="10">
        <v>0.8461</v>
      </c>
      <c r="K1617" s="5">
        <f t="shared" si="3"/>
        <v>1</v>
      </c>
    </row>
    <row r="1618" ht="15.0" customHeight="1">
      <c r="A1618" s="5">
        <v>2018.0</v>
      </c>
      <c r="B1618" s="5" t="s">
        <v>327</v>
      </c>
      <c r="C1618" s="5" t="s">
        <v>382</v>
      </c>
      <c r="D1618" s="5" t="s">
        <v>266</v>
      </c>
      <c r="E1618" s="5">
        <v>404.0</v>
      </c>
      <c r="F1618" s="5">
        <v>245.0</v>
      </c>
      <c r="G1618" s="5">
        <f t="shared" si="1"/>
        <v>649</v>
      </c>
      <c r="H1618" s="10">
        <f t="shared" si="2"/>
        <v>0.6224961479</v>
      </c>
      <c r="I1618" s="10">
        <v>0.2905</v>
      </c>
      <c r="J1618" s="10">
        <v>0.4203</v>
      </c>
      <c r="K1618" s="5">
        <f t="shared" si="3"/>
        <v>0</v>
      </c>
    </row>
    <row r="1619" ht="15.0" customHeight="1">
      <c r="A1619" s="5">
        <v>2020.0</v>
      </c>
      <c r="B1619" s="5" t="s">
        <v>327</v>
      </c>
      <c r="C1619" s="5" t="s">
        <v>382</v>
      </c>
      <c r="D1619" s="5" t="s">
        <v>266</v>
      </c>
      <c r="E1619" s="5">
        <v>625.0</v>
      </c>
      <c r="F1619" s="5">
        <v>447.0</v>
      </c>
      <c r="G1619" s="5">
        <f t="shared" si="1"/>
        <v>1072</v>
      </c>
      <c r="H1619" s="10">
        <f t="shared" si="2"/>
        <v>0.5830223881</v>
      </c>
      <c r="I1619" s="10">
        <v>0.3018</v>
      </c>
      <c r="J1619" s="10">
        <v>0.6258</v>
      </c>
      <c r="K1619" s="5">
        <f t="shared" si="3"/>
        <v>1</v>
      </c>
    </row>
    <row r="1620" ht="15.0" customHeight="1">
      <c r="A1620" s="5">
        <v>2022.0</v>
      </c>
      <c r="B1620" s="5" t="s">
        <v>327</v>
      </c>
      <c r="C1620" s="5" t="s">
        <v>382</v>
      </c>
      <c r="D1620" s="5" t="s">
        <v>266</v>
      </c>
      <c r="E1620" s="5">
        <v>457.0</v>
      </c>
      <c r="F1620" s="5">
        <v>286.0</v>
      </c>
      <c r="G1620" s="5">
        <f t="shared" si="1"/>
        <v>743</v>
      </c>
      <c r="H1620" s="10">
        <f t="shared" si="2"/>
        <v>0.6150740242</v>
      </c>
      <c r="I1620" s="10">
        <v>0.288</v>
      </c>
      <c r="J1620" s="10">
        <v>0.4514</v>
      </c>
      <c r="K1620" s="5">
        <f t="shared" si="3"/>
        <v>0</v>
      </c>
    </row>
    <row r="1621" ht="15.0" customHeight="1">
      <c r="A1621" s="5">
        <v>2024.0</v>
      </c>
      <c r="B1621" s="5" t="s">
        <v>327</v>
      </c>
      <c r="C1621" s="5" t="s">
        <v>382</v>
      </c>
      <c r="D1621" s="5" t="s">
        <v>266</v>
      </c>
      <c r="E1621" s="5">
        <v>648.0</v>
      </c>
      <c r="F1621" s="5">
        <v>462.0</v>
      </c>
      <c r="G1621" s="5">
        <f t="shared" si="1"/>
        <v>1110</v>
      </c>
      <c r="H1621" s="10">
        <f t="shared" si="2"/>
        <v>0.5837837838</v>
      </c>
      <c r="I1621" s="10">
        <v>0.2302</v>
      </c>
      <c r="J1621" s="10">
        <v>0.642</v>
      </c>
      <c r="K1621" s="5">
        <f t="shared" si="3"/>
        <v>1</v>
      </c>
    </row>
    <row r="1622" ht="15.0" customHeight="1">
      <c r="A1622" s="5">
        <v>2018.0</v>
      </c>
      <c r="B1622" s="5" t="s">
        <v>327</v>
      </c>
      <c r="C1622" s="5" t="s">
        <v>382</v>
      </c>
      <c r="D1622" s="5" t="s">
        <v>268</v>
      </c>
      <c r="E1622" s="5">
        <v>346.0</v>
      </c>
      <c r="F1622" s="5">
        <v>192.0</v>
      </c>
      <c r="G1622" s="5">
        <f t="shared" si="1"/>
        <v>538</v>
      </c>
      <c r="H1622" s="10">
        <f t="shared" si="2"/>
        <v>0.6431226766</v>
      </c>
      <c r="I1622" s="10">
        <v>0.2508</v>
      </c>
      <c r="J1622" s="10">
        <v>0.4508</v>
      </c>
      <c r="K1622" s="5">
        <f t="shared" si="3"/>
        <v>0</v>
      </c>
    </row>
    <row r="1623" ht="15.0" customHeight="1">
      <c r="A1623" s="5">
        <v>2020.0</v>
      </c>
      <c r="B1623" s="5" t="s">
        <v>327</v>
      </c>
      <c r="C1623" s="5" t="s">
        <v>382</v>
      </c>
      <c r="D1623" s="5" t="s">
        <v>268</v>
      </c>
      <c r="E1623" s="5">
        <v>518.0</v>
      </c>
      <c r="F1623" s="5">
        <v>384.0</v>
      </c>
      <c r="G1623" s="5">
        <f t="shared" si="1"/>
        <v>902</v>
      </c>
      <c r="H1623" s="10">
        <f t="shared" si="2"/>
        <v>0.5742793792</v>
      </c>
      <c r="I1623" s="10">
        <v>0.2144</v>
      </c>
      <c r="J1623" s="10">
        <v>0.6691</v>
      </c>
      <c r="K1623" s="5">
        <f t="shared" si="3"/>
        <v>1</v>
      </c>
    </row>
    <row r="1624" ht="15.0" customHeight="1">
      <c r="A1624" s="5">
        <v>2022.0</v>
      </c>
      <c r="B1624" s="5" t="s">
        <v>327</v>
      </c>
      <c r="C1624" s="5" t="s">
        <v>382</v>
      </c>
      <c r="D1624" s="5" t="s">
        <v>268</v>
      </c>
      <c r="E1624" s="5">
        <v>353.0</v>
      </c>
      <c r="F1624" s="5">
        <v>251.0</v>
      </c>
      <c r="G1624" s="5">
        <f t="shared" si="1"/>
        <v>604</v>
      </c>
      <c r="H1624" s="10">
        <f t="shared" si="2"/>
        <v>0.5844370861</v>
      </c>
      <c r="I1624" s="10">
        <v>0.195</v>
      </c>
      <c r="J1624" s="10">
        <v>0.4693</v>
      </c>
      <c r="K1624" s="5">
        <f t="shared" si="3"/>
        <v>0</v>
      </c>
    </row>
    <row r="1625" ht="15.0" customHeight="1">
      <c r="A1625" s="5">
        <v>2024.0</v>
      </c>
      <c r="B1625" s="5" t="s">
        <v>327</v>
      </c>
      <c r="C1625" s="5" t="s">
        <v>382</v>
      </c>
      <c r="D1625" s="5" t="s">
        <v>268</v>
      </c>
      <c r="E1625" s="5">
        <v>491.0</v>
      </c>
      <c r="F1625" s="5">
        <v>402.0</v>
      </c>
      <c r="G1625" s="5">
        <f t="shared" si="1"/>
        <v>893</v>
      </c>
      <c r="H1625" s="10">
        <f t="shared" si="2"/>
        <v>0.5498320269</v>
      </c>
      <c r="I1625" s="10">
        <v>0.153</v>
      </c>
      <c r="J1625" s="10">
        <v>0.6765</v>
      </c>
      <c r="K1625" s="5">
        <f t="shared" si="3"/>
        <v>1</v>
      </c>
    </row>
    <row r="1626" ht="15.0" customHeight="1">
      <c r="A1626" s="5">
        <v>2018.0</v>
      </c>
      <c r="B1626" s="5" t="s">
        <v>327</v>
      </c>
      <c r="C1626" s="5" t="s">
        <v>382</v>
      </c>
      <c r="D1626" s="5" t="s">
        <v>270</v>
      </c>
      <c r="E1626" s="5">
        <v>497.0</v>
      </c>
      <c r="F1626" s="5">
        <v>373.0</v>
      </c>
      <c r="G1626" s="5">
        <f t="shared" si="1"/>
        <v>870</v>
      </c>
      <c r="H1626" s="10">
        <f t="shared" si="2"/>
        <v>0.5712643678</v>
      </c>
      <c r="I1626" s="10">
        <v>0.2832</v>
      </c>
      <c r="J1626" s="10">
        <v>0.4534</v>
      </c>
      <c r="K1626" s="5">
        <f t="shared" si="3"/>
        <v>0</v>
      </c>
    </row>
    <row r="1627" ht="15.0" customHeight="1">
      <c r="A1627" s="5">
        <v>2020.0</v>
      </c>
      <c r="B1627" s="5" t="s">
        <v>327</v>
      </c>
      <c r="C1627" s="5" t="s">
        <v>382</v>
      </c>
      <c r="D1627" s="5" t="s">
        <v>270</v>
      </c>
      <c r="E1627" s="5">
        <v>735.0</v>
      </c>
      <c r="F1627" s="5">
        <v>687.0</v>
      </c>
      <c r="G1627" s="5">
        <f t="shared" si="1"/>
        <v>1422</v>
      </c>
      <c r="H1627" s="10">
        <f t="shared" si="2"/>
        <v>0.5168776371</v>
      </c>
      <c r="I1627" s="10">
        <v>0.2344</v>
      </c>
      <c r="J1627" s="10">
        <v>0.6679</v>
      </c>
      <c r="K1627" s="5">
        <f t="shared" si="3"/>
        <v>1</v>
      </c>
    </row>
    <row r="1628" ht="15.0" customHeight="1">
      <c r="A1628" s="5">
        <v>2022.0</v>
      </c>
      <c r="B1628" s="5" t="s">
        <v>327</v>
      </c>
      <c r="C1628" s="5" t="s">
        <v>382</v>
      </c>
      <c r="D1628" s="5" t="s">
        <v>270</v>
      </c>
      <c r="E1628" s="5">
        <v>530.0</v>
      </c>
      <c r="F1628" s="5">
        <v>416.0</v>
      </c>
      <c r="G1628" s="5">
        <f t="shared" si="1"/>
        <v>946</v>
      </c>
      <c r="H1628" s="10">
        <f t="shared" si="2"/>
        <v>0.5602536998</v>
      </c>
      <c r="I1628" s="10">
        <v>0.2036</v>
      </c>
      <c r="J1628" s="10">
        <v>0.4653</v>
      </c>
      <c r="K1628" s="5">
        <f t="shared" si="3"/>
        <v>0</v>
      </c>
    </row>
    <row r="1629" ht="15.0" customHeight="1">
      <c r="A1629" s="5">
        <v>2024.0</v>
      </c>
      <c r="B1629" s="5" t="s">
        <v>327</v>
      </c>
      <c r="C1629" s="5" t="s">
        <v>382</v>
      </c>
      <c r="D1629" s="5" t="s">
        <v>270</v>
      </c>
      <c r="E1629" s="5">
        <v>758.0</v>
      </c>
      <c r="F1629" s="5">
        <v>674.0</v>
      </c>
      <c r="G1629" s="5">
        <f t="shared" si="1"/>
        <v>1432</v>
      </c>
      <c r="H1629" s="10">
        <f t="shared" si="2"/>
        <v>0.5293296089</v>
      </c>
      <c r="I1629" s="10">
        <v>0.1739</v>
      </c>
      <c r="J1629" s="10">
        <v>0.6784</v>
      </c>
      <c r="K1629" s="5">
        <f t="shared" si="3"/>
        <v>1</v>
      </c>
    </row>
    <row r="1630" ht="15.0" customHeight="1">
      <c r="A1630" s="5">
        <v>2018.0</v>
      </c>
      <c r="B1630" s="5" t="s">
        <v>327</v>
      </c>
      <c r="C1630" s="5" t="s">
        <v>383</v>
      </c>
      <c r="D1630" s="5" t="s">
        <v>271</v>
      </c>
      <c r="E1630" s="5">
        <v>362.0</v>
      </c>
      <c r="F1630" s="5">
        <v>437.0</v>
      </c>
      <c r="G1630" s="5">
        <f t="shared" si="1"/>
        <v>799</v>
      </c>
      <c r="H1630" s="10">
        <f t="shared" si="2"/>
        <v>0.4530663329</v>
      </c>
      <c r="I1630" s="10">
        <v>0.0077</v>
      </c>
      <c r="J1630" s="10">
        <v>0.4923</v>
      </c>
      <c r="K1630" s="5">
        <f t="shared" si="3"/>
        <v>0</v>
      </c>
    </row>
    <row r="1631" ht="15.0" customHeight="1">
      <c r="A1631" s="5">
        <v>2020.0</v>
      </c>
      <c r="B1631" s="5" t="s">
        <v>327</v>
      </c>
      <c r="C1631" s="5" t="s">
        <v>383</v>
      </c>
      <c r="D1631" s="5" t="s">
        <v>271</v>
      </c>
      <c r="E1631" s="5">
        <v>508.0</v>
      </c>
      <c r="F1631" s="5">
        <v>791.0</v>
      </c>
      <c r="G1631" s="5">
        <f t="shared" si="1"/>
        <v>1299</v>
      </c>
      <c r="H1631" s="10">
        <f t="shared" si="2"/>
        <v>0.3910700539</v>
      </c>
      <c r="I1631" s="10">
        <v>-0.0491</v>
      </c>
      <c r="J1631" s="10">
        <v>0.7161</v>
      </c>
      <c r="K1631" s="5">
        <f t="shared" si="3"/>
        <v>1</v>
      </c>
    </row>
    <row r="1632" ht="15.0" customHeight="1">
      <c r="A1632" s="5">
        <v>2022.0</v>
      </c>
      <c r="B1632" s="5" t="s">
        <v>327</v>
      </c>
      <c r="C1632" s="5" t="s">
        <v>383</v>
      </c>
      <c r="D1632" s="5" t="s">
        <v>271</v>
      </c>
      <c r="E1632" s="5">
        <v>494.0</v>
      </c>
      <c r="F1632" s="5">
        <v>601.0</v>
      </c>
      <c r="G1632" s="5">
        <f t="shared" si="1"/>
        <v>1095</v>
      </c>
      <c r="H1632" s="10">
        <f t="shared" si="2"/>
        <v>0.4511415525</v>
      </c>
      <c r="I1632" s="10">
        <v>-0.0309</v>
      </c>
      <c r="J1632" s="10">
        <v>0.537</v>
      </c>
      <c r="K1632" s="5">
        <f t="shared" si="3"/>
        <v>0</v>
      </c>
    </row>
    <row r="1633" ht="15.0" customHeight="1">
      <c r="A1633" s="5">
        <v>2024.0</v>
      </c>
      <c r="B1633" s="5" t="s">
        <v>327</v>
      </c>
      <c r="C1633" s="5" t="s">
        <v>383</v>
      </c>
      <c r="D1633" s="5" t="s">
        <v>271</v>
      </c>
      <c r="E1633" s="5">
        <v>634.0</v>
      </c>
      <c r="F1633" s="5">
        <v>856.0</v>
      </c>
      <c r="G1633" s="5">
        <f t="shared" si="1"/>
        <v>1490</v>
      </c>
      <c r="H1633" s="10">
        <f t="shared" si="2"/>
        <v>0.4255033557</v>
      </c>
      <c r="I1633" s="10">
        <v>-0.0779</v>
      </c>
      <c r="J1633" s="10">
        <v>0.6992</v>
      </c>
      <c r="K1633" s="5">
        <f t="shared" si="3"/>
        <v>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8.14"/>
    <col customWidth="1" min="4" max="4" width="19.43"/>
    <col customWidth="1" min="5" max="5" width="25.43"/>
    <col customWidth="1" min="6" max="6" width="21.29"/>
    <col customWidth="1" min="7" max="7" width="14.71"/>
    <col customWidth="1" min="8" max="8" width="17.14"/>
    <col customWidth="1" min="9" max="26" width="8.71"/>
  </cols>
  <sheetData>
    <row r="1" ht="15.0" customHeight="1">
      <c r="A1" s="2" t="s">
        <v>3</v>
      </c>
      <c r="B1" s="2" t="s">
        <v>4</v>
      </c>
      <c r="C1" s="2" t="s">
        <v>5</v>
      </c>
      <c r="D1" s="2" t="s">
        <v>35</v>
      </c>
      <c r="E1" s="2" t="s">
        <v>36</v>
      </c>
      <c r="F1" s="2" t="s">
        <v>38</v>
      </c>
      <c r="G1" s="2" t="s">
        <v>40</v>
      </c>
      <c r="H1" s="2" t="s">
        <v>42</v>
      </c>
    </row>
    <row r="2" ht="15.0" customHeight="1">
      <c r="A2" s="5" t="s">
        <v>16</v>
      </c>
      <c r="B2" s="5" t="s">
        <v>17</v>
      </c>
      <c r="C2" s="5" t="s">
        <v>18</v>
      </c>
      <c r="D2" s="10">
        <f>AVERAGE('Precinct Vote Data'!H2:H5)</f>
        <v>0.3758105105</v>
      </c>
      <c r="E2" s="10">
        <f>AVERAGE(ABS('Precinct Vote Data'!H2-0.5),ABS('Precinct Vote Data'!H3-0.5),ABS('Precinct Vote Data'!H4-0.5),ABS('Precinct Vote Data'!H5-0.5))</f>
        <v>0.1241894895</v>
      </c>
      <c r="F2" s="10">
        <f>STDEV('Precinct Vote Data'!H2:H5)</f>
        <v>0.03572316042</v>
      </c>
      <c r="G2" s="5">
        <f>IF(('Precinct Vote Data'!H2&gt;0.5)&lt;&gt;('Precinct Vote Data'!H3&gt;0.5),1,0)+IF(('Precinct Vote Data'!H3&gt;0.5)&lt;&gt;('Precinct Vote Data'!H4&gt;0.5),1,0)+IF(('Precinct Vote Data'!H4&gt;0.5)&lt;&gt;('Precinct Vote Data'!H5&gt;0.5),1,0)</f>
        <v>0</v>
      </c>
      <c r="H2" s="2" t="str">
        <f t="shared" ref="H2:H409" si="1">IF(OR(G2&gt;=1,E2&lt;0.05),"Hard",IF(AND(E2&gt;=0.15,F2&lt;0.05),"Easy","Medium"))</f>
        <v>Medium</v>
      </c>
    </row>
    <row r="3" ht="15.0" customHeight="1">
      <c r="A3" s="5" t="s">
        <v>16</v>
      </c>
      <c r="B3" s="5" t="s">
        <v>54</v>
      </c>
      <c r="C3" s="5" t="s">
        <v>55</v>
      </c>
      <c r="D3" s="10">
        <f>AVERAGE('Precinct Vote Data'!H6:H9)</f>
        <v>0.2822404963</v>
      </c>
      <c r="E3" s="10">
        <f>AVERAGE(ABS('Precinct Vote Data'!H6-0.5),ABS('Precinct Vote Data'!H7-0.5),ABS('Precinct Vote Data'!H8-0.5),ABS('Precinct Vote Data'!H9-0.5))</f>
        <v>0.2177595037</v>
      </c>
      <c r="F3" s="10">
        <f>STDEV('Precinct Vote Data'!H6:H9)</f>
        <v>0.03539416051</v>
      </c>
      <c r="G3" s="5">
        <f>IF(('Precinct Vote Data'!H6&gt;0.5)&lt;&gt;('Precinct Vote Data'!H7&gt;0.5),1,0)+IF(('Precinct Vote Data'!H7&gt;0.5)&lt;&gt;('Precinct Vote Data'!H8&gt;0.5),1,0)+IF(('Precinct Vote Data'!H8&gt;0.5)&lt;&gt;('Precinct Vote Data'!H9&gt;0.5),1,0)</f>
        <v>0</v>
      </c>
      <c r="H3" s="2" t="str">
        <f t="shared" si="1"/>
        <v>Easy</v>
      </c>
    </row>
    <row r="4" ht="15.0" customHeight="1">
      <c r="A4" s="5" t="s">
        <v>16</v>
      </c>
      <c r="B4" s="5" t="s">
        <v>56</v>
      </c>
      <c r="C4" s="5" t="s">
        <v>57</v>
      </c>
      <c r="D4" s="10">
        <f>AVERAGE('Precinct Vote Data'!H10:H13)</f>
        <v>0.3304216814</v>
      </c>
      <c r="E4" s="10">
        <f>AVERAGE(ABS('Precinct Vote Data'!H10-0.5),ABS('Precinct Vote Data'!H11-0.5),ABS('Precinct Vote Data'!H12-0.5),ABS('Precinct Vote Data'!H13-0.5))</f>
        <v>0.1695783186</v>
      </c>
      <c r="F4" s="10">
        <f>STDEV('Precinct Vote Data'!H10:H13)</f>
        <v>0.05519687497</v>
      </c>
      <c r="G4" s="5">
        <f>IF(('Precinct Vote Data'!H10&gt;0.5)&lt;&gt;('Precinct Vote Data'!H11&gt;0.5),1,0)+IF(('Precinct Vote Data'!H11&gt;0.5)&lt;&gt;('Precinct Vote Data'!H12&gt;0.5),1,0)+IF(('Precinct Vote Data'!H12&gt;0.5)&lt;&gt;('Precinct Vote Data'!H13&gt;0.5),1,0)</f>
        <v>0</v>
      </c>
      <c r="H4" s="2" t="str">
        <f t="shared" si="1"/>
        <v>Medium</v>
      </c>
    </row>
    <row r="5" ht="15.0" customHeight="1">
      <c r="A5" s="5" t="s">
        <v>16</v>
      </c>
      <c r="B5" s="5" t="s">
        <v>58</v>
      </c>
      <c r="C5" s="5" t="s">
        <v>59</v>
      </c>
      <c r="D5" s="10">
        <f>AVERAGE('Precinct Vote Data'!H14:H17)</f>
        <v>0.275011792</v>
      </c>
      <c r="E5" s="10">
        <f>AVERAGE(ABS('Precinct Vote Data'!H14-0.5),ABS('Precinct Vote Data'!H15-0.5),ABS('Precinct Vote Data'!H16-0.5),ABS('Precinct Vote Data'!H17-0.5))</f>
        <v>0.224988208</v>
      </c>
      <c r="F5" s="10">
        <f>STDEV('Precinct Vote Data'!H14:H17)</f>
        <v>0.0398563787</v>
      </c>
      <c r="G5" s="5">
        <f>IF(('Precinct Vote Data'!H14&gt;0.5)&lt;&gt;('Precinct Vote Data'!H15&gt;0.5),1,0)+IF(('Precinct Vote Data'!H15&gt;0.5)&lt;&gt;('Precinct Vote Data'!H16&gt;0.5),1,0)+IF(('Precinct Vote Data'!H16&gt;0.5)&lt;&gt;('Precinct Vote Data'!H17&gt;0.5),1,0)</f>
        <v>0</v>
      </c>
      <c r="H5" s="2" t="str">
        <f t="shared" si="1"/>
        <v>Easy</v>
      </c>
    </row>
    <row r="6" ht="15.0" customHeight="1">
      <c r="A6" s="5" t="s">
        <v>16</v>
      </c>
      <c r="B6" s="5" t="s">
        <v>58</v>
      </c>
      <c r="C6" s="5" t="s">
        <v>60</v>
      </c>
      <c r="D6" s="10">
        <f>AVERAGE('Precinct Vote Data'!H18:H21)</f>
        <v>0.2886446829</v>
      </c>
      <c r="E6" s="10">
        <f>AVERAGE(ABS('Precinct Vote Data'!H18-0.5),ABS('Precinct Vote Data'!H19-0.5),ABS('Precinct Vote Data'!H20-0.5),ABS('Precinct Vote Data'!H21-0.5))</f>
        <v>0.2113553171</v>
      </c>
      <c r="F6" s="10">
        <f>STDEV('Precinct Vote Data'!H18:H21)</f>
        <v>0.03711178576</v>
      </c>
      <c r="G6" s="5">
        <f>IF(('Precinct Vote Data'!H18&gt;0.5)&lt;&gt;('Precinct Vote Data'!H19&gt;0.5),1,0)+IF(('Precinct Vote Data'!H19&gt;0.5)&lt;&gt;('Precinct Vote Data'!H20&gt;0.5),1,0)+IF(('Precinct Vote Data'!H20&gt;0.5)&lt;&gt;('Precinct Vote Data'!H21&gt;0.5),1,0)</f>
        <v>0</v>
      </c>
      <c r="H6" s="2" t="str">
        <f t="shared" si="1"/>
        <v>Easy</v>
      </c>
    </row>
    <row r="7" ht="15.0" customHeight="1">
      <c r="A7" s="5" t="s">
        <v>16</v>
      </c>
      <c r="B7" s="5" t="s">
        <v>62</v>
      </c>
      <c r="C7" s="5" t="s">
        <v>63</v>
      </c>
      <c r="D7" s="10">
        <f>AVERAGE('Precinct Vote Data'!H22:H25)</f>
        <v>0.3771595576</v>
      </c>
      <c r="E7" s="10">
        <f>AVERAGE(ABS('Precinct Vote Data'!H22-0.5),ABS('Precinct Vote Data'!H23-0.5),ABS('Precinct Vote Data'!H24-0.5),ABS('Precinct Vote Data'!H25-0.5))</f>
        <v>0.1228404424</v>
      </c>
      <c r="F7" s="10">
        <f>STDEV('Precinct Vote Data'!H22:H25)</f>
        <v>0.04970827446</v>
      </c>
      <c r="G7" s="5">
        <f>IF(('Precinct Vote Data'!H22&gt;0.5)&lt;&gt;('Precinct Vote Data'!H23&gt;0.5),1,0)+IF(('Precinct Vote Data'!H23&gt;0.5)&lt;&gt;('Precinct Vote Data'!H24&gt;0.5),1,0)+IF(('Precinct Vote Data'!H24&gt;0.5)&lt;&gt;('Precinct Vote Data'!H25&gt;0.5),1,0)</f>
        <v>0</v>
      </c>
      <c r="H7" s="2" t="str">
        <f t="shared" si="1"/>
        <v>Medium</v>
      </c>
    </row>
    <row r="8" ht="15.0" customHeight="1">
      <c r="A8" s="5" t="s">
        <v>16</v>
      </c>
      <c r="B8" s="5" t="s">
        <v>72</v>
      </c>
      <c r="C8" s="5" t="s">
        <v>73</v>
      </c>
      <c r="D8" s="10">
        <f>AVERAGE('Precinct Vote Data'!H26:H29)</f>
        <v>0.2926410045</v>
      </c>
      <c r="E8" s="10">
        <f>AVERAGE(ABS('Precinct Vote Data'!H26-0.5),ABS('Precinct Vote Data'!H27-0.5),ABS('Precinct Vote Data'!H28-0.5),ABS('Precinct Vote Data'!H29-0.5))</f>
        <v>0.2073589955</v>
      </c>
      <c r="F8" s="10">
        <f>STDEV('Precinct Vote Data'!H26:H29)</f>
        <v>0.03496662724</v>
      </c>
      <c r="G8" s="5">
        <f>IF(('Precinct Vote Data'!H26&gt;0.5)&lt;&gt;('Precinct Vote Data'!H27&gt;0.5),1,0)+IF(('Precinct Vote Data'!H27&gt;0.5)&lt;&gt;('Precinct Vote Data'!H28&gt;0.5),1,0)+IF(('Precinct Vote Data'!H28&gt;0.5)&lt;&gt;('Precinct Vote Data'!H29&gt;0.5),1,0)</f>
        <v>0</v>
      </c>
      <c r="H8" s="2" t="str">
        <f t="shared" si="1"/>
        <v>Easy</v>
      </c>
    </row>
    <row r="9" ht="15.0" customHeight="1">
      <c r="A9" s="5" t="s">
        <v>16</v>
      </c>
      <c r="B9" s="5" t="s">
        <v>72</v>
      </c>
      <c r="C9" s="5" t="s">
        <v>74</v>
      </c>
      <c r="D9" s="10">
        <f>AVERAGE('Precinct Vote Data'!H30:H33)</f>
        <v>0.2973491648</v>
      </c>
      <c r="E9" s="10">
        <f>AVERAGE(ABS('Precinct Vote Data'!H30-0.5),ABS('Precinct Vote Data'!H31-0.5),ABS('Precinct Vote Data'!H32-0.5),ABS('Precinct Vote Data'!H33-0.5))</f>
        <v>0.2026508352</v>
      </c>
      <c r="F9" s="10">
        <f>STDEV('Precinct Vote Data'!H30:H33)</f>
        <v>0.03283176811</v>
      </c>
      <c r="G9" s="5">
        <f>IF(('Precinct Vote Data'!H30&gt;0.5)&lt;&gt;('Precinct Vote Data'!H31&gt;0.5),1,0)+IF(('Precinct Vote Data'!H31&gt;0.5)&lt;&gt;('Precinct Vote Data'!H32&gt;0.5),1,0)+IF(('Precinct Vote Data'!H32&gt;0.5)&lt;&gt;('Precinct Vote Data'!H33&gt;0.5),1,0)</f>
        <v>0</v>
      </c>
      <c r="H9" s="2" t="str">
        <f t="shared" si="1"/>
        <v>Easy</v>
      </c>
    </row>
    <row r="10" ht="15.0" customHeight="1">
      <c r="A10" s="5" t="s">
        <v>16</v>
      </c>
      <c r="B10" s="5" t="s">
        <v>72</v>
      </c>
      <c r="C10" s="5" t="s">
        <v>76</v>
      </c>
      <c r="D10" s="10">
        <f>AVERAGE('Precinct Vote Data'!H34:H37)</f>
        <v>0.2663074849</v>
      </c>
      <c r="E10" s="10">
        <f>AVERAGE(ABS('Precinct Vote Data'!H34-0.5),ABS('Precinct Vote Data'!H35-0.5),ABS('Precinct Vote Data'!H36-0.5),ABS('Precinct Vote Data'!H37-0.5))</f>
        <v>0.2336925151</v>
      </c>
      <c r="F10" s="10">
        <f>STDEV('Precinct Vote Data'!H34:H37)</f>
        <v>0.01940076569</v>
      </c>
      <c r="G10" s="5">
        <f>IF(('Precinct Vote Data'!H34&gt;0.5)&lt;&gt;('Precinct Vote Data'!H35&gt;0.5),1,0)+IF(('Precinct Vote Data'!H35&gt;0.5)&lt;&gt;('Precinct Vote Data'!H36&gt;0.5),1,0)+IF(('Precinct Vote Data'!H36&gt;0.5)&lt;&gt;('Precinct Vote Data'!H37&gt;0.5),1,0)</f>
        <v>0</v>
      </c>
      <c r="H10" s="2" t="str">
        <f t="shared" si="1"/>
        <v>Easy</v>
      </c>
    </row>
    <row r="11" ht="15.0" customHeight="1">
      <c r="A11" s="5" t="s">
        <v>16</v>
      </c>
      <c r="B11" s="5" t="s">
        <v>77</v>
      </c>
      <c r="C11" s="5" t="s">
        <v>78</v>
      </c>
      <c r="D11" s="10">
        <f>AVERAGE('Precinct Vote Data'!H38:H41)</f>
        <v>0.4660068579</v>
      </c>
      <c r="E11" s="10">
        <f>AVERAGE(ABS('Precinct Vote Data'!H38-0.5),ABS('Precinct Vote Data'!H39-0.5),ABS('Precinct Vote Data'!H40-0.5),ABS('Precinct Vote Data'!H41-0.5))</f>
        <v>0.05649314211</v>
      </c>
      <c r="F11" s="10">
        <f>STDEV('Precinct Vote Data'!H38:H41)</f>
        <v>0.05405963007</v>
      </c>
      <c r="G11" s="5">
        <f>IF(('Precinct Vote Data'!H38&gt;0.5)&lt;&gt;('Precinct Vote Data'!H39&gt;0.5),1,0)+IF(('Precinct Vote Data'!H39&gt;0.5)&lt;&gt;('Precinct Vote Data'!H40&gt;0.5),1,0)+IF(('Precinct Vote Data'!H40&gt;0.5)&lt;&gt;('Precinct Vote Data'!H41&gt;0.5),1,0)</f>
        <v>1</v>
      </c>
      <c r="H11" s="2" t="str">
        <f t="shared" si="1"/>
        <v>Hard</v>
      </c>
    </row>
    <row r="12" ht="15.0" customHeight="1">
      <c r="A12" s="5" t="s">
        <v>16</v>
      </c>
      <c r="B12" s="5" t="s">
        <v>77</v>
      </c>
      <c r="C12" s="5" t="s">
        <v>79</v>
      </c>
      <c r="D12" s="10">
        <f>AVERAGE('Precinct Vote Data'!H42:H45)</f>
        <v>0.4209900937</v>
      </c>
      <c r="E12" s="10">
        <f>AVERAGE(ABS('Precinct Vote Data'!H42-0.5),ABS('Precinct Vote Data'!H43-0.5),ABS('Precinct Vote Data'!H44-0.5),ABS('Precinct Vote Data'!H45-0.5))</f>
        <v>0.07900990625</v>
      </c>
      <c r="F12" s="10">
        <f>STDEV('Precinct Vote Data'!H42:H45)</f>
        <v>0.03358183471</v>
      </c>
      <c r="G12" s="5">
        <f>IF(('Precinct Vote Data'!H42&gt;0.5)&lt;&gt;('Precinct Vote Data'!H43&gt;0.5),1,0)+IF(('Precinct Vote Data'!H43&gt;0.5)&lt;&gt;('Precinct Vote Data'!H44&gt;0.5),1,0)+IF(('Precinct Vote Data'!H44&gt;0.5)&lt;&gt;('Precinct Vote Data'!H45&gt;0.5),1,0)</f>
        <v>0</v>
      </c>
      <c r="H12" s="2" t="str">
        <f t="shared" si="1"/>
        <v>Medium</v>
      </c>
    </row>
    <row r="13" ht="15.0" customHeight="1">
      <c r="A13" s="5" t="s">
        <v>16</v>
      </c>
      <c r="B13" s="5" t="s">
        <v>77</v>
      </c>
      <c r="C13" s="5" t="s">
        <v>87</v>
      </c>
      <c r="D13" s="10">
        <f>AVERAGE('Precinct Vote Data'!H46:H49)</f>
        <v>0.4033845271</v>
      </c>
      <c r="E13" s="10">
        <f>AVERAGE(ABS('Precinct Vote Data'!H46-0.5),ABS('Precinct Vote Data'!H47-0.5),ABS('Precinct Vote Data'!H48-0.5),ABS('Precinct Vote Data'!H49-0.5))</f>
        <v>0.09661547286</v>
      </c>
      <c r="F13" s="10">
        <f>STDEV('Precinct Vote Data'!H46:H49)</f>
        <v>0.03848582373</v>
      </c>
      <c r="G13" s="5">
        <f>IF(('Precinct Vote Data'!H46&gt;0.5)&lt;&gt;('Precinct Vote Data'!H47&gt;0.5),1,0)+IF(('Precinct Vote Data'!H47&gt;0.5)&lt;&gt;('Precinct Vote Data'!H48&gt;0.5),1,0)+IF(('Precinct Vote Data'!H48&gt;0.5)&lt;&gt;('Precinct Vote Data'!H49&gt;0.5),1,0)</f>
        <v>0</v>
      </c>
      <c r="H13" s="2" t="str">
        <f t="shared" si="1"/>
        <v>Medium</v>
      </c>
    </row>
    <row r="14" ht="15.0" customHeight="1">
      <c r="A14" s="5" t="s">
        <v>16</v>
      </c>
      <c r="B14" s="5" t="s">
        <v>77</v>
      </c>
      <c r="C14" s="5" t="s">
        <v>88</v>
      </c>
      <c r="D14" s="10">
        <f>AVERAGE('Precinct Vote Data'!H50:H53)</f>
        <v>0.5465335202</v>
      </c>
      <c r="E14" s="10">
        <f>AVERAGE(ABS('Precinct Vote Data'!H50-0.5),ABS('Precinct Vote Data'!H51-0.5),ABS('Precinct Vote Data'!H52-0.5),ABS('Precinct Vote Data'!H53-0.5))</f>
        <v>0.04653352017</v>
      </c>
      <c r="F14" s="10">
        <f>STDEV('Precinct Vote Data'!H50:H53)</f>
        <v>0.03593194704</v>
      </c>
      <c r="G14" s="5">
        <f>IF(('Precinct Vote Data'!H50&gt;0.5)&lt;&gt;('Precinct Vote Data'!H51&gt;0.5),1,0)+IF(('Precinct Vote Data'!H51&gt;0.5)&lt;&gt;('Precinct Vote Data'!H52&gt;0.5),1,0)+IF(('Precinct Vote Data'!H52&gt;0.5)&lt;&gt;('Precinct Vote Data'!H53&gt;0.5),1,0)</f>
        <v>0</v>
      </c>
      <c r="H14" s="2" t="str">
        <f t="shared" si="1"/>
        <v>Hard</v>
      </c>
    </row>
    <row r="15" ht="15.0" customHeight="1">
      <c r="A15" s="5" t="s">
        <v>16</v>
      </c>
      <c r="B15" s="5" t="s">
        <v>77</v>
      </c>
      <c r="C15" s="5" t="s">
        <v>89</v>
      </c>
      <c r="D15" s="10">
        <f>AVERAGE('Precinct Vote Data'!H54:H57)</f>
        <v>0.4487317443</v>
      </c>
      <c r="E15" s="10">
        <f>AVERAGE(ABS('Precinct Vote Data'!H54-0.5),ABS('Precinct Vote Data'!H55-0.5),ABS('Precinct Vote Data'!H56-0.5),ABS('Precinct Vote Data'!H57-0.5))</f>
        <v>0.05126825573</v>
      </c>
      <c r="F15" s="10">
        <f>STDEV('Precinct Vote Data'!H54:H57)</f>
        <v>0.0374674087</v>
      </c>
      <c r="G15" s="5">
        <f>IF(('Precinct Vote Data'!H54&gt;0.5)&lt;&gt;('Precinct Vote Data'!H55&gt;0.5),1,0)+IF(('Precinct Vote Data'!H55&gt;0.5)&lt;&gt;('Precinct Vote Data'!H56&gt;0.5),1,0)+IF(('Precinct Vote Data'!H56&gt;0.5)&lt;&gt;('Precinct Vote Data'!H57&gt;0.5),1,0)</f>
        <v>0</v>
      </c>
      <c r="H15" s="2" t="str">
        <f t="shared" si="1"/>
        <v>Medium</v>
      </c>
    </row>
    <row r="16" ht="15.0" customHeight="1">
      <c r="A16" s="5" t="s">
        <v>16</v>
      </c>
      <c r="B16" s="5" t="s">
        <v>90</v>
      </c>
      <c r="C16" s="5" t="s">
        <v>91</v>
      </c>
      <c r="D16" s="10">
        <f>AVERAGE('Precinct Vote Data'!H58:H61)</f>
        <v>0.358386414</v>
      </c>
      <c r="E16" s="10">
        <f>AVERAGE(ABS('Precinct Vote Data'!H58-0.5),ABS('Precinct Vote Data'!H59-0.5),ABS('Precinct Vote Data'!H60-0.5),ABS('Precinct Vote Data'!H61-0.5))</f>
        <v>0.141613586</v>
      </c>
      <c r="F16" s="10">
        <f>STDEV('Precinct Vote Data'!H58:H61)</f>
        <v>0.0280478449</v>
      </c>
      <c r="G16" s="5">
        <f>IF(('Precinct Vote Data'!H58&gt;0.5)&lt;&gt;('Precinct Vote Data'!H59&gt;0.5),1,0)+IF(('Precinct Vote Data'!H59&gt;0.5)&lt;&gt;('Precinct Vote Data'!H60&gt;0.5),1,0)+IF(('Precinct Vote Data'!H60&gt;0.5)&lt;&gt;('Precinct Vote Data'!H61&gt;0.5),1,0)</f>
        <v>0</v>
      </c>
      <c r="H16" s="2" t="str">
        <f t="shared" si="1"/>
        <v>Medium</v>
      </c>
    </row>
    <row r="17" ht="15.0" customHeight="1">
      <c r="A17" s="5" t="s">
        <v>16</v>
      </c>
      <c r="B17" s="5" t="s">
        <v>90</v>
      </c>
      <c r="C17" s="5" t="s">
        <v>92</v>
      </c>
      <c r="D17" s="10">
        <f>AVERAGE('Precinct Vote Data'!H62:H65)</f>
        <v>0.3183702623</v>
      </c>
      <c r="E17" s="10">
        <f>AVERAGE(ABS('Precinct Vote Data'!H62-0.5),ABS('Precinct Vote Data'!H63-0.5),ABS('Precinct Vote Data'!H64-0.5),ABS('Precinct Vote Data'!H65-0.5))</f>
        <v>0.1816297377</v>
      </c>
      <c r="F17" s="10">
        <f>STDEV('Precinct Vote Data'!H62:H65)</f>
        <v>0.01591870613</v>
      </c>
      <c r="G17" s="5">
        <f>IF(('Precinct Vote Data'!H62&gt;0.5)&lt;&gt;('Precinct Vote Data'!H63&gt;0.5),1,0)+IF(('Precinct Vote Data'!H63&gt;0.5)&lt;&gt;('Precinct Vote Data'!H64&gt;0.5),1,0)+IF(('Precinct Vote Data'!H64&gt;0.5)&lt;&gt;('Precinct Vote Data'!H65&gt;0.5),1,0)</f>
        <v>0</v>
      </c>
      <c r="H17" s="2" t="str">
        <f t="shared" si="1"/>
        <v>Easy</v>
      </c>
    </row>
    <row r="18" ht="15.0" customHeight="1">
      <c r="A18" s="5" t="s">
        <v>16</v>
      </c>
      <c r="B18" s="5" t="s">
        <v>93</v>
      </c>
      <c r="C18" s="5" t="s">
        <v>94</v>
      </c>
      <c r="D18" s="10">
        <f>AVERAGE('Precinct Vote Data'!H66:H69)</f>
        <v>0.4255673674</v>
      </c>
      <c r="E18" s="10">
        <f>AVERAGE(ABS('Precinct Vote Data'!H66-0.5),ABS('Precinct Vote Data'!H67-0.5),ABS('Precinct Vote Data'!H68-0.5),ABS('Precinct Vote Data'!H69-0.5))</f>
        <v>0.07443263258</v>
      </c>
      <c r="F18" s="10">
        <f>STDEV('Precinct Vote Data'!H66:H69)</f>
        <v>0.05043287652</v>
      </c>
      <c r="G18" s="5">
        <f>IF(('Precinct Vote Data'!H66&gt;0.5)&lt;&gt;('Precinct Vote Data'!H67&gt;0.5),1,0)+IF(('Precinct Vote Data'!H67&gt;0.5)&lt;&gt;('Precinct Vote Data'!H68&gt;0.5),1,0)+IF(('Precinct Vote Data'!H68&gt;0.5)&lt;&gt;('Precinct Vote Data'!H69&gt;0.5),1,0)</f>
        <v>0</v>
      </c>
      <c r="H18" s="2" t="str">
        <f t="shared" si="1"/>
        <v>Medium</v>
      </c>
    </row>
    <row r="19" ht="15.0" customHeight="1">
      <c r="A19" s="5" t="s">
        <v>16</v>
      </c>
      <c r="B19" s="5" t="s">
        <v>93</v>
      </c>
      <c r="C19" s="5" t="s">
        <v>95</v>
      </c>
      <c r="D19" s="10">
        <f>AVERAGE('Precinct Vote Data'!H70:H73)</f>
        <v>0.4247604965</v>
      </c>
      <c r="E19" s="10">
        <f>AVERAGE(ABS('Precinct Vote Data'!H70-0.5),ABS('Precinct Vote Data'!H71-0.5),ABS('Precinct Vote Data'!H72-0.5),ABS('Precinct Vote Data'!H73-0.5))</f>
        <v>0.07523950355</v>
      </c>
      <c r="F19" s="10">
        <f>STDEV('Precinct Vote Data'!H70:H73)</f>
        <v>0.0350889024</v>
      </c>
      <c r="G19" s="5">
        <f>IF(('Precinct Vote Data'!H70&gt;0.5)&lt;&gt;('Precinct Vote Data'!H71&gt;0.5),1,0)+IF(('Precinct Vote Data'!H71&gt;0.5)&lt;&gt;('Precinct Vote Data'!H72&gt;0.5),1,0)+IF(('Precinct Vote Data'!H72&gt;0.5)&lt;&gt;('Precinct Vote Data'!H73&gt;0.5),1,0)</f>
        <v>0</v>
      </c>
      <c r="H19" s="2" t="str">
        <f t="shared" si="1"/>
        <v>Medium</v>
      </c>
    </row>
    <row r="20" ht="15.0" customHeight="1">
      <c r="A20" s="5" t="s">
        <v>16</v>
      </c>
      <c r="B20" s="5" t="s">
        <v>93</v>
      </c>
      <c r="C20" s="5" t="s">
        <v>96</v>
      </c>
      <c r="D20" s="10">
        <f>AVERAGE('Precinct Vote Data'!H74:H77)</f>
        <v>0.4548520057</v>
      </c>
      <c r="E20" s="10">
        <f>AVERAGE(ABS('Precinct Vote Data'!H74-0.5),ABS('Precinct Vote Data'!H75-0.5),ABS('Precinct Vote Data'!H76-0.5),ABS('Precinct Vote Data'!H77-0.5))</f>
        <v>0.05075337548</v>
      </c>
      <c r="F20" s="10">
        <f>STDEV('Precinct Vote Data'!H74:H77)</f>
        <v>0.04500256464</v>
      </c>
      <c r="G20" s="5">
        <f>IF(('Precinct Vote Data'!H74&gt;0.5)&lt;&gt;('Precinct Vote Data'!H75&gt;0.5),1,0)+IF(('Precinct Vote Data'!H75&gt;0.5)&lt;&gt;('Precinct Vote Data'!H76&gt;0.5),1,0)+IF(('Precinct Vote Data'!H76&gt;0.5)&lt;&gt;('Precinct Vote Data'!H77&gt;0.5),1,0)</f>
        <v>1</v>
      </c>
      <c r="H20" s="2" t="str">
        <f t="shared" si="1"/>
        <v>Hard</v>
      </c>
    </row>
    <row r="21" ht="15.0" customHeight="1">
      <c r="A21" s="5" t="s">
        <v>16</v>
      </c>
      <c r="B21" s="5" t="s">
        <v>97</v>
      </c>
      <c r="C21" s="5" t="s">
        <v>98</v>
      </c>
      <c r="D21" s="10">
        <f>AVERAGE('Precinct Vote Data'!H78:H81)</f>
        <v>0.3006325597</v>
      </c>
      <c r="E21" s="10">
        <f>AVERAGE(ABS('Precinct Vote Data'!H78-0.5),ABS('Precinct Vote Data'!H79-0.5),ABS('Precinct Vote Data'!H80-0.5),ABS('Precinct Vote Data'!H81-0.5))</f>
        <v>0.1993674403</v>
      </c>
      <c r="F21" s="10">
        <f>STDEV('Precinct Vote Data'!H78:H81)</f>
        <v>0.02877936758</v>
      </c>
      <c r="G21" s="5">
        <f>IF(('Precinct Vote Data'!H78&gt;0.5)&lt;&gt;('Precinct Vote Data'!H79&gt;0.5),1,0)+IF(('Precinct Vote Data'!H79&gt;0.5)&lt;&gt;('Precinct Vote Data'!H80&gt;0.5),1,0)+IF(('Precinct Vote Data'!H80&gt;0.5)&lt;&gt;('Precinct Vote Data'!H81&gt;0.5),1,0)</f>
        <v>0</v>
      </c>
      <c r="H21" s="2" t="str">
        <f t="shared" si="1"/>
        <v>Easy</v>
      </c>
    </row>
    <row r="22" ht="15.0" customHeight="1">
      <c r="A22" s="5" t="s">
        <v>16</v>
      </c>
      <c r="B22" s="5" t="s">
        <v>99</v>
      </c>
      <c r="C22" s="5" t="s">
        <v>100</v>
      </c>
      <c r="D22" s="10">
        <f>AVERAGE('Precinct Vote Data'!H82:H85)</f>
        <v>0.2036395615</v>
      </c>
      <c r="E22" s="10">
        <f>AVERAGE(ABS('Precinct Vote Data'!H82-0.5),ABS('Precinct Vote Data'!H83-0.5),ABS('Precinct Vote Data'!H84-0.5),ABS('Precinct Vote Data'!H85-0.5))</f>
        <v>0.2963604385</v>
      </c>
      <c r="F22" s="10">
        <f>STDEV('Precinct Vote Data'!H82:H85)</f>
        <v>0.01323288072</v>
      </c>
      <c r="G22" s="5">
        <f>IF(('Precinct Vote Data'!H82&gt;0.5)&lt;&gt;('Precinct Vote Data'!H83&gt;0.5),1,0)+IF(('Precinct Vote Data'!H83&gt;0.5)&lt;&gt;('Precinct Vote Data'!H84&gt;0.5),1,0)+IF(('Precinct Vote Data'!H84&gt;0.5)&lt;&gt;('Precinct Vote Data'!H85&gt;0.5),1,0)</f>
        <v>0</v>
      </c>
      <c r="H22" s="2" t="str">
        <f t="shared" si="1"/>
        <v>Easy</v>
      </c>
    </row>
    <row r="23" ht="15.0" customHeight="1">
      <c r="A23" s="5" t="s">
        <v>16</v>
      </c>
      <c r="B23" s="5" t="s">
        <v>101</v>
      </c>
      <c r="C23" s="5" t="s">
        <v>102</v>
      </c>
      <c r="D23" s="10">
        <f>AVERAGE('Precinct Vote Data'!H86:H89)</f>
        <v>0.4076200477</v>
      </c>
      <c r="E23" s="10">
        <f>AVERAGE(ABS('Precinct Vote Data'!H86-0.5),ABS('Precinct Vote Data'!H87-0.5),ABS('Precinct Vote Data'!H88-0.5),ABS('Precinct Vote Data'!H89-0.5))</f>
        <v>0.09237995233</v>
      </c>
      <c r="F23" s="10">
        <f>STDEV('Precinct Vote Data'!H86:H89)</f>
        <v>0.03539433238</v>
      </c>
      <c r="G23" s="5">
        <f>IF(('Precinct Vote Data'!H86&gt;0.5)&lt;&gt;('Precinct Vote Data'!H87&gt;0.5),1,0)+IF(('Precinct Vote Data'!H87&gt;0.5)&lt;&gt;('Precinct Vote Data'!H88&gt;0.5),1,0)+IF(('Precinct Vote Data'!H88&gt;0.5)&lt;&gt;('Precinct Vote Data'!H89&gt;0.5),1,0)</f>
        <v>0</v>
      </c>
      <c r="H23" s="2" t="str">
        <f t="shared" si="1"/>
        <v>Medium</v>
      </c>
    </row>
    <row r="24" ht="15.0" customHeight="1">
      <c r="A24" s="5" t="s">
        <v>16</v>
      </c>
      <c r="B24" s="5" t="s">
        <v>101</v>
      </c>
      <c r="C24" s="5" t="s">
        <v>103</v>
      </c>
      <c r="D24" s="10">
        <f>AVERAGE('Precinct Vote Data'!H90:H93)</f>
        <v>0.4227850573</v>
      </c>
      <c r="E24" s="10">
        <f>AVERAGE(ABS('Precinct Vote Data'!H90-0.5),ABS('Precinct Vote Data'!H91-0.5),ABS('Precinct Vote Data'!H92-0.5),ABS('Precinct Vote Data'!H93-0.5))</f>
        <v>0.07721494271</v>
      </c>
      <c r="F24" s="10">
        <f>STDEV('Precinct Vote Data'!H90:H93)</f>
        <v>0.03620213984</v>
      </c>
      <c r="G24" s="5">
        <f>IF(('Precinct Vote Data'!H90&gt;0.5)&lt;&gt;('Precinct Vote Data'!H91&gt;0.5),1,0)+IF(('Precinct Vote Data'!H91&gt;0.5)&lt;&gt;('Precinct Vote Data'!H92&gt;0.5),1,0)+IF(('Precinct Vote Data'!H92&gt;0.5)&lt;&gt;('Precinct Vote Data'!H93&gt;0.5),1,0)</f>
        <v>0</v>
      </c>
      <c r="H24" s="2" t="str">
        <f t="shared" si="1"/>
        <v>Medium</v>
      </c>
    </row>
    <row r="25" ht="15.0" customHeight="1">
      <c r="A25" s="5" t="s">
        <v>16</v>
      </c>
      <c r="B25" s="5" t="s">
        <v>101</v>
      </c>
      <c r="C25" s="5" t="s">
        <v>104</v>
      </c>
      <c r="D25" s="10">
        <f>AVERAGE('Precinct Vote Data'!H94:H97)</f>
        <v>0.4149677541</v>
      </c>
      <c r="E25" s="10">
        <f>AVERAGE(ABS('Precinct Vote Data'!H94-0.5),ABS('Precinct Vote Data'!H95-0.5),ABS('Precinct Vote Data'!H96-0.5),ABS('Precinct Vote Data'!H97-0.5))</f>
        <v>0.08503224585</v>
      </c>
      <c r="F25" s="10">
        <f>STDEV('Precinct Vote Data'!H94:H97)</f>
        <v>0.05950921904</v>
      </c>
      <c r="G25" s="5">
        <f>IF(('Precinct Vote Data'!H94&gt;0.5)&lt;&gt;('Precinct Vote Data'!H95&gt;0.5),1,0)+IF(('Precinct Vote Data'!H95&gt;0.5)&lt;&gt;('Precinct Vote Data'!H96&gt;0.5),1,0)+IF(('Precinct Vote Data'!H96&gt;0.5)&lt;&gt;('Precinct Vote Data'!H97&gt;0.5),1,0)</f>
        <v>0</v>
      </c>
      <c r="H25" s="2" t="str">
        <f t="shared" si="1"/>
        <v>Medium</v>
      </c>
    </row>
    <row r="26" ht="15.0" customHeight="1">
      <c r="A26" s="5" t="s">
        <v>16</v>
      </c>
      <c r="B26" s="5" t="s">
        <v>105</v>
      </c>
      <c r="C26" s="5" t="s">
        <v>106</v>
      </c>
      <c r="D26" s="10">
        <f>AVERAGE('Precinct Vote Data'!H98:H101)</f>
        <v>0.3048881068</v>
      </c>
      <c r="E26" s="10">
        <f>AVERAGE(ABS('Precinct Vote Data'!H98-0.5),ABS('Precinct Vote Data'!H99-0.5),ABS('Precinct Vote Data'!H100-0.5),ABS('Precinct Vote Data'!H101-0.5))</f>
        <v>0.1951118932</v>
      </c>
      <c r="F26" s="10">
        <f>STDEV('Precinct Vote Data'!H98:H101)</f>
        <v>0.03699734476</v>
      </c>
      <c r="G26" s="5">
        <f>IF(('Precinct Vote Data'!H98&gt;0.5)&lt;&gt;('Precinct Vote Data'!H99&gt;0.5),1,0)+IF(('Precinct Vote Data'!H99&gt;0.5)&lt;&gt;('Precinct Vote Data'!H100&gt;0.5),1,0)+IF(('Precinct Vote Data'!H100&gt;0.5)&lt;&gt;('Precinct Vote Data'!H101&gt;0.5),1,0)</f>
        <v>0</v>
      </c>
      <c r="H26" s="2" t="str">
        <f t="shared" si="1"/>
        <v>Easy</v>
      </c>
    </row>
    <row r="27" ht="15.0" customHeight="1">
      <c r="A27" s="5" t="s">
        <v>16</v>
      </c>
      <c r="B27" s="5" t="s">
        <v>105</v>
      </c>
      <c r="C27" s="5" t="s">
        <v>107</v>
      </c>
      <c r="D27" s="10">
        <f>AVERAGE('Precinct Vote Data'!H102:H105)</f>
        <v>0.3355440747</v>
      </c>
      <c r="E27" s="10">
        <f>AVERAGE(ABS('Precinct Vote Data'!H102-0.5),ABS('Precinct Vote Data'!H103-0.5),ABS('Precinct Vote Data'!H104-0.5),ABS('Precinct Vote Data'!H105-0.5))</f>
        <v>0.1644559253</v>
      </c>
      <c r="F27" s="10">
        <f>STDEV('Precinct Vote Data'!H102:H105)</f>
        <v>0.03847354207</v>
      </c>
      <c r="G27" s="5">
        <f>IF(('Precinct Vote Data'!H102&gt;0.5)&lt;&gt;('Precinct Vote Data'!H103&gt;0.5),1,0)+IF(('Precinct Vote Data'!H103&gt;0.5)&lt;&gt;('Precinct Vote Data'!H104&gt;0.5),1,0)+IF(('Precinct Vote Data'!H104&gt;0.5)&lt;&gt;('Precinct Vote Data'!H105&gt;0.5),1,0)</f>
        <v>0</v>
      </c>
      <c r="H27" s="2" t="str">
        <f t="shared" si="1"/>
        <v>Easy</v>
      </c>
    </row>
    <row r="28" ht="15.0" customHeight="1">
      <c r="A28" s="5" t="s">
        <v>16</v>
      </c>
      <c r="B28" s="5" t="s">
        <v>108</v>
      </c>
      <c r="C28" s="5" t="s">
        <v>109</v>
      </c>
      <c r="D28" s="10">
        <f>AVERAGE('Precinct Vote Data'!H106:H109)</f>
        <v>0.3150046747</v>
      </c>
      <c r="E28" s="10">
        <f>AVERAGE(ABS('Precinct Vote Data'!H106-0.5),ABS('Precinct Vote Data'!H107-0.5),ABS('Precinct Vote Data'!H108-0.5),ABS('Precinct Vote Data'!H109-0.5))</f>
        <v>0.1849953253</v>
      </c>
      <c r="F28" s="10">
        <f>STDEV('Precinct Vote Data'!H106:H109)</f>
        <v>0.0349071174</v>
      </c>
      <c r="G28" s="5">
        <f>IF(('Precinct Vote Data'!H106&gt;0.5)&lt;&gt;('Precinct Vote Data'!H107&gt;0.5),1,0)+IF(('Precinct Vote Data'!H107&gt;0.5)&lt;&gt;('Precinct Vote Data'!H108&gt;0.5),1,0)+IF(('Precinct Vote Data'!H108&gt;0.5)&lt;&gt;('Precinct Vote Data'!H109&gt;0.5),1,0)</f>
        <v>0</v>
      </c>
      <c r="H28" s="2" t="str">
        <f t="shared" si="1"/>
        <v>Easy</v>
      </c>
    </row>
    <row r="29" ht="15.0" customHeight="1">
      <c r="A29" s="5" t="s">
        <v>16</v>
      </c>
      <c r="B29" s="5" t="s">
        <v>108</v>
      </c>
      <c r="C29" s="5" t="s">
        <v>110</v>
      </c>
      <c r="D29" s="10">
        <f>AVERAGE('Precinct Vote Data'!H110:H113)</f>
        <v>0.2590414972</v>
      </c>
      <c r="E29" s="10">
        <f>AVERAGE(ABS('Precinct Vote Data'!H110-0.5),ABS('Precinct Vote Data'!H111-0.5),ABS('Precinct Vote Data'!H112-0.5),ABS('Precinct Vote Data'!H113-0.5))</f>
        <v>0.2409585028</v>
      </c>
      <c r="F29" s="10">
        <f>STDEV('Precinct Vote Data'!H110:H113)</f>
        <v>0.03067321814</v>
      </c>
      <c r="G29" s="5">
        <f>IF(('Precinct Vote Data'!H110&gt;0.5)&lt;&gt;('Precinct Vote Data'!H111&gt;0.5),1,0)+IF(('Precinct Vote Data'!H111&gt;0.5)&lt;&gt;('Precinct Vote Data'!H112&gt;0.5),1,0)+IF(('Precinct Vote Data'!H112&gt;0.5)&lt;&gt;('Precinct Vote Data'!H113&gt;0.5),1,0)</f>
        <v>0</v>
      </c>
      <c r="H29" s="2" t="str">
        <f t="shared" si="1"/>
        <v>Easy</v>
      </c>
    </row>
    <row r="30" ht="15.0" customHeight="1">
      <c r="A30" s="5" t="s">
        <v>16</v>
      </c>
      <c r="B30" s="5" t="s">
        <v>108</v>
      </c>
      <c r="C30" s="5" t="s">
        <v>111</v>
      </c>
      <c r="D30" s="10">
        <f>AVERAGE('Precinct Vote Data'!H114:H117)</f>
        <v>0.3160197298</v>
      </c>
      <c r="E30" s="10">
        <f>AVERAGE(ABS('Precinct Vote Data'!H114-0.5),ABS('Precinct Vote Data'!H115-0.5),ABS('Precinct Vote Data'!H116-0.5),ABS('Precinct Vote Data'!H117-0.5))</f>
        <v>0.1839802702</v>
      </c>
      <c r="F30" s="10">
        <f>STDEV('Precinct Vote Data'!H114:H117)</f>
        <v>0.039120462</v>
      </c>
      <c r="G30" s="5">
        <f>IF(('Precinct Vote Data'!H114&gt;0.5)&lt;&gt;('Precinct Vote Data'!H115&gt;0.5),1,0)+IF(('Precinct Vote Data'!H115&gt;0.5)&lt;&gt;('Precinct Vote Data'!H116&gt;0.5),1,0)+IF(('Precinct Vote Data'!H116&gt;0.5)&lt;&gt;('Precinct Vote Data'!H117&gt;0.5),1,0)</f>
        <v>0</v>
      </c>
      <c r="H30" s="2" t="str">
        <f t="shared" si="1"/>
        <v>Easy</v>
      </c>
    </row>
    <row r="31" ht="15.0" customHeight="1">
      <c r="A31" s="5" t="s">
        <v>16</v>
      </c>
      <c r="B31" s="5" t="s">
        <v>112</v>
      </c>
      <c r="C31" s="5" t="s">
        <v>113</v>
      </c>
      <c r="D31" s="10">
        <f>AVERAGE('Precinct Vote Data'!H118:H121)</f>
        <v>0.4196790287</v>
      </c>
      <c r="E31" s="10">
        <f>AVERAGE(ABS('Precinct Vote Data'!H118-0.5),ABS('Precinct Vote Data'!H119-0.5),ABS('Precinct Vote Data'!H120-0.5),ABS('Precinct Vote Data'!H121-0.5))</f>
        <v>0.08032097134</v>
      </c>
      <c r="F31" s="10">
        <f>STDEV('Precinct Vote Data'!H118:H121)</f>
        <v>0.04568705442</v>
      </c>
      <c r="G31" s="5">
        <f>IF(('Precinct Vote Data'!H118&gt;0.5)&lt;&gt;('Precinct Vote Data'!H119&gt;0.5),1,0)+IF(('Precinct Vote Data'!H119&gt;0.5)&lt;&gt;('Precinct Vote Data'!H120&gt;0.5),1,0)+IF(('Precinct Vote Data'!H120&gt;0.5)&lt;&gt;('Precinct Vote Data'!H121&gt;0.5),1,0)</f>
        <v>0</v>
      </c>
      <c r="H31" s="2" t="str">
        <f t="shared" si="1"/>
        <v>Medium</v>
      </c>
    </row>
    <row r="32" ht="15.0" customHeight="1">
      <c r="A32" s="5" t="s">
        <v>16</v>
      </c>
      <c r="B32" s="5" t="s">
        <v>112</v>
      </c>
      <c r="C32" s="5" t="s">
        <v>114</v>
      </c>
      <c r="D32" s="10">
        <f>AVERAGE('Precinct Vote Data'!H122:H125)</f>
        <v>0.4044331305</v>
      </c>
      <c r="E32" s="10">
        <f>AVERAGE(ABS('Precinct Vote Data'!H122-0.5),ABS('Precinct Vote Data'!H123-0.5),ABS('Precinct Vote Data'!H124-0.5),ABS('Precinct Vote Data'!H125-0.5))</f>
        <v>0.09556686952</v>
      </c>
      <c r="F32" s="10">
        <f>STDEV('Precinct Vote Data'!H122:H125)</f>
        <v>0.05045620401</v>
      </c>
      <c r="G32" s="5">
        <f>IF(('Precinct Vote Data'!H122&gt;0.5)&lt;&gt;('Precinct Vote Data'!H123&gt;0.5),1,0)+IF(('Precinct Vote Data'!H123&gt;0.5)&lt;&gt;('Precinct Vote Data'!H124&gt;0.5),1,0)+IF(('Precinct Vote Data'!H124&gt;0.5)&lt;&gt;('Precinct Vote Data'!H125&gt;0.5),1,0)</f>
        <v>0</v>
      </c>
      <c r="H32" s="2" t="str">
        <f t="shared" si="1"/>
        <v>Medium</v>
      </c>
    </row>
    <row r="33" ht="15.0" customHeight="1">
      <c r="A33" s="5" t="s">
        <v>16</v>
      </c>
      <c r="B33" s="5" t="s">
        <v>115</v>
      </c>
      <c r="C33" s="5" t="s">
        <v>116</v>
      </c>
      <c r="D33" s="10">
        <f>AVERAGE('Precinct Vote Data'!H126:H129)</f>
        <v>0.1969016507</v>
      </c>
      <c r="E33" s="10">
        <f>AVERAGE(ABS('Precinct Vote Data'!H126-0.5),ABS('Precinct Vote Data'!H127-0.5),ABS('Precinct Vote Data'!H128-0.5),ABS('Precinct Vote Data'!H129-0.5))</f>
        <v>0.3030983493</v>
      </c>
      <c r="F33" s="10">
        <f>STDEV('Precinct Vote Data'!H126:H129)</f>
        <v>0.02780750473</v>
      </c>
      <c r="G33" s="5">
        <f>IF(('Precinct Vote Data'!H126&gt;0.5)&lt;&gt;('Precinct Vote Data'!H127&gt;0.5),1,0)+IF(('Precinct Vote Data'!H127&gt;0.5)&lt;&gt;('Precinct Vote Data'!H128&gt;0.5),1,0)+IF(('Precinct Vote Data'!H128&gt;0.5)&lt;&gt;('Precinct Vote Data'!H129&gt;0.5),1,0)</f>
        <v>0</v>
      </c>
      <c r="H33" s="2" t="str">
        <f t="shared" si="1"/>
        <v>Easy</v>
      </c>
    </row>
    <row r="34" ht="15.0" customHeight="1">
      <c r="A34" s="5" t="s">
        <v>16</v>
      </c>
      <c r="B34" s="5" t="s">
        <v>117</v>
      </c>
      <c r="C34" s="5" t="s">
        <v>118</v>
      </c>
      <c r="D34" s="10">
        <f>AVERAGE('Precinct Vote Data'!H130:H133)</f>
        <v>0.3456851752</v>
      </c>
      <c r="E34" s="10">
        <f>AVERAGE(ABS('Precinct Vote Data'!H130-0.5),ABS('Precinct Vote Data'!H131-0.5),ABS('Precinct Vote Data'!H132-0.5),ABS('Precinct Vote Data'!H133-0.5))</f>
        <v>0.1543148248</v>
      </c>
      <c r="F34" s="10">
        <f>STDEV('Precinct Vote Data'!H130:H133)</f>
        <v>0.02281652426</v>
      </c>
      <c r="G34" s="5">
        <f>IF(('Precinct Vote Data'!H130&gt;0.5)&lt;&gt;('Precinct Vote Data'!H131&gt;0.5),1,0)+IF(('Precinct Vote Data'!H131&gt;0.5)&lt;&gt;('Precinct Vote Data'!H132&gt;0.5),1,0)+IF(('Precinct Vote Data'!H132&gt;0.5)&lt;&gt;('Precinct Vote Data'!H133&gt;0.5),1,0)</f>
        <v>0</v>
      </c>
      <c r="H34" s="2" t="str">
        <f t="shared" si="1"/>
        <v>Easy</v>
      </c>
    </row>
    <row r="35" ht="15.0" customHeight="1">
      <c r="A35" s="5" t="s">
        <v>16</v>
      </c>
      <c r="B35" s="5" t="s">
        <v>117</v>
      </c>
      <c r="C35" s="5" t="s">
        <v>119</v>
      </c>
      <c r="D35" s="10">
        <f>AVERAGE('Precinct Vote Data'!H134:H137)</f>
        <v>0.4038502495</v>
      </c>
      <c r="E35" s="10">
        <f>AVERAGE(ABS('Precinct Vote Data'!H134-0.5),ABS('Precinct Vote Data'!H135-0.5),ABS('Precinct Vote Data'!H136-0.5),ABS('Precinct Vote Data'!H137-0.5))</f>
        <v>0.09614975048</v>
      </c>
      <c r="F35" s="10">
        <f>STDEV('Precinct Vote Data'!H134:H137)</f>
        <v>0.03770204547</v>
      </c>
      <c r="G35" s="5">
        <f>IF(('Precinct Vote Data'!H134&gt;0.5)&lt;&gt;('Precinct Vote Data'!H135&gt;0.5),1,0)+IF(('Precinct Vote Data'!H135&gt;0.5)&lt;&gt;('Precinct Vote Data'!H136&gt;0.5),1,0)+IF(('Precinct Vote Data'!H136&gt;0.5)&lt;&gt;('Precinct Vote Data'!H137&gt;0.5),1,0)</f>
        <v>0</v>
      </c>
      <c r="H35" s="2" t="str">
        <f t="shared" si="1"/>
        <v>Medium</v>
      </c>
    </row>
    <row r="36" ht="15.0" customHeight="1">
      <c r="A36" s="5" t="s">
        <v>16</v>
      </c>
      <c r="B36" s="5" t="s">
        <v>117</v>
      </c>
      <c r="C36" s="5" t="s">
        <v>120</v>
      </c>
      <c r="D36" s="10">
        <f>AVERAGE('Precinct Vote Data'!H138:H141)</f>
        <v>0.3483600515</v>
      </c>
      <c r="E36" s="10">
        <f>AVERAGE(ABS('Precinct Vote Data'!H138-0.5),ABS('Precinct Vote Data'!H139-0.5),ABS('Precinct Vote Data'!H140-0.5),ABS('Precinct Vote Data'!H141-0.5))</f>
        <v>0.1516399485</v>
      </c>
      <c r="F36" s="10">
        <f>STDEV('Precinct Vote Data'!H138:H141)</f>
        <v>0.03399888003</v>
      </c>
      <c r="G36" s="5">
        <f>IF(('Precinct Vote Data'!H138&gt;0.5)&lt;&gt;('Precinct Vote Data'!H139&gt;0.5),1,0)+IF(('Precinct Vote Data'!H139&gt;0.5)&lt;&gt;('Precinct Vote Data'!H140&gt;0.5),1,0)+IF(('Precinct Vote Data'!H140&gt;0.5)&lt;&gt;('Precinct Vote Data'!H141&gt;0.5),1,0)</f>
        <v>0</v>
      </c>
      <c r="H36" s="2" t="str">
        <f t="shared" si="1"/>
        <v>Easy</v>
      </c>
    </row>
    <row r="37" ht="15.0" customHeight="1">
      <c r="A37" s="5" t="s">
        <v>16</v>
      </c>
      <c r="B37" s="5" t="s">
        <v>121</v>
      </c>
      <c r="C37" s="5" t="s">
        <v>122</v>
      </c>
      <c r="D37" s="10">
        <f>AVERAGE('Precinct Vote Data'!H142:H145)</f>
        <v>0.2862354096</v>
      </c>
      <c r="E37" s="10">
        <f>AVERAGE(ABS('Precinct Vote Data'!H142-0.5),ABS('Precinct Vote Data'!H143-0.5),ABS('Precinct Vote Data'!H144-0.5),ABS('Precinct Vote Data'!H145-0.5))</f>
        <v>0.2137645904</v>
      </c>
      <c r="F37" s="10">
        <f>STDEV('Precinct Vote Data'!H142:H145)</f>
        <v>0.03887219708</v>
      </c>
      <c r="G37" s="5">
        <f>IF(('Precinct Vote Data'!H142&gt;0.5)&lt;&gt;('Precinct Vote Data'!H143&gt;0.5),1,0)+IF(('Precinct Vote Data'!H143&gt;0.5)&lt;&gt;('Precinct Vote Data'!H144&gt;0.5),1,0)+IF(('Precinct Vote Data'!H144&gt;0.5)&lt;&gt;('Precinct Vote Data'!H145&gt;0.5),1,0)</f>
        <v>0</v>
      </c>
      <c r="H37" s="2" t="str">
        <f t="shared" si="1"/>
        <v>Easy</v>
      </c>
    </row>
    <row r="38" ht="15.0" customHeight="1">
      <c r="A38" s="5" t="s">
        <v>16</v>
      </c>
      <c r="B38" s="5" t="s">
        <v>123</v>
      </c>
      <c r="C38" s="5" t="s">
        <v>124</v>
      </c>
      <c r="D38" s="10">
        <f>AVERAGE('Precinct Vote Data'!H146:H149)</f>
        <v>0.3615890832</v>
      </c>
      <c r="E38" s="10">
        <f>AVERAGE(ABS('Precinct Vote Data'!H146-0.5),ABS('Precinct Vote Data'!H147-0.5),ABS('Precinct Vote Data'!H148-0.5),ABS('Precinct Vote Data'!H149-0.5))</f>
        <v>0.1384109168</v>
      </c>
      <c r="F38" s="10">
        <f>STDEV('Precinct Vote Data'!H146:H149)</f>
        <v>0.01986090361</v>
      </c>
      <c r="G38" s="5">
        <f>IF(('Precinct Vote Data'!H146&gt;0.5)&lt;&gt;('Precinct Vote Data'!H147&gt;0.5),1,0)+IF(('Precinct Vote Data'!H147&gt;0.5)&lt;&gt;('Precinct Vote Data'!H148&gt;0.5),1,0)+IF(('Precinct Vote Data'!H148&gt;0.5)&lt;&gt;('Precinct Vote Data'!H149&gt;0.5),1,0)</f>
        <v>0</v>
      </c>
      <c r="H38" s="2" t="str">
        <f t="shared" si="1"/>
        <v>Medium</v>
      </c>
    </row>
    <row r="39" ht="15.0" customHeight="1">
      <c r="A39" s="5" t="s">
        <v>16</v>
      </c>
      <c r="B39" s="5" t="s">
        <v>123</v>
      </c>
      <c r="C39" s="5" t="s">
        <v>125</v>
      </c>
      <c r="D39" s="10">
        <f>AVERAGE('Precinct Vote Data'!H150:H153)</f>
        <v>0.3328024054</v>
      </c>
      <c r="E39" s="10">
        <f>AVERAGE(ABS('Precinct Vote Data'!H150-0.5),ABS('Precinct Vote Data'!H151-0.5),ABS('Precinct Vote Data'!H152-0.5),ABS('Precinct Vote Data'!H153-0.5))</f>
        <v>0.1671975946</v>
      </c>
      <c r="F39" s="10">
        <f>STDEV('Precinct Vote Data'!H150:H153)</f>
        <v>0.03582395035</v>
      </c>
      <c r="G39" s="5">
        <f>IF(('Precinct Vote Data'!H150&gt;0.5)&lt;&gt;('Precinct Vote Data'!H151&gt;0.5),1,0)+IF(('Precinct Vote Data'!H151&gt;0.5)&lt;&gt;('Precinct Vote Data'!H152&gt;0.5),1,0)+IF(('Precinct Vote Data'!H152&gt;0.5)&lt;&gt;('Precinct Vote Data'!H153&gt;0.5),1,0)</f>
        <v>0</v>
      </c>
      <c r="H39" s="2" t="str">
        <f t="shared" si="1"/>
        <v>Easy</v>
      </c>
    </row>
    <row r="40" ht="15.0" customHeight="1">
      <c r="A40" s="5" t="s">
        <v>16</v>
      </c>
      <c r="B40" s="5" t="s">
        <v>123</v>
      </c>
      <c r="C40" s="5" t="s">
        <v>126</v>
      </c>
      <c r="D40" s="10">
        <f>AVERAGE('Precinct Vote Data'!H154:H157)</f>
        <v>0.4049512325</v>
      </c>
      <c r="E40" s="10">
        <f>AVERAGE(ABS('Precinct Vote Data'!H154-0.5),ABS('Precinct Vote Data'!H155-0.5),ABS('Precinct Vote Data'!H156-0.5),ABS('Precinct Vote Data'!H157-0.5))</f>
        <v>0.09504876745</v>
      </c>
      <c r="F40" s="10">
        <f>STDEV('Precinct Vote Data'!H154:H157)</f>
        <v>0.02787152575</v>
      </c>
      <c r="G40" s="5">
        <f>IF(('Precinct Vote Data'!H154&gt;0.5)&lt;&gt;('Precinct Vote Data'!H155&gt;0.5),1,0)+IF(('Precinct Vote Data'!H155&gt;0.5)&lt;&gt;('Precinct Vote Data'!H156&gt;0.5),1,0)+IF(('Precinct Vote Data'!H156&gt;0.5)&lt;&gt;('Precinct Vote Data'!H157&gt;0.5),1,0)</f>
        <v>0</v>
      </c>
      <c r="H40" s="2" t="str">
        <f t="shared" si="1"/>
        <v>Medium</v>
      </c>
    </row>
    <row r="41" ht="15.0" customHeight="1">
      <c r="A41" s="5" t="s">
        <v>16</v>
      </c>
      <c r="B41" s="5" t="s">
        <v>123</v>
      </c>
      <c r="C41" s="5" t="s">
        <v>127</v>
      </c>
      <c r="D41" s="10">
        <f>AVERAGE('Precinct Vote Data'!H158:H161)</f>
        <v>0.3821677367</v>
      </c>
      <c r="E41" s="10">
        <f>AVERAGE(ABS('Precinct Vote Data'!H158-0.5),ABS('Precinct Vote Data'!H159-0.5),ABS('Precinct Vote Data'!H160-0.5),ABS('Precinct Vote Data'!H161-0.5))</f>
        <v>0.1178322633</v>
      </c>
      <c r="F41" s="10">
        <f>STDEV('Precinct Vote Data'!H158:H161)</f>
        <v>0.01911416495</v>
      </c>
      <c r="G41" s="5">
        <f>IF(('Precinct Vote Data'!H158&gt;0.5)&lt;&gt;('Precinct Vote Data'!H159&gt;0.5),1,0)+IF(('Precinct Vote Data'!H159&gt;0.5)&lt;&gt;('Precinct Vote Data'!H160&gt;0.5),1,0)+IF(('Precinct Vote Data'!H160&gt;0.5)&lt;&gt;('Precinct Vote Data'!H161&gt;0.5),1,0)</f>
        <v>0</v>
      </c>
      <c r="H41" s="2" t="str">
        <f t="shared" si="1"/>
        <v>Medium</v>
      </c>
    </row>
    <row r="42" ht="15.0" customHeight="1">
      <c r="A42" s="5" t="s">
        <v>16</v>
      </c>
      <c r="B42" s="5" t="s">
        <v>123</v>
      </c>
      <c r="C42" s="5" t="s">
        <v>128</v>
      </c>
      <c r="D42" s="10">
        <f>AVERAGE('Precinct Vote Data'!H162:H165)</f>
        <v>0.395296208</v>
      </c>
      <c r="E42" s="10">
        <f>AVERAGE(ABS('Precinct Vote Data'!H162-0.5),ABS('Precinct Vote Data'!H163-0.5),ABS('Precinct Vote Data'!H164-0.5),ABS('Precinct Vote Data'!H165-0.5))</f>
        <v>0.104703792</v>
      </c>
      <c r="F42" s="10">
        <f>STDEV('Precinct Vote Data'!H162:H165)</f>
        <v>0.02834118053</v>
      </c>
      <c r="G42" s="5">
        <f>IF(('Precinct Vote Data'!H162&gt;0.5)&lt;&gt;('Precinct Vote Data'!H163&gt;0.5),1,0)+IF(('Precinct Vote Data'!H163&gt;0.5)&lt;&gt;('Precinct Vote Data'!H164&gt;0.5),1,0)+IF(('Precinct Vote Data'!H164&gt;0.5)&lt;&gt;('Precinct Vote Data'!H165&gt;0.5),1,0)</f>
        <v>0</v>
      </c>
      <c r="H42" s="2" t="str">
        <f t="shared" si="1"/>
        <v>Medium</v>
      </c>
    </row>
    <row r="43" ht="15.0" customHeight="1">
      <c r="A43" s="5" t="s">
        <v>16</v>
      </c>
      <c r="B43" s="5" t="s">
        <v>129</v>
      </c>
      <c r="C43" s="5" t="s">
        <v>130</v>
      </c>
      <c r="D43" s="10">
        <f>AVERAGE('Precinct Vote Data'!H166:H169)</f>
        <v>0.4903089615</v>
      </c>
      <c r="E43" s="10">
        <f>AVERAGE(ABS('Precinct Vote Data'!H166-0.5),ABS('Precinct Vote Data'!H167-0.5),ABS('Precinct Vote Data'!H168-0.5),ABS('Precinct Vote Data'!H169-0.5))</f>
        <v>0.04616790688</v>
      </c>
      <c r="F43" s="10">
        <f>STDEV('Precinct Vote Data'!H166:H169)</f>
        <v>0.05633756531</v>
      </c>
      <c r="G43" s="5">
        <f>IF(('Precinct Vote Data'!H166&gt;0.5)&lt;&gt;('Precinct Vote Data'!H167&gt;0.5),1,0)+IF(('Precinct Vote Data'!H167&gt;0.5)&lt;&gt;('Precinct Vote Data'!H168&gt;0.5),1,0)+IF(('Precinct Vote Data'!H168&gt;0.5)&lt;&gt;('Precinct Vote Data'!H169&gt;0.5),1,0)</f>
        <v>1</v>
      </c>
      <c r="H43" s="2" t="str">
        <f t="shared" si="1"/>
        <v>Hard</v>
      </c>
    </row>
    <row r="44" ht="15.0" customHeight="1">
      <c r="A44" s="5" t="s">
        <v>16</v>
      </c>
      <c r="B44" s="5" t="s">
        <v>129</v>
      </c>
      <c r="C44" s="5" t="s">
        <v>131</v>
      </c>
      <c r="D44" s="10">
        <f>AVERAGE('Precinct Vote Data'!H170:H173)</f>
        <v>0.5051593065</v>
      </c>
      <c r="E44" s="10">
        <f>AVERAGE(ABS('Precinct Vote Data'!H170-0.5),ABS('Precinct Vote Data'!H171-0.5),ABS('Precinct Vote Data'!H172-0.5),ABS('Precinct Vote Data'!H173-0.5))</f>
        <v>0.03518697514</v>
      </c>
      <c r="F44" s="10">
        <f>STDEV('Precinct Vote Data'!H170:H173)</f>
        <v>0.04414548509</v>
      </c>
      <c r="G44" s="5">
        <f>IF(('Precinct Vote Data'!H170&gt;0.5)&lt;&gt;('Precinct Vote Data'!H171&gt;0.5),1,0)+IF(('Precinct Vote Data'!H171&gt;0.5)&lt;&gt;('Precinct Vote Data'!H172&gt;0.5),1,0)+IF(('Precinct Vote Data'!H172&gt;0.5)&lt;&gt;('Precinct Vote Data'!H173&gt;0.5),1,0)</f>
        <v>3</v>
      </c>
      <c r="H44" s="2" t="str">
        <f t="shared" si="1"/>
        <v>Hard</v>
      </c>
    </row>
    <row r="45" ht="15.0" customHeight="1">
      <c r="A45" s="5" t="s">
        <v>16</v>
      </c>
      <c r="B45" s="5" t="s">
        <v>129</v>
      </c>
      <c r="C45" s="5" t="s">
        <v>132</v>
      </c>
      <c r="D45" s="10">
        <f>AVERAGE('Precinct Vote Data'!H174:H177)</f>
        <v>0.4166591771</v>
      </c>
      <c r="E45" s="10">
        <f>AVERAGE(ABS('Precinct Vote Data'!H174-0.5),ABS('Precinct Vote Data'!H175-0.5),ABS('Precinct Vote Data'!H176-0.5),ABS('Precinct Vote Data'!H177-0.5))</f>
        <v>0.08334082288</v>
      </c>
      <c r="F45" s="10">
        <f>STDEV('Precinct Vote Data'!H174:H177)</f>
        <v>0.05554162747</v>
      </c>
      <c r="G45" s="5">
        <f>IF(('Precinct Vote Data'!H174&gt;0.5)&lt;&gt;('Precinct Vote Data'!H175&gt;0.5),1,0)+IF(('Precinct Vote Data'!H175&gt;0.5)&lt;&gt;('Precinct Vote Data'!H176&gt;0.5),1,0)+IF(('Precinct Vote Data'!H176&gt;0.5)&lt;&gt;('Precinct Vote Data'!H177&gt;0.5),1,0)</f>
        <v>0</v>
      </c>
      <c r="H45" s="2" t="str">
        <f t="shared" si="1"/>
        <v>Medium</v>
      </c>
    </row>
    <row r="46" ht="15.0" customHeight="1">
      <c r="A46" s="5" t="s">
        <v>16</v>
      </c>
      <c r="B46" s="5" t="s">
        <v>129</v>
      </c>
      <c r="C46" s="5" t="s">
        <v>133</v>
      </c>
      <c r="D46" s="10">
        <f>AVERAGE('Precinct Vote Data'!H178:H181)</f>
        <v>0.3545309659</v>
      </c>
      <c r="E46" s="10">
        <f>AVERAGE(ABS('Precinct Vote Data'!H178-0.5),ABS('Precinct Vote Data'!H179-0.5),ABS('Precinct Vote Data'!H180-0.5),ABS('Precinct Vote Data'!H181-0.5))</f>
        <v>0.1454690341</v>
      </c>
      <c r="F46" s="10">
        <f>STDEV('Precinct Vote Data'!H178:H181)</f>
        <v>0.03250624711</v>
      </c>
      <c r="G46" s="5">
        <f>IF(('Precinct Vote Data'!H178&gt;0.5)&lt;&gt;('Precinct Vote Data'!H179&gt;0.5),1,0)+IF(('Precinct Vote Data'!H179&gt;0.5)&lt;&gt;('Precinct Vote Data'!H180&gt;0.5),1,0)+IF(('Precinct Vote Data'!H180&gt;0.5)&lt;&gt;('Precinct Vote Data'!H181&gt;0.5),1,0)</f>
        <v>0</v>
      </c>
      <c r="H46" s="2" t="str">
        <f t="shared" si="1"/>
        <v>Medium</v>
      </c>
    </row>
    <row r="47" ht="15.0" customHeight="1">
      <c r="A47" s="5" t="s">
        <v>16</v>
      </c>
      <c r="B47" s="5" t="s">
        <v>134</v>
      </c>
      <c r="C47" s="5" t="s">
        <v>135</v>
      </c>
      <c r="D47" s="10">
        <f>AVERAGE('Precinct Vote Data'!H182:H185)</f>
        <v>0.3139104614</v>
      </c>
      <c r="E47" s="10">
        <f>AVERAGE(ABS('Precinct Vote Data'!H182-0.5),ABS('Precinct Vote Data'!H183-0.5),ABS('Precinct Vote Data'!H184-0.5),ABS('Precinct Vote Data'!H185-0.5))</f>
        <v>0.1860895386</v>
      </c>
      <c r="F47" s="10">
        <f>STDEV('Precinct Vote Data'!H182:H185)</f>
        <v>0.02437950663</v>
      </c>
      <c r="G47" s="5">
        <f>IF(('Precinct Vote Data'!H182&gt;0.5)&lt;&gt;('Precinct Vote Data'!H183&gt;0.5),1,0)+IF(('Precinct Vote Data'!H183&gt;0.5)&lt;&gt;('Precinct Vote Data'!H184&gt;0.5),1,0)+IF(('Precinct Vote Data'!H184&gt;0.5)&lt;&gt;('Precinct Vote Data'!H185&gt;0.5),1,0)</f>
        <v>0</v>
      </c>
      <c r="H47" s="2" t="str">
        <f t="shared" si="1"/>
        <v>Easy</v>
      </c>
    </row>
    <row r="48" ht="15.0" customHeight="1">
      <c r="A48" s="5" t="s">
        <v>16</v>
      </c>
      <c r="B48" s="5" t="s">
        <v>134</v>
      </c>
      <c r="C48" s="5" t="s">
        <v>136</v>
      </c>
      <c r="D48" s="10">
        <f>AVERAGE('Precinct Vote Data'!H186:H189)</f>
        <v>0.2879468419</v>
      </c>
      <c r="E48" s="10">
        <f>AVERAGE(ABS('Precinct Vote Data'!H186-0.5),ABS('Precinct Vote Data'!H187-0.5),ABS('Precinct Vote Data'!H188-0.5),ABS('Precinct Vote Data'!H189-0.5))</f>
        <v>0.2120531581</v>
      </c>
      <c r="F48" s="10">
        <f>STDEV('Precinct Vote Data'!H186:H189)</f>
        <v>0.04679819399</v>
      </c>
      <c r="G48" s="5">
        <f>IF(('Precinct Vote Data'!H186&gt;0.5)&lt;&gt;('Precinct Vote Data'!H187&gt;0.5),1,0)+IF(('Precinct Vote Data'!H187&gt;0.5)&lt;&gt;('Precinct Vote Data'!H188&gt;0.5),1,0)+IF(('Precinct Vote Data'!H188&gt;0.5)&lt;&gt;('Precinct Vote Data'!H189&gt;0.5),1,0)</f>
        <v>0</v>
      </c>
      <c r="H48" s="2" t="str">
        <f t="shared" si="1"/>
        <v>Easy</v>
      </c>
    </row>
    <row r="49" ht="15.0" customHeight="1">
      <c r="A49" s="5" t="s">
        <v>16</v>
      </c>
      <c r="B49" s="5" t="s">
        <v>134</v>
      </c>
      <c r="C49" s="5" t="s">
        <v>137</v>
      </c>
      <c r="D49" s="10">
        <f>AVERAGE('Precinct Vote Data'!H190:H193)</f>
        <v>0.3071603508</v>
      </c>
      <c r="E49" s="10">
        <f>AVERAGE(ABS('Precinct Vote Data'!H190-0.5),ABS('Precinct Vote Data'!H191-0.5),ABS('Precinct Vote Data'!H192-0.5),ABS('Precinct Vote Data'!H193-0.5))</f>
        <v>0.1928396492</v>
      </c>
      <c r="F49" s="10">
        <f>STDEV('Precinct Vote Data'!H190:H193)</f>
        <v>0.02918157617</v>
      </c>
      <c r="G49" s="5">
        <f>IF(('Precinct Vote Data'!H190&gt;0.5)&lt;&gt;('Precinct Vote Data'!H191&gt;0.5),1,0)+IF(('Precinct Vote Data'!H191&gt;0.5)&lt;&gt;('Precinct Vote Data'!H192&gt;0.5),1,0)+IF(('Precinct Vote Data'!H192&gt;0.5)&lt;&gt;('Precinct Vote Data'!H193&gt;0.5),1,0)</f>
        <v>0</v>
      </c>
      <c r="H49" s="2" t="str">
        <f t="shared" si="1"/>
        <v>Easy</v>
      </c>
    </row>
    <row r="50" ht="15.0" customHeight="1">
      <c r="A50" s="5" t="s">
        <v>16</v>
      </c>
      <c r="B50" s="5" t="s">
        <v>138</v>
      </c>
      <c r="C50" s="5" t="s">
        <v>139</v>
      </c>
      <c r="D50" s="10">
        <f>AVERAGE('Precinct Vote Data'!H194:H197)</f>
        <v>0.2946546997</v>
      </c>
      <c r="E50" s="10">
        <f>AVERAGE(ABS('Precinct Vote Data'!H194-0.5),ABS('Precinct Vote Data'!H195-0.5),ABS('Precinct Vote Data'!H196-0.5),ABS('Precinct Vote Data'!H197-0.5))</f>
        <v>0.2053453003</v>
      </c>
      <c r="F50" s="10">
        <f>STDEV('Precinct Vote Data'!H194:H197)</f>
        <v>0.02708942392</v>
      </c>
      <c r="G50" s="5">
        <f>IF(('Precinct Vote Data'!H194&gt;0.5)&lt;&gt;('Precinct Vote Data'!H195&gt;0.5),1,0)+IF(('Precinct Vote Data'!H195&gt;0.5)&lt;&gt;('Precinct Vote Data'!H196&gt;0.5),1,0)+IF(('Precinct Vote Data'!H196&gt;0.5)&lt;&gt;('Precinct Vote Data'!H197&gt;0.5),1,0)</f>
        <v>0</v>
      </c>
      <c r="H50" s="2" t="str">
        <f t="shared" si="1"/>
        <v>Easy</v>
      </c>
    </row>
    <row r="51" ht="15.0" customHeight="1">
      <c r="A51" s="5" t="s">
        <v>16</v>
      </c>
      <c r="B51" s="5" t="s">
        <v>138</v>
      </c>
      <c r="C51" s="5" t="s">
        <v>140</v>
      </c>
      <c r="D51" s="10">
        <f>AVERAGE('Precinct Vote Data'!H198:H201)</f>
        <v>0.2743492967</v>
      </c>
      <c r="E51" s="10">
        <f>AVERAGE(ABS('Precinct Vote Data'!H198-0.5),ABS('Precinct Vote Data'!H199-0.5),ABS('Precinct Vote Data'!H200-0.5),ABS('Precinct Vote Data'!H201-0.5))</f>
        <v>0.2256507033</v>
      </c>
      <c r="F51" s="10">
        <f>STDEV('Precinct Vote Data'!H198:H201)</f>
        <v>0.02633860698</v>
      </c>
      <c r="G51" s="5">
        <f>IF(('Precinct Vote Data'!H198&gt;0.5)&lt;&gt;('Precinct Vote Data'!H199&gt;0.5),1,0)+IF(('Precinct Vote Data'!H199&gt;0.5)&lt;&gt;('Precinct Vote Data'!H200&gt;0.5),1,0)+IF(('Precinct Vote Data'!H200&gt;0.5)&lt;&gt;('Precinct Vote Data'!H201&gt;0.5),1,0)</f>
        <v>0</v>
      </c>
      <c r="H51" s="2" t="str">
        <f t="shared" si="1"/>
        <v>Easy</v>
      </c>
    </row>
    <row r="52" ht="15.0" customHeight="1">
      <c r="A52" s="5" t="s">
        <v>16</v>
      </c>
      <c r="B52" s="5" t="s">
        <v>141</v>
      </c>
      <c r="C52" s="5" t="s">
        <v>142</v>
      </c>
      <c r="D52" s="10">
        <f>AVERAGE('Precinct Vote Data'!H202:H205)</f>
        <v>0.4328152652</v>
      </c>
      <c r="E52" s="10">
        <f>AVERAGE(ABS('Precinct Vote Data'!H202-0.5),ABS('Precinct Vote Data'!H203-0.5),ABS('Precinct Vote Data'!H204-0.5),ABS('Precinct Vote Data'!H205-0.5))</f>
        <v>0.07228677565</v>
      </c>
      <c r="F52" s="10">
        <f>STDEV('Precinct Vote Data'!H202:H205)</f>
        <v>0.06687316124</v>
      </c>
      <c r="G52" s="5">
        <f>IF(('Precinct Vote Data'!H202&gt;0.5)&lt;&gt;('Precinct Vote Data'!H203&gt;0.5),1,0)+IF(('Precinct Vote Data'!H203&gt;0.5)&lt;&gt;('Precinct Vote Data'!H204&gt;0.5),1,0)+IF(('Precinct Vote Data'!H204&gt;0.5)&lt;&gt;('Precinct Vote Data'!H205&gt;0.5),1,0)</f>
        <v>1</v>
      </c>
      <c r="H52" s="2" t="str">
        <f t="shared" si="1"/>
        <v>Hard</v>
      </c>
    </row>
    <row r="53" ht="15.0" customHeight="1">
      <c r="A53" s="5" t="s">
        <v>143</v>
      </c>
      <c r="B53" s="5" t="s">
        <v>144</v>
      </c>
      <c r="C53" s="5" t="s">
        <v>18</v>
      </c>
      <c r="D53" s="10">
        <f>AVERAGE('Precinct Vote Data'!H206:H209)</f>
        <v>0.4805553334</v>
      </c>
      <c r="E53" s="10">
        <f>AVERAGE(ABS('Precinct Vote Data'!H206-0.5),ABS('Precinct Vote Data'!H207-0.5),ABS('Precinct Vote Data'!H208-0.5),ABS('Precinct Vote Data'!H209-0.5))</f>
        <v>0.03339815497</v>
      </c>
      <c r="F53" s="10">
        <f>STDEV('Precinct Vote Data'!H206:H209)</f>
        <v>0.03719143648</v>
      </c>
      <c r="G53" s="5">
        <f>IF(('Precinct Vote Data'!H206&gt;0.5)&lt;&gt;('Precinct Vote Data'!H207&gt;0.5),1,0)+IF(('Precinct Vote Data'!H207&gt;0.5)&lt;&gt;('Precinct Vote Data'!H208&gt;0.5),1,0)+IF(('Precinct Vote Data'!H208&gt;0.5)&lt;&gt;('Precinct Vote Data'!H209&gt;0.5),1,0)</f>
        <v>1</v>
      </c>
      <c r="H53" s="2" t="str">
        <f t="shared" si="1"/>
        <v>Hard</v>
      </c>
    </row>
    <row r="54" ht="15.0" customHeight="1">
      <c r="A54" s="5" t="s">
        <v>143</v>
      </c>
      <c r="B54" s="5" t="s">
        <v>145</v>
      </c>
      <c r="C54" s="5" t="s">
        <v>146</v>
      </c>
      <c r="D54" s="10">
        <f>AVERAGE('Precinct Vote Data'!H210:H213)</f>
        <v>0.80712108</v>
      </c>
      <c r="E54" s="10">
        <f>AVERAGE(ABS('Precinct Vote Data'!H210-0.5),ABS('Precinct Vote Data'!H211-0.5),ABS('Precinct Vote Data'!H212-0.5),ABS('Precinct Vote Data'!H213-0.5))</f>
        <v>0.30712108</v>
      </c>
      <c r="F54" s="10">
        <f>STDEV('Precinct Vote Data'!H210:H213)</f>
        <v>0.08135855505</v>
      </c>
      <c r="G54" s="5">
        <f>IF(('Precinct Vote Data'!H210&gt;0.5)&lt;&gt;('Precinct Vote Data'!H211&gt;0.5),1,0)+IF(('Precinct Vote Data'!H211&gt;0.5)&lt;&gt;('Precinct Vote Data'!H212&gt;0.5),1,0)+IF(('Precinct Vote Data'!H212&gt;0.5)&lt;&gt;('Precinct Vote Data'!H213&gt;0.5),1,0)</f>
        <v>0</v>
      </c>
      <c r="H54" s="2" t="str">
        <f t="shared" si="1"/>
        <v>Medium</v>
      </c>
    </row>
    <row r="55" ht="15.0" customHeight="1">
      <c r="A55" s="5" t="s">
        <v>143</v>
      </c>
      <c r="B55" s="5" t="s">
        <v>145</v>
      </c>
      <c r="C55" s="5" t="s">
        <v>147</v>
      </c>
      <c r="D55" s="10">
        <f>AVERAGE('Precinct Vote Data'!H214:H217)</f>
        <v>0.775447283</v>
      </c>
      <c r="E55" s="10">
        <f>AVERAGE(ABS('Precinct Vote Data'!H214-0.5),ABS('Precinct Vote Data'!H215-0.5),ABS('Precinct Vote Data'!H216-0.5),ABS('Precinct Vote Data'!H217-0.5))</f>
        <v>0.275447283</v>
      </c>
      <c r="F55" s="10">
        <f>STDEV('Precinct Vote Data'!H214:H217)</f>
        <v>0.06762137112</v>
      </c>
      <c r="G55" s="5">
        <f>IF(('Precinct Vote Data'!H214&gt;0.5)&lt;&gt;('Precinct Vote Data'!H215&gt;0.5),1,0)+IF(('Precinct Vote Data'!H215&gt;0.5)&lt;&gt;('Precinct Vote Data'!H216&gt;0.5),1,0)+IF(('Precinct Vote Data'!H216&gt;0.5)&lt;&gt;('Precinct Vote Data'!H217&gt;0.5),1,0)</f>
        <v>0</v>
      </c>
      <c r="H55" s="2" t="str">
        <f t="shared" si="1"/>
        <v>Medium</v>
      </c>
    </row>
    <row r="56" ht="15.0" customHeight="1">
      <c r="A56" s="5" t="s">
        <v>143</v>
      </c>
      <c r="B56" s="5" t="s">
        <v>145</v>
      </c>
      <c r="C56" s="5" t="s">
        <v>55</v>
      </c>
      <c r="D56" s="10">
        <f>AVERAGE('Precinct Vote Data'!H218:H221)</f>
        <v>0.7981622965</v>
      </c>
      <c r="E56" s="10">
        <f>AVERAGE(ABS('Precinct Vote Data'!H218-0.5),ABS('Precinct Vote Data'!H219-0.5),ABS('Precinct Vote Data'!H220-0.5),ABS('Precinct Vote Data'!H221-0.5))</f>
        <v>0.2981622965</v>
      </c>
      <c r="F56" s="10">
        <f>STDEV('Precinct Vote Data'!H218:H221)</f>
        <v>0.06831817416</v>
      </c>
      <c r="G56" s="5">
        <f>IF(('Precinct Vote Data'!H218&gt;0.5)&lt;&gt;('Precinct Vote Data'!H219&gt;0.5),1,0)+IF(('Precinct Vote Data'!H219&gt;0.5)&lt;&gt;('Precinct Vote Data'!H220&gt;0.5),1,0)+IF(('Precinct Vote Data'!H220&gt;0.5)&lt;&gt;('Precinct Vote Data'!H221&gt;0.5),1,0)</f>
        <v>0</v>
      </c>
      <c r="H56" s="2" t="str">
        <f t="shared" si="1"/>
        <v>Medium</v>
      </c>
    </row>
    <row r="57" ht="15.0" customHeight="1">
      <c r="A57" s="5" t="s">
        <v>143</v>
      </c>
      <c r="B57" s="5" t="s">
        <v>145</v>
      </c>
      <c r="C57" s="5" t="s">
        <v>57</v>
      </c>
      <c r="D57" s="10">
        <f>AVERAGE('Precinct Vote Data'!H222:H225)</f>
        <v>0.7511120073</v>
      </c>
      <c r="E57" s="10">
        <f>AVERAGE(ABS('Precinct Vote Data'!H222-0.5),ABS('Precinct Vote Data'!H223-0.5),ABS('Precinct Vote Data'!H224-0.5),ABS('Precinct Vote Data'!H225-0.5))</f>
        <v>0.2511120073</v>
      </c>
      <c r="F57" s="10">
        <f>STDEV('Precinct Vote Data'!H222:H225)</f>
        <v>0.06167315466</v>
      </c>
      <c r="G57" s="5">
        <f>IF(('Precinct Vote Data'!H222&gt;0.5)&lt;&gt;('Precinct Vote Data'!H223&gt;0.5),1,0)+IF(('Precinct Vote Data'!H223&gt;0.5)&lt;&gt;('Precinct Vote Data'!H224&gt;0.5),1,0)+IF(('Precinct Vote Data'!H224&gt;0.5)&lt;&gt;('Precinct Vote Data'!H225&gt;0.5),1,0)</f>
        <v>0</v>
      </c>
      <c r="H57" s="2" t="str">
        <f t="shared" si="1"/>
        <v>Medium</v>
      </c>
    </row>
    <row r="58" ht="15.0" customHeight="1">
      <c r="A58" s="5" t="s">
        <v>143</v>
      </c>
      <c r="B58" s="5" t="s">
        <v>145</v>
      </c>
      <c r="C58" s="5" t="s">
        <v>59</v>
      </c>
      <c r="D58" s="10">
        <f>AVERAGE('Precinct Vote Data'!H226:H229)</f>
        <v>0.8009843036</v>
      </c>
      <c r="E58" s="10">
        <f>AVERAGE(ABS('Precinct Vote Data'!H226-0.5),ABS('Precinct Vote Data'!H227-0.5),ABS('Precinct Vote Data'!H228-0.5),ABS('Precinct Vote Data'!H229-0.5))</f>
        <v>0.3009843036</v>
      </c>
      <c r="F58" s="10">
        <f>STDEV('Precinct Vote Data'!H226:H229)</f>
        <v>0.04452777479</v>
      </c>
      <c r="G58" s="5">
        <f>IF(('Precinct Vote Data'!H226&gt;0.5)&lt;&gt;('Precinct Vote Data'!H227&gt;0.5),1,0)+IF(('Precinct Vote Data'!H227&gt;0.5)&lt;&gt;('Precinct Vote Data'!H228&gt;0.5),1,0)+IF(('Precinct Vote Data'!H228&gt;0.5)&lt;&gt;('Precinct Vote Data'!H229&gt;0.5),1,0)</f>
        <v>0</v>
      </c>
      <c r="H58" s="2" t="str">
        <f t="shared" si="1"/>
        <v>Easy</v>
      </c>
    </row>
    <row r="59" ht="15.0" customHeight="1">
      <c r="A59" s="5" t="s">
        <v>143</v>
      </c>
      <c r="B59" s="5" t="s">
        <v>145</v>
      </c>
      <c r="C59" s="5" t="s">
        <v>63</v>
      </c>
      <c r="D59" s="10">
        <f>AVERAGE('Precinct Vote Data'!H230:H233)</f>
        <v>0.741154294</v>
      </c>
      <c r="E59" s="10">
        <f>AVERAGE(ABS('Precinct Vote Data'!H230-0.5),ABS('Precinct Vote Data'!H231-0.5),ABS('Precinct Vote Data'!H232-0.5),ABS('Precinct Vote Data'!H233-0.5))</f>
        <v>0.241154294</v>
      </c>
      <c r="F59" s="10">
        <f>STDEV('Precinct Vote Data'!H230:H233)</f>
        <v>0.08959615943</v>
      </c>
      <c r="G59" s="5">
        <f>IF(('Precinct Vote Data'!H230&gt;0.5)&lt;&gt;('Precinct Vote Data'!H231&gt;0.5),1,0)+IF(('Precinct Vote Data'!H231&gt;0.5)&lt;&gt;('Precinct Vote Data'!H232&gt;0.5),1,0)+IF(('Precinct Vote Data'!H232&gt;0.5)&lt;&gt;('Precinct Vote Data'!H233&gt;0.5),1,0)</f>
        <v>0</v>
      </c>
      <c r="H59" s="2" t="str">
        <f t="shared" si="1"/>
        <v>Medium</v>
      </c>
    </row>
    <row r="60" ht="15.0" customHeight="1">
      <c r="A60" s="5" t="s">
        <v>143</v>
      </c>
      <c r="B60" s="5" t="s">
        <v>145</v>
      </c>
      <c r="C60" s="5" t="s">
        <v>73</v>
      </c>
      <c r="D60" s="10">
        <f>AVERAGE('Precinct Vote Data'!H234:H237)</f>
        <v>0.7053509706</v>
      </c>
      <c r="E60" s="10">
        <f>AVERAGE(ABS('Precinct Vote Data'!H234-0.5),ABS('Precinct Vote Data'!H235-0.5),ABS('Precinct Vote Data'!H236-0.5),ABS('Precinct Vote Data'!H237-0.5))</f>
        <v>0.2053509706</v>
      </c>
      <c r="F60" s="10">
        <f>STDEV('Precinct Vote Data'!H234:H237)</f>
        <v>0.06660011198</v>
      </c>
      <c r="G60" s="5">
        <f>IF(('Precinct Vote Data'!H234&gt;0.5)&lt;&gt;('Precinct Vote Data'!H235&gt;0.5),1,0)+IF(('Precinct Vote Data'!H235&gt;0.5)&lt;&gt;('Precinct Vote Data'!H236&gt;0.5),1,0)+IF(('Precinct Vote Data'!H236&gt;0.5)&lt;&gt;('Precinct Vote Data'!H237&gt;0.5),1,0)</f>
        <v>0</v>
      </c>
      <c r="H60" s="2" t="str">
        <f t="shared" si="1"/>
        <v>Medium</v>
      </c>
    </row>
    <row r="61" ht="15.0" customHeight="1">
      <c r="A61" s="5" t="s">
        <v>143</v>
      </c>
      <c r="B61" s="5" t="s">
        <v>145</v>
      </c>
      <c r="C61" s="5" t="s">
        <v>74</v>
      </c>
      <c r="D61" s="10">
        <f>AVERAGE('Precinct Vote Data'!H238:H241)</f>
        <v>0.7807664452</v>
      </c>
      <c r="E61" s="10">
        <f>AVERAGE(ABS('Precinct Vote Data'!H238-0.5),ABS('Precinct Vote Data'!H239-0.5),ABS('Precinct Vote Data'!H240-0.5),ABS('Precinct Vote Data'!H241-0.5))</f>
        <v>0.2807664452</v>
      </c>
      <c r="F61" s="10">
        <f>STDEV('Precinct Vote Data'!H238:H241)</f>
        <v>0.05176272767</v>
      </c>
      <c r="G61" s="5">
        <f>IF(('Precinct Vote Data'!H238&gt;0.5)&lt;&gt;('Precinct Vote Data'!H239&gt;0.5),1,0)+IF(('Precinct Vote Data'!H239&gt;0.5)&lt;&gt;('Precinct Vote Data'!H240&gt;0.5),1,0)+IF(('Precinct Vote Data'!H240&gt;0.5)&lt;&gt;('Precinct Vote Data'!H241&gt;0.5),1,0)</f>
        <v>0</v>
      </c>
      <c r="H61" s="2" t="str">
        <f t="shared" si="1"/>
        <v>Medium</v>
      </c>
    </row>
    <row r="62" ht="15.0" customHeight="1">
      <c r="A62" s="5" t="s">
        <v>143</v>
      </c>
      <c r="B62" s="5" t="s">
        <v>145</v>
      </c>
      <c r="C62" s="5" t="s">
        <v>78</v>
      </c>
      <c r="D62" s="10">
        <f>AVERAGE('Precinct Vote Data'!H242:H245)</f>
        <v>0.7810165158</v>
      </c>
      <c r="E62" s="10">
        <f>AVERAGE(ABS('Precinct Vote Data'!H242-0.5),ABS('Precinct Vote Data'!H243-0.5),ABS('Precinct Vote Data'!H244-0.5),ABS('Precinct Vote Data'!H245-0.5))</f>
        <v>0.2810165158</v>
      </c>
      <c r="F62" s="10">
        <f>STDEV('Precinct Vote Data'!H242:H245)</f>
        <v>0.06322895173</v>
      </c>
      <c r="G62" s="5">
        <f>IF(('Precinct Vote Data'!H242&gt;0.5)&lt;&gt;('Precinct Vote Data'!H243&gt;0.5),1,0)+IF(('Precinct Vote Data'!H243&gt;0.5)&lt;&gt;('Precinct Vote Data'!H244&gt;0.5),1,0)+IF(('Precinct Vote Data'!H244&gt;0.5)&lt;&gt;('Precinct Vote Data'!H245&gt;0.5),1,0)</f>
        <v>0</v>
      </c>
      <c r="H62" s="2" t="str">
        <f t="shared" si="1"/>
        <v>Medium</v>
      </c>
    </row>
    <row r="63" ht="15.0" customHeight="1">
      <c r="A63" s="5" t="s">
        <v>143</v>
      </c>
      <c r="B63" s="5" t="s">
        <v>145</v>
      </c>
      <c r="C63" s="5" t="s">
        <v>79</v>
      </c>
      <c r="D63" s="10">
        <f>AVERAGE('Precinct Vote Data'!H246:H249)</f>
        <v>0.8022985501</v>
      </c>
      <c r="E63" s="10">
        <f>AVERAGE(ABS('Precinct Vote Data'!H246-0.5),ABS('Precinct Vote Data'!H247-0.5),ABS('Precinct Vote Data'!H248-0.5),ABS('Precinct Vote Data'!H249-0.5))</f>
        <v>0.3022985501</v>
      </c>
      <c r="F63" s="10">
        <f>STDEV('Precinct Vote Data'!H246:H249)</f>
        <v>0.07292933528</v>
      </c>
      <c r="G63" s="5">
        <f>IF(('Precinct Vote Data'!H246&gt;0.5)&lt;&gt;('Precinct Vote Data'!H247&gt;0.5),1,0)+IF(('Precinct Vote Data'!H247&gt;0.5)&lt;&gt;('Precinct Vote Data'!H248&gt;0.5),1,0)+IF(('Precinct Vote Data'!H248&gt;0.5)&lt;&gt;('Precinct Vote Data'!H249&gt;0.5),1,0)</f>
        <v>0</v>
      </c>
      <c r="H63" s="2" t="str">
        <f t="shared" si="1"/>
        <v>Medium</v>
      </c>
    </row>
    <row r="64" ht="15.0" customHeight="1">
      <c r="A64" s="5" t="s">
        <v>143</v>
      </c>
      <c r="B64" s="5" t="s">
        <v>145</v>
      </c>
      <c r="C64" s="5" t="s">
        <v>87</v>
      </c>
      <c r="D64" s="10">
        <f>AVERAGE('Precinct Vote Data'!H250:H253)</f>
        <v>0.7970761588</v>
      </c>
      <c r="E64" s="10">
        <f>AVERAGE(ABS('Precinct Vote Data'!H250-0.5),ABS('Precinct Vote Data'!H251-0.5),ABS('Precinct Vote Data'!H252-0.5),ABS('Precinct Vote Data'!H253-0.5))</f>
        <v>0.2970761588</v>
      </c>
      <c r="F64" s="10">
        <f>STDEV('Precinct Vote Data'!H250:H253)</f>
        <v>0.05714573012</v>
      </c>
      <c r="G64" s="5">
        <f>IF(('Precinct Vote Data'!H250&gt;0.5)&lt;&gt;('Precinct Vote Data'!H251&gt;0.5),1,0)+IF(('Precinct Vote Data'!H251&gt;0.5)&lt;&gt;('Precinct Vote Data'!H252&gt;0.5),1,0)+IF(('Precinct Vote Data'!H252&gt;0.5)&lt;&gt;('Precinct Vote Data'!H253&gt;0.5),1,0)</f>
        <v>0</v>
      </c>
      <c r="H64" s="2" t="str">
        <f t="shared" si="1"/>
        <v>Medium</v>
      </c>
    </row>
    <row r="65" ht="15.0" customHeight="1">
      <c r="A65" s="5" t="s">
        <v>143</v>
      </c>
      <c r="B65" s="5" t="s">
        <v>145</v>
      </c>
      <c r="C65" s="5" t="s">
        <v>88</v>
      </c>
      <c r="D65" s="10">
        <f>AVERAGE('Precinct Vote Data'!H254:H257)</f>
        <v>0.7063786229</v>
      </c>
      <c r="E65" s="10">
        <f>AVERAGE(ABS('Precinct Vote Data'!H254-0.5),ABS('Precinct Vote Data'!H255-0.5),ABS('Precinct Vote Data'!H256-0.5),ABS('Precinct Vote Data'!H257-0.5))</f>
        <v>0.2063786229</v>
      </c>
      <c r="F65" s="10">
        <f>STDEV('Precinct Vote Data'!H254:H257)</f>
        <v>0.04486489674</v>
      </c>
      <c r="G65" s="5">
        <f>IF(('Precinct Vote Data'!H254&gt;0.5)&lt;&gt;('Precinct Vote Data'!H255&gt;0.5),1,0)+IF(('Precinct Vote Data'!H255&gt;0.5)&lt;&gt;('Precinct Vote Data'!H256&gt;0.5),1,0)+IF(('Precinct Vote Data'!H256&gt;0.5)&lt;&gt;('Precinct Vote Data'!H257&gt;0.5),1,0)</f>
        <v>0</v>
      </c>
      <c r="H65" s="2" t="str">
        <f t="shared" si="1"/>
        <v>Easy</v>
      </c>
    </row>
    <row r="66" ht="15.0" customHeight="1">
      <c r="A66" s="5" t="s">
        <v>143</v>
      </c>
      <c r="B66" s="5" t="s">
        <v>145</v>
      </c>
      <c r="C66" s="5" t="s">
        <v>89</v>
      </c>
      <c r="D66" s="10">
        <f>AVERAGE('Precinct Vote Data'!H258:H261)</f>
        <v>0.7426035821</v>
      </c>
      <c r="E66" s="10">
        <f>AVERAGE(ABS('Precinct Vote Data'!H258-0.5),ABS('Precinct Vote Data'!H259-0.5),ABS('Precinct Vote Data'!H260-0.5),ABS('Precinct Vote Data'!H261-0.5))</f>
        <v>0.2426035821</v>
      </c>
      <c r="F66" s="10">
        <f>STDEV('Precinct Vote Data'!H258:H261)</f>
        <v>0.05269226806</v>
      </c>
      <c r="G66" s="5">
        <f>IF(('Precinct Vote Data'!H258&gt;0.5)&lt;&gt;('Precinct Vote Data'!H259&gt;0.5),1,0)+IF(('Precinct Vote Data'!H259&gt;0.5)&lt;&gt;('Precinct Vote Data'!H260&gt;0.5),1,0)+IF(('Precinct Vote Data'!H260&gt;0.5)&lt;&gt;('Precinct Vote Data'!H261&gt;0.5),1,0)</f>
        <v>0</v>
      </c>
      <c r="H66" s="2" t="str">
        <f t="shared" si="1"/>
        <v>Medium</v>
      </c>
    </row>
    <row r="67" ht="15.0" customHeight="1">
      <c r="A67" s="5" t="s">
        <v>143</v>
      </c>
      <c r="B67" s="5" t="s">
        <v>145</v>
      </c>
      <c r="C67" s="5" t="s">
        <v>91</v>
      </c>
      <c r="D67" s="10">
        <f>AVERAGE('Precinct Vote Data'!H262:H265)</f>
        <v>0.7690003677</v>
      </c>
      <c r="E67" s="10">
        <f>AVERAGE(ABS('Precinct Vote Data'!H262-0.5),ABS('Precinct Vote Data'!H263-0.5),ABS('Precinct Vote Data'!H264-0.5),ABS('Precinct Vote Data'!H265-0.5))</f>
        <v>0.2690003677</v>
      </c>
      <c r="F67" s="10">
        <f>STDEV('Precinct Vote Data'!H262:H265)</f>
        <v>0.0789120153</v>
      </c>
      <c r="G67" s="5">
        <f>IF(('Precinct Vote Data'!H262&gt;0.5)&lt;&gt;('Precinct Vote Data'!H263&gt;0.5),1,0)+IF(('Precinct Vote Data'!H263&gt;0.5)&lt;&gt;('Precinct Vote Data'!H264&gt;0.5),1,0)+IF(('Precinct Vote Data'!H264&gt;0.5)&lt;&gt;('Precinct Vote Data'!H265&gt;0.5),1,0)</f>
        <v>0</v>
      </c>
      <c r="H67" s="2" t="str">
        <f t="shared" si="1"/>
        <v>Medium</v>
      </c>
    </row>
    <row r="68" ht="15.0" customHeight="1">
      <c r="A68" s="5" t="s">
        <v>143</v>
      </c>
      <c r="B68" s="5" t="s">
        <v>145</v>
      </c>
      <c r="C68" s="5" t="s">
        <v>92</v>
      </c>
      <c r="D68" s="10">
        <f>AVERAGE('Precinct Vote Data'!H266:H269)</f>
        <v>0.630564431</v>
      </c>
      <c r="E68" s="10">
        <f>AVERAGE(ABS('Precinct Vote Data'!H266-0.5),ABS('Precinct Vote Data'!H267-0.5),ABS('Precinct Vote Data'!H268-0.5),ABS('Precinct Vote Data'!H269-0.5))</f>
        <v>0.130564431</v>
      </c>
      <c r="F68" s="10">
        <f>STDEV('Precinct Vote Data'!H266:H269)</f>
        <v>0.01891693869</v>
      </c>
      <c r="G68" s="5">
        <f>IF(('Precinct Vote Data'!H266&gt;0.5)&lt;&gt;('Precinct Vote Data'!H267&gt;0.5),1,0)+IF(('Precinct Vote Data'!H267&gt;0.5)&lt;&gt;('Precinct Vote Data'!H268&gt;0.5),1,0)+IF(('Precinct Vote Data'!H268&gt;0.5)&lt;&gt;('Precinct Vote Data'!H269&gt;0.5),1,0)</f>
        <v>0</v>
      </c>
      <c r="H68" s="2" t="str">
        <f t="shared" si="1"/>
        <v>Medium</v>
      </c>
    </row>
    <row r="69" ht="15.0" customHeight="1">
      <c r="A69" s="5" t="s">
        <v>143</v>
      </c>
      <c r="B69" s="5" t="s">
        <v>145</v>
      </c>
      <c r="C69" s="5" t="s">
        <v>94</v>
      </c>
      <c r="D69" s="10">
        <f>AVERAGE('Precinct Vote Data'!H270:H273)</f>
        <v>0.7744768355</v>
      </c>
      <c r="E69" s="10">
        <f>AVERAGE(ABS('Precinct Vote Data'!H270-0.5),ABS('Precinct Vote Data'!H271-0.5),ABS('Precinct Vote Data'!H272-0.5),ABS('Precinct Vote Data'!H273-0.5))</f>
        <v>0.2744768355</v>
      </c>
      <c r="F69" s="10">
        <f>STDEV('Precinct Vote Data'!H270:H273)</f>
        <v>0.07287104271</v>
      </c>
      <c r="G69" s="5">
        <f>IF(('Precinct Vote Data'!H270&gt;0.5)&lt;&gt;('Precinct Vote Data'!H271&gt;0.5),1,0)+IF(('Precinct Vote Data'!H271&gt;0.5)&lt;&gt;('Precinct Vote Data'!H272&gt;0.5),1,0)+IF(('Precinct Vote Data'!H272&gt;0.5)&lt;&gt;('Precinct Vote Data'!H273&gt;0.5),1,0)</f>
        <v>0</v>
      </c>
      <c r="H69" s="2" t="str">
        <f t="shared" si="1"/>
        <v>Medium</v>
      </c>
    </row>
    <row r="70" ht="15.0" customHeight="1">
      <c r="A70" s="5" t="s">
        <v>143</v>
      </c>
      <c r="B70" s="5" t="s">
        <v>145</v>
      </c>
      <c r="C70" s="5" t="s">
        <v>95</v>
      </c>
      <c r="D70" s="10">
        <f>AVERAGE('Precinct Vote Data'!H274:H277)</f>
        <v>0.791583958</v>
      </c>
      <c r="E70" s="10">
        <f>AVERAGE(ABS('Precinct Vote Data'!H274-0.5),ABS('Precinct Vote Data'!H275-0.5),ABS('Precinct Vote Data'!H276-0.5),ABS('Precinct Vote Data'!H277-0.5))</f>
        <v>0.291583958</v>
      </c>
      <c r="F70" s="10">
        <f>STDEV('Precinct Vote Data'!H274:H277)</f>
        <v>0.06478229029</v>
      </c>
      <c r="G70" s="5">
        <f>IF(('Precinct Vote Data'!H274&gt;0.5)&lt;&gt;('Precinct Vote Data'!H275&gt;0.5),1,0)+IF(('Precinct Vote Data'!H275&gt;0.5)&lt;&gt;('Precinct Vote Data'!H276&gt;0.5),1,0)+IF(('Precinct Vote Data'!H276&gt;0.5)&lt;&gt;('Precinct Vote Data'!H277&gt;0.5),1,0)</f>
        <v>0</v>
      </c>
      <c r="H70" s="2" t="str">
        <f t="shared" si="1"/>
        <v>Medium</v>
      </c>
    </row>
    <row r="71" ht="15.0" customHeight="1">
      <c r="A71" s="5" t="s">
        <v>143</v>
      </c>
      <c r="B71" s="5" t="s">
        <v>145</v>
      </c>
      <c r="C71" s="5" t="s">
        <v>96</v>
      </c>
      <c r="D71" s="10">
        <f>AVERAGE('Precinct Vote Data'!H278:H281)</f>
        <v>0.7245774877</v>
      </c>
      <c r="E71" s="10">
        <f>AVERAGE(ABS('Precinct Vote Data'!H278-0.5),ABS('Precinct Vote Data'!H279-0.5),ABS('Precinct Vote Data'!H280-0.5),ABS('Precinct Vote Data'!H281-0.5))</f>
        <v>0.2245774877</v>
      </c>
      <c r="F71" s="10">
        <f>STDEV('Precinct Vote Data'!H278:H281)</f>
        <v>0.05528919368</v>
      </c>
      <c r="G71" s="5">
        <f>IF(('Precinct Vote Data'!H278&gt;0.5)&lt;&gt;('Precinct Vote Data'!H279&gt;0.5),1,0)+IF(('Precinct Vote Data'!H279&gt;0.5)&lt;&gt;('Precinct Vote Data'!H280&gt;0.5),1,0)+IF(('Precinct Vote Data'!H280&gt;0.5)&lt;&gt;('Precinct Vote Data'!H281&gt;0.5),1,0)</f>
        <v>0</v>
      </c>
      <c r="H71" s="2" t="str">
        <f t="shared" si="1"/>
        <v>Medium</v>
      </c>
    </row>
    <row r="72" ht="15.0" customHeight="1">
      <c r="A72" s="5" t="s">
        <v>143</v>
      </c>
      <c r="B72" s="5" t="s">
        <v>145</v>
      </c>
      <c r="C72" s="5" t="s">
        <v>98</v>
      </c>
      <c r="D72" s="10">
        <f>AVERAGE('Precinct Vote Data'!H282:H285)</f>
        <v>0.780726442</v>
      </c>
      <c r="E72" s="10">
        <f>AVERAGE(ABS('Precinct Vote Data'!H282-0.5),ABS('Precinct Vote Data'!H283-0.5),ABS('Precinct Vote Data'!H284-0.5),ABS('Precinct Vote Data'!H285-0.5))</f>
        <v>0.280726442</v>
      </c>
      <c r="F72" s="10">
        <f>STDEV('Precinct Vote Data'!H282:H285)</f>
        <v>0.06053772846</v>
      </c>
      <c r="G72" s="5">
        <f>IF(('Precinct Vote Data'!H282&gt;0.5)&lt;&gt;('Precinct Vote Data'!H283&gt;0.5),1,0)+IF(('Precinct Vote Data'!H283&gt;0.5)&lt;&gt;('Precinct Vote Data'!H284&gt;0.5),1,0)+IF(('Precinct Vote Data'!H284&gt;0.5)&lt;&gt;('Precinct Vote Data'!H285&gt;0.5),1,0)</f>
        <v>0</v>
      </c>
      <c r="H72" s="2" t="str">
        <f t="shared" si="1"/>
        <v>Medium</v>
      </c>
    </row>
    <row r="73" ht="15.0" customHeight="1">
      <c r="A73" s="5" t="s">
        <v>143</v>
      </c>
      <c r="B73" s="5" t="s">
        <v>145</v>
      </c>
      <c r="C73" s="5" t="s">
        <v>100</v>
      </c>
      <c r="D73" s="10">
        <f>AVERAGE('Precinct Vote Data'!H286:H289)</f>
        <v>0.7355619366</v>
      </c>
      <c r="E73" s="10">
        <f>AVERAGE(ABS('Precinct Vote Data'!H286-0.5),ABS('Precinct Vote Data'!H287-0.5),ABS('Precinct Vote Data'!H288-0.5),ABS('Precinct Vote Data'!H289-0.5))</f>
        <v>0.2355619366</v>
      </c>
      <c r="F73" s="10">
        <f>STDEV('Precinct Vote Data'!H286:H289)</f>
        <v>0.04305566777</v>
      </c>
      <c r="G73" s="5">
        <f>IF(('Precinct Vote Data'!H286&gt;0.5)&lt;&gt;('Precinct Vote Data'!H287&gt;0.5),1,0)+IF(('Precinct Vote Data'!H287&gt;0.5)&lt;&gt;('Precinct Vote Data'!H288&gt;0.5),1,0)+IF(('Precinct Vote Data'!H288&gt;0.5)&lt;&gt;('Precinct Vote Data'!H289&gt;0.5),1,0)</f>
        <v>0</v>
      </c>
      <c r="H73" s="2" t="str">
        <f t="shared" si="1"/>
        <v>Easy</v>
      </c>
    </row>
    <row r="74" ht="15.0" customHeight="1">
      <c r="A74" s="5" t="s">
        <v>143</v>
      </c>
      <c r="B74" s="5" t="s">
        <v>145</v>
      </c>
      <c r="C74" s="5" t="s">
        <v>102</v>
      </c>
      <c r="D74" s="10">
        <f>AVERAGE('Precinct Vote Data'!H290:H293)</f>
        <v>0.779430594</v>
      </c>
      <c r="E74" s="10">
        <f>AVERAGE(ABS('Precinct Vote Data'!H290-0.5),ABS('Precinct Vote Data'!H291-0.5),ABS('Precinct Vote Data'!H292-0.5),ABS('Precinct Vote Data'!H293-0.5))</f>
        <v>0.279430594</v>
      </c>
      <c r="F74" s="10">
        <f>STDEV('Precinct Vote Data'!H290:H293)</f>
        <v>0.04538857949</v>
      </c>
      <c r="G74" s="5">
        <f>IF(('Precinct Vote Data'!H290&gt;0.5)&lt;&gt;('Precinct Vote Data'!H291&gt;0.5),1,0)+IF(('Precinct Vote Data'!H291&gt;0.5)&lt;&gt;('Precinct Vote Data'!H292&gt;0.5),1,0)+IF(('Precinct Vote Data'!H292&gt;0.5)&lt;&gt;('Precinct Vote Data'!H293&gt;0.5),1,0)</f>
        <v>0</v>
      </c>
      <c r="H74" s="2" t="str">
        <f t="shared" si="1"/>
        <v>Easy</v>
      </c>
    </row>
    <row r="75" ht="15.0" customHeight="1">
      <c r="A75" s="5" t="s">
        <v>143</v>
      </c>
      <c r="B75" s="5" t="s">
        <v>145</v>
      </c>
      <c r="C75" s="5" t="s">
        <v>103</v>
      </c>
      <c r="D75" s="10">
        <f>AVERAGE('Precinct Vote Data'!H294:H297)</f>
        <v>0.7356244257</v>
      </c>
      <c r="E75" s="10">
        <f>AVERAGE(ABS('Precinct Vote Data'!H294-0.5),ABS('Precinct Vote Data'!H295-0.5),ABS('Precinct Vote Data'!H296-0.5),ABS('Precinct Vote Data'!H297-0.5))</f>
        <v>0.2356244257</v>
      </c>
      <c r="F75" s="10">
        <f>STDEV('Precinct Vote Data'!H294:H297)</f>
        <v>0.04230080304</v>
      </c>
      <c r="G75" s="5">
        <f>IF(('Precinct Vote Data'!H294&gt;0.5)&lt;&gt;('Precinct Vote Data'!H295&gt;0.5),1,0)+IF(('Precinct Vote Data'!H295&gt;0.5)&lt;&gt;('Precinct Vote Data'!H296&gt;0.5),1,0)+IF(('Precinct Vote Data'!H296&gt;0.5)&lt;&gt;('Precinct Vote Data'!H297&gt;0.5),1,0)</f>
        <v>0</v>
      </c>
      <c r="H75" s="2" t="str">
        <f t="shared" si="1"/>
        <v>Easy</v>
      </c>
    </row>
    <row r="76" ht="15.0" customHeight="1">
      <c r="A76" s="5" t="s">
        <v>143</v>
      </c>
      <c r="B76" s="5" t="s">
        <v>145</v>
      </c>
      <c r="C76" s="5" t="s">
        <v>104</v>
      </c>
      <c r="D76" s="10">
        <f>AVERAGE('Precinct Vote Data'!H298:H301)</f>
        <v>0.7901212863</v>
      </c>
      <c r="E76" s="10">
        <f>AVERAGE(ABS('Precinct Vote Data'!H298-0.5),ABS('Precinct Vote Data'!H299-0.5),ABS('Precinct Vote Data'!H300-0.5),ABS('Precinct Vote Data'!H301-0.5))</f>
        <v>0.2901212863</v>
      </c>
      <c r="F76" s="10">
        <f>STDEV('Precinct Vote Data'!H298:H301)</f>
        <v>0.02381473205</v>
      </c>
      <c r="G76" s="5">
        <f>IF(('Precinct Vote Data'!H298&gt;0.5)&lt;&gt;('Precinct Vote Data'!H299&gt;0.5),1,0)+IF(('Precinct Vote Data'!H299&gt;0.5)&lt;&gt;('Precinct Vote Data'!H300&gt;0.5),1,0)+IF(('Precinct Vote Data'!H300&gt;0.5)&lt;&gt;('Precinct Vote Data'!H301&gt;0.5),1,0)</f>
        <v>0</v>
      </c>
      <c r="H76" s="2" t="str">
        <f t="shared" si="1"/>
        <v>Easy</v>
      </c>
    </row>
    <row r="77" ht="15.0" customHeight="1">
      <c r="A77" s="5" t="s">
        <v>143</v>
      </c>
      <c r="B77" s="5" t="s">
        <v>145</v>
      </c>
      <c r="C77" s="5" t="s">
        <v>106</v>
      </c>
      <c r="D77" s="10">
        <f>AVERAGE('Precinct Vote Data'!H302:H305)</f>
        <v>0.6776379953</v>
      </c>
      <c r="E77" s="10">
        <f>AVERAGE(ABS('Precinct Vote Data'!H302-0.5),ABS('Precinct Vote Data'!H303-0.5),ABS('Precinct Vote Data'!H304-0.5),ABS('Precinct Vote Data'!H305-0.5))</f>
        <v>0.1776379953</v>
      </c>
      <c r="F77" s="10">
        <f>STDEV('Precinct Vote Data'!H302:H305)</f>
        <v>0.02927385695</v>
      </c>
      <c r="G77" s="5">
        <f>IF(('Precinct Vote Data'!H302&gt;0.5)&lt;&gt;('Precinct Vote Data'!H303&gt;0.5),1,0)+IF(('Precinct Vote Data'!H303&gt;0.5)&lt;&gt;('Precinct Vote Data'!H304&gt;0.5),1,0)+IF(('Precinct Vote Data'!H304&gt;0.5)&lt;&gt;('Precinct Vote Data'!H305&gt;0.5),1,0)</f>
        <v>0</v>
      </c>
      <c r="H77" s="2" t="str">
        <f t="shared" si="1"/>
        <v>Easy</v>
      </c>
    </row>
    <row r="78" ht="15.0" customHeight="1">
      <c r="A78" s="5" t="s">
        <v>143</v>
      </c>
      <c r="B78" s="5" t="s">
        <v>145</v>
      </c>
      <c r="C78" s="5" t="s">
        <v>109</v>
      </c>
      <c r="D78" s="10">
        <f>AVERAGE('Precinct Vote Data'!H306:H309)</f>
        <v>0.6275130493</v>
      </c>
      <c r="E78" s="10">
        <f>AVERAGE(ABS('Precinct Vote Data'!H306-0.5),ABS('Precinct Vote Data'!H307-0.5),ABS('Precinct Vote Data'!H308-0.5),ABS('Precinct Vote Data'!H309-0.5))</f>
        <v>0.1275130493</v>
      </c>
      <c r="F78" s="10">
        <f>STDEV('Precinct Vote Data'!H306:H309)</f>
        <v>0.02218604323</v>
      </c>
      <c r="G78" s="5">
        <f>IF(('Precinct Vote Data'!H306&gt;0.5)&lt;&gt;('Precinct Vote Data'!H307&gt;0.5),1,0)+IF(('Precinct Vote Data'!H307&gt;0.5)&lt;&gt;('Precinct Vote Data'!H308&gt;0.5),1,0)+IF(('Precinct Vote Data'!H308&gt;0.5)&lt;&gt;('Precinct Vote Data'!H309&gt;0.5),1,0)</f>
        <v>0</v>
      </c>
      <c r="H78" s="2" t="str">
        <f t="shared" si="1"/>
        <v>Medium</v>
      </c>
    </row>
    <row r="79" ht="15.0" customHeight="1">
      <c r="A79" s="5" t="s">
        <v>143</v>
      </c>
      <c r="B79" s="5" t="s">
        <v>145</v>
      </c>
      <c r="C79" s="5" t="s">
        <v>110</v>
      </c>
      <c r="D79" s="10">
        <f>AVERAGE('Precinct Vote Data'!H310:H313)</f>
        <v>0.6332609562</v>
      </c>
      <c r="E79" s="10">
        <f>AVERAGE(ABS('Precinct Vote Data'!H310-0.5),ABS('Precinct Vote Data'!H311-0.5),ABS('Precinct Vote Data'!H312-0.5),ABS('Precinct Vote Data'!H313-0.5))</f>
        <v>0.1332609562</v>
      </c>
      <c r="F79" s="10">
        <f>STDEV('Precinct Vote Data'!H310:H313)</f>
        <v>0.01243264046</v>
      </c>
      <c r="G79" s="5">
        <f>IF(('Precinct Vote Data'!H310&gt;0.5)&lt;&gt;('Precinct Vote Data'!H311&gt;0.5),1,0)+IF(('Precinct Vote Data'!H311&gt;0.5)&lt;&gt;('Precinct Vote Data'!H312&gt;0.5),1,0)+IF(('Precinct Vote Data'!H312&gt;0.5)&lt;&gt;('Precinct Vote Data'!H313&gt;0.5),1,0)</f>
        <v>0</v>
      </c>
      <c r="H79" s="2" t="str">
        <f t="shared" si="1"/>
        <v>Medium</v>
      </c>
    </row>
    <row r="80" ht="15.0" customHeight="1">
      <c r="A80" s="5" t="s">
        <v>143</v>
      </c>
      <c r="B80" s="5" t="s">
        <v>145</v>
      </c>
      <c r="C80" s="5" t="s">
        <v>111</v>
      </c>
      <c r="D80" s="10">
        <f>AVERAGE('Precinct Vote Data'!H314:H317)</f>
        <v>0.7284041001</v>
      </c>
      <c r="E80" s="10">
        <f>AVERAGE(ABS('Precinct Vote Data'!H314-0.5),ABS('Precinct Vote Data'!H315-0.5),ABS('Precinct Vote Data'!H316-0.5),ABS('Precinct Vote Data'!H317-0.5))</f>
        <v>0.2284041001</v>
      </c>
      <c r="F80" s="10">
        <f>STDEV('Precinct Vote Data'!H314:H317)</f>
        <v>0.0365349927</v>
      </c>
      <c r="G80" s="5">
        <f>IF(('Precinct Vote Data'!H314&gt;0.5)&lt;&gt;('Precinct Vote Data'!H315&gt;0.5),1,0)+IF(('Precinct Vote Data'!H315&gt;0.5)&lt;&gt;('Precinct Vote Data'!H316&gt;0.5),1,0)+IF(('Precinct Vote Data'!H316&gt;0.5)&lt;&gt;('Precinct Vote Data'!H317&gt;0.5),1,0)</f>
        <v>0</v>
      </c>
      <c r="H80" s="2" t="str">
        <f t="shared" si="1"/>
        <v>Easy</v>
      </c>
    </row>
    <row r="81" ht="15.0" customHeight="1">
      <c r="A81" s="5" t="s">
        <v>143</v>
      </c>
      <c r="B81" s="5" t="s">
        <v>145</v>
      </c>
      <c r="C81" s="5" t="s">
        <v>113</v>
      </c>
      <c r="D81" s="10">
        <f>AVERAGE('Precinct Vote Data'!H318:H321)</f>
        <v>0.6874638864</v>
      </c>
      <c r="E81" s="10">
        <f>AVERAGE(ABS('Precinct Vote Data'!H318-0.5),ABS('Precinct Vote Data'!H319-0.5),ABS('Precinct Vote Data'!H320-0.5),ABS('Precinct Vote Data'!H321-0.5))</f>
        <v>0.1874638864</v>
      </c>
      <c r="F81" s="10">
        <f>STDEV('Precinct Vote Data'!H318:H321)</f>
        <v>0.04839029935</v>
      </c>
      <c r="G81" s="5">
        <f>IF(('Precinct Vote Data'!H318&gt;0.5)&lt;&gt;('Precinct Vote Data'!H319&gt;0.5),1,0)+IF(('Precinct Vote Data'!H319&gt;0.5)&lt;&gt;('Precinct Vote Data'!H320&gt;0.5),1,0)+IF(('Precinct Vote Data'!H320&gt;0.5)&lt;&gt;('Precinct Vote Data'!H321&gt;0.5),1,0)</f>
        <v>0</v>
      </c>
      <c r="H81" s="2" t="str">
        <f t="shared" si="1"/>
        <v>Easy</v>
      </c>
    </row>
    <row r="82" ht="15.0" customHeight="1">
      <c r="A82" s="5" t="s">
        <v>143</v>
      </c>
      <c r="B82" s="5" t="s">
        <v>145</v>
      </c>
      <c r="C82" s="5" t="s">
        <v>114</v>
      </c>
      <c r="D82" s="10">
        <f>AVERAGE('Precinct Vote Data'!H322:H325)</f>
        <v>0.6333049258</v>
      </c>
      <c r="E82" s="10">
        <f>AVERAGE(ABS('Precinct Vote Data'!H322-0.5),ABS('Precinct Vote Data'!H323-0.5),ABS('Precinct Vote Data'!H324-0.5),ABS('Precinct Vote Data'!H325-0.5))</f>
        <v>0.1333049258</v>
      </c>
      <c r="F82" s="10">
        <f>STDEV('Precinct Vote Data'!H322:H325)</f>
        <v>0.01113659686</v>
      </c>
      <c r="G82" s="5">
        <f>IF(('Precinct Vote Data'!H322&gt;0.5)&lt;&gt;('Precinct Vote Data'!H323&gt;0.5),1,0)+IF(('Precinct Vote Data'!H323&gt;0.5)&lt;&gt;('Precinct Vote Data'!H324&gt;0.5),1,0)+IF(('Precinct Vote Data'!H324&gt;0.5)&lt;&gt;('Precinct Vote Data'!H325&gt;0.5),1,0)</f>
        <v>0</v>
      </c>
      <c r="H82" s="2" t="str">
        <f t="shared" si="1"/>
        <v>Medium</v>
      </c>
    </row>
    <row r="83" ht="15.0" customHeight="1">
      <c r="A83" s="5" t="s">
        <v>143</v>
      </c>
      <c r="B83" s="5" t="s">
        <v>145</v>
      </c>
      <c r="C83" s="5" t="s">
        <v>116</v>
      </c>
      <c r="D83" s="10">
        <f>AVERAGE('Precinct Vote Data'!H326:H329)</f>
        <v>0.584666444</v>
      </c>
      <c r="E83" s="10">
        <f>AVERAGE(ABS('Precinct Vote Data'!H326-0.5),ABS('Precinct Vote Data'!H327-0.5),ABS('Precinct Vote Data'!H328-0.5),ABS('Precinct Vote Data'!H329-0.5))</f>
        <v>0.08466644396</v>
      </c>
      <c r="F83" s="10">
        <f>STDEV('Precinct Vote Data'!H326:H329)</f>
        <v>0.02262530197</v>
      </c>
      <c r="G83" s="5">
        <f>IF(('Precinct Vote Data'!H326&gt;0.5)&lt;&gt;('Precinct Vote Data'!H327&gt;0.5),1,0)+IF(('Precinct Vote Data'!H327&gt;0.5)&lt;&gt;('Precinct Vote Data'!H328&gt;0.5),1,0)+IF(('Precinct Vote Data'!H328&gt;0.5)&lt;&gt;('Precinct Vote Data'!H329&gt;0.5),1,0)</f>
        <v>0</v>
      </c>
      <c r="H83" s="2" t="str">
        <f t="shared" si="1"/>
        <v>Medium</v>
      </c>
    </row>
    <row r="84" ht="15.0" customHeight="1">
      <c r="A84" s="5" t="s">
        <v>143</v>
      </c>
      <c r="B84" s="5" t="s">
        <v>145</v>
      </c>
      <c r="C84" s="5" t="s">
        <v>118</v>
      </c>
      <c r="D84" s="10">
        <f>AVERAGE('Precinct Vote Data'!H330:H333)</f>
        <v>0.6441872256</v>
      </c>
      <c r="E84" s="10">
        <f>AVERAGE(ABS('Precinct Vote Data'!H330-0.5),ABS('Precinct Vote Data'!H331-0.5),ABS('Precinct Vote Data'!H332-0.5),ABS('Precinct Vote Data'!H333-0.5))</f>
        <v>0.1441872256</v>
      </c>
      <c r="F84" s="10">
        <f>STDEV('Precinct Vote Data'!H330:H333)</f>
        <v>0.04716014384</v>
      </c>
      <c r="G84" s="5">
        <f>IF(('Precinct Vote Data'!H330&gt;0.5)&lt;&gt;('Precinct Vote Data'!H331&gt;0.5),1,0)+IF(('Precinct Vote Data'!H331&gt;0.5)&lt;&gt;('Precinct Vote Data'!H332&gt;0.5),1,0)+IF(('Precinct Vote Data'!H332&gt;0.5)&lt;&gt;('Precinct Vote Data'!H333&gt;0.5),1,0)</f>
        <v>0</v>
      </c>
      <c r="H84" s="2" t="str">
        <f t="shared" si="1"/>
        <v>Medium</v>
      </c>
    </row>
    <row r="85" ht="15.0" customHeight="1">
      <c r="A85" s="5" t="s">
        <v>143</v>
      </c>
      <c r="B85" s="5" t="s">
        <v>145</v>
      </c>
      <c r="C85" s="5" t="s">
        <v>119</v>
      </c>
      <c r="D85" s="10">
        <f>AVERAGE('Precinct Vote Data'!H334:H337)</f>
        <v>0.7727724079</v>
      </c>
      <c r="E85" s="10">
        <f>AVERAGE(ABS('Precinct Vote Data'!H334-0.5),ABS('Precinct Vote Data'!H335-0.5),ABS('Precinct Vote Data'!H336-0.5),ABS('Precinct Vote Data'!H337-0.5))</f>
        <v>0.2727724079</v>
      </c>
      <c r="F85" s="10">
        <f>STDEV('Precinct Vote Data'!H334:H337)</f>
        <v>0.06029200773</v>
      </c>
      <c r="G85" s="5">
        <f>IF(('Precinct Vote Data'!H334&gt;0.5)&lt;&gt;('Precinct Vote Data'!H335&gt;0.5),1,0)+IF(('Precinct Vote Data'!H335&gt;0.5)&lt;&gt;('Precinct Vote Data'!H336&gt;0.5),1,0)+IF(('Precinct Vote Data'!H336&gt;0.5)&lt;&gt;('Precinct Vote Data'!H337&gt;0.5),1,0)</f>
        <v>0</v>
      </c>
      <c r="H85" s="2" t="str">
        <f t="shared" si="1"/>
        <v>Medium</v>
      </c>
    </row>
    <row r="86" ht="15.0" customHeight="1">
      <c r="A86" s="5" t="s">
        <v>143</v>
      </c>
      <c r="B86" s="5" t="s">
        <v>145</v>
      </c>
      <c r="C86" s="5" t="s">
        <v>120</v>
      </c>
      <c r="D86" s="10">
        <f>AVERAGE('Precinct Vote Data'!H338:H341)</f>
        <v>0.6890139106</v>
      </c>
      <c r="E86" s="10">
        <f>AVERAGE(ABS('Precinct Vote Data'!H338-0.5),ABS('Precinct Vote Data'!H339-0.5),ABS('Precinct Vote Data'!H340-0.5),ABS('Precinct Vote Data'!H341-0.5))</f>
        <v>0.1890139106</v>
      </c>
      <c r="F86" s="10">
        <f>STDEV('Precinct Vote Data'!H338:H341)</f>
        <v>0.04732092093</v>
      </c>
      <c r="G86" s="5">
        <f>IF(('Precinct Vote Data'!H338&gt;0.5)&lt;&gt;('Precinct Vote Data'!H339&gt;0.5),1,0)+IF(('Precinct Vote Data'!H339&gt;0.5)&lt;&gt;('Precinct Vote Data'!H340&gt;0.5),1,0)+IF(('Precinct Vote Data'!H340&gt;0.5)&lt;&gt;('Precinct Vote Data'!H341&gt;0.5),1,0)</f>
        <v>0</v>
      </c>
      <c r="H86" s="2" t="str">
        <f t="shared" si="1"/>
        <v>Easy</v>
      </c>
    </row>
    <row r="87" ht="15.0" customHeight="1">
      <c r="A87" s="5" t="s">
        <v>143</v>
      </c>
      <c r="B87" s="5" t="s">
        <v>145</v>
      </c>
      <c r="C87" s="5" t="s">
        <v>122</v>
      </c>
      <c r="D87" s="10">
        <f>AVERAGE('Precinct Vote Data'!H342:H345)</f>
        <v>0.6915651747</v>
      </c>
      <c r="E87" s="10">
        <f>AVERAGE(ABS('Precinct Vote Data'!H342-0.5),ABS('Precinct Vote Data'!H343-0.5),ABS('Precinct Vote Data'!H344-0.5),ABS('Precinct Vote Data'!H345-0.5))</f>
        <v>0.1915651747</v>
      </c>
      <c r="F87" s="10">
        <f>STDEV('Precinct Vote Data'!H342:H345)</f>
        <v>0.03798843252</v>
      </c>
      <c r="G87" s="5">
        <f>IF(('Precinct Vote Data'!H342&gt;0.5)&lt;&gt;('Precinct Vote Data'!H343&gt;0.5),1,0)+IF(('Precinct Vote Data'!H343&gt;0.5)&lt;&gt;('Precinct Vote Data'!H344&gt;0.5),1,0)+IF(('Precinct Vote Data'!H344&gt;0.5)&lt;&gt;('Precinct Vote Data'!H345&gt;0.5),1,0)</f>
        <v>0</v>
      </c>
      <c r="H87" s="2" t="str">
        <f t="shared" si="1"/>
        <v>Easy</v>
      </c>
    </row>
    <row r="88" ht="15.0" customHeight="1">
      <c r="A88" s="5" t="s">
        <v>143</v>
      </c>
      <c r="B88" s="5" t="s">
        <v>145</v>
      </c>
      <c r="C88" s="5" t="s">
        <v>124</v>
      </c>
      <c r="D88" s="10">
        <f>AVERAGE('Precinct Vote Data'!H346:H349)</f>
        <v>0.6992379087</v>
      </c>
      <c r="E88" s="10">
        <f>AVERAGE(ABS('Precinct Vote Data'!H346-0.5),ABS('Precinct Vote Data'!H347-0.5),ABS('Precinct Vote Data'!H348-0.5),ABS('Precinct Vote Data'!H349-0.5))</f>
        <v>0.1992379087</v>
      </c>
      <c r="F88" s="10">
        <f>STDEV('Precinct Vote Data'!H346:H349)</f>
        <v>0.02125376424</v>
      </c>
      <c r="G88" s="5">
        <f>IF(('Precinct Vote Data'!H346&gt;0.5)&lt;&gt;('Precinct Vote Data'!H347&gt;0.5),1,0)+IF(('Precinct Vote Data'!H347&gt;0.5)&lt;&gt;('Precinct Vote Data'!H348&gt;0.5),1,0)+IF(('Precinct Vote Data'!H348&gt;0.5)&lt;&gt;('Precinct Vote Data'!H349&gt;0.5),1,0)</f>
        <v>0</v>
      </c>
      <c r="H88" s="2" t="str">
        <f t="shared" si="1"/>
        <v>Easy</v>
      </c>
    </row>
    <row r="89" ht="15.0" customHeight="1">
      <c r="A89" s="5" t="s">
        <v>143</v>
      </c>
      <c r="B89" s="5" t="s">
        <v>145</v>
      </c>
      <c r="C89" s="5" t="s">
        <v>130</v>
      </c>
      <c r="D89" s="10">
        <f>AVERAGE('Precinct Vote Data'!H350:H353)</f>
        <v>0.6709685925</v>
      </c>
      <c r="E89" s="10">
        <f>AVERAGE(ABS('Precinct Vote Data'!H350-0.5),ABS('Precinct Vote Data'!H351-0.5),ABS('Precinct Vote Data'!H352-0.5),ABS('Precinct Vote Data'!H353-0.5))</f>
        <v>0.1709685925</v>
      </c>
      <c r="F89" s="10">
        <f>STDEV('Precinct Vote Data'!H350:H353)</f>
        <v>0.04495940527</v>
      </c>
      <c r="G89" s="5">
        <f>IF(('Precinct Vote Data'!H350&gt;0.5)&lt;&gt;('Precinct Vote Data'!H351&gt;0.5),1,0)+IF(('Precinct Vote Data'!H351&gt;0.5)&lt;&gt;('Precinct Vote Data'!H352&gt;0.5),1,0)+IF(('Precinct Vote Data'!H352&gt;0.5)&lt;&gt;('Precinct Vote Data'!H353&gt;0.5),1,0)</f>
        <v>0</v>
      </c>
      <c r="H89" s="2" t="str">
        <f t="shared" si="1"/>
        <v>Easy</v>
      </c>
    </row>
    <row r="90" ht="15.0" customHeight="1">
      <c r="A90" s="5" t="s">
        <v>143</v>
      </c>
      <c r="B90" s="5" t="s">
        <v>145</v>
      </c>
      <c r="C90" s="5" t="s">
        <v>131</v>
      </c>
      <c r="D90" s="10">
        <f>AVERAGE('Precinct Vote Data'!H354:H357)</f>
        <v>0.7129197743</v>
      </c>
      <c r="E90" s="10">
        <f>AVERAGE(ABS('Precinct Vote Data'!H354-0.5),ABS('Precinct Vote Data'!H355-0.5),ABS('Precinct Vote Data'!H356-0.5),ABS('Precinct Vote Data'!H357-0.5))</f>
        <v>0.2129197743</v>
      </c>
      <c r="F90" s="10">
        <f>STDEV('Precinct Vote Data'!H354:H357)</f>
        <v>0.06625490715</v>
      </c>
      <c r="G90" s="5">
        <f>IF(('Precinct Vote Data'!H354&gt;0.5)&lt;&gt;('Precinct Vote Data'!H355&gt;0.5),1,0)+IF(('Precinct Vote Data'!H355&gt;0.5)&lt;&gt;('Precinct Vote Data'!H356&gt;0.5),1,0)+IF(('Precinct Vote Data'!H356&gt;0.5)&lt;&gt;('Precinct Vote Data'!H357&gt;0.5),1,0)</f>
        <v>0</v>
      </c>
      <c r="H90" s="2" t="str">
        <f t="shared" si="1"/>
        <v>Medium</v>
      </c>
    </row>
    <row r="91" ht="15.0" customHeight="1">
      <c r="A91" s="5" t="s">
        <v>143</v>
      </c>
      <c r="B91" s="5" t="s">
        <v>145</v>
      </c>
      <c r="C91" s="5" t="s">
        <v>132</v>
      </c>
      <c r="D91" s="10">
        <f>AVERAGE('Precinct Vote Data'!H358:H361)</f>
        <v>0.60599612</v>
      </c>
      <c r="E91" s="10">
        <f>AVERAGE(ABS('Precinct Vote Data'!H358-0.5),ABS('Precinct Vote Data'!H359-0.5),ABS('Precinct Vote Data'!H360-0.5),ABS('Precinct Vote Data'!H361-0.5))</f>
        <v>0.10599612</v>
      </c>
      <c r="F91" s="10">
        <f>STDEV('Precinct Vote Data'!H358:H361)</f>
        <v>0.05666417121</v>
      </c>
      <c r="G91" s="5">
        <f>IF(('Precinct Vote Data'!H358&gt;0.5)&lt;&gt;('Precinct Vote Data'!H359&gt;0.5),1,0)+IF(('Precinct Vote Data'!H359&gt;0.5)&lt;&gt;('Precinct Vote Data'!H360&gt;0.5),1,0)+IF(('Precinct Vote Data'!H360&gt;0.5)&lt;&gt;('Precinct Vote Data'!H361&gt;0.5),1,0)</f>
        <v>0</v>
      </c>
      <c r="H91" s="2" t="str">
        <f t="shared" si="1"/>
        <v>Medium</v>
      </c>
    </row>
    <row r="92" ht="15.0" customHeight="1">
      <c r="A92" s="5" t="s">
        <v>143</v>
      </c>
      <c r="B92" s="5" t="s">
        <v>145</v>
      </c>
      <c r="C92" s="5" t="s">
        <v>133</v>
      </c>
      <c r="D92" s="10">
        <f>AVERAGE('Precinct Vote Data'!H362:H365)</f>
        <v>0.647621014</v>
      </c>
      <c r="E92" s="10">
        <f>AVERAGE(ABS('Precinct Vote Data'!H362-0.5),ABS('Precinct Vote Data'!H363-0.5),ABS('Precinct Vote Data'!H364-0.5),ABS('Precinct Vote Data'!H365-0.5))</f>
        <v>0.147621014</v>
      </c>
      <c r="F92" s="10">
        <f>STDEV('Precinct Vote Data'!H362:H365)</f>
        <v>0.02558508899</v>
      </c>
      <c r="G92" s="5">
        <f>IF(('Precinct Vote Data'!H362&gt;0.5)&lt;&gt;('Precinct Vote Data'!H363&gt;0.5),1,0)+IF(('Precinct Vote Data'!H363&gt;0.5)&lt;&gt;('Precinct Vote Data'!H364&gt;0.5),1,0)+IF(('Precinct Vote Data'!H364&gt;0.5)&lt;&gt;('Precinct Vote Data'!H365&gt;0.5),1,0)</f>
        <v>0</v>
      </c>
      <c r="H92" s="2" t="str">
        <f t="shared" si="1"/>
        <v>Medium</v>
      </c>
    </row>
    <row r="93" ht="15.0" customHeight="1">
      <c r="A93" s="5" t="s">
        <v>143</v>
      </c>
      <c r="B93" s="5" t="s">
        <v>145</v>
      </c>
      <c r="C93" s="5" t="s">
        <v>135</v>
      </c>
      <c r="D93" s="10">
        <f>AVERAGE('Precinct Vote Data'!H366:H369)</f>
        <v>0.6428110241</v>
      </c>
      <c r="E93" s="10">
        <f>AVERAGE(ABS('Precinct Vote Data'!H366-0.5),ABS('Precinct Vote Data'!H367-0.5),ABS('Precinct Vote Data'!H368-0.5),ABS('Precinct Vote Data'!H369-0.5))</f>
        <v>0.1428110241</v>
      </c>
      <c r="F93" s="10">
        <f>STDEV('Precinct Vote Data'!H366:H369)</f>
        <v>0.02773400831</v>
      </c>
      <c r="G93" s="5">
        <f>IF(('Precinct Vote Data'!H366&gt;0.5)&lt;&gt;('Precinct Vote Data'!H367&gt;0.5),1,0)+IF(('Precinct Vote Data'!H367&gt;0.5)&lt;&gt;('Precinct Vote Data'!H368&gt;0.5),1,0)+IF(('Precinct Vote Data'!H368&gt;0.5)&lt;&gt;('Precinct Vote Data'!H369&gt;0.5),1,0)</f>
        <v>0</v>
      </c>
      <c r="H93" s="2" t="str">
        <f t="shared" si="1"/>
        <v>Medium</v>
      </c>
    </row>
    <row r="94" ht="15.0" customHeight="1">
      <c r="A94" s="5" t="s">
        <v>143</v>
      </c>
      <c r="B94" s="5" t="s">
        <v>145</v>
      </c>
      <c r="C94" s="5" t="s">
        <v>136</v>
      </c>
      <c r="D94" s="10">
        <f>AVERAGE('Precinct Vote Data'!H370:H373)</f>
        <v>0.6427918816</v>
      </c>
      <c r="E94" s="10">
        <f>AVERAGE(ABS('Precinct Vote Data'!H370-0.5),ABS('Precinct Vote Data'!H371-0.5),ABS('Precinct Vote Data'!H372-0.5),ABS('Precinct Vote Data'!H373-0.5))</f>
        <v>0.1427918816</v>
      </c>
      <c r="F94" s="10">
        <f>STDEV('Precinct Vote Data'!H370:H373)</f>
        <v>0.06090640519</v>
      </c>
      <c r="G94" s="5">
        <f>IF(('Precinct Vote Data'!H370&gt;0.5)&lt;&gt;('Precinct Vote Data'!H371&gt;0.5),1,0)+IF(('Precinct Vote Data'!H371&gt;0.5)&lt;&gt;('Precinct Vote Data'!H372&gt;0.5),1,0)+IF(('Precinct Vote Data'!H372&gt;0.5)&lt;&gt;('Precinct Vote Data'!H373&gt;0.5),1,0)</f>
        <v>0</v>
      </c>
      <c r="H94" s="2" t="str">
        <f t="shared" si="1"/>
        <v>Medium</v>
      </c>
    </row>
    <row r="95" ht="15.0" customHeight="1">
      <c r="A95" s="5" t="s">
        <v>143</v>
      </c>
      <c r="B95" s="5" t="s">
        <v>145</v>
      </c>
      <c r="C95" s="5" t="s">
        <v>139</v>
      </c>
      <c r="D95" s="10">
        <f>AVERAGE('Precinct Vote Data'!H374:H377)</f>
        <v>0.6650564726</v>
      </c>
      <c r="E95" s="10">
        <f>AVERAGE(ABS('Precinct Vote Data'!H374-0.5),ABS('Precinct Vote Data'!H375-0.5),ABS('Precinct Vote Data'!H376-0.5),ABS('Precinct Vote Data'!H377-0.5))</f>
        <v>0.1650564726</v>
      </c>
      <c r="F95" s="10">
        <f>STDEV('Precinct Vote Data'!H374:H377)</f>
        <v>0.04033262888</v>
      </c>
      <c r="G95" s="5">
        <f>IF(('Precinct Vote Data'!H374&gt;0.5)&lt;&gt;('Precinct Vote Data'!H375&gt;0.5),1,0)+IF(('Precinct Vote Data'!H375&gt;0.5)&lt;&gt;('Precinct Vote Data'!H376&gt;0.5),1,0)+IF(('Precinct Vote Data'!H376&gt;0.5)&lt;&gt;('Precinct Vote Data'!H377&gt;0.5),1,0)</f>
        <v>0</v>
      </c>
      <c r="H95" s="2" t="str">
        <f t="shared" si="1"/>
        <v>Easy</v>
      </c>
    </row>
    <row r="96" ht="15.0" customHeight="1">
      <c r="A96" s="5" t="s">
        <v>143</v>
      </c>
      <c r="B96" s="5" t="s">
        <v>145</v>
      </c>
      <c r="C96" s="5" t="s">
        <v>140</v>
      </c>
      <c r="D96" s="10">
        <f>AVERAGE('Precinct Vote Data'!H378:H381)</f>
        <v>0.6248823607</v>
      </c>
      <c r="E96" s="10">
        <f>AVERAGE(ABS('Precinct Vote Data'!H378-0.5),ABS('Precinct Vote Data'!H379-0.5),ABS('Precinct Vote Data'!H380-0.5),ABS('Precinct Vote Data'!H381-0.5))</f>
        <v>0.1248823607</v>
      </c>
      <c r="F96" s="10">
        <f>STDEV('Precinct Vote Data'!H378:H381)</f>
        <v>0.04416186369</v>
      </c>
      <c r="G96" s="5">
        <f>IF(('Precinct Vote Data'!H378&gt;0.5)&lt;&gt;('Precinct Vote Data'!H379&gt;0.5),1,0)+IF(('Precinct Vote Data'!H379&gt;0.5)&lt;&gt;('Precinct Vote Data'!H380&gt;0.5),1,0)+IF(('Precinct Vote Data'!H380&gt;0.5)&lt;&gt;('Precinct Vote Data'!H381&gt;0.5),1,0)</f>
        <v>0</v>
      </c>
      <c r="H96" s="2" t="str">
        <f t="shared" si="1"/>
        <v>Medium</v>
      </c>
    </row>
    <row r="97" ht="15.0" customHeight="1">
      <c r="A97" s="5" t="s">
        <v>143</v>
      </c>
      <c r="B97" s="5" t="s">
        <v>145</v>
      </c>
      <c r="C97" s="5" t="s">
        <v>142</v>
      </c>
      <c r="D97" s="10">
        <f>AVERAGE('Precinct Vote Data'!H382:H385)</f>
        <v>0.6787277058</v>
      </c>
      <c r="E97" s="10">
        <f>AVERAGE(ABS('Precinct Vote Data'!H382-0.5),ABS('Precinct Vote Data'!H383-0.5),ABS('Precinct Vote Data'!H384-0.5),ABS('Precinct Vote Data'!H385-0.5))</f>
        <v>0.1787277058</v>
      </c>
      <c r="F97" s="10">
        <f>STDEV('Precinct Vote Data'!H382:H385)</f>
        <v>0.01817116577</v>
      </c>
      <c r="G97" s="5">
        <f>IF(('Precinct Vote Data'!H382&gt;0.5)&lt;&gt;('Precinct Vote Data'!H383&gt;0.5),1,0)+IF(('Precinct Vote Data'!H383&gt;0.5)&lt;&gt;('Precinct Vote Data'!H384&gt;0.5),1,0)+IF(('Precinct Vote Data'!H384&gt;0.5)&lt;&gt;('Precinct Vote Data'!H385&gt;0.5),1,0)</f>
        <v>0</v>
      </c>
      <c r="H97" s="2" t="str">
        <f t="shared" si="1"/>
        <v>Easy</v>
      </c>
    </row>
    <row r="98" ht="15.0" customHeight="1">
      <c r="A98" s="5" t="s">
        <v>143</v>
      </c>
      <c r="B98" s="5" t="s">
        <v>145</v>
      </c>
      <c r="C98" s="5" t="s">
        <v>148</v>
      </c>
      <c r="D98" s="10">
        <f>AVERAGE('Precinct Vote Data'!H386:H389)</f>
        <v>0.6433815525</v>
      </c>
      <c r="E98" s="10">
        <f>AVERAGE(ABS('Precinct Vote Data'!H386-0.5),ABS('Precinct Vote Data'!H387-0.5),ABS('Precinct Vote Data'!H388-0.5),ABS('Precinct Vote Data'!H389-0.5))</f>
        <v>0.1433815525</v>
      </c>
      <c r="F98" s="10">
        <f>STDEV('Precinct Vote Data'!H386:H389)</f>
        <v>0.01851647201</v>
      </c>
      <c r="G98" s="5">
        <f>IF(('Precinct Vote Data'!H386&gt;0.5)&lt;&gt;('Precinct Vote Data'!H387&gt;0.5),1,0)+IF(('Precinct Vote Data'!H387&gt;0.5)&lt;&gt;('Precinct Vote Data'!H388&gt;0.5),1,0)+IF(('Precinct Vote Data'!H388&gt;0.5)&lt;&gt;('Precinct Vote Data'!H389&gt;0.5),1,0)</f>
        <v>0</v>
      </c>
      <c r="H98" s="2" t="str">
        <f t="shared" si="1"/>
        <v>Medium</v>
      </c>
    </row>
    <row r="99" ht="15.0" customHeight="1">
      <c r="A99" s="5" t="s">
        <v>143</v>
      </c>
      <c r="B99" s="5" t="s">
        <v>145</v>
      </c>
      <c r="C99" s="5" t="s">
        <v>149</v>
      </c>
      <c r="D99" s="10">
        <f>AVERAGE('Precinct Vote Data'!H390:H393)</f>
        <v>0.637838398</v>
      </c>
      <c r="E99" s="10">
        <f>AVERAGE(ABS('Precinct Vote Data'!H390-0.5),ABS('Precinct Vote Data'!H391-0.5),ABS('Precinct Vote Data'!H392-0.5),ABS('Precinct Vote Data'!H393-0.5))</f>
        <v>0.137838398</v>
      </c>
      <c r="F99" s="10">
        <f>STDEV('Precinct Vote Data'!H390:H393)</f>
        <v>0.01183336052</v>
      </c>
      <c r="G99" s="5">
        <f>IF(('Precinct Vote Data'!H390&gt;0.5)&lt;&gt;('Precinct Vote Data'!H391&gt;0.5),1,0)+IF(('Precinct Vote Data'!H391&gt;0.5)&lt;&gt;('Precinct Vote Data'!H392&gt;0.5),1,0)+IF(('Precinct Vote Data'!H392&gt;0.5)&lt;&gt;('Precinct Vote Data'!H393&gt;0.5),1,0)</f>
        <v>0</v>
      </c>
      <c r="H99" s="2" t="str">
        <f t="shared" si="1"/>
        <v>Medium</v>
      </c>
    </row>
    <row r="100" ht="15.0" customHeight="1">
      <c r="A100" s="5" t="s">
        <v>143</v>
      </c>
      <c r="B100" s="5" t="s">
        <v>145</v>
      </c>
      <c r="C100" s="5" t="s">
        <v>150</v>
      </c>
      <c r="D100" s="10">
        <f>AVERAGE('Precinct Vote Data'!H394:H397)</f>
        <v>0.6884473547</v>
      </c>
      <c r="E100" s="10">
        <f>AVERAGE(ABS('Precinct Vote Data'!H394-0.5),ABS('Precinct Vote Data'!H395-0.5),ABS('Precinct Vote Data'!H396-0.5),ABS('Precinct Vote Data'!H397-0.5))</f>
        <v>0.1884473547</v>
      </c>
      <c r="F100" s="10">
        <f>STDEV('Precinct Vote Data'!H394:H397)</f>
        <v>0.02473036453</v>
      </c>
      <c r="G100" s="5">
        <f>IF(('Precinct Vote Data'!H394&gt;0.5)&lt;&gt;('Precinct Vote Data'!H395&gt;0.5),1,0)+IF(('Precinct Vote Data'!H395&gt;0.5)&lt;&gt;('Precinct Vote Data'!H396&gt;0.5),1,0)+IF(('Precinct Vote Data'!H396&gt;0.5)&lt;&gt;('Precinct Vote Data'!H397&gt;0.5),1,0)</f>
        <v>0</v>
      </c>
      <c r="H100" s="2" t="str">
        <f t="shared" si="1"/>
        <v>Easy</v>
      </c>
    </row>
    <row r="101" ht="15.0" customHeight="1">
      <c r="A101" s="5" t="s">
        <v>143</v>
      </c>
      <c r="B101" s="5" t="s">
        <v>145</v>
      </c>
      <c r="C101" s="5" t="s">
        <v>151</v>
      </c>
      <c r="D101" s="10">
        <f>AVERAGE('Precinct Vote Data'!H398:H401)</f>
        <v>0.6089399323</v>
      </c>
      <c r="E101" s="10">
        <f>AVERAGE(ABS('Precinct Vote Data'!H398-0.5),ABS('Precinct Vote Data'!H399-0.5),ABS('Precinct Vote Data'!H400-0.5),ABS('Precinct Vote Data'!H401-0.5))</f>
        <v>0.1089399323</v>
      </c>
      <c r="F101" s="10">
        <f>STDEV('Precinct Vote Data'!H398:H401)</f>
        <v>0.05900045913</v>
      </c>
      <c r="G101" s="5">
        <f>IF(('Precinct Vote Data'!H398&gt;0.5)&lt;&gt;('Precinct Vote Data'!H399&gt;0.5),1,0)+IF(('Precinct Vote Data'!H399&gt;0.5)&lt;&gt;('Precinct Vote Data'!H400&gt;0.5),1,0)+IF(('Precinct Vote Data'!H400&gt;0.5)&lt;&gt;('Precinct Vote Data'!H401&gt;0.5),1,0)</f>
        <v>0</v>
      </c>
      <c r="H101" s="2" t="str">
        <f t="shared" si="1"/>
        <v>Medium</v>
      </c>
    </row>
    <row r="102" ht="15.0" customHeight="1">
      <c r="A102" s="5" t="s">
        <v>143</v>
      </c>
      <c r="B102" s="5" t="s">
        <v>145</v>
      </c>
      <c r="C102" s="5" t="s">
        <v>152</v>
      </c>
      <c r="D102" s="10">
        <f>AVERAGE('Precinct Vote Data'!H402:H405)</f>
        <v>0.6992614209</v>
      </c>
      <c r="E102" s="10">
        <f>AVERAGE(ABS('Precinct Vote Data'!H402-0.5),ABS('Precinct Vote Data'!H403-0.5),ABS('Precinct Vote Data'!H404-0.5),ABS('Precinct Vote Data'!H405-0.5))</f>
        <v>0.1992614209</v>
      </c>
      <c r="F102" s="10">
        <f>STDEV('Precinct Vote Data'!H402:H405)</f>
        <v>0.04483591826</v>
      </c>
      <c r="G102" s="5">
        <f>IF(('Precinct Vote Data'!H402&gt;0.5)&lt;&gt;('Precinct Vote Data'!H403&gt;0.5),1,0)+IF(('Precinct Vote Data'!H403&gt;0.5)&lt;&gt;('Precinct Vote Data'!H404&gt;0.5),1,0)+IF(('Precinct Vote Data'!H404&gt;0.5)&lt;&gt;('Precinct Vote Data'!H405&gt;0.5),1,0)</f>
        <v>0</v>
      </c>
      <c r="H102" s="2" t="str">
        <f t="shared" si="1"/>
        <v>Easy</v>
      </c>
    </row>
    <row r="103" ht="15.0" customHeight="1">
      <c r="A103" s="5" t="s">
        <v>143</v>
      </c>
      <c r="B103" s="5" t="s">
        <v>145</v>
      </c>
      <c r="C103" s="5" t="s">
        <v>153</v>
      </c>
      <c r="D103" s="10">
        <f>AVERAGE('Precinct Vote Data'!H406:H409)</f>
        <v>0.6008913155</v>
      </c>
      <c r="E103" s="10">
        <f>AVERAGE(ABS('Precinct Vote Data'!H406-0.5),ABS('Precinct Vote Data'!H407-0.5),ABS('Precinct Vote Data'!H408-0.5),ABS('Precinct Vote Data'!H409-0.5))</f>
        <v>0.1008913155</v>
      </c>
      <c r="F103" s="10">
        <f>STDEV('Precinct Vote Data'!H406:H409)</f>
        <v>0.01940638662</v>
      </c>
      <c r="G103" s="5">
        <f>IF(('Precinct Vote Data'!H406&gt;0.5)&lt;&gt;('Precinct Vote Data'!H407&gt;0.5),1,0)+IF(('Precinct Vote Data'!H407&gt;0.5)&lt;&gt;('Precinct Vote Data'!H408&gt;0.5),1,0)+IF(('Precinct Vote Data'!H408&gt;0.5)&lt;&gt;('Precinct Vote Data'!H409&gt;0.5),1,0)</f>
        <v>0</v>
      </c>
      <c r="H103" s="2" t="str">
        <f t="shared" si="1"/>
        <v>Medium</v>
      </c>
    </row>
    <row r="104" ht="15.0" customHeight="1">
      <c r="A104" s="5" t="s">
        <v>143</v>
      </c>
      <c r="B104" s="5" t="s">
        <v>145</v>
      </c>
      <c r="C104" s="5" t="s">
        <v>154</v>
      </c>
      <c r="D104" s="10">
        <f>AVERAGE('Precinct Vote Data'!H410:H413)</f>
        <v>0.6814394714</v>
      </c>
      <c r="E104" s="10">
        <f>AVERAGE(ABS('Precinct Vote Data'!H410-0.5),ABS('Precinct Vote Data'!H411-0.5),ABS('Precinct Vote Data'!H412-0.5),ABS('Precinct Vote Data'!H413-0.5))</f>
        <v>0.1814394714</v>
      </c>
      <c r="F104" s="10">
        <f>STDEV('Precinct Vote Data'!H410:H413)</f>
        <v>0.03783572822</v>
      </c>
      <c r="G104" s="5">
        <f>IF(('Precinct Vote Data'!H410&gt;0.5)&lt;&gt;('Precinct Vote Data'!H411&gt;0.5),1,0)+IF(('Precinct Vote Data'!H411&gt;0.5)&lt;&gt;('Precinct Vote Data'!H412&gt;0.5),1,0)+IF(('Precinct Vote Data'!H412&gt;0.5)&lt;&gt;('Precinct Vote Data'!H413&gt;0.5),1,0)</f>
        <v>0</v>
      </c>
      <c r="H104" s="2" t="str">
        <f t="shared" si="1"/>
        <v>Easy</v>
      </c>
    </row>
    <row r="105" ht="15.0" customHeight="1">
      <c r="A105" s="5" t="s">
        <v>143</v>
      </c>
      <c r="B105" s="5" t="s">
        <v>145</v>
      </c>
      <c r="C105" s="5" t="s">
        <v>155</v>
      </c>
      <c r="D105" s="10">
        <f>AVERAGE('Precinct Vote Data'!H414:H417)</f>
        <v>0.588895763</v>
      </c>
      <c r="E105" s="10">
        <f>AVERAGE(ABS('Precinct Vote Data'!H414-0.5),ABS('Precinct Vote Data'!H415-0.5),ABS('Precinct Vote Data'!H416-0.5),ABS('Precinct Vote Data'!H417-0.5))</f>
        <v>0.08889576298</v>
      </c>
      <c r="F105" s="10">
        <f>STDEV('Precinct Vote Data'!H414:H417)</f>
        <v>0.01300310072</v>
      </c>
      <c r="G105" s="5">
        <f>IF(('Precinct Vote Data'!H414&gt;0.5)&lt;&gt;('Precinct Vote Data'!H415&gt;0.5),1,0)+IF(('Precinct Vote Data'!H415&gt;0.5)&lt;&gt;('Precinct Vote Data'!H416&gt;0.5),1,0)+IF(('Precinct Vote Data'!H416&gt;0.5)&lt;&gt;('Precinct Vote Data'!H417&gt;0.5),1,0)</f>
        <v>0</v>
      </c>
      <c r="H105" s="2" t="str">
        <f t="shared" si="1"/>
        <v>Medium</v>
      </c>
    </row>
    <row r="106" ht="15.0" customHeight="1">
      <c r="A106" s="5" t="s">
        <v>143</v>
      </c>
      <c r="B106" s="5" t="s">
        <v>145</v>
      </c>
      <c r="C106" s="5" t="s">
        <v>156</v>
      </c>
      <c r="D106" s="10">
        <f>AVERAGE('Precinct Vote Data'!H418:H421)</f>
        <v>0.6638336731</v>
      </c>
      <c r="E106" s="10">
        <f>AVERAGE(ABS('Precinct Vote Data'!H418-0.5),ABS('Precinct Vote Data'!H419-0.5),ABS('Precinct Vote Data'!H420-0.5),ABS('Precinct Vote Data'!H421-0.5))</f>
        <v>0.1638336731</v>
      </c>
      <c r="F106" s="10">
        <f>STDEV('Precinct Vote Data'!H418:H421)</f>
        <v>0.042765918</v>
      </c>
      <c r="G106" s="5">
        <f>IF(('Precinct Vote Data'!H418&gt;0.5)&lt;&gt;('Precinct Vote Data'!H419&gt;0.5),1,0)+IF(('Precinct Vote Data'!H419&gt;0.5)&lt;&gt;('Precinct Vote Data'!H420&gt;0.5),1,0)+IF(('Precinct Vote Data'!H420&gt;0.5)&lt;&gt;('Precinct Vote Data'!H421&gt;0.5),1,0)</f>
        <v>0</v>
      </c>
      <c r="H106" s="2" t="str">
        <f t="shared" si="1"/>
        <v>Easy</v>
      </c>
    </row>
    <row r="107" ht="15.0" customHeight="1">
      <c r="A107" s="5" t="s">
        <v>143</v>
      </c>
      <c r="B107" s="5" t="s">
        <v>157</v>
      </c>
      <c r="C107" s="5" t="s">
        <v>158</v>
      </c>
      <c r="D107" s="10">
        <f>AVERAGE('Precinct Vote Data'!H422:H425)</f>
        <v>0.7309047186</v>
      </c>
      <c r="E107" s="10">
        <f>AVERAGE(ABS('Precinct Vote Data'!H422-0.5),ABS('Precinct Vote Data'!H423-0.5),ABS('Precinct Vote Data'!H424-0.5),ABS('Precinct Vote Data'!H425-0.5))</f>
        <v>0.2309047186</v>
      </c>
      <c r="F107" s="10">
        <f>STDEV('Precinct Vote Data'!H422:H425)</f>
        <v>0.02358892785</v>
      </c>
      <c r="G107" s="5">
        <f>IF(('Precinct Vote Data'!H422&gt;0.5)&lt;&gt;('Precinct Vote Data'!H423&gt;0.5),1,0)+IF(('Precinct Vote Data'!H423&gt;0.5)&lt;&gt;('Precinct Vote Data'!H424&gt;0.5),1,0)+IF(('Precinct Vote Data'!H424&gt;0.5)&lt;&gt;('Precinct Vote Data'!H425&gt;0.5),1,0)</f>
        <v>0</v>
      </c>
      <c r="H107" s="2" t="str">
        <f t="shared" si="1"/>
        <v>Easy</v>
      </c>
    </row>
    <row r="108" ht="15.0" customHeight="1">
      <c r="A108" s="5" t="s">
        <v>143</v>
      </c>
      <c r="B108" s="5" t="s">
        <v>157</v>
      </c>
      <c r="C108" s="5" t="s">
        <v>159</v>
      </c>
      <c r="D108" s="10">
        <f>AVERAGE('Precinct Vote Data'!H426:H429)</f>
        <v>0.6937406128</v>
      </c>
      <c r="E108" s="10">
        <f>AVERAGE(ABS('Precinct Vote Data'!H426-0.5),ABS('Precinct Vote Data'!H427-0.5),ABS('Precinct Vote Data'!H428-0.5),ABS('Precinct Vote Data'!H429-0.5))</f>
        <v>0.1937406128</v>
      </c>
      <c r="F108" s="10">
        <f>STDEV('Precinct Vote Data'!H426:H429)</f>
        <v>0.0447713796</v>
      </c>
      <c r="G108" s="5">
        <f>IF(('Precinct Vote Data'!H426&gt;0.5)&lt;&gt;('Precinct Vote Data'!H427&gt;0.5),1,0)+IF(('Precinct Vote Data'!H427&gt;0.5)&lt;&gt;('Precinct Vote Data'!H428&gt;0.5),1,0)+IF(('Precinct Vote Data'!H428&gt;0.5)&lt;&gt;('Precinct Vote Data'!H429&gt;0.5),1,0)</f>
        <v>0</v>
      </c>
      <c r="H108" s="2" t="str">
        <f t="shared" si="1"/>
        <v>Easy</v>
      </c>
    </row>
    <row r="109" ht="15.0" customHeight="1">
      <c r="A109" s="5" t="s">
        <v>143</v>
      </c>
      <c r="B109" s="5" t="s">
        <v>157</v>
      </c>
      <c r="C109" s="5" t="s">
        <v>160</v>
      </c>
      <c r="D109" s="10">
        <f>AVERAGE('Precinct Vote Data'!H430:H433)</f>
        <v>0.7284913543</v>
      </c>
      <c r="E109" s="10">
        <f>AVERAGE(ABS('Precinct Vote Data'!H430-0.5),ABS('Precinct Vote Data'!H431-0.5),ABS('Precinct Vote Data'!H432-0.5),ABS('Precinct Vote Data'!H433-0.5))</f>
        <v>0.2284913543</v>
      </c>
      <c r="F109" s="10">
        <f>STDEV('Precinct Vote Data'!H430:H433)</f>
        <v>0.02381679639</v>
      </c>
      <c r="G109" s="5">
        <f>IF(('Precinct Vote Data'!H430&gt;0.5)&lt;&gt;('Precinct Vote Data'!H431&gt;0.5),1,0)+IF(('Precinct Vote Data'!H431&gt;0.5)&lt;&gt;('Precinct Vote Data'!H432&gt;0.5),1,0)+IF(('Precinct Vote Data'!H432&gt;0.5)&lt;&gt;('Precinct Vote Data'!H433&gt;0.5),1,0)</f>
        <v>0</v>
      </c>
      <c r="H109" s="2" t="str">
        <f t="shared" si="1"/>
        <v>Easy</v>
      </c>
    </row>
    <row r="110" ht="15.0" customHeight="1">
      <c r="A110" s="5" t="s">
        <v>143</v>
      </c>
      <c r="B110" s="5" t="s">
        <v>157</v>
      </c>
      <c r="C110" s="5" t="s">
        <v>161</v>
      </c>
      <c r="D110" s="10">
        <f>AVERAGE('Precinct Vote Data'!H434:H437)</f>
        <v>0.7031335357</v>
      </c>
      <c r="E110" s="10">
        <f>AVERAGE(ABS('Precinct Vote Data'!H434-0.5),ABS('Precinct Vote Data'!H435-0.5),ABS('Precinct Vote Data'!H436-0.5),ABS('Precinct Vote Data'!H437-0.5))</f>
        <v>0.2031335357</v>
      </c>
      <c r="F110" s="10">
        <f>STDEV('Precinct Vote Data'!H434:H437)</f>
        <v>0.02544868969</v>
      </c>
      <c r="G110" s="5">
        <f>IF(('Precinct Vote Data'!H434&gt;0.5)&lt;&gt;('Precinct Vote Data'!H435&gt;0.5),1,0)+IF(('Precinct Vote Data'!H435&gt;0.5)&lt;&gt;('Precinct Vote Data'!H436&gt;0.5),1,0)+IF(('Precinct Vote Data'!H436&gt;0.5)&lt;&gt;('Precinct Vote Data'!H437&gt;0.5),1,0)</f>
        <v>0</v>
      </c>
      <c r="H110" s="2" t="str">
        <f t="shared" si="1"/>
        <v>Easy</v>
      </c>
    </row>
    <row r="111" ht="15.0" customHeight="1">
      <c r="A111" s="5" t="s">
        <v>143</v>
      </c>
      <c r="B111" s="5" t="s">
        <v>157</v>
      </c>
      <c r="C111" s="5" t="s">
        <v>162</v>
      </c>
      <c r="D111" s="10">
        <f>AVERAGE('Precinct Vote Data'!H438:H441)</f>
        <v>0.6671417794</v>
      </c>
      <c r="E111" s="10">
        <f>AVERAGE(ABS('Precinct Vote Data'!H438-0.5),ABS('Precinct Vote Data'!H439-0.5),ABS('Precinct Vote Data'!H440-0.5),ABS('Precinct Vote Data'!H441-0.5))</f>
        <v>0.1671417794</v>
      </c>
      <c r="F111" s="10">
        <f>STDEV('Precinct Vote Data'!H438:H441)</f>
        <v>0.01421427312</v>
      </c>
      <c r="G111" s="5">
        <f>IF(('Precinct Vote Data'!H438&gt;0.5)&lt;&gt;('Precinct Vote Data'!H439&gt;0.5),1,0)+IF(('Precinct Vote Data'!H439&gt;0.5)&lt;&gt;('Precinct Vote Data'!H440&gt;0.5),1,0)+IF(('Precinct Vote Data'!H440&gt;0.5)&lt;&gt;('Precinct Vote Data'!H441&gt;0.5),1,0)</f>
        <v>0</v>
      </c>
      <c r="H111" s="2" t="str">
        <f t="shared" si="1"/>
        <v>Easy</v>
      </c>
    </row>
    <row r="112" ht="15.0" customHeight="1">
      <c r="A112" s="5" t="s">
        <v>143</v>
      </c>
      <c r="B112" s="5" t="s">
        <v>157</v>
      </c>
      <c r="C112" s="5" t="s">
        <v>163</v>
      </c>
      <c r="D112" s="10">
        <f>AVERAGE('Precinct Vote Data'!H442:H445)</f>
        <v>0.6343977543</v>
      </c>
      <c r="E112" s="10">
        <f>AVERAGE(ABS('Precinct Vote Data'!H442-0.5),ABS('Precinct Vote Data'!H443-0.5),ABS('Precinct Vote Data'!H444-0.5),ABS('Precinct Vote Data'!H445-0.5))</f>
        <v>0.1343977543</v>
      </c>
      <c r="F112" s="10">
        <f>STDEV('Precinct Vote Data'!H442:H445)</f>
        <v>0.02322013651</v>
      </c>
      <c r="G112" s="5">
        <f>IF(('Precinct Vote Data'!H442&gt;0.5)&lt;&gt;('Precinct Vote Data'!H443&gt;0.5),1,0)+IF(('Precinct Vote Data'!H443&gt;0.5)&lt;&gt;('Precinct Vote Data'!H444&gt;0.5),1,0)+IF(('Precinct Vote Data'!H444&gt;0.5)&lt;&gt;('Precinct Vote Data'!H445&gt;0.5),1,0)</f>
        <v>0</v>
      </c>
      <c r="H112" s="2" t="str">
        <f t="shared" si="1"/>
        <v>Medium</v>
      </c>
    </row>
    <row r="113" ht="15.0" customHeight="1">
      <c r="A113" s="5" t="s">
        <v>143</v>
      </c>
      <c r="B113" s="5" t="s">
        <v>157</v>
      </c>
      <c r="C113" s="5" t="s">
        <v>164</v>
      </c>
      <c r="D113" s="10">
        <f>AVERAGE('Precinct Vote Data'!H446:H449)</f>
        <v>0.5996533465</v>
      </c>
      <c r="E113" s="10">
        <f>AVERAGE(ABS('Precinct Vote Data'!H446-0.5),ABS('Precinct Vote Data'!H447-0.5),ABS('Precinct Vote Data'!H448-0.5),ABS('Precinct Vote Data'!H449-0.5))</f>
        <v>0.09965334654</v>
      </c>
      <c r="F113" s="10">
        <f>STDEV('Precinct Vote Data'!H446:H449)</f>
        <v>0.01785109454</v>
      </c>
      <c r="G113" s="5">
        <f>IF(('Precinct Vote Data'!H446&gt;0.5)&lt;&gt;('Precinct Vote Data'!H447&gt;0.5),1,0)+IF(('Precinct Vote Data'!H447&gt;0.5)&lt;&gt;('Precinct Vote Data'!H448&gt;0.5),1,0)+IF(('Precinct Vote Data'!H448&gt;0.5)&lt;&gt;('Precinct Vote Data'!H449&gt;0.5),1,0)</f>
        <v>0</v>
      </c>
      <c r="H113" s="2" t="str">
        <f t="shared" si="1"/>
        <v>Medium</v>
      </c>
    </row>
    <row r="114" ht="15.0" customHeight="1">
      <c r="A114" s="5" t="s">
        <v>143</v>
      </c>
      <c r="B114" s="5" t="s">
        <v>157</v>
      </c>
      <c r="C114" s="5" t="s">
        <v>165</v>
      </c>
      <c r="D114" s="10">
        <f>AVERAGE('Precinct Vote Data'!H450:H453)</f>
        <v>0.6125010883</v>
      </c>
      <c r="E114" s="10">
        <f>AVERAGE(ABS('Precinct Vote Data'!H450-0.5),ABS('Precinct Vote Data'!H451-0.5),ABS('Precinct Vote Data'!H452-0.5),ABS('Precinct Vote Data'!H453-0.5))</f>
        <v>0.1125010883</v>
      </c>
      <c r="F114" s="10">
        <f>STDEV('Precinct Vote Data'!H450:H453)</f>
        <v>0.0224190902</v>
      </c>
      <c r="G114" s="5">
        <f>IF(('Precinct Vote Data'!H450&gt;0.5)&lt;&gt;('Precinct Vote Data'!H451&gt;0.5),1,0)+IF(('Precinct Vote Data'!H451&gt;0.5)&lt;&gt;('Precinct Vote Data'!H452&gt;0.5),1,0)+IF(('Precinct Vote Data'!H452&gt;0.5)&lt;&gt;('Precinct Vote Data'!H453&gt;0.5),1,0)</f>
        <v>0</v>
      </c>
      <c r="H114" s="2" t="str">
        <f t="shared" si="1"/>
        <v>Medium</v>
      </c>
    </row>
    <row r="115" ht="15.0" customHeight="1">
      <c r="A115" s="5" t="s">
        <v>143</v>
      </c>
      <c r="B115" s="5" t="s">
        <v>157</v>
      </c>
      <c r="C115" s="5" t="s">
        <v>166</v>
      </c>
      <c r="D115" s="10">
        <f>AVERAGE('Precinct Vote Data'!H454:H457)</f>
        <v>0.6411495126</v>
      </c>
      <c r="E115" s="10">
        <f>AVERAGE(ABS('Precinct Vote Data'!H454-0.5),ABS('Precinct Vote Data'!H455-0.5),ABS('Precinct Vote Data'!H456-0.5),ABS('Precinct Vote Data'!H457-0.5))</f>
        <v>0.1411495126</v>
      </c>
      <c r="F115" s="10">
        <f>STDEV('Precinct Vote Data'!H454:H457)</f>
        <v>0.02949706409</v>
      </c>
      <c r="G115" s="5">
        <f>IF(('Precinct Vote Data'!H454&gt;0.5)&lt;&gt;('Precinct Vote Data'!H455&gt;0.5),1,0)+IF(('Precinct Vote Data'!H455&gt;0.5)&lt;&gt;('Precinct Vote Data'!H456&gt;0.5),1,0)+IF(('Precinct Vote Data'!H456&gt;0.5)&lt;&gt;('Precinct Vote Data'!H457&gt;0.5),1,0)</f>
        <v>0</v>
      </c>
      <c r="H115" s="2" t="str">
        <f t="shared" si="1"/>
        <v>Medium</v>
      </c>
    </row>
    <row r="116" ht="15.0" customHeight="1">
      <c r="A116" s="5" t="s">
        <v>143</v>
      </c>
      <c r="B116" s="5" t="s">
        <v>157</v>
      </c>
      <c r="C116" s="5" t="s">
        <v>167</v>
      </c>
      <c r="D116" s="10">
        <f>AVERAGE('Precinct Vote Data'!H458:H461)</f>
        <v>0.5689571466</v>
      </c>
      <c r="E116" s="10">
        <f>AVERAGE(ABS('Precinct Vote Data'!H458-0.5),ABS('Precinct Vote Data'!H459-0.5),ABS('Precinct Vote Data'!H460-0.5),ABS('Precinct Vote Data'!H461-0.5))</f>
        <v>0.06895714661</v>
      </c>
      <c r="F116" s="10">
        <f>STDEV('Precinct Vote Data'!H458:H461)</f>
        <v>0.02003399271</v>
      </c>
      <c r="G116" s="5">
        <f>IF(('Precinct Vote Data'!H458&gt;0.5)&lt;&gt;('Precinct Vote Data'!H459&gt;0.5),1,0)+IF(('Precinct Vote Data'!H459&gt;0.5)&lt;&gt;('Precinct Vote Data'!H460&gt;0.5),1,0)+IF(('Precinct Vote Data'!H460&gt;0.5)&lt;&gt;('Precinct Vote Data'!H461&gt;0.5),1,0)</f>
        <v>0</v>
      </c>
      <c r="H116" s="2" t="str">
        <f t="shared" si="1"/>
        <v>Medium</v>
      </c>
    </row>
    <row r="117" ht="15.0" customHeight="1">
      <c r="A117" s="5" t="s">
        <v>143</v>
      </c>
      <c r="B117" s="5" t="s">
        <v>157</v>
      </c>
      <c r="C117" s="5" t="s">
        <v>168</v>
      </c>
      <c r="D117" s="10">
        <f>AVERAGE('Precinct Vote Data'!H462:H465)</f>
        <v>0.6451488617</v>
      </c>
      <c r="E117" s="10">
        <f>AVERAGE(ABS('Precinct Vote Data'!H462-0.5),ABS('Precinct Vote Data'!H463-0.5),ABS('Precinct Vote Data'!H464-0.5),ABS('Precinct Vote Data'!H465-0.5))</f>
        <v>0.1451488617</v>
      </c>
      <c r="F117" s="10">
        <f>STDEV('Precinct Vote Data'!H462:H465)</f>
        <v>0.014992843</v>
      </c>
      <c r="G117" s="5">
        <f>IF(('Precinct Vote Data'!H462&gt;0.5)&lt;&gt;('Precinct Vote Data'!H463&gt;0.5),1,0)+IF(('Precinct Vote Data'!H463&gt;0.5)&lt;&gt;('Precinct Vote Data'!H464&gt;0.5),1,0)+IF(('Precinct Vote Data'!H464&gt;0.5)&lt;&gt;('Precinct Vote Data'!H465&gt;0.5),1,0)</f>
        <v>0</v>
      </c>
      <c r="H117" s="2" t="str">
        <f t="shared" si="1"/>
        <v>Medium</v>
      </c>
    </row>
    <row r="118" ht="15.0" customHeight="1">
      <c r="A118" s="5" t="s">
        <v>143</v>
      </c>
      <c r="B118" s="5" t="s">
        <v>157</v>
      </c>
      <c r="C118" s="5" t="s">
        <v>169</v>
      </c>
      <c r="D118" s="10">
        <f>AVERAGE('Precinct Vote Data'!H466:H469)</f>
        <v>0.6025079285</v>
      </c>
      <c r="E118" s="10">
        <f>AVERAGE(ABS('Precinct Vote Data'!H466-0.5),ABS('Precinct Vote Data'!H467-0.5),ABS('Precinct Vote Data'!H468-0.5),ABS('Precinct Vote Data'!H469-0.5))</f>
        <v>0.1025079285</v>
      </c>
      <c r="F118" s="10">
        <f>STDEV('Precinct Vote Data'!H466:H469)</f>
        <v>0.0111142341</v>
      </c>
      <c r="G118" s="5">
        <f>IF(('Precinct Vote Data'!H466&gt;0.5)&lt;&gt;('Precinct Vote Data'!H467&gt;0.5),1,0)+IF(('Precinct Vote Data'!H467&gt;0.5)&lt;&gt;('Precinct Vote Data'!H468&gt;0.5),1,0)+IF(('Precinct Vote Data'!H468&gt;0.5)&lt;&gt;('Precinct Vote Data'!H469&gt;0.5),1,0)</f>
        <v>0</v>
      </c>
      <c r="H118" s="2" t="str">
        <f t="shared" si="1"/>
        <v>Medium</v>
      </c>
    </row>
    <row r="119" ht="15.0" customHeight="1">
      <c r="A119" s="5" t="s">
        <v>143</v>
      </c>
      <c r="B119" s="5" t="s">
        <v>170</v>
      </c>
      <c r="C119" s="5" t="s">
        <v>171</v>
      </c>
      <c r="D119" s="10">
        <f>AVERAGE('Precinct Vote Data'!H470:H473)</f>
        <v>0.5865901402</v>
      </c>
      <c r="E119" s="10">
        <f>AVERAGE(ABS('Precinct Vote Data'!H470-0.5),ABS('Precinct Vote Data'!H471-0.5),ABS('Precinct Vote Data'!H472-0.5),ABS('Precinct Vote Data'!H473-0.5))</f>
        <v>0.08659014024</v>
      </c>
      <c r="F119" s="10">
        <f>STDEV('Precinct Vote Data'!H470:H473)</f>
        <v>0.03932846643</v>
      </c>
      <c r="G119" s="5">
        <f>IF(('Precinct Vote Data'!H470&gt;0.5)&lt;&gt;('Precinct Vote Data'!H471&gt;0.5),1,0)+IF(('Precinct Vote Data'!H471&gt;0.5)&lt;&gt;('Precinct Vote Data'!H472&gt;0.5),1,0)+IF(('Precinct Vote Data'!H472&gt;0.5)&lt;&gt;('Precinct Vote Data'!H473&gt;0.5),1,0)</f>
        <v>0</v>
      </c>
      <c r="H119" s="2" t="str">
        <f t="shared" si="1"/>
        <v>Medium</v>
      </c>
    </row>
    <row r="120" ht="15.0" customHeight="1">
      <c r="A120" s="5" t="s">
        <v>143</v>
      </c>
      <c r="B120" s="5" t="s">
        <v>170</v>
      </c>
      <c r="C120" s="5" t="s">
        <v>172</v>
      </c>
      <c r="D120" s="10">
        <f>AVERAGE('Precinct Vote Data'!H474:H477)</f>
        <v>0.491568679</v>
      </c>
      <c r="E120" s="10">
        <f>AVERAGE(ABS('Precinct Vote Data'!H474-0.5),ABS('Precinct Vote Data'!H475-0.5),ABS('Precinct Vote Data'!H476-0.5),ABS('Precinct Vote Data'!H477-0.5))</f>
        <v>0.01541577594</v>
      </c>
      <c r="F120" s="10">
        <f>STDEV('Precinct Vote Data'!H474:H477)</f>
        <v>0.01851680428</v>
      </c>
      <c r="G120" s="5">
        <f>IF(('Precinct Vote Data'!H474&gt;0.5)&lt;&gt;('Precinct Vote Data'!H475&gt;0.5),1,0)+IF(('Precinct Vote Data'!H475&gt;0.5)&lt;&gt;('Precinct Vote Data'!H476&gt;0.5),1,0)+IF(('Precinct Vote Data'!H476&gt;0.5)&lt;&gt;('Precinct Vote Data'!H477&gt;0.5),1,0)</f>
        <v>3</v>
      </c>
      <c r="H120" s="2" t="str">
        <f t="shared" si="1"/>
        <v>Hard</v>
      </c>
    </row>
    <row r="121" ht="15.0" customHeight="1">
      <c r="A121" s="5" t="s">
        <v>143</v>
      </c>
      <c r="B121" s="5" t="s">
        <v>170</v>
      </c>
      <c r="C121" s="5" t="s">
        <v>173</v>
      </c>
      <c r="D121" s="10">
        <f>AVERAGE('Precinct Vote Data'!H478:H481)</f>
        <v>0.5315002026</v>
      </c>
      <c r="E121" s="10">
        <f>AVERAGE(ABS('Precinct Vote Data'!H478-0.5),ABS('Precinct Vote Data'!H479-0.5),ABS('Precinct Vote Data'!H480-0.5),ABS('Precinct Vote Data'!H481-0.5))</f>
        <v>0.03173232886</v>
      </c>
      <c r="F121" s="10">
        <f>STDEV('Precinct Vote Data'!H478:H481)</f>
        <v>0.04110671791</v>
      </c>
      <c r="G121" s="5">
        <f>IF(('Precinct Vote Data'!H478&gt;0.5)&lt;&gt;('Precinct Vote Data'!H479&gt;0.5),1,0)+IF(('Precinct Vote Data'!H479&gt;0.5)&lt;&gt;('Precinct Vote Data'!H480&gt;0.5),1,0)+IF(('Precinct Vote Data'!H480&gt;0.5)&lt;&gt;('Precinct Vote Data'!H481&gt;0.5),1,0)</f>
        <v>2</v>
      </c>
      <c r="H121" s="2" t="str">
        <f t="shared" si="1"/>
        <v>Hard</v>
      </c>
    </row>
    <row r="122" ht="15.0" customHeight="1">
      <c r="A122" s="5" t="s">
        <v>143</v>
      </c>
      <c r="B122" s="5" t="s">
        <v>174</v>
      </c>
      <c r="C122" s="5" t="s">
        <v>175</v>
      </c>
      <c r="D122" s="10">
        <f>AVERAGE('Precinct Vote Data'!H482:H485)</f>
        <v>0.4982130098</v>
      </c>
      <c r="E122" s="10">
        <f>AVERAGE(ABS('Precinct Vote Data'!H482-0.5),ABS('Precinct Vote Data'!H483-0.5),ABS('Precinct Vote Data'!H484-0.5),ABS('Precinct Vote Data'!H485-0.5))</f>
        <v>0.02397008182</v>
      </c>
      <c r="F122" s="10">
        <f>STDEV('Precinct Vote Data'!H482:H485)</f>
        <v>0.02969652053</v>
      </c>
      <c r="G122" s="5">
        <f>IF(('Precinct Vote Data'!H482&gt;0.5)&lt;&gt;('Precinct Vote Data'!H483&gt;0.5),1,0)+IF(('Precinct Vote Data'!H483&gt;0.5)&lt;&gt;('Precinct Vote Data'!H484&gt;0.5),1,0)+IF(('Precinct Vote Data'!H484&gt;0.5)&lt;&gt;('Precinct Vote Data'!H485&gt;0.5),1,0)</f>
        <v>3</v>
      </c>
      <c r="H122" s="2" t="str">
        <f t="shared" si="1"/>
        <v>Hard</v>
      </c>
    </row>
    <row r="123" ht="15.0" customHeight="1">
      <c r="A123" s="5" t="s">
        <v>143</v>
      </c>
      <c r="B123" s="5" t="s">
        <v>176</v>
      </c>
      <c r="C123" s="5" t="s">
        <v>177</v>
      </c>
      <c r="D123" s="10">
        <f>AVERAGE('Precinct Vote Data'!H486:H489)</f>
        <v>0.5200666876</v>
      </c>
      <c r="E123" s="10">
        <f>AVERAGE(ABS('Precinct Vote Data'!H486-0.5),ABS('Precinct Vote Data'!H487-0.5),ABS('Precinct Vote Data'!H488-0.5),ABS('Precinct Vote Data'!H489-0.5))</f>
        <v>0.02657531378</v>
      </c>
      <c r="F123" s="10">
        <f>STDEV('Precinct Vote Data'!H486:H489)</f>
        <v>0.03523261076</v>
      </c>
      <c r="G123" s="5">
        <f>IF(('Precinct Vote Data'!H486&gt;0.5)&lt;&gt;('Precinct Vote Data'!H487&gt;0.5),1,0)+IF(('Precinct Vote Data'!H487&gt;0.5)&lt;&gt;('Precinct Vote Data'!H488&gt;0.5),1,0)+IF(('Precinct Vote Data'!H488&gt;0.5)&lt;&gt;('Precinct Vote Data'!H489&gt;0.5),1,0)</f>
        <v>3</v>
      </c>
      <c r="H123" s="2" t="str">
        <f t="shared" si="1"/>
        <v>Hard</v>
      </c>
    </row>
    <row r="124" ht="15.0" customHeight="1">
      <c r="A124" s="5" t="s">
        <v>143</v>
      </c>
      <c r="B124" s="5" t="s">
        <v>176</v>
      </c>
      <c r="C124" s="5" t="s">
        <v>178</v>
      </c>
      <c r="D124" s="10">
        <f>AVERAGE('Precinct Vote Data'!H490:H493)</f>
        <v>0.527410438</v>
      </c>
      <c r="E124" s="10">
        <f>AVERAGE(ABS('Precinct Vote Data'!H490-0.5),ABS('Precinct Vote Data'!H491-0.5),ABS('Precinct Vote Data'!H492-0.5),ABS('Precinct Vote Data'!H493-0.5))</f>
        <v>0.02741043801</v>
      </c>
      <c r="F124" s="10">
        <f>STDEV('Precinct Vote Data'!H490:H493)</f>
        <v>0.02449128416</v>
      </c>
      <c r="G124" s="5">
        <f>IF(('Precinct Vote Data'!H490&gt;0.5)&lt;&gt;('Precinct Vote Data'!H491&gt;0.5),1,0)+IF(('Precinct Vote Data'!H491&gt;0.5)&lt;&gt;('Precinct Vote Data'!H492&gt;0.5),1,0)+IF(('Precinct Vote Data'!H492&gt;0.5)&lt;&gt;('Precinct Vote Data'!H493&gt;0.5),1,0)</f>
        <v>0</v>
      </c>
      <c r="H124" s="2" t="str">
        <f t="shared" si="1"/>
        <v>Hard</v>
      </c>
    </row>
    <row r="125" ht="15.0" customHeight="1">
      <c r="A125" s="5" t="s">
        <v>143</v>
      </c>
      <c r="B125" s="5" t="s">
        <v>179</v>
      </c>
      <c r="C125" s="5" t="s">
        <v>180</v>
      </c>
      <c r="D125" s="10">
        <f>AVERAGE('Precinct Vote Data'!H494:H497)</f>
        <v>0.553015312</v>
      </c>
      <c r="E125" s="10">
        <f>AVERAGE(ABS('Precinct Vote Data'!H494-0.5),ABS('Precinct Vote Data'!H495-0.5),ABS('Precinct Vote Data'!H496-0.5),ABS('Precinct Vote Data'!H497-0.5))</f>
        <v>0.05301531197</v>
      </c>
      <c r="F125" s="10">
        <f>STDEV('Precinct Vote Data'!H494:H497)</f>
        <v>0.01753342153</v>
      </c>
      <c r="G125" s="5">
        <f>IF(('Precinct Vote Data'!H494&gt;0.5)&lt;&gt;('Precinct Vote Data'!H495&gt;0.5),1,0)+IF(('Precinct Vote Data'!H495&gt;0.5)&lt;&gt;('Precinct Vote Data'!H496&gt;0.5),1,0)+IF(('Precinct Vote Data'!H496&gt;0.5)&lt;&gt;('Precinct Vote Data'!H497&gt;0.5),1,0)</f>
        <v>0</v>
      </c>
      <c r="H125" s="2" t="str">
        <f t="shared" si="1"/>
        <v>Medium</v>
      </c>
    </row>
    <row r="126" ht="15.0" customHeight="1">
      <c r="A126" s="5" t="s">
        <v>143</v>
      </c>
      <c r="B126" s="5" t="s">
        <v>179</v>
      </c>
      <c r="C126" s="5" t="s">
        <v>181</v>
      </c>
      <c r="D126" s="10">
        <f>AVERAGE('Precinct Vote Data'!H498:H501)</f>
        <v>0.5383887213</v>
      </c>
      <c r="E126" s="10">
        <f>AVERAGE(ABS('Precinct Vote Data'!H498-0.5),ABS('Precinct Vote Data'!H499-0.5),ABS('Precinct Vote Data'!H500-0.5),ABS('Precinct Vote Data'!H501-0.5))</f>
        <v>0.03838872126</v>
      </c>
      <c r="F126" s="10">
        <f>STDEV('Precinct Vote Data'!H498:H501)</f>
        <v>0.01298537609</v>
      </c>
      <c r="G126" s="5">
        <f>IF(('Precinct Vote Data'!H498&gt;0.5)&lt;&gt;('Precinct Vote Data'!H499&gt;0.5),1,0)+IF(('Precinct Vote Data'!H499&gt;0.5)&lt;&gt;('Precinct Vote Data'!H500&gt;0.5),1,0)+IF(('Precinct Vote Data'!H500&gt;0.5)&lt;&gt;('Precinct Vote Data'!H501&gt;0.5),1,0)</f>
        <v>0</v>
      </c>
      <c r="H126" s="2" t="str">
        <f t="shared" si="1"/>
        <v>Hard</v>
      </c>
    </row>
    <row r="127" ht="15.0" customHeight="1">
      <c r="A127" s="5" t="s">
        <v>143</v>
      </c>
      <c r="B127" s="5" t="s">
        <v>179</v>
      </c>
      <c r="C127" s="5" t="s">
        <v>182</v>
      </c>
      <c r="D127" s="10">
        <f>AVERAGE('Precinct Vote Data'!H502:H505)</f>
        <v>0.5011972373</v>
      </c>
      <c r="E127" s="10">
        <f>AVERAGE(ABS('Precinct Vote Data'!H502-0.5),ABS('Precinct Vote Data'!H503-0.5),ABS('Precinct Vote Data'!H504-0.5),ABS('Precinct Vote Data'!H505-0.5))</f>
        <v>0.0126893247</v>
      </c>
      <c r="F127" s="10">
        <f>STDEV('Precinct Vote Data'!H502:H505)</f>
        <v>0.01703136431</v>
      </c>
      <c r="G127" s="5">
        <f>IF(('Precinct Vote Data'!H502&gt;0.5)&lt;&gt;('Precinct Vote Data'!H503&gt;0.5),1,0)+IF(('Precinct Vote Data'!H503&gt;0.5)&lt;&gt;('Precinct Vote Data'!H504&gt;0.5),1,0)+IF(('Precinct Vote Data'!H504&gt;0.5)&lt;&gt;('Precinct Vote Data'!H505&gt;0.5),1,0)</f>
        <v>2</v>
      </c>
      <c r="H127" s="2" t="str">
        <f t="shared" si="1"/>
        <v>Hard</v>
      </c>
    </row>
    <row r="128" ht="15.0" customHeight="1">
      <c r="A128" s="5" t="s">
        <v>143</v>
      </c>
      <c r="B128" s="5" t="s">
        <v>179</v>
      </c>
      <c r="C128" s="5" t="s">
        <v>183</v>
      </c>
      <c r="D128" s="10">
        <f>AVERAGE('Precinct Vote Data'!H506:H509)</f>
        <v>0.570006486</v>
      </c>
      <c r="E128" s="10">
        <f>AVERAGE(ABS('Precinct Vote Data'!H506-0.5),ABS('Precinct Vote Data'!H507-0.5),ABS('Precinct Vote Data'!H508-0.5),ABS('Precinct Vote Data'!H509-0.5))</f>
        <v>0.070006486</v>
      </c>
      <c r="F128" s="10">
        <f>STDEV('Precinct Vote Data'!H506:H509)</f>
        <v>0.02531682702</v>
      </c>
      <c r="G128" s="5">
        <f>IF(('Precinct Vote Data'!H506&gt;0.5)&lt;&gt;('Precinct Vote Data'!H507&gt;0.5),1,0)+IF(('Precinct Vote Data'!H507&gt;0.5)&lt;&gt;('Precinct Vote Data'!H508&gt;0.5),1,0)+IF(('Precinct Vote Data'!H508&gt;0.5)&lt;&gt;('Precinct Vote Data'!H509&gt;0.5),1,0)</f>
        <v>0</v>
      </c>
      <c r="H128" s="2" t="str">
        <f t="shared" si="1"/>
        <v>Medium</v>
      </c>
    </row>
    <row r="129" ht="15.0" customHeight="1">
      <c r="A129" s="5" t="s">
        <v>143</v>
      </c>
      <c r="B129" s="5" t="s">
        <v>179</v>
      </c>
      <c r="C129" s="5" t="s">
        <v>184</v>
      </c>
      <c r="D129" s="10">
        <f>AVERAGE('Precinct Vote Data'!H510:H513)</f>
        <v>0.51161911</v>
      </c>
      <c r="E129" s="10">
        <f>AVERAGE(ABS('Precinct Vote Data'!H510-0.5),ABS('Precinct Vote Data'!H511-0.5),ABS('Precinct Vote Data'!H512-0.5),ABS('Precinct Vote Data'!H513-0.5))</f>
        <v>0.01800956454</v>
      </c>
      <c r="F129" s="10">
        <f>STDEV('Precinct Vote Data'!H510:H513)</f>
        <v>0.0208166361</v>
      </c>
      <c r="G129" s="5">
        <f>IF(('Precinct Vote Data'!H510&gt;0.5)&lt;&gt;('Precinct Vote Data'!H511&gt;0.5),1,0)+IF(('Precinct Vote Data'!H511&gt;0.5)&lt;&gt;('Precinct Vote Data'!H512&gt;0.5),1,0)+IF(('Precinct Vote Data'!H512&gt;0.5)&lt;&gt;('Precinct Vote Data'!H513&gt;0.5),1,0)</f>
        <v>3</v>
      </c>
      <c r="H129" s="2" t="str">
        <f t="shared" si="1"/>
        <v>Hard</v>
      </c>
    </row>
    <row r="130" ht="15.0" customHeight="1">
      <c r="A130" s="5" t="s">
        <v>143</v>
      </c>
      <c r="B130" s="5" t="s">
        <v>179</v>
      </c>
      <c r="C130" s="5" t="s">
        <v>185</v>
      </c>
      <c r="D130" s="10">
        <f>AVERAGE('Precinct Vote Data'!H514:H517)</f>
        <v>0.5700974255</v>
      </c>
      <c r="E130" s="10">
        <f>AVERAGE(ABS('Precinct Vote Data'!H514-0.5),ABS('Precinct Vote Data'!H515-0.5),ABS('Precinct Vote Data'!H516-0.5),ABS('Precinct Vote Data'!H517-0.5))</f>
        <v>0.07009742548</v>
      </c>
      <c r="F130" s="10">
        <f>STDEV('Precinct Vote Data'!H514:H517)</f>
        <v>0.02553363733</v>
      </c>
      <c r="G130" s="5">
        <f>IF(('Precinct Vote Data'!H514&gt;0.5)&lt;&gt;('Precinct Vote Data'!H515&gt;0.5),1,0)+IF(('Precinct Vote Data'!H515&gt;0.5)&lt;&gt;('Precinct Vote Data'!H516&gt;0.5),1,0)+IF(('Precinct Vote Data'!H516&gt;0.5)&lt;&gt;('Precinct Vote Data'!H517&gt;0.5),1,0)</f>
        <v>0</v>
      </c>
      <c r="H130" s="2" t="str">
        <f t="shared" si="1"/>
        <v>Medium</v>
      </c>
    </row>
    <row r="131" ht="15.0" customHeight="1">
      <c r="A131" s="5" t="s">
        <v>143</v>
      </c>
      <c r="B131" s="5" t="s">
        <v>186</v>
      </c>
      <c r="C131" s="5" t="s">
        <v>187</v>
      </c>
      <c r="D131" s="10">
        <f>AVERAGE('Precinct Vote Data'!H518:H521)</f>
        <v>0.7048913043</v>
      </c>
      <c r="E131" s="10">
        <f>AVERAGE(ABS('Precinct Vote Data'!H518-0.5),ABS('Precinct Vote Data'!H519-0.5),ABS('Precinct Vote Data'!H520-0.5),ABS('Precinct Vote Data'!H521-0.5))</f>
        <v>0.2048913043</v>
      </c>
      <c r="F131" s="10">
        <f>STDEV('Precinct Vote Data'!H518:H521)</f>
        <v>0.0307062662</v>
      </c>
      <c r="G131" s="5">
        <f>IF(('Precinct Vote Data'!H518&gt;0.5)&lt;&gt;('Precinct Vote Data'!H519&gt;0.5),1,0)+IF(('Precinct Vote Data'!H519&gt;0.5)&lt;&gt;('Precinct Vote Data'!H520&gt;0.5),1,0)+IF(('Precinct Vote Data'!H520&gt;0.5)&lt;&gt;('Precinct Vote Data'!H521&gt;0.5),1,0)</f>
        <v>0</v>
      </c>
      <c r="H131" s="2" t="str">
        <f t="shared" si="1"/>
        <v>Easy</v>
      </c>
    </row>
    <row r="132" ht="15.0" customHeight="1">
      <c r="A132" s="5" t="s">
        <v>143</v>
      </c>
      <c r="B132" s="5" t="s">
        <v>186</v>
      </c>
      <c r="C132" s="5" t="s">
        <v>188</v>
      </c>
      <c r="D132" s="10">
        <f>AVERAGE('Precinct Vote Data'!H522:H525)</f>
        <v>0.6477372028</v>
      </c>
      <c r="E132" s="10">
        <f>AVERAGE(ABS('Precinct Vote Data'!H522-0.5),ABS('Precinct Vote Data'!H523-0.5),ABS('Precinct Vote Data'!H524-0.5),ABS('Precinct Vote Data'!H525-0.5))</f>
        <v>0.1477372028</v>
      </c>
      <c r="F132" s="10">
        <f>STDEV('Precinct Vote Data'!H522:H525)</f>
        <v>0.01794208569</v>
      </c>
      <c r="G132" s="5">
        <f>IF(('Precinct Vote Data'!H522&gt;0.5)&lt;&gt;('Precinct Vote Data'!H523&gt;0.5),1,0)+IF(('Precinct Vote Data'!H523&gt;0.5)&lt;&gt;('Precinct Vote Data'!H524&gt;0.5),1,0)+IF(('Precinct Vote Data'!H524&gt;0.5)&lt;&gt;('Precinct Vote Data'!H525&gt;0.5),1,0)</f>
        <v>0</v>
      </c>
      <c r="H132" s="2" t="str">
        <f t="shared" si="1"/>
        <v>Medium</v>
      </c>
    </row>
    <row r="133" ht="15.0" customHeight="1">
      <c r="A133" s="5" t="s">
        <v>143</v>
      </c>
      <c r="B133" s="5" t="s">
        <v>186</v>
      </c>
      <c r="C133" s="5" t="s">
        <v>189</v>
      </c>
      <c r="D133" s="10">
        <f>AVERAGE('Precinct Vote Data'!H526:H529)</f>
        <v>0.6666368468</v>
      </c>
      <c r="E133" s="10">
        <f>AVERAGE(ABS('Precinct Vote Data'!H526-0.5),ABS('Precinct Vote Data'!H527-0.5),ABS('Precinct Vote Data'!H528-0.5),ABS('Precinct Vote Data'!H529-0.5))</f>
        <v>0.1666368468</v>
      </c>
      <c r="F133" s="10">
        <f>STDEV('Precinct Vote Data'!H526:H529)</f>
        <v>0.03290122839</v>
      </c>
      <c r="G133" s="5">
        <f>IF(('Precinct Vote Data'!H526&gt;0.5)&lt;&gt;('Precinct Vote Data'!H527&gt;0.5),1,0)+IF(('Precinct Vote Data'!H527&gt;0.5)&lt;&gt;('Precinct Vote Data'!H528&gt;0.5),1,0)+IF(('Precinct Vote Data'!H528&gt;0.5)&lt;&gt;('Precinct Vote Data'!H529&gt;0.5),1,0)</f>
        <v>0</v>
      </c>
      <c r="H133" s="2" t="str">
        <f t="shared" si="1"/>
        <v>Easy</v>
      </c>
    </row>
    <row r="134" ht="15.0" customHeight="1">
      <c r="A134" s="5" t="s">
        <v>143</v>
      </c>
      <c r="B134" s="5" t="s">
        <v>190</v>
      </c>
      <c r="C134" s="5" t="s">
        <v>191</v>
      </c>
      <c r="D134" s="10">
        <f>AVERAGE('Precinct Vote Data'!H530:H533)</f>
        <v>0.5660929014</v>
      </c>
      <c r="E134" s="10">
        <f>AVERAGE(ABS('Precinct Vote Data'!H530-0.5),ABS('Precinct Vote Data'!H531-0.5),ABS('Precinct Vote Data'!H532-0.5),ABS('Precinct Vote Data'!H533-0.5))</f>
        <v>0.06609290138</v>
      </c>
      <c r="F134" s="10">
        <f>STDEV('Precinct Vote Data'!H530:H533)</f>
        <v>0.02605666045</v>
      </c>
      <c r="G134" s="5">
        <f>IF(('Precinct Vote Data'!H530&gt;0.5)&lt;&gt;('Precinct Vote Data'!H531&gt;0.5),1,0)+IF(('Precinct Vote Data'!H531&gt;0.5)&lt;&gt;('Precinct Vote Data'!H532&gt;0.5),1,0)+IF(('Precinct Vote Data'!H532&gt;0.5)&lt;&gt;('Precinct Vote Data'!H533&gt;0.5),1,0)</f>
        <v>0</v>
      </c>
      <c r="H134" s="2" t="str">
        <f t="shared" si="1"/>
        <v>Medium</v>
      </c>
    </row>
    <row r="135" ht="15.0" customHeight="1">
      <c r="A135" s="5" t="s">
        <v>143</v>
      </c>
      <c r="B135" s="5" t="s">
        <v>192</v>
      </c>
      <c r="C135" s="5" t="s">
        <v>193</v>
      </c>
      <c r="D135" s="10">
        <f>AVERAGE('Precinct Vote Data'!H534:H537)</f>
        <v>0.3293912402</v>
      </c>
      <c r="E135" s="10">
        <f>AVERAGE(ABS('Precinct Vote Data'!H534-0.5),ABS('Precinct Vote Data'!H535-0.5),ABS('Precinct Vote Data'!H536-0.5),ABS('Precinct Vote Data'!H537-0.5))</f>
        <v>0.1706087598</v>
      </c>
      <c r="F135" s="10">
        <f>STDEV('Precinct Vote Data'!H534:H537)</f>
        <v>0.02421304507</v>
      </c>
      <c r="G135" s="5">
        <f>IF(('Precinct Vote Data'!H534&gt;0.5)&lt;&gt;('Precinct Vote Data'!H535&gt;0.5),1,0)+IF(('Precinct Vote Data'!H535&gt;0.5)&lt;&gt;('Precinct Vote Data'!H536&gt;0.5),1,0)+IF(('Precinct Vote Data'!H536&gt;0.5)&lt;&gt;('Precinct Vote Data'!H537&gt;0.5),1,0)</f>
        <v>0</v>
      </c>
      <c r="H135" s="2" t="str">
        <f t="shared" si="1"/>
        <v>Easy</v>
      </c>
    </row>
    <row r="136" ht="15.0" customHeight="1">
      <c r="A136" s="5" t="s">
        <v>143</v>
      </c>
      <c r="B136" s="5" t="s">
        <v>194</v>
      </c>
      <c r="C136" s="5" t="s">
        <v>195</v>
      </c>
      <c r="D136" s="10">
        <f>AVERAGE('Precinct Vote Data'!H538:H541)</f>
        <v>0.5035297008</v>
      </c>
      <c r="E136" s="10">
        <f>AVERAGE(ABS('Precinct Vote Data'!H538-0.5),ABS('Precinct Vote Data'!H539-0.5),ABS('Precinct Vote Data'!H540-0.5),ABS('Precinct Vote Data'!H541-0.5))</f>
        <v>0.008427928567</v>
      </c>
      <c r="F136" s="10">
        <f>STDEV('Precinct Vote Data'!H538:H541)</f>
        <v>0.01209390195</v>
      </c>
      <c r="G136" s="5">
        <f>IF(('Precinct Vote Data'!H538&gt;0.5)&lt;&gt;('Precinct Vote Data'!H539&gt;0.5),1,0)+IF(('Precinct Vote Data'!H539&gt;0.5)&lt;&gt;('Precinct Vote Data'!H540&gt;0.5),1,0)+IF(('Precinct Vote Data'!H540&gt;0.5)&lt;&gt;('Precinct Vote Data'!H541&gt;0.5),1,0)</f>
        <v>3</v>
      </c>
      <c r="H136" s="2" t="str">
        <f t="shared" si="1"/>
        <v>Hard</v>
      </c>
    </row>
    <row r="137" ht="15.0" customHeight="1">
      <c r="A137" s="5" t="s">
        <v>143</v>
      </c>
      <c r="B137" s="5" t="s">
        <v>194</v>
      </c>
      <c r="C137" s="5" t="s">
        <v>196</v>
      </c>
      <c r="D137" s="10">
        <f>AVERAGE('Precinct Vote Data'!H542:H545)</f>
        <v>0.5038933099</v>
      </c>
      <c r="E137" s="10">
        <f>AVERAGE(ABS('Precinct Vote Data'!H542-0.5),ABS('Precinct Vote Data'!H543-0.5),ABS('Precinct Vote Data'!H544-0.5),ABS('Precinct Vote Data'!H545-0.5))</f>
        <v>0.007496202953</v>
      </c>
      <c r="F137" s="10">
        <f>STDEV('Precinct Vote Data'!H542:H545)</f>
        <v>0.009468130976</v>
      </c>
      <c r="G137" s="5">
        <f>IF(('Precinct Vote Data'!H542&gt;0.5)&lt;&gt;('Precinct Vote Data'!H543&gt;0.5),1,0)+IF(('Precinct Vote Data'!H543&gt;0.5)&lt;&gt;('Precinct Vote Data'!H544&gt;0.5),1,0)+IF(('Precinct Vote Data'!H544&gt;0.5)&lt;&gt;('Precinct Vote Data'!H545&gt;0.5),1,0)</f>
        <v>3</v>
      </c>
      <c r="H137" s="2" t="str">
        <f t="shared" si="1"/>
        <v>Hard</v>
      </c>
    </row>
    <row r="138" ht="15.0" customHeight="1">
      <c r="A138" s="5" t="s">
        <v>143</v>
      </c>
      <c r="B138" s="5" t="s">
        <v>194</v>
      </c>
      <c r="C138" s="5" t="s">
        <v>197</v>
      </c>
      <c r="D138" s="10">
        <f>AVERAGE('Precinct Vote Data'!H546:H549)</f>
        <v>0.4932928478</v>
      </c>
      <c r="E138" s="10">
        <f>AVERAGE(ABS('Precinct Vote Data'!H546-0.5),ABS('Precinct Vote Data'!H547-0.5),ABS('Precinct Vote Data'!H548-0.5),ABS('Precinct Vote Data'!H549-0.5))</f>
        <v>0.01325778284</v>
      </c>
      <c r="F138" s="10">
        <f>STDEV('Precinct Vote Data'!H546:H549)</f>
        <v>0.01535978871</v>
      </c>
      <c r="G138" s="5">
        <f>IF(('Precinct Vote Data'!H546&gt;0.5)&lt;&gt;('Precinct Vote Data'!H547&gt;0.5),1,0)+IF(('Precinct Vote Data'!H547&gt;0.5)&lt;&gt;('Precinct Vote Data'!H548&gt;0.5),1,0)+IF(('Precinct Vote Data'!H548&gt;0.5)&lt;&gt;('Precinct Vote Data'!H549&gt;0.5),1,0)</f>
        <v>3</v>
      </c>
      <c r="H138" s="2" t="str">
        <f t="shared" si="1"/>
        <v>Hard</v>
      </c>
    </row>
    <row r="139" ht="15.0" customHeight="1">
      <c r="A139" s="5" t="s">
        <v>143</v>
      </c>
      <c r="B139" s="5" t="s">
        <v>194</v>
      </c>
      <c r="C139" s="5" t="s">
        <v>198</v>
      </c>
      <c r="D139" s="10">
        <f>AVERAGE('Precinct Vote Data'!H550:H553)</f>
        <v>0.4945122944</v>
      </c>
      <c r="E139" s="10">
        <f>AVERAGE(ABS('Precinct Vote Data'!H550-0.5),ABS('Precinct Vote Data'!H551-0.5),ABS('Precinct Vote Data'!H552-0.5),ABS('Precinct Vote Data'!H553-0.5))</f>
        <v>0.0133486464</v>
      </c>
      <c r="F139" s="10">
        <f>STDEV('Precinct Vote Data'!H550:H553)</f>
        <v>0.01554008428</v>
      </c>
      <c r="G139" s="5">
        <f>IF(('Precinct Vote Data'!H550&gt;0.5)&lt;&gt;('Precinct Vote Data'!H551&gt;0.5),1,0)+IF(('Precinct Vote Data'!H551&gt;0.5)&lt;&gt;('Precinct Vote Data'!H552&gt;0.5),1,0)+IF(('Precinct Vote Data'!H552&gt;0.5)&lt;&gt;('Precinct Vote Data'!H553&gt;0.5),1,0)</f>
        <v>3</v>
      </c>
      <c r="H139" s="2" t="str">
        <f t="shared" si="1"/>
        <v>Hard</v>
      </c>
    </row>
    <row r="140" ht="15.0" customHeight="1">
      <c r="A140" s="5" t="s">
        <v>143</v>
      </c>
      <c r="B140" s="5" t="s">
        <v>194</v>
      </c>
      <c r="C140" s="5" t="s">
        <v>199</v>
      </c>
      <c r="D140" s="10">
        <f>AVERAGE('Precinct Vote Data'!H554:H557)</f>
        <v>0.5033681868</v>
      </c>
      <c r="E140" s="10">
        <f>AVERAGE(ABS('Precinct Vote Data'!H554-0.5),ABS('Precinct Vote Data'!H555-0.5),ABS('Precinct Vote Data'!H556-0.5),ABS('Precinct Vote Data'!H557-0.5))</f>
        <v>0.01382136829</v>
      </c>
      <c r="F140" s="10">
        <f>STDEV('Precinct Vote Data'!H554:H557)</f>
        <v>0.01646569318</v>
      </c>
      <c r="G140" s="5">
        <f>IF(('Precinct Vote Data'!H554&gt;0.5)&lt;&gt;('Precinct Vote Data'!H555&gt;0.5),1,0)+IF(('Precinct Vote Data'!H555&gt;0.5)&lt;&gt;('Precinct Vote Data'!H556&gt;0.5),1,0)+IF(('Precinct Vote Data'!H556&gt;0.5)&lt;&gt;('Precinct Vote Data'!H557&gt;0.5),1,0)</f>
        <v>1</v>
      </c>
      <c r="H140" s="2" t="str">
        <f t="shared" si="1"/>
        <v>Hard</v>
      </c>
    </row>
    <row r="141" ht="15.0" customHeight="1">
      <c r="A141" s="5" t="s">
        <v>143</v>
      </c>
      <c r="B141" s="5" t="s">
        <v>194</v>
      </c>
      <c r="C141" s="5" t="s">
        <v>200</v>
      </c>
      <c r="D141" s="10">
        <f>AVERAGE('Precinct Vote Data'!H558:H561)</f>
        <v>0.5212096865</v>
      </c>
      <c r="E141" s="10">
        <f>AVERAGE(ABS('Precinct Vote Data'!H558-0.5),ABS('Precinct Vote Data'!H559-0.5),ABS('Precinct Vote Data'!H560-0.5),ABS('Precinct Vote Data'!H561-0.5))</f>
        <v>0.030010208</v>
      </c>
      <c r="F141" s="10">
        <f>STDEV('Precinct Vote Data'!H558:H561)</f>
        <v>0.03501898962</v>
      </c>
      <c r="G141" s="5">
        <f>IF(('Precinct Vote Data'!H558&gt;0.5)&lt;&gt;('Precinct Vote Data'!H559&gt;0.5),1,0)+IF(('Precinct Vote Data'!H559&gt;0.5)&lt;&gt;('Precinct Vote Data'!H560&gt;0.5),1,0)+IF(('Precinct Vote Data'!H560&gt;0.5)&lt;&gt;('Precinct Vote Data'!H561&gt;0.5),1,0)</f>
        <v>1</v>
      </c>
      <c r="H141" s="2" t="str">
        <f t="shared" si="1"/>
        <v>Hard</v>
      </c>
    </row>
    <row r="142" ht="15.0" customHeight="1">
      <c r="A142" s="5" t="s">
        <v>143</v>
      </c>
      <c r="B142" s="5" t="s">
        <v>194</v>
      </c>
      <c r="C142" s="5" t="s">
        <v>201</v>
      </c>
      <c r="D142" s="10">
        <f>AVERAGE('Precinct Vote Data'!H562:H565)</f>
        <v>0.5358484023</v>
      </c>
      <c r="E142" s="10">
        <f>AVERAGE(ABS('Precinct Vote Data'!H562-0.5),ABS('Precinct Vote Data'!H563-0.5),ABS('Precinct Vote Data'!H564-0.5),ABS('Precinct Vote Data'!H565-0.5))</f>
        <v>0.03584840226</v>
      </c>
      <c r="F142" s="10">
        <f>STDEV('Precinct Vote Data'!H562:H565)</f>
        <v>0.01890748298</v>
      </c>
      <c r="G142" s="5">
        <f>IF(('Precinct Vote Data'!H562&gt;0.5)&lt;&gt;('Precinct Vote Data'!H563&gt;0.5),1,0)+IF(('Precinct Vote Data'!H563&gt;0.5)&lt;&gt;('Precinct Vote Data'!H564&gt;0.5),1,0)+IF(('Precinct Vote Data'!H564&gt;0.5)&lt;&gt;('Precinct Vote Data'!H565&gt;0.5),1,0)</f>
        <v>0</v>
      </c>
      <c r="H142" s="2" t="str">
        <f t="shared" si="1"/>
        <v>Hard</v>
      </c>
    </row>
    <row r="143" ht="15.0" customHeight="1">
      <c r="A143" s="5" t="s">
        <v>143</v>
      </c>
      <c r="B143" s="5" t="s">
        <v>194</v>
      </c>
      <c r="C143" s="5" t="s">
        <v>202</v>
      </c>
      <c r="D143" s="10">
        <f>AVERAGE('Precinct Vote Data'!H566:H569)</f>
        <v>0.5075238693</v>
      </c>
      <c r="E143" s="10">
        <f>AVERAGE(ABS('Precinct Vote Data'!H566-0.5),ABS('Precinct Vote Data'!H567-0.5),ABS('Precinct Vote Data'!H568-0.5),ABS('Precinct Vote Data'!H569-0.5))</f>
        <v>0.01323426138</v>
      </c>
      <c r="F143" s="10">
        <f>STDEV('Precinct Vote Data'!H566:H569)</f>
        <v>0.01989077205</v>
      </c>
      <c r="G143" s="5">
        <f>IF(('Precinct Vote Data'!H566&gt;0.5)&lt;&gt;('Precinct Vote Data'!H567&gt;0.5),1,0)+IF(('Precinct Vote Data'!H567&gt;0.5)&lt;&gt;('Precinct Vote Data'!H568&gt;0.5),1,0)+IF(('Precinct Vote Data'!H568&gt;0.5)&lt;&gt;('Precinct Vote Data'!H569&gt;0.5),1,0)</f>
        <v>1</v>
      </c>
      <c r="H143" s="2" t="str">
        <f t="shared" si="1"/>
        <v>Hard</v>
      </c>
    </row>
    <row r="144" ht="15.0" customHeight="1">
      <c r="A144" s="5" t="s">
        <v>143</v>
      </c>
      <c r="B144" s="5" t="s">
        <v>194</v>
      </c>
      <c r="C144" s="5" t="s">
        <v>203</v>
      </c>
      <c r="D144" s="10">
        <f>AVERAGE('Precinct Vote Data'!H570:H573)</f>
        <v>0.5139059802</v>
      </c>
      <c r="E144" s="10">
        <f>AVERAGE(ABS('Precinct Vote Data'!H570-0.5),ABS('Precinct Vote Data'!H571-0.5),ABS('Precinct Vote Data'!H572-0.5),ABS('Precinct Vote Data'!H573-0.5))</f>
        <v>0.01695997027</v>
      </c>
      <c r="F144" s="10">
        <f>STDEV('Precinct Vote Data'!H570:H573)</f>
        <v>0.02467930476</v>
      </c>
      <c r="G144" s="5">
        <f>IF(('Precinct Vote Data'!H570&gt;0.5)&lt;&gt;('Precinct Vote Data'!H571&gt;0.5),1,0)+IF(('Precinct Vote Data'!H571&gt;0.5)&lt;&gt;('Precinct Vote Data'!H572&gt;0.5),1,0)+IF(('Precinct Vote Data'!H572&gt;0.5)&lt;&gt;('Precinct Vote Data'!H573&gt;0.5),1,0)</f>
        <v>3</v>
      </c>
      <c r="H144" s="2" t="str">
        <f t="shared" si="1"/>
        <v>Hard</v>
      </c>
    </row>
    <row r="145" ht="15.0" customHeight="1">
      <c r="A145" s="5" t="s">
        <v>143</v>
      </c>
      <c r="B145" s="5" t="s">
        <v>194</v>
      </c>
      <c r="C145" s="5" t="s">
        <v>204</v>
      </c>
      <c r="D145" s="10">
        <f>AVERAGE('Precinct Vote Data'!H574:H577)</f>
        <v>0.4949261411</v>
      </c>
      <c r="E145" s="10">
        <f>AVERAGE(ABS('Precinct Vote Data'!H574-0.5),ABS('Precinct Vote Data'!H575-0.5),ABS('Precinct Vote Data'!H576-0.5),ABS('Precinct Vote Data'!H577-0.5))</f>
        <v>0.0123294192</v>
      </c>
      <c r="F145" s="10">
        <f>STDEV('Precinct Vote Data'!H574:H577)</f>
        <v>0.01431001679</v>
      </c>
      <c r="G145" s="5">
        <f>IF(('Precinct Vote Data'!H574&gt;0.5)&lt;&gt;('Precinct Vote Data'!H575&gt;0.5),1,0)+IF(('Precinct Vote Data'!H575&gt;0.5)&lt;&gt;('Precinct Vote Data'!H576&gt;0.5),1,0)+IF(('Precinct Vote Data'!H576&gt;0.5)&lt;&gt;('Precinct Vote Data'!H577&gt;0.5),1,0)</f>
        <v>3</v>
      </c>
      <c r="H145" s="2" t="str">
        <f t="shared" si="1"/>
        <v>Hard</v>
      </c>
    </row>
    <row r="146" ht="15.0" customHeight="1">
      <c r="A146" s="5" t="s">
        <v>143</v>
      </c>
      <c r="B146" s="5" t="s">
        <v>205</v>
      </c>
      <c r="C146" s="5" t="s">
        <v>206</v>
      </c>
      <c r="D146" s="10">
        <f>AVERAGE('Precinct Vote Data'!H578:H581)</f>
        <v>0.3851509314</v>
      </c>
      <c r="E146" s="10">
        <f>AVERAGE(ABS('Precinct Vote Data'!H578-0.5),ABS('Precinct Vote Data'!H579-0.5),ABS('Precinct Vote Data'!H580-0.5),ABS('Precinct Vote Data'!H581-0.5))</f>
        <v>0.1148490686</v>
      </c>
      <c r="F146" s="10">
        <f>STDEV('Precinct Vote Data'!H578:H581)</f>
        <v>0.01447889255</v>
      </c>
      <c r="G146" s="5">
        <f>IF(('Precinct Vote Data'!H578&gt;0.5)&lt;&gt;('Precinct Vote Data'!H579&gt;0.5),1,0)+IF(('Precinct Vote Data'!H579&gt;0.5)&lt;&gt;('Precinct Vote Data'!H580&gt;0.5),1,0)+IF(('Precinct Vote Data'!H580&gt;0.5)&lt;&gt;('Precinct Vote Data'!H581&gt;0.5),1,0)</f>
        <v>0</v>
      </c>
      <c r="H146" s="2" t="str">
        <f t="shared" si="1"/>
        <v>Medium</v>
      </c>
    </row>
    <row r="147" ht="15.0" customHeight="1">
      <c r="A147" s="5" t="s">
        <v>143</v>
      </c>
      <c r="B147" s="5" t="s">
        <v>207</v>
      </c>
      <c r="C147" s="5" t="s">
        <v>208</v>
      </c>
      <c r="D147" s="10">
        <f>AVERAGE('Precinct Vote Data'!H582:H585)</f>
        <v>0.3661596315</v>
      </c>
      <c r="E147" s="10">
        <f>AVERAGE(ABS('Precinct Vote Data'!H582-0.5),ABS('Precinct Vote Data'!H583-0.5),ABS('Precinct Vote Data'!H584-0.5),ABS('Precinct Vote Data'!H585-0.5))</f>
        <v>0.1338403685</v>
      </c>
      <c r="F147" s="10">
        <f>STDEV('Precinct Vote Data'!H582:H585)</f>
        <v>0.01162204398</v>
      </c>
      <c r="G147" s="5">
        <f>IF(('Precinct Vote Data'!H582&gt;0.5)&lt;&gt;('Precinct Vote Data'!H583&gt;0.5),1,0)+IF(('Precinct Vote Data'!H583&gt;0.5)&lt;&gt;('Precinct Vote Data'!H584&gt;0.5),1,0)+IF(('Precinct Vote Data'!H584&gt;0.5)&lt;&gt;('Precinct Vote Data'!H585&gt;0.5),1,0)</f>
        <v>0</v>
      </c>
      <c r="H147" s="2" t="str">
        <f t="shared" si="1"/>
        <v>Medium</v>
      </c>
    </row>
    <row r="148" ht="15.0" customHeight="1">
      <c r="A148" s="5" t="s">
        <v>143</v>
      </c>
      <c r="B148" s="5" t="s">
        <v>209</v>
      </c>
      <c r="C148" s="5" t="s">
        <v>210</v>
      </c>
      <c r="D148" s="10">
        <f>AVERAGE('Precinct Vote Data'!H586:H589)</f>
        <v>0.2823049989</v>
      </c>
      <c r="E148" s="10">
        <f>AVERAGE(ABS('Precinct Vote Data'!H586-0.5),ABS('Precinct Vote Data'!H587-0.5),ABS('Precinct Vote Data'!H588-0.5),ABS('Precinct Vote Data'!H589-0.5))</f>
        <v>0.2176950011</v>
      </c>
      <c r="F148" s="10">
        <f>STDEV('Precinct Vote Data'!H586:H589)</f>
        <v>0.009290445118</v>
      </c>
      <c r="G148" s="5">
        <f>IF(('Precinct Vote Data'!H586&gt;0.5)&lt;&gt;('Precinct Vote Data'!H587&gt;0.5),1,0)+IF(('Precinct Vote Data'!H587&gt;0.5)&lt;&gt;('Precinct Vote Data'!H588&gt;0.5),1,0)+IF(('Precinct Vote Data'!H588&gt;0.5)&lt;&gt;('Precinct Vote Data'!H589&gt;0.5),1,0)</f>
        <v>0</v>
      </c>
      <c r="H148" s="2" t="str">
        <f t="shared" si="1"/>
        <v>Easy</v>
      </c>
    </row>
    <row r="149" ht="15.0" customHeight="1">
      <c r="A149" s="5" t="s">
        <v>143</v>
      </c>
      <c r="B149" s="5" t="s">
        <v>209</v>
      </c>
      <c r="C149" s="5" t="s">
        <v>211</v>
      </c>
      <c r="D149" s="10">
        <f>AVERAGE('Precinct Vote Data'!H590:H593)</f>
        <v>0.3185985231</v>
      </c>
      <c r="E149" s="10">
        <f>AVERAGE(ABS('Precinct Vote Data'!H590-0.5),ABS('Precinct Vote Data'!H591-0.5),ABS('Precinct Vote Data'!H592-0.5),ABS('Precinct Vote Data'!H593-0.5))</f>
        <v>0.1814014769</v>
      </c>
      <c r="F149" s="10">
        <f>STDEV('Precinct Vote Data'!H590:H593)</f>
        <v>0.01616405597</v>
      </c>
      <c r="G149" s="5">
        <f>IF(('Precinct Vote Data'!H590&gt;0.5)&lt;&gt;('Precinct Vote Data'!H591&gt;0.5),1,0)+IF(('Precinct Vote Data'!H591&gt;0.5)&lt;&gt;('Precinct Vote Data'!H592&gt;0.5),1,0)+IF(('Precinct Vote Data'!H592&gt;0.5)&lt;&gt;('Precinct Vote Data'!H593&gt;0.5),1,0)</f>
        <v>0</v>
      </c>
      <c r="H149" s="2" t="str">
        <f t="shared" si="1"/>
        <v>Easy</v>
      </c>
    </row>
    <row r="150" ht="15.0" customHeight="1">
      <c r="A150" s="5" t="s">
        <v>143</v>
      </c>
      <c r="B150" s="5" t="s">
        <v>209</v>
      </c>
      <c r="C150" s="5" t="s">
        <v>212</v>
      </c>
      <c r="D150" s="10">
        <f>AVERAGE('Precinct Vote Data'!H594:H597)</f>
        <v>0.3467400533</v>
      </c>
      <c r="E150" s="10">
        <f>AVERAGE(ABS('Precinct Vote Data'!H594-0.5),ABS('Precinct Vote Data'!H595-0.5),ABS('Precinct Vote Data'!H596-0.5),ABS('Precinct Vote Data'!H597-0.5))</f>
        <v>0.1532599467</v>
      </c>
      <c r="F150" s="10">
        <f>STDEV('Precinct Vote Data'!H594:H597)</f>
        <v>0.01264501292</v>
      </c>
      <c r="G150" s="5">
        <f>IF(('Precinct Vote Data'!H594&gt;0.5)&lt;&gt;('Precinct Vote Data'!H595&gt;0.5),1,0)+IF(('Precinct Vote Data'!H595&gt;0.5)&lt;&gt;('Precinct Vote Data'!H596&gt;0.5),1,0)+IF(('Precinct Vote Data'!H596&gt;0.5)&lt;&gt;('Precinct Vote Data'!H597&gt;0.5),1,0)</f>
        <v>0</v>
      </c>
      <c r="H150" s="2" t="str">
        <f t="shared" si="1"/>
        <v>Easy</v>
      </c>
    </row>
    <row r="151" ht="15.0" customHeight="1">
      <c r="A151" s="5" t="s">
        <v>143</v>
      </c>
      <c r="B151" s="5" t="s">
        <v>213</v>
      </c>
      <c r="C151" s="5" t="s">
        <v>214</v>
      </c>
      <c r="D151" s="10">
        <f>AVERAGE('Precinct Vote Data'!H598:H601)</f>
        <v>0.5411257699</v>
      </c>
      <c r="E151" s="10">
        <f>AVERAGE(ABS('Precinct Vote Data'!H598-0.5),ABS('Precinct Vote Data'!H599-0.5),ABS('Precinct Vote Data'!H600-0.5),ABS('Precinct Vote Data'!H601-0.5))</f>
        <v>0.04112576993</v>
      </c>
      <c r="F151" s="10">
        <f>STDEV('Precinct Vote Data'!H598:H601)</f>
        <v>0.0115206504</v>
      </c>
      <c r="G151" s="5">
        <f>IF(('Precinct Vote Data'!H598&gt;0.5)&lt;&gt;('Precinct Vote Data'!H599&gt;0.5),1,0)+IF(('Precinct Vote Data'!H599&gt;0.5)&lt;&gt;('Precinct Vote Data'!H600&gt;0.5),1,0)+IF(('Precinct Vote Data'!H600&gt;0.5)&lt;&gt;('Precinct Vote Data'!H601&gt;0.5),1,0)</f>
        <v>0</v>
      </c>
      <c r="H151" s="2" t="str">
        <f t="shared" si="1"/>
        <v>Hard</v>
      </c>
    </row>
    <row r="152" ht="15.0" customHeight="1">
      <c r="A152" s="5" t="s">
        <v>143</v>
      </c>
      <c r="B152" s="5" t="s">
        <v>215</v>
      </c>
      <c r="C152" s="5" t="s">
        <v>216</v>
      </c>
      <c r="D152" s="10">
        <f>AVERAGE('Precinct Vote Data'!H602:H605)</f>
        <v>0.4297316353</v>
      </c>
      <c r="E152" s="10">
        <f>AVERAGE(ABS('Precinct Vote Data'!H602-0.5),ABS('Precinct Vote Data'!H603-0.5),ABS('Precinct Vote Data'!H604-0.5),ABS('Precinct Vote Data'!H605-0.5))</f>
        <v>0.07026836473</v>
      </c>
      <c r="F152" s="10">
        <f>STDEV('Precinct Vote Data'!H602:H605)</f>
        <v>0.01616864912</v>
      </c>
      <c r="G152" s="5">
        <f>IF(('Precinct Vote Data'!H602&gt;0.5)&lt;&gt;('Precinct Vote Data'!H603&gt;0.5),1,0)+IF(('Precinct Vote Data'!H603&gt;0.5)&lt;&gt;('Precinct Vote Data'!H604&gt;0.5),1,0)+IF(('Precinct Vote Data'!H604&gt;0.5)&lt;&gt;('Precinct Vote Data'!H605&gt;0.5),1,0)</f>
        <v>0</v>
      </c>
      <c r="H152" s="2" t="str">
        <f t="shared" si="1"/>
        <v>Medium</v>
      </c>
    </row>
    <row r="153" ht="15.0" customHeight="1">
      <c r="A153" s="5" t="s">
        <v>143</v>
      </c>
      <c r="B153" s="5" t="s">
        <v>215</v>
      </c>
      <c r="C153" s="5" t="s">
        <v>217</v>
      </c>
      <c r="D153" s="10">
        <f>AVERAGE('Precinct Vote Data'!H606:H609)</f>
        <v>0.4059137919</v>
      </c>
      <c r="E153" s="10">
        <f>AVERAGE(ABS('Precinct Vote Data'!H606-0.5),ABS('Precinct Vote Data'!H607-0.5),ABS('Precinct Vote Data'!H608-0.5),ABS('Precinct Vote Data'!H609-0.5))</f>
        <v>0.09408620812</v>
      </c>
      <c r="F153" s="10">
        <f>STDEV('Precinct Vote Data'!H606:H609)</f>
        <v>0.01454475725</v>
      </c>
      <c r="G153" s="5">
        <f>IF(('Precinct Vote Data'!H606&gt;0.5)&lt;&gt;('Precinct Vote Data'!H607&gt;0.5),1,0)+IF(('Precinct Vote Data'!H607&gt;0.5)&lt;&gt;('Precinct Vote Data'!H608&gt;0.5),1,0)+IF(('Precinct Vote Data'!H608&gt;0.5)&lt;&gt;('Precinct Vote Data'!H609&gt;0.5),1,0)</f>
        <v>0</v>
      </c>
      <c r="H153" s="2" t="str">
        <f t="shared" si="1"/>
        <v>Medium</v>
      </c>
    </row>
    <row r="154" ht="15.0" customHeight="1">
      <c r="A154" s="5" t="s">
        <v>143</v>
      </c>
      <c r="B154" s="5" t="s">
        <v>215</v>
      </c>
      <c r="C154" s="5" t="s">
        <v>218</v>
      </c>
      <c r="D154" s="10">
        <f>AVERAGE('Precinct Vote Data'!H610:H613)</f>
        <v>0.4003649748</v>
      </c>
      <c r="E154" s="10">
        <f>AVERAGE(ABS('Precinct Vote Data'!H610-0.5),ABS('Precinct Vote Data'!H611-0.5),ABS('Precinct Vote Data'!H612-0.5),ABS('Precinct Vote Data'!H613-0.5))</f>
        <v>0.0996350252</v>
      </c>
      <c r="F154" s="10">
        <f>STDEV('Precinct Vote Data'!H610:H613)</f>
        <v>0.01172002418</v>
      </c>
      <c r="G154" s="5">
        <f>IF(('Precinct Vote Data'!H610&gt;0.5)&lt;&gt;('Precinct Vote Data'!H611&gt;0.5),1,0)+IF(('Precinct Vote Data'!H611&gt;0.5)&lt;&gt;('Precinct Vote Data'!H612&gt;0.5),1,0)+IF(('Precinct Vote Data'!H612&gt;0.5)&lt;&gt;('Precinct Vote Data'!H613&gt;0.5),1,0)</f>
        <v>0</v>
      </c>
      <c r="H154" s="2" t="str">
        <f t="shared" si="1"/>
        <v>Medium</v>
      </c>
    </row>
    <row r="155" ht="15.0" customHeight="1">
      <c r="A155" s="5" t="s">
        <v>143</v>
      </c>
      <c r="B155" s="5" t="s">
        <v>215</v>
      </c>
      <c r="C155" s="5" t="s">
        <v>219</v>
      </c>
      <c r="D155" s="10">
        <f>AVERAGE('Precinct Vote Data'!H614:H617)</f>
        <v>0.3989406628</v>
      </c>
      <c r="E155" s="10">
        <f>AVERAGE(ABS('Precinct Vote Data'!H614-0.5),ABS('Precinct Vote Data'!H615-0.5),ABS('Precinct Vote Data'!H616-0.5),ABS('Precinct Vote Data'!H617-0.5))</f>
        <v>0.1010593372</v>
      </c>
      <c r="F155" s="10">
        <f>STDEV('Precinct Vote Data'!H614:H617)</f>
        <v>0.006434910893</v>
      </c>
      <c r="G155" s="5">
        <f>IF(('Precinct Vote Data'!H614&gt;0.5)&lt;&gt;('Precinct Vote Data'!H615&gt;0.5),1,0)+IF(('Precinct Vote Data'!H615&gt;0.5)&lt;&gt;('Precinct Vote Data'!H616&gt;0.5),1,0)+IF(('Precinct Vote Data'!H616&gt;0.5)&lt;&gt;('Precinct Vote Data'!H617&gt;0.5),1,0)</f>
        <v>0</v>
      </c>
      <c r="H155" s="2" t="str">
        <f t="shared" si="1"/>
        <v>Medium</v>
      </c>
    </row>
    <row r="156" ht="15.0" customHeight="1">
      <c r="A156" s="5" t="s">
        <v>143</v>
      </c>
      <c r="B156" s="5" t="s">
        <v>215</v>
      </c>
      <c r="C156" s="5" t="s">
        <v>220</v>
      </c>
      <c r="D156" s="10">
        <f>AVERAGE('Precinct Vote Data'!H618:H621)</f>
        <v>0.3873034915</v>
      </c>
      <c r="E156" s="10">
        <f>AVERAGE(ABS('Precinct Vote Data'!H618-0.5),ABS('Precinct Vote Data'!H619-0.5),ABS('Precinct Vote Data'!H620-0.5),ABS('Precinct Vote Data'!H621-0.5))</f>
        <v>0.1126965085</v>
      </c>
      <c r="F156" s="10">
        <f>STDEV('Precinct Vote Data'!H618:H621)</f>
        <v>0.01078214462</v>
      </c>
      <c r="G156" s="5">
        <f>IF(('Precinct Vote Data'!H618&gt;0.5)&lt;&gt;('Precinct Vote Data'!H619&gt;0.5),1,0)+IF(('Precinct Vote Data'!H619&gt;0.5)&lt;&gt;('Precinct Vote Data'!H620&gt;0.5),1,0)+IF(('Precinct Vote Data'!H620&gt;0.5)&lt;&gt;('Precinct Vote Data'!H621&gt;0.5),1,0)</f>
        <v>0</v>
      </c>
      <c r="H156" s="2" t="str">
        <f t="shared" si="1"/>
        <v>Medium</v>
      </c>
    </row>
    <row r="157" ht="15.0" customHeight="1">
      <c r="A157" s="5" t="s">
        <v>143</v>
      </c>
      <c r="B157" s="5" t="s">
        <v>215</v>
      </c>
      <c r="C157" s="5" t="s">
        <v>221</v>
      </c>
      <c r="D157" s="10">
        <f>AVERAGE('Precinct Vote Data'!H622:H625)</f>
        <v>0.4440550265</v>
      </c>
      <c r="E157" s="10">
        <f>AVERAGE(ABS('Precinct Vote Data'!H622-0.5),ABS('Precinct Vote Data'!H623-0.5),ABS('Precinct Vote Data'!H624-0.5),ABS('Precinct Vote Data'!H625-0.5))</f>
        <v>0.05594497352</v>
      </c>
      <c r="F157" s="10">
        <f>STDEV('Precinct Vote Data'!H622:H625)</f>
        <v>0.02730519969</v>
      </c>
      <c r="G157" s="5">
        <f>IF(('Precinct Vote Data'!H622&gt;0.5)&lt;&gt;('Precinct Vote Data'!H623&gt;0.5),1,0)+IF(('Precinct Vote Data'!H623&gt;0.5)&lt;&gt;('Precinct Vote Data'!H624&gt;0.5),1,0)+IF(('Precinct Vote Data'!H624&gt;0.5)&lt;&gt;('Precinct Vote Data'!H625&gt;0.5),1,0)</f>
        <v>0</v>
      </c>
      <c r="H157" s="2" t="str">
        <f t="shared" si="1"/>
        <v>Medium</v>
      </c>
    </row>
    <row r="158" ht="15.0" customHeight="1">
      <c r="A158" s="5" t="s">
        <v>143</v>
      </c>
      <c r="B158" s="5" t="s">
        <v>222</v>
      </c>
      <c r="C158" s="5" t="s">
        <v>223</v>
      </c>
      <c r="D158" s="10">
        <f>AVERAGE('Precinct Vote Data'!H626:H629)</f>
        <v>0.5096384874</v>
      </c>
      <c r="E158" s="10">
        <f>AVERAGE(ABS('Precinct Vote Data'!H626-0.5),ABS('Precinct Vote Data'!H627-0.5),ABS('Precinct Vote Data'!H628-0.5),ABS('Precinct Vote Data'!H629-0.5))</f>
        <v>0.01423069897</v>
      </c>
      <c r="F158" s="10">
        <f>STDEV('Precinct Vote Data'!H626:H629)</f>
        <v>0.02291557076</v>
      </c>
      <c r="G158" s="5">
        <f>IF(('Precinct Vote Data'!H626&gt;0.5)&lt;&gt;('Precinct Vote Data'!H627&gt;0.5),1,0)+IF(('Precinct Vote Data'!H627&gt;0.5)&lt;&gt;('Precinct Vote Data'!H628&gt;0.5),1,0)+IF(('Precinct Vote Data'!H628&gt;0.5)&lt;&gt;('Precinct Vote Data'!H629&gt;0.5),1,0)</f>
        <v>1</v>
      </c>
      <c r="H158" s="2" t="str">
        <f t="shared" si="1"/>
        <v>Hard</v>
      </c>
    </row>
    <row r="159" ht="15.0" customHeight="1">
      <c r="A159" s="5" t="s">
        <v>143</v>
      </c>
      <c r="B159" s="5" t="s">
        <v>222</v>
      </c>
      <c r="C159" s="5" t="s">
        <v>224</v>
      </c>
      <c r="D159" s="10">
        <f>AVERAGE('Precinct Vote Data'!H630:H633)</f>
        <v>0.5127840534</v>
      </c>
      <c r="E159" s="10">
        <f>AVERAGE(ABS('Precinct Vote Data'!H630-0.5),ABS('Precinct Vote Data'!H631-0.5),ABS('Precinct Vote Data'!H632-0.5),ABS('Precinct Vote Data'!H633-0.5))</f>
        <v>0.01509744017</v>
      </c>
      <c r="F159" s="10">
        <f>STDEV('Precinct Vote Data'!H630:H633)</f>
        <v>0.02125942931</v>
      </c>
      <c r="G159" s="5">
        <f>IF(('Precinct Vote Data'!H630&gt;0.5)&lt;&gt;('Precinct Vote Data'!H631&gt;0.5),1,0)+IF(('Precinct Vote Data'!H631&gt;0.5)&lt;&gt;('Precinct Vote Data'!H632&gt;0.5),1,0)+IF(('Precinct Vote Data'!H632&gt;0.5)&lt;&gt;('Precinct Vote Data'!H633&gt;0.5),1,0)</f>
        <v>1</v>
      </c>
      <c r="H159" s="2" t="str">
        <f t="shared" si="1"/>
        <v>Hard</v>
      </c>
    </row>
    <row r="160" ht="15.0" customHeight="1">
      <c r="A160" s="5" t="s">
        <v>143</v>
      </c>
      <c r="B160" s="5" t="s">
        <v>222</v>
      </c>
      <c r="C160" s="5" t="s">
        <v>225</v>
      </c>
      <c r="D160" s="10">
        <f>AVERAGE('Precinct Vote Data'!H634:H637)</f>
        <v>0.5044857323</v>
      </c>
      <c r="E160" s="10">
        <f>AVERAGE(ABS('Precinct Vote Data'!H634-0.5),ABS('Precinct Vote Data'!H635-0.5),ABS('Precinct Vote Data'!H636-0.5),ABS('Precinct Vote Data'!H637-0.5))</f>
        <v>0.0149554528</v>
      </c>
      <c r="F160" s="10">
        <f>STDEV('Precinct Vote Data'!H634:H637)</f>
        <v>0.01736280001</v>
      </c>
      <c r="G160" s="5">
        <f>IF(('Precinct Vote Data'!H634&gt;0.5)&lt;&gt;('Precinct Vote Data'!H635&gt;0.5),1,0)+IF(('Precinct Vote Data'!H635&gt;0.5)&lt;&gt;('Precinct Vote Data'!H636&gt;0.5),1,0)+IF(('Precinct Vote Data'!H636&gt;0.5)&lt;&gt;('Precinct Vote Data'!H637&gt;0.5),1,0)</f>
        <v>3</v>
      </c>
      <c r="H160" s="2" t="str">
        <f t="shared" si="1"/>
        <v>Hard</v>
      </c>
    </row>
    <row r="161" ht="15.0" customHeight="1">
      <c r="A161" s="5" t="s">
        <v>143</v>
      </c>
      <c r="B161" s="5" t="s">
        <v>222</v>
      </c>
      <c r="C161" s="5" t="s">
        <v>226</v>
      </c>
      <c r="D161" s="10">
        <f>AVERAGE('Precinct Vote Data'!H638:H641)</f>
        <v>0.5146028444</v>
      </c>
      <c r="E161" s="10">
        <f>AVERAGE(ABS('Precinct Vote Data'!H638-0.5),ABS('Precinct Vote Data'!H639-0.5),ABS('Precinct Vote Data'!H640-0.5),ABS('Precinct Vote Data'!H641-0.5))</f>
        <v>0.01641443857</v>
      </c>
      <c r="F161" s="10">
        <f>STDEV('Precinct Vote Data'!H638:H641)</f>
        <v>0.01390178498</v>
      </c>
      <c r="G161" s="5">
        <f>IF(('Precinct Vote Data'!H638&gt;0.5)&lt;&gt;('Precinct Vote Data'!H639&gt;0.5),1,0)+IF(('Precinct Vote Data'!H639&gt;0.5)&lt;&gt;('Precinct Vote Data'!H640&gt;0.5),1,0)+IF(('Precinct Vote Data'!H640&gt;0.5)&lt;&gt;('Precinct Vote Data'!H641&gt;0.5),1,0)</f>
        <v>1</v>
      </c>
      <c r="H161" s="2" t="str">
        <f t="shared" si="1"/>
        <v>Hard</v>
      </c>
    </row>
    <row r="162" ht="15.0" customHeight="1">
      <c r="A162" s="5" t="s">
        <v>143</v>
      </c>
      <c r="B162" s="5" t="s">
        <v>222</v>
      </c>
      <c r="C162" s="5" t="s">
        <v>227</v>
      </c>
      <c r="D162" s="10">
        <f>AVERAGE('Precinct Vote Data'!H642:H645)</f>
        <v>0.480978906</v>
      </c>
      <c r="E162" s="10">
        <f>AVERAGE(ABS('Precinct Vote Data'!H642-0.5),ABS('Precinct Vote Data'!H643-0.5),ABS('Precinct Vote Data'!H644-0.5),ABS('Precinct Vote Data'!H645-0.5))</f>
        <v>0.01902109401</v>
      </c>
      <c r="F162" s="10">
        <f>STDEV('Precinct Vote Data'!H642:H645)</f>
        <v>0.006179399448</v>
      </c>
      <c r="G162" s="5">
        <f>IF(('Precinct Vote Data'!H642&gt;0.5)&lt;&gt;('Precinct Vote Data'!H643&gt;0.5),1,0)+IF(('Precinct Vote Data'!H643&gt;0.5)&lt;&gt;('Precinct Vote Data'!H644&gt;0.5),1,0)+IF(('Precinct Vote Data'!H644&gt;0.5)&lt;&gt;('Precinct Vote Data'!H645&gt;0.5),1,0)</f>
        <v>0</v>
      </c>
      <c r="H162" s="2" t="str">
        <f t="shared" si="1"/>
        <v>Hard</v>
      </c>
    </row>
    <row r="163" ht="15.0" customHeight="1">
      <c r="A163" s="5" t="s">
        <v>143</v>
      </c>
      <c r="B163" s="5" t="s">
        <v>222</v>
      </c>
      <c r="C163" s="5" t="s">
        <v>228</v>
      </c>
      <c r="D163" s="10">
        <f>AVERAGE('Precinct Vote Data'!H646:H649)</f>
        <v>0.475874162</v>
      </c>
      <c r="E163" s="10">
        <f>AVERAGE(ABS('Precinct Vote Data'!H646-0.5),ABS('Precinct Vote Data'!H647-0.5),ABS('Precinct Vote Data'!H648-0.5),ABS('Precinct Vote Data'!H649-0.5))</f>
        <v>0.02412583795</v>
      </c>
      <c r="F163" s="10">
        <f>STDEV('Precinct Vote Data'!H646:H649)</f>
        <v>0.008532932714</v>
      </c>
      <c r="G163" s="5">
        <f>IF(('Precinct Vote Data'!H646&gt;0.5)&lt;&gt;('Precinct Vote Data'!H647&gt;0.5),1,0)+IF(('Precinct Vote Data'!H647&gt;0.5)&lt;&gt;('Precinct Vote Data'!H648&gt;0.5),1,0)+IF(('Precinct Vote Data'!H648&gt;0.5)&lt;&gt;('Precinct Vote Data'!H649&gt;0.5),1,0)</f>
        <v>0</v>
      </c>
      <c r="H163" s="2" t="str">
        <f t="shared" si="1"/>
        <v>Hard</v>
      </c>
    </row>
    <row r="164" ht="15.0" customHeight="1">
      <c r="A164" s="5" t="s">
        <v>143</v>
      </c>
      <c r="B164" s="5" t="s">
        <v>222</v>
      </c>
      <c r="C164" s="5" t="s">
        <v>229</v>
      </c>
      <c r="D164" s="10">
        <f>AVERAGE('Precinct Vote Data'!H650:H653)</f>
        <v>0.507430571</v>
      </c>
      <c r="E164" s="10">
        <f>AVERAGE(ABS('Precinct Vote Data'!H650-0.5),ABS('Precinct Vote Data'!H651-0.5),ABS('Precinct Vote Data'!H652-0.5),ABS('Precinct Vote Data'!H653-0.5))</f>
        <v>0.02704347446</v>
      </c>
      <c r="F164" s="10">
        <f>STDEV('Precinct Vote Data'!H650:H653)</f>
        <v>0.03223220246</v>
      </c>
      <c r="G164" s="5">
        <f>IF(('Precinct Vote Data'!H650&gt;0.5)&lt;&gt;('Precinct Vote Data'!H651&gt;0.5),1,0)+IF(('Precinct Vote Data'!H651&gt;0.5)&lt;&gt;('Precinct Vote Data'!H652&gt;0.5),1,0)+IF(('Precinct Vote Data'!H652&gt;0.5)&lt;&gt;('Precinct Vote Data'!H653&gt;0.5),1,0)</f>
        <v>1</v>
      </c>
      <c r="H164" s="2" t="str">
        <f t="shared" si="1"/>
        <v>Hard</v>
      </c>
    </row>
    <row r="165" ht="15.0" customHeight="1">
      <c r="A165" s="5" t="s">
        <v>143</v>
      </c>
      <c r="B165" s="5" t="s">
        <v>222</v>
      </c>
      <c r="C165" s="5" t="s">
        <v>230</v>
      </c>
      <c r="D165" s="10">
        <f>AVERAGE('Precinct Vote Data'!H654:H657)</f>
        <v>0.4961063924</v>
      </c>
      <c r="E165" s="10">
        <f>AVERAGE(ABS('Precinct Vote Data'!H654-0.5),ABS('Precinct Vote Data'!H655-0.5),ABS('Precinct Vote Data'!H656-0.5),ABS('Precinct Vote Data'!H657-0.5))</f>
        <v>0.0106357867</v>
      </c>
      <c r="F165" s="10">
        <f>STDEV('Precinct Vote Data'!H654:H657)</f>
        <v>0.01321697643</v>
      </c>
      <c r="G165" s="5">
        <f>IF(('Precinct Vote Data'!H654&gt;0.5)&lt;&gt;('Precinct Vote Data'!H655&gt;0.5),1,0)+IF(('Precinct Vote Data'!H655&gt;0.5)&lt;&gt;('Precinct Vote Data'!H656&gt;0.5),1,0)+IF(('Precinct Vote Data'!H656&gt;0.5)&lt;&gt;('Precinct Vote Data'!H657&gt;0.5),1,0)</f>
        <v>2</v>
      </c>
      <c r="H165" s="2" t="str">
        <f t="shared" si="1"/>
        <v>Hard</v>
      </c>
    </row>
    <row r="166" ht="15.0" customHeight="1">
      <c r="A166" s="5" t="s">
        <v>143</v>
      </c>
      <c r="B166" s="5" t="s">
        <v>231</v>
      </c>
      <c r="C166" s="5" t="s">
        <v>232</v>
      </c>
      <c r="D166" s="10">
        <f>AVERAGE('Precinct Vote Data'!H658:H661)</f>
        <v>0.4406687645</v>
      </c>
      <c r="E166" s="10">
        <f>AVERAGE(ABS('Precinct Vote Data'!H658-0.5),ABS('Precinct Vote Data'!H659-0.5),ABS('Precinct Vote Data'!H660-0.5),ABS('Precinct Vote Data'!H661-0.5))</f>
        <v>0.05933123547</v>
      </c>
      <c r="F166" s="10">
        <f>STDEV('Precinct Vote Data'!H658:H661)</f>
        <v>0.04132425169</v>
      </c>
      <c r="G166" s="5">
        <f>IF(('Precinct Vote Data'!H658&gt;0.5)&lt;&gt;('Precinct Vote Data'!H659&gt;0.5),1,0)+IF(('Precinct Vote Data'!H659&gt;0.5)&lt;&gt;('Precinct Vote Data'!H660&gt;0.5),1,0)+IF(('Precinct Vote Data'!H660&gt;0.5)&lt;&gt;('Precinct Vote Data'!H661&gt;0.5),1,0)</f>
        <v>0</v>
      </c>
      <c r="H166" s="2" t="str">
        <f t="shared" si="1"/>
        <v>Medium</v>
      </c>
    </row>
    <row r="167" ht="15.0" customHeight="1">
      <c r="A167" s="5" t="s">
        <v>143</v>
      </c>
      <c r="B167" s="5" t="s">
        <v>231</v>
      </c>
      <c r="C167" s="5" t="s">
        <v>233</v>
      </c>
      <c r="D167" s="10">
        <f>AVERAGE('Precinct Vote Data'!H662:H665)</f>
        <v>0.4230714943</v>
      </c>
      <c r="E167" s="10">
        <f>AVERAGE(ABS('Precinct Vote Data'!H662-0.5),ABS('Precinct Vote Data'!H663-0.5),ABS('Precinct Vote Data'!H664-0.5),ABS('Precinct Vote Data'!H665-0.5))</f>
        <v>0.07692850571</v>
      </c>
      <c r="F167" s="10">
        <f>STDEV('Precinct Vote Data'!H662:H665)</f>
        <v>0.04143685144</v>
      </c>
      <c r="G167" s="5">
        <f>IF(('Precinct Vote Data'!H662&gt;0.5)&lt;&gt;('Precinct Vote Data'!H663&gt;0.5),1,0)+IF(('Precinct Vote Data'!H663&gt;0.5)&lt;&gt;('Precinct Vote Data'!H664&gt;0.5),1,0)+IF(('Precinct Vote Data'!H664&gt;0.5)&lt;&gt;('Precinct Vote Data'!H665&gt;0.5),1,0)</f>
        <v>0</v>
      </c>
      <c r="H167" s="2" t="str">
        <f t="shared" si="1"/>
        <v>Medium</v>
      </c>
    </row>
    <row r="168" ht="15.0" customHeight="1">
      <c r="A168" s="5" t="s">
        <v>143</v>
      </c>
      <c r="B168" s="5" t="s">
        <v>231</v>
      </c>
      <c r="C168" s="5" t="s">
        <v>234</v>
      </c>
      <c r="D168" s="10">
        <f>AVERAGE('Precinct Vote Data'!H666:H669)</f>
        <v>0.4257562009</v>
      </c>
      <c r="E168" s="10">
        <f>AVERAGE(ABS('Precinct Vote Data'!H666-0.5),ABS('Precinct Vote Data'!H667-0.5),ABS('Precinct Vote Data'!H668-0.5),ABS('Precinct Vote Data'!H669-0.5))</f>
        <v>0.07424379908</v>
      </c>
      <c r="F168" s="10">
        <f>STDEV('Precinct Vote Data'!H666:H669)</f>
        <v>0.02437369122</v>
      </c>
      <c r="G168" s="5">
        <f>IF(('Precinct Vote Data'!H666&gt;0.5)&lt;&gt;('Precinct Vote Data'!H667&gt;0.5),1,0)+IF(('Precinct Vote Data'!H667&gt;0.5)&lt;&gt;('Precinct Vote Data'!H668&gt;0.5),1,0)+IF(('Precinct Vote Data'!H668&gt;0.5)&lt;&gt;('Precinct Vote Data'!H669&gt;0.5),1,0)</f>
        <v>0</v>
      </c>
      <c r="H168" s="2" t="str">
        <f t="shared" si="1"/>
        <v>Medium</v>
      </c>
    </row>
    <row r="169" ht="15.0" customHeight="1">
      <c r="A169" s="5" t="s">
        <v>143</v>
      </c>
      <c r="B169" s="5" t="s">
        <v>235</v>
      </c>
      <c r="C169" s="5" t="s">
        <v>236</v>
      </c>
      <c r="D169" s="10">
        <f>AVERAGE('Precinct Vote Data'!H670:H673)</f>
        <v>0.5114348982</v>
      </c>
      <c r="E169" s="10">
        <f>AVERAGE(ABS('Precinct Vote Data'!H670-0.5),ABS('Precinct Vote Data'!H671-0.5),ABS('Precinct Vote Data'!H672-0.5),ABS('Precinct Vote Data'!H673-0.5))</f>
        <v>0.02461453569</v>
      </c>
      <c r="F169" s="10">
        <f>STDEV('Precinct Vote Data'!H670:H673)</f>
        <v>0.02991329588</v>
      </c>
      <c r="G169" s="5">
        <f>IF(('Precinct Vote Data'!H670&gt;0.5)&lt;&gt;('Precinct Vote Data'!H671&gt;0.5),1,0)+IF(('Precinct Vote Data'!H671&gt;0.5)&lt;&gt;('Precinct Vote Data'!H672&gt;0.5),1,0)+IF(('Precinct Vote Data'!H672&gt;0.5)&lt;&gt;('Precinct Vote Data'!H673&gt;0.5),1,0)</f>
        <v>3</v>
      </c>
      <c r="H169" s="2" t="str">
        <f t="shared" si="1"/>
        <v>Hard</v>
      </c>
    </row>
    <row r="170" ht="15.0" customHeight="1">
      <c r="A170" s="5" t="s">
        <v>143</v>
      </c>
      <c r="B170" s="5" t="s">
        <v>235</v>
      </c>
      <c r="C170" s="5" t="s">
        <v>237</v>
      </c>
      <c r="D170" s="10">
        <f>AVERAGE('Precinct Vote Data'!H674:H677)</f>
        <v>0.5329582131</v>
      </c>
      <c r="E170" s="10">
        <f>AVERAGE(ABS('Precinct Vote Data'!H674-0.5),ABS('Precinct Vote Data'!H675-0.5),ABS('Precinct Vote Data'!H676-0.5),ABS('Precinct Vote Data'!H677-0.5))</f>
        <v>0.03295821312</v>
      </c>
      <c r="F170" s="10">
        <f>STDEV('Precinct Vote Data'!H674:H677)</f>
        <v>0.03707659455</v>
      </c>
      <c r="G170" s="5">
        <f>IF(('Precinct Vote Data'!H674&gt;0.5)&lt;&gt;('Precinct Vote Data'!H675&gt;0.5),1,0)+IF(('Precinct Vote Data'!H675&gt;0.5)&lt;&gt;('Precinct Vote Data'!H676&gt;0.5),1,0)+IF(('Precinct Vote Data'!H676&gt;0.5)&lt;&gt;('Precinct Vote Data'!H677&gt;0.5),1,0)</f>
        <v>0</v>
      </c>
      <c r="H170" s="2" t="str">
        <f t="shared" si="1"/>
        <v>Hard</v>
      </c>
    </row>
    <row r="171" ht="15.0" customHeight="1">
      <c r="A171" s="5" t="s">
        <v>143</v>
      </c>
      <c r="B171" s="5" t="s">
        <v>235</v>
      </c>
      <c r="C171" s="5" t="s">
        <v>238</v>
      </c>
      <c r="D171" s="10">
        <f>AVERAGE('Precinct Vote Data'!H678:H681)</f>
        <v>0.5724005694</v>
      </c>
      <c r="E171" s="10">
        <f>AVERAGE(ABS('Precinct Vote Data'!H678-0.5),ABS('Precinct Vote Data'!H679-0.5),ABS('Precinct Vote Data'!H680-0.5),ABS('Precinct Vote Data'!H681-0.5))</f>
        <v>0.07240056938</v>
      </c>
      <c r="F171" s="10">
        <f>STDEV('Precinct Vote Data'!H678:H681)</f>
        <v>0.01682543812</v>
      </c>
      <c r="G171" s="5">
        <f>IF(('Precinct Vote Data'!H678&gt;0.5)&lt;&gt;('Precinct Vote Data'!H679&gt;0.5),1,0)+IF(('Precinct Vote Data'!H679&gt;0.5)&lt;&gt;('Precinct Vote Data'!H680&gt;0.5),1,0)+IF(('Precinct Vote Data'!H680&gt;0.5)&lt;&gt;('Precinct Vote Data'!H681&gt;0.5),1,0)</f>
        <v>0</v>
      </c>
      <c r="H171" s="2" t="str">
        <f t="shared" si="1"/>
        <v>Medium</v>
      </c>
    </row>
    <row r="172" ht="15.0" customHeight="1">
      <c r="A172" s="5" t="s">
        <v>143</v>
      </c>
      <c r="B172" s="5" t="s">
        <v>235</v>
      </c>
      <c r="C172" s="5" t="s">
        <v>239</v>
      </c>
      <c r="D172" s="10">
        <f>AVERAGE('Precinct Vote Data'!H682:H685)</f>
        <v>0.4928168605</v>
      </c>
      <c r="E172" s="10">
        <f>AVERAGE(ABS('Precinct Vote Data'!H682-0.5),ABS('Precinct Vote Data'!H683-0.5),ABS('Precinct Vote Data'!H684-0.5),ABS('Precinct Vote Data'!H685-0.5))</f>
        <v>0.01532547969</v>
      </c>
      <c r="F172" s="10">
        <f>STDEV('Precinct Vote Data'!H682:H685)</f>
        <v>0.01651744982</v>
      </c>
      <c r="G172" s="5">
        <f>IF(('Precinct Vote Data'!H682&gt;0.5)&lt;&gt;('Precinct Vote Data'!H683&gt;0.5),1,0)+IF(('Precinct Vote Data'!H683&gt;0.5)&lt;&gt;('Precinct Vote Data'!H684&gt;0.5),1,0)+IF(('Precinct Vote Data'!H684&gt;0.5)&lt;&gt;('Precinct Vote Data'!H685&gt;0.5),1,0)</f>
        <v>1</v>
      </c>
      <c r="H172" s="2" t="str">
        <f t="shared" si="1"/>
        <v>Hard</v>
      </c>
    </row>
    <row r="173" ht="15.0" customHeight="1">
      <c r="A173" s="5" t="s">
        <v>143</v>
      </c>
      <c r="B173" s="5" t="s">
        <v>235</v>
      </c>
      <c r="C173" s="5" t="s">
        <v>240</v>
      </c>
      <c r="D173" s="10">
        <f>AVERAGE('Precinct Vote Data'!H686:H689)</f>
        <v>0.6047538507</v>
      </c>
      <c r="E173" s="10">
        <f>AVERAGE(ABS('Precinct Vote Data'!H686-0.5),ABS('Precinct Vote Data'!H687-0.5),ABS('Precinct Vote Data'!H688-0.5),ABS('Precinct Vote Data'!H689-0.5))</f>
        <v>0.1047538507</v>
      </c>
      <c r="F173" s="10">
        <f>STDEV('Precinct Vote Data'!H686:H689)</f>
        <v>0.01438638022</v>
      </c>
      <c r="G173" s="5">
        <f>IF(('Precinct Vote Data'!H686&gt;0.5)&lt;&gt;('Precinct Vote Data'!H687&gt;0.5),1,0)+IF(('Precinct Vote Data'!H687&gt;0.5)&lt;&gt;('Precinct Vote Data'!H688&gt;0.5),1,0)+IF(('Precinct Vote Data'!H688&gt;0.5)&lt;&gt;('Precinct Vote Data'!H689&gt;0.5),1,0)</f>
        <v>0</v>
      </c>
      <c r="H173" s="2" t="str">
        <f t="shared" si="1"/>
        <v>Medium</v>
      </c>
    </row>
    <row r="174" ht="15.0" customHeight="1">
      <c r="A174" s="5" t="s">
        <v>143</v>
      </c>
      <c r="B174" s="5" t="s">
        <v>235</v>
      </c>
      <c r="C174" s="5" t="s">
        <v>241</v>
      </c>
      <c r="D174" s="10">
        <f>AVERAGE('Precinct Vote Data'!H690:H693)</f>
        <v>0.6098488336</v>
      </c>
      <c r="E174" s="10">
        <f>AVERAGE(ABS('Precinct Vote Data'!H690-0.5),ABS('Precinct Vote Data'!H691-0.5),ABS('Precinct Vote Data'!H692-0.5),ABS('Precinct Vote Data'!H693-0.5))</f>
        <v>0.1098488336</v>
      </c>
      <c r="F174" s="10">
        <f>STDEV('Precinct Vote Data'!H690:H693)</f>
        <v>0.01511199232</v>
      </c>
      <c r="G174" s="5">
        <f>IF(('Precinct Vote Data'!H690&gt;0.5)&lt;&gt;('Precinct Vote Data'!H691&gt;0.5),1,0)+IF(('Precinct Vote Data'!H691&gt;0.5)&lt;&gt;('Precinct Vote Data'!H692&gt;0.5),1,0)+IF(('Precinct Vote Data'!H692&gt;0.5)&lt;&gt;('Precinct Vote Data'!H693&gt;0.5),1,0)</f>
        <v>0</v>
      </c>
      <c r="H174" s="2" t="str">
        <f t="shared" si="1"/>
        <v>Medium</v>
      </c>
    </row>
    <row r="175" ht="15.0" customHeight="1">
      <c r="A175" s="5" t="s">
        <v>143</v>
      </c>
      <c r="B175" s="5" t="s">
        <v>235</v>
      </c>
      <c r="C175" s="5" t="s">
        <v>242</v>
      </c>
      <c r="D175" s="10">
        <f>AVERAGE('Precinct Vote Data'!H694:H697)</f>
        <v>0.5311004775</v>
      </c>
      <c r="E175" s="10">
        <f>AVERAGE(ABS('Precinct Vote Data'!H694-0.5),ABS('Precinct Vote Data'!H695-0.5),ABS('Precinct Vote Data'!H696-0.5),ABS('Precinct Vote Data'!H697-0.5))</f>
        <v>0.0311004775</v>
      </c>
      <c r="F175" s="10">
        <f>STDEV('Precinct Vote Data'!H694:H697)</f>
        <v>0.02579150872</v>
      </c>
      <c r="G175" s="5">
        <f>IF(('Precinct Vote Data'!H694&gt;0.5)&lt;&gt;('Precinct Vote Data'!H695&gt;0.5),1,0)+IF(('Precinct Vote Data'!H695&gt;0.5)&lt;&gt;('Precinct Vote Data'!H696&gt;0.5),1,0)+IF(('Precinct Vote Data'!H696&gt;0.5)&lt;&gt;('Precinct Vote Data'!H697&gt;0.5),1,0)</f>
        <v>0</v>
      </c>
      <c r="H175" s="2" t="str">
        <f t="shared" si="1"/>
        <v>Hard</v>
      </c>
    </row>
    <row r="176" ht="15.0" customHeight="1">
      <c r="A176" s="5" t="s">
        <v>143</v>
      </c>
      <c r="B176" s="5" t="s">
        <v>235</v>
      </c>
      <c r="C176" s="5" t="s">
        <v>243</v>
      </c>
      <c r="D176" s="10">
        <f>AVERAGE('Precinct Vote Data'!H698:H701)</f>
        <v>0.5114750309</v>
      </c>
      <c r="E176" s="10">
        <f>AVERAGE(ABS('Precinct Vote Data'!H698-0.5),ABS('Precinct Vote Data'!H699-0.5),ABS('Precinct Vote Data'!H700-0.5),ABS('Precinct Vote Data'!H701-0.5))</f>
        <v>0.01629885641</v>
      </c>
      <c r="F176" s="10">
        <f>STDEV('Precinct Vote Data'!H698:H701)</f>
        <v>0.01718878089</v>
      </c>
      <c r="G176" s="5">
        <f>IF(('Precinct Vote Data'!H698&gt;0.5)&lt;&gt;('Precinct Vote Data'!H699&gt;0.5),1,0)+IF(('Precinct Vote Data'!H699&gt;0.5)&lt;&gt;('Precinct Vote Data'!H700&gt;0.5),1,0)+IF(('Precinct Vote Data'!H700&gt;0.5)&lt;&gt;('Precinct Vote Data'!H701&gt;0.5),1,0)</f>
        <v>2</v>
      </c>
      <c r="H176" s="2" t="str">
        <f t="shared" si="1"/>
        <v>Hard</v>
      </c>
    </row>
    <row r="177" ht="15.0" customHeight="1">
      <c r="A177" s="5" t="s">
        <v>143</v>
      </c>
      <c r="B177" s="5" t="s">
        <v>244</v>
      </c>
      <c r="C177" s="5" t="s">
        <v>245</v>
      </c>
      <c r="D177" s="10">
        <f>AVERAGE('Precinct Vote Data'!H702:H705)</f>
        <v>0.5152000076</v>
      </c>
      <c r="E177" s="10">
        <f>AVERAGE(ABS('Precinct Vote Data'!H702-0.5),ABS('Precinct Vote Data'!H703-0.5),ABS('Precinct Vote Data'!H704-0.5),ABS('Precinct Vote Data'!H705-0.5))</f>
        <v>0.01520000756</v>
      </c>
      <c r="F177" s="10">
        <f>STDEV('Precinct Vote Data'!H702:H705)</f>
        <v>0.01578785277</v>
      </c>
      <c r="G177" s="5">
        <f>IF(('Precinct Vote Data'!H702&gt;0.5)&lt;&gt;('Precinct Vote Data'!H703&gt;0.5),1,0)+IF(('Precinct Vote Data'!H703&gt;0.5)&lt;&gt;('Precinct Vote Data'!H704&gt;0.5),1,0)+IF(('Precinct Vote Data'!H704&gt;0.5)&lt;&gt;('Precinct Vote Data'!H705&gt;0.5),1,0)</f>
        <v>0</v>
      </c>
      <c r="H177" s="2" t="str">
        <f t="shared" si="1"/>
        <v>Hard</v>
      </c>
    </row>
    <row r="178" ht="15.0" customHeight="1">
      <c r="A178" s="5" t="s">
        <v>143</v>
      </c>
      <c r="B178" s="5" t="s">
        <v>244</v>
      </c>
      <c r="C178" s="5" t="s">
        <v>246</v>
      </c>
      <c r="D178" s="10">
        <f>AVERAGE('Precinct Vote Data'!H706:H709)</f>
        <v>0.5105652274</v>
      </c>
      <c r="E178" s="10">
        <f>AVERAGE(ABS('Precinct Vote Data'!H706-0.5),ABS('Precinct Vote Data'!H707-0.5),ABS('Precinct Vote Data'!H708-0.5),ABS('Precinct Vote Data'!H709-0.5))</f>
        <v>0.01299241185</v>
      </c>
      <c r="F178" s="10">
        <f>STDEV('Precinct Vote Data'!H706:H709)</f>
        <v>0.01110371113</v>
      </c>
      <c r="G178" s="5">
        <f>IF(('Precinct Vote Data'!H706&gt;0.5)&lt;&gt;('Precinct Vote Data'!H707&gt;0.5),1,0)+IF(('Precinct Vote Data'!H707&gt;0.5)&lt;&gt;('Precinct Vote Data'!H708&gt;0.5),1,0)+IF(('Precinct Vote Data'!H708&gt;0.5)&lt;&gt;('Precinct Vote Data'!H709&gt;0.5),1,0)</f>
        <v>2</v>
      </c>
      <c r="H178" s="2" t="str">
        <f t="shared" si="1"/>
        <v>Hard</v>
      </c>
    </row>
    <row r="179" ht="15.0" customHeight="1">
      <c r="A179" s="5" t="s">
        <v>143</v>
      </c>
      <c r="B179" s="5" t="s">
        <v>244</v>
      </c>
      <c r="C179" s="5" t="s">
        <v>247</v>
      </c>
      <c r="D179" s="10">
        <f>AVERAGE('Precinct Vote Data'!H710:H713)</f>
        <v>0.4767485923</v>
      </c>
      <c r="E179" s="10">
        <f>AVERAGE(ABS('Precinct Vote Data'!H710-0.5),ABS('Precinct Vote Data'!H711-0.5),ABS('Precinct Vote Data'!H712-0.5),ABS('Precinct Vote Data'!H713-0.5))</f>
        <v>0.02325140769</v>
      </c>
      <c r="F179" s="10">
        <f>STDEV('Precinct Vote Data'!H710:H713)</f>
        <v>0.01516008269</v>
      </c>
      <c r="G179" s="5">
        <f>IF(('Precinct Vote Data'!H710&gt;0.5)&lt;&gt;('Precinct Vote Data'!H711&gt;0.5),1,0)+IF(('Precinct Vote Data'!H711&gt;0.5)&lt;&gt;('Precinct Vote Data'!H712&gt;0.5),1,0)+IF(('Precinct Vote Data'!H712&gt;0.5)&lt;&gt;('Precinct Vote Data'!H713&gt;0.5),1,0)</f>
        <v>0</v>
      </c>
      <c r="H179" s="2" t="str">
        <f t="shared" si="1"/>
        <v>Hard</v>
      </c>
    </row>
    <row r="180" ht="15.0" customHeight="1">
      <c r="A180" s="5" t="s">
        <v>143</v>
      </c>
      <c r="B180" s="5" t="s">
        <v>244</v>
      </c>
      <c r="C180" s="5" t="s">
        <v>248</v>
      </c>
      <c r="D180" s="10">
        <f>AVERAGE('Precinct Vote Data'!H714:H717)</f>
        <v>0.5733965699</v>
      </c>
      <c r="E180" s="10">
        <f>AVERAGE(ABS('Precinct Vote Data'!H714-0.5),ABS('Precinct Vote Data'!H715-0.5),ABS('Precinct Vote Data'!H716-0.5),ABS('Precinct Vote Data'!H717-0.5))</f>
        <v>0.07339656991</v>
      </c>
      <c r="F180" s="10">
        <f>STDEV('Precinct Vote Data'!H714:H717)</f>
        <v>0.03872929699</v>
      </c>
      <c r="G180" s="5">
        <f>IF(('Precinct Vote Data'!H714&gt;0.5)&lt;&gt;('Precinct Vote Data'!H715&gt;0.5),1,0)+IF(('Precinct Vote Data'!H715&gt;0.5)&lt;&gt;('Precinct Vote Data'!H716&gt;0.5),1,0)+IF(('Precinct Vote Data'!H716&gt;0.5)&lt;&gt;('Precinct Vote Data'!H717&gt;0.5),1,0)</f>
        <v>0</v>
      </c>
      <c r="H180" s="2" t="str">
        <f t="shared" si="1"/>
        <v>Medium</v>
      </c>
    </row>
    <row r="181" ht="15.0" customHeight="1">
      <c r="A181" s="5" t="s">
        <v>143</v>
      </c>
      <c r="B181" s="5" t="s">
        <v>244</v>
      </c>
      <c r="C181" s="5" t="s">
        <v>249</v>
      </c>
      <c r="D181" s="10">
        <f>AVERAGE('Precinct Vote Data'!H718:H721)</f>
        <v>0.5342188846</v>
      </c>
      <c r="E181" s="10">
        <f>AVERAGE(ABS('Precinct Vote Data'!H718-0.5),ABS('Precinct Vote Data'!H719-0.5),ABS('Precinct Vote Data'!H720-0.5),ABS('Precinct Vote Data'!H721-0.5))</f>
        <v>0.03421888458</v>
      </c>
      <c r="F181" s="10">
        <f>STDEV('Precinct Vote Data'!H718:H721)</f>
        <v>0.01291392351</v>
      </c>
      <c r="G181" s="5">
        <f>IF(('Precinct Vote Data'!H718&gt;0.5)&lt;&gt;('Precinct Vote Data'!H719&gt;0.5),1,0)+IF(('Precinct Vote Data'!H719&gt;0.5)&lt;&gt;('Precinct Vote Data'!H720&gt;0.5),1,0)+IF(('Precinct Vote Data'!H720&gt;0.5)&lt;&gt;('Precinct Vote Data'!H721&gt;0.5),1,0)</f>
        <v>0</v>
      </c>
      <c r="H181" s="2" t="str">
        <f t="shared" si="1"/>
        <v>Hard</v>
      </c>
    </row>
    <row r="182" ht="15.0" customHeight="1">
      <c r="A182" s="5" t="s">
        <v>143</v>
      </c>
      <c r="B182" s="5" t="s">
        <v>244</v>
      </c>
      <c r="C182" s="5" t="s">
        <v>250</v>
      </c>
      <c r="D182" s="10">
        <f>AVERAGE('Precinct Vote Data'!H722:H725)</f>
        <v>0.5473342625</v>
      </c>
      <c r="E182" s="10">
        <f>AVERAGE(ABS('Precinct Vote Data'!H722-0.5),ABS('Precinct Vote Data'!H723-0.5),ABS('Precinct Vote Data'!H724-0.5),ABS('Precinct Vote Data'!H725-0.5))</f>
        <v>0.04733426249</v>
      </c>
      <c r="F182" s="10">
        <f>STDEV('Precinct Vote Data'!H722:H725)</f>
        <v>0.02789457444</v>
      </c>
      <c r="G182" s="5">
        <f>IF(('Precinct Vote Data'!H722&gt;0.5)&lt;&gt;('Precinct Vote Data'!H723&gt;0.5),1,0)+IF(('Precinct Vote Data'!H723&gt;0.5)&lt;&gt;('Precinct Vote Data'!H724&gt;0.5),1,0)+IF(('Precinct Vote Data'!H724&gt;0.5)&lt;&gt;('Precinct Vote Data'!H725&gt;0.5),1,0)</f>
        <v>0</v>
      </c>
      <c r="H182" s="2" t="str">
        <f t="shared" si="1"/>
        <v>Hard</v>
      </c>
    </row>
    <row r="183" ht="15.0" customHeight="1">
      <c r="A183" s="5" t="s">
        <v>143</v>
      </c>
      <c r="B183" s="5" t="s">
        <v>244</v>
      </c>
      <c r="C183" s="5" t="s">
        <v>251</v>
      </c>
      <c r="D183" s="10">
        <f>AVERAGE('Precinct Vote Data'!H726:H729)</f>
        <v>0.5386771372</v>
      </c>
      <c r="E183" s="10">
        <f>AVERAGE(ABS('Precinct Vote Data'!H726-0.5),ABS('Precinct Vote Data'!H727-0.5),ABS('Precinct Vote Data'!H728-0.5),ABS('Precinct Vote Data'!H729-0.5))</f>
        <v>0.03867713718</v>
      </c>
      <c r="F183" s="10">
        <f>STDEV('Precinct Vote Data'!H726:H729)</f>
        <v>0.01645388639</v>
      </c>
      <c r="G183" s="5">
        <f>IF(('Precinct Vote Data'!H726&gt;0.5)&lt;&gt;('Precinct Vote Data'!H727&gt;0.5),1,0)+IF(('Precinct Vote Data'!H727&gt;0.5)&lt;&gt;('Precinct Vote Data'!H728&gt;0.5),1,0)+IF(('Precinct Vote Data'!H728&gt;0.5)&lt;&gt;('Precinct Vote Data'!H729&gt;0.5),1,0)</f>
        <v>0</v>
      </c>
      <c r="H183" s="2" t="str">
        <f t="shared" si="1"/>
        <v>Hard</v>
      </c>
    </row>
    <row r="184" ht="15.0" customHeight="1">
      <c r="A184" s="5" t="s">
        <v>143</v>
      </c>
      <c r="B184" s="5" t="s">
        <v>244</v>
      </c>
      <c r="C184" s="5" t="s">
        <v>252</v>
      </c>
      <c r="D184" s="10">
        <f>AVERAGE('Precinct Vote Data'!H730:H733)</f>
        <v>0.5263375914</v>
      </c>
      <c r="E184" s="10">
        <f>AVERAGE(ABS('Precinct Vote Data'!H730-0.5),ABS('Precinct Vote Data'!H731-0.5),ABS('Precinct Vote Data'!H732-0.5),ABS('Precinct Vote Data'!H733-0.5))</f>
        <v>0.02633759138</v>
      </c>
      <c r="F184" s="10">
        <f>STDEV('Precinct Vote Data'!H730:H733)</f>
        <v>0.0113757004</v>
      </c>
      <c r="G184" s="5">
        <f>IF(('Precinct Vote Data'!H730&gt;0.5)&lt;&gt;('Precinct Vote Data'!H731&gt;0.5),1,0)+IF(('Precinct Vote Data'!H731&gt;0.5)&lt;&gt;('Precinct Vote Data'!H732&gt;0.5),1,0)+IF(('Precinct Vote Data'!H732&gt;0.5)&lt;&gt;('Precinct Vote Data'!H733&gt;0.5),1,0)</f>
        <v>0</v>
      </c>
      <c r="H184" s="2" t="str">
        <f t="shared" si="1"/>
        <v>Hard</v>
      </c>
    </row>
    <row r="185" ht="15.0" customHeight="1">
      <c r="A185" s="5" t="s">
        <v>143</v>
      </c>
      <c r="B185" s="5" t="s">
        <v>253</v>
      </c>
      <c r="C185" s="5" t="s">
        <v>254</v>
      </c>
      <c r="D185" s="10">
        <f>AVERAGE('Precinct Vote Data'!H734:H737)</f>
        <v>0.4751437353</v>
      </c>
      <c r="E185" s="10">
        <f>AVERAGE(ABS('Precinct Vote Data'!H734-0.5),ABS('Precinct Vote Data'!H735-0.5),ABS('Precinct Vote Data'!H736-0.5),ABS('Precinct Vote Data'!H737-0.5))</f>
        <v>0.02485626468</v>
      </c>
      <c r="F185" s="10">
        <f>STDEV('Precinct Vote Data'!H734:H737)</f>
        <v>0.0142734463</v>
      </c>
      <c r="G185" s="5">
        <f>IF(('Precinct Vote Data'!H734&gt;0.5)&lt;&gt;('Precinct Vote Data'!H735&gt;0.5),1,0)+IF(('Precinct Vote Data'!H735&gt;0.5)&lt;&gt;('Precinct Vote Data'!H736&gt;0.5),1,0)+IF(('Precinct Vote Data'!H736&gt;0.5)&lt;&gt;('Precinct Vote Data'!H737&gt;0.5),1,0)</f>
        <v>0</v>
      </c>
      <c r="H185" s="2" t="str">
        <f t="shared" si="1"/>
        <v>Hard</v>
      </c>
    </row>
    <row r="186" ht="15.0" customHeight="1">
      <c r="A186" s="5" t="s">
        <v>143</v>
      </c>
      <c r="B186" s="5" t="s">
        <v>253</v>
      </c>
      <c r="C186" s="5" t="s">
        <v>255</v>
      </c>
      <c r="D186" s="10">
        <f>AVERAGE('Precinct Vote Data'!H738:H741)</f>
        <v>0.4030337029</v>
      </c>
      <c r="E186" s="10">
        <f>AVERAGE(ABS('Precinct Vote Data'!H738-0.5),ABS('Precinct Vote Data'!H739-0.5),ABS('Precinct Vote Data'!H740-0.5),ABS('Precinct Vote Data'!H741-0.5))</f>
        <v>0.09696629712</v>
      </c>
      <c r="F186" s="10">
        <f>STDEV('Precinct Vote Data'!H738:H741)</f>
        <v>0.01764502141</v>
      </c>
      <c r="G186" s="5">
        <f>IF(('Precinct Vote Data'!H738&gt;0.5)&lt;&gt;('Precinct Vote Data'!H739&gt;0.5),1,0)+IF(('Precinct Vote Data'!H739&gt;0.5)&lt;&gt;('Precinct Vote Data'!H740&gt;0.5),1,0)+IF(('Precinct Vote Data'!H740&gt;0.5)&lt;&gt;('Precinct Vote Data'!H741&gt;0.5),1,0)</f>
        <v>0</v>
      </c>
      <c r="H186" s="2" t="str">
        <f t="shared" si="1"/>
        <v>Medium</v>
      </c>
    </row>
    <row r="187" ht="15.0" customHeight="1">
      <c r="A187" s="5" t="s">
        <v>143</v>
      </c>
      <c r="B187" s="5" t="s">
        <v>256</v>
      </c>
      <c r="C187" s="5" t="s">
        <v>257</v>
      </c>
      <c r="D187" s="10">
        <f>AVERAGE('Precinct Vote Data'!H742:H745)</f>
        <v>0.4883939392</v>
      </c>
      <c r="E187" s="10">
        <f>AVERAGE(ABS('Precinct Vote Data'!H742-0.5),ABS('Precinct Vote Data'!H743-0.5),ABS('Precinct Vote Data'!H744-0.5),ABS('Precinct Vote Data'!H745-0.5))</f>
        <v>0.01575603214</v>
      </c>
      <c r="F187" s="10">
        <f>STDEV('Precinct Vote Data'!H742:H745)</f>
        <v>0.01448898874</v>
      </c>
      <c r="G187" s="5">
        <f>IF(('Precinct Vote Data'!H742&gt;0.5)&lt;&gt;('Precinct Vote Data'!H743&gt;0.5),1,0)+IF(('Precinct Vote Data'!H743&gt;0.5)&lt;&gt;('Precinct Vote Data'!H744&gt;0.5),1,0)+IF(('Precinct Vote Data'!H744&gt;0.5)&lt;&gt;('Precinct Vote Data'!H745&gt;0.5),1,0)</f>
        <v>2</v>
      </c>
      <c r="H187" s="2" t="str">
        <f t="shared" si="1"/>
        <v>Hard</v>
      </c>
    </row>
    <row r="188" ht="15.0" customHeight="1">
      <c r="A188" s="5" t="s">
        <v>143</v>
      </c>
      <c r="B188" s="5" t="s">
        <v>256</v>
      </c>
      <c r="C188" s="5" t="s">
        <v>258</v>
      </c>
      <c r="D188" s="10">
        <f>AVERAGE('Precinct Vote Data'!H746:H749)</f>
        <v>0.463547364</v>
      </c>
      <c r="E188" s="10">
        <f>AVERAGE(ABS('Precinct Vote Data'!H746-0.5),ABS('Precinct Vote Data'!H747-0.5),ABS('Precinct Vote Data'!H748-0.5),ABS('Precinct Vote Data'!H749-0.5))</f>
        <v>0.03645263601</v>
      </c>
      <c r="F188" s="10">
        <f>STDEV('Precinct Vote Data'!H746:H749)</f>
        <v>0.02064475216</v>
      </c>
      <c r="G188" s="5">
        <f>IF(('Precinct Vote Data'!H746&gt;0.5)&lt;&gt;('Precinct Vote Data'!H747&gt;0.5),1,0)+IF(('Precinct Vote Data'!H747&gt;0.5)&lt;&gt;('Precinct Vote Data'!H748&gt;0.5),1,0)+IF(('Precinct Vote Data'!H748&gt;0.5)&lt;&gt;('Precinct Vote Data'!H749&gt;0.5),1,0)</f>
        <v>0</v>
      </c>
      <c r="H188" s="2" t="str">
        <f t="shared" si="1"/>
        <v>Hard</v>
      </c>
    </row>
    <row r="189" ht="15.0" customHeight="1">
      <c r="A189" s="5" t="s">
        <v>143</v>
      </c>
      <c r="B189" s="5" t="s">
        <v>256</v>
      </c>
      <c r="C189" s="5" t="s">
        <v>259</v>
      </c>
      <c r="D189" s="10">
        <f>AVERAGE('Precinct Vote Data'!H750:H753)</f>
        <v>0.4826575417</v>
      </c>
      <c r="E189" s="10">
        <f>AVERAGE(ABS('Precinct Vote Data'!H750-0.5),ABS('Precinct Vote Data'!H751-0.5),ABS('Precinct Vote Data'!H752-0.5),ABS('Precinct Vote Data'!H753-0.5))</f>
        <v>0.01734245835</v>
      </c>
      <c r="F189" s="10">
        <f>STDEV('Precinct Vote Data'!H750:H753)</f>
        <v>0.01287416352</v>
      </c>
      <c r="G189" s="5">
        <f>IF(('Precinct Vote Data'!H750&gt;0.5)&lt;&gt;('Precinct Vote Data'!H751&gt;0.5),1,0)+IF(('Precinct Vote Data'!H751&gt;0.5)&lt;&gt;('Precinct Vote Data'!H752&gt;0.5),1,0)+IF(('Precinct Vote Data'!H752&gt;0.5)&lt;&gt;('Precinct Vote Data'!H753&gt;0.5),1,0)</f>
        <v>0</v>
      </c>
      <c r="H189" s="2" t="str">
        <f t="shared" si="1"/>
        <v>Hard</v>
      </c>
    </row>
    <row r="190" ht="15.0" customHeight="1">
      <c r="A190" s="5" t="s">
        <v>143</v>
      </c>
      <c r="B190" s="5" t="s">
        <v>256</v>
      </c>
      <c r="C190" s="5" t="s">
        <v>260</v>
      </c>
      <c r="D190" s="10">
        <f>AVERAGE('Precinct Vote Data'!H754:H757)</f>
        <v>0.4766578427</v>
      </c>
      <c r="E190" s="10">
        <f>AVERAGE(ABS('Precinct Vote Data'!H754-0.5),ABS('Precinct Vote Data'!H755-0.5),ABS('Precinct Vote Data'!H756-0.5),ABS('Precinct Vote Data'!H757-0.5))</f>
        <v>0.02334215735</v>
      </c>
      <c r="F190" s="10">
        <f>STDEV('Precinct Vote Data'!H754:H757)</f>
        <v>0.01310122088</v>
      </c>
      <c r="G190" s="5">
        <f>IF(('Precinct Vote Data'!H754&gt;0.5)&lt;&gt;('Precinct Vote Data'!H755&gt;0.5),1,0)+IF(('Precinct Vote Data'!H755&gt;0.5)&lt;&gt;('Precinct Vote Data'!H756&gt;0.5),1,0)+IF(('Precinct Vote Data'!H756&gt;0.5)&lt;&gt;('Precinct Vote Data'!H757&gt;0.5),1,0)</f>
        <v>0</v>
      </c>
      <c r="H190" s="2" t="str">
        <f t="shared" si="1"/>
        <v>Hard</v>
      </c>
    </row>
    <row r="191" ht="15.0" customHeight="1">
      <c r="A191" s="5" t="s">
        <v>143</v>
      </c>
      <c r="B191" s="5" t="s">
        <v>256</v>
      </c>
      <c r="C191" s="5" t="s">
        <v>261</v>
      </c>
      <c r="D191" s="10">
        <f>AVERAGE('Precinct Vote Data'!H758:H761)</f>
        <v>0.496672889</v>
      </c>
      <c r="E191" s="10">
        <f>AVERAGE(ABS('Precinct Vote Data'!H758-0.5),ABS('Precinct Vote Data'!H759-0.5),ABS('Precinct Vote Data'!H760-0.5),ABS('Precinct Vote Data'!H761-0.5))</f>
        <v>0.01607796586</v>
      </c>
      <c r="F191" s="10">
        <f>STDEV('Precinct Vote Data'!H758:H761)</f>
        <v>0.02015947371</v>
      </c>
      <c r="G191" s="5">
        <f>IF(('Precinct Vote Data'!H758&gt;0.5)&lt;&gt;('Precinct Vote Data'!H759&gt;0.5),1,0)+IF(('Precinct Vote Data'!H759&gt;0.5)&lt;&gt;('Precinct Vote Data'!H760&gt;0.5),1,0)+IF(('Precinct Vote Data'!H760&gt;0.5)&lt;&gt;('Precinct Vote Data'!H761&gt;0.5),1,0)</f>
        <v>1</v>
      </c>
      <c r="H191" s="2" t="str">
        <f t="shared" si="1"/>
        <v>Hard</v>
      </c>
    </row>
    <row r="192" ht="15.0" customHeight="1">
      <c r="A192" s="5" t="s">
        <v>143</v>
      </c>
      <c r="B192" s="5" t="s">
        <v>256</v>
      </c>
      <c r="C192" s="5" t="s">
        <v>262</v>
      </c>
      <c r="D192" s="10">
        <f>AVERAGE('Precinct Vote Data'!H762:H765)</f>
        <v>0.535168252</v>
      </c>
      <c r="E192" s="10">
        <f>AVERAGE(ABS('Precinct Vote Data'!H762-0.5),ABS('Precinct Vote Data'!H763-0.5),ABS('Precinct Vote Data'!H764-0.5),ABS('Precinct Vote Data'!H765-0.5))</f>
        <v>0.035168252</v>
      </c>
      <c r="F192" s="10">
        <f>STDEV('Precinct Vote Data'!H762:H765)</f>
        <v>0.01884889496</v>
      </c>
      <c r="G192" s="5">
        <f>IF(('Precinct Vote Data'!H762&gt;0.5)&lt;&gt;('Precinct Vote Data'!H763&gt;0.5),1,0)+IF(('Precinct Vote Data'!H763&gt;0.5)&lt;&gt;('Precinct Vote Data'!H764&gt;0.5),1,0)+IF(('Precinct Vote Data'!H764&gt;0.5)&lt;&gt;('Precinct Vote Data'!H765&gt;0.5),1,0)</f>
        <v>0</v>
      </c>
      <c r="H192" s="2" t="str">
        <f t="shared" si="1"/>
        <v>Hard</v>
      </c>
    </row>
    <row r="193" ht="15.0" customHeight="1">
      <c r="A193" s="5" t="s">
        <v>143</v>
      </c>
      <c r="B193" s="5" t="s">
        <v>263</v>
      </c>
      <c r="C193" s="5" t="s">
        <v>264</v>
      </c>
      <c r="D193" s="10">
        <f>AVERAGE('Precinct Vote Data'!H766:H769)</f>
        <v>0.3144289287</v>
      </c>
      <c r="E193" s="10">
        <f>AVERAGE(ABS('Precinct Vote Data'!H766-0.5),ABS('Precinct Vote Data'!H767-0.5),ABS('Precinct Vote Data'!H768-0.5),ABS('Precinct Vote Data'!H769-0.5))</f>
        <v>0.1855710713</v>
      </c>
      <c r="F193" s="10">
        <f>STDEV('Precinct Vote Data'!H766:H769)</f>
        <v>0.01149921152</v>
      </c>
      <c r="G193" s="5">
        <f>IF(('Precinct Vote Data'!H766&gt;0.5)&lt;&gt;('Precinct Vote Data'!H767&gt;0.5),1,0)+IF(('Precinct Vote Data'!H767&gt;0.5)&lt;&gt;('Precinct Vote Data'!H768&gt;0.5),1,0)+IF(('Precinct Vote Data'!H768&gt;0.5)&lt;&gt;('Precinct Vote Data'!H769&gt;0.5),1,0)</f>
        <v>0</v>
      </c>
      <c r="H193" s="2" t="str">
        <f t="shared" si="1"/>
        <v>Easy</v>
      </c>
    </row>
    <row r="194" ht="15.0" customHeight="1">
      <c r="A194" s="5" t="s">
        <v>143</v>
      </c>
      <c r="B194" s="5" t="s">
        <v>263</v>
      </c>
      <c r="C194" s="5" t="s">
        <v>265</v>
      </c>
      <c r="D194" s="10">
        <f>AVERAGE('Precinct Vote Data'!H770:H773)</f>
        <v>0.3499160125</v>
      </c>
      <c r="E194" s="10">
        <f>AVERAGE(ABS('Precinct Vote Data'!H770-0.5),ABS('Precinct Vote Data'!H771-0.5),ABS('Precinct Vote Data'!H772-0.5),ABS('Precinct Vote Data'!H773-0.5))</f>
        <v>0.1500839875</v>
      </c>
      <c r="F194" s="10">
        <f>STDEV('Precinct Vote Data'!H770:H773)</f>
        <v>0.02018045459</v>
      </c>
      <c r="G194" s="5">
        <f>IF(('Precinct Vote Data'!H770&gt;0.5)&lt;&gt;('Precinct Vote Data'!H771&gt;0.5),1,0)+IF(('Precinct Vote Data'!H771&gt;0.5)&lt;&gt;('Precinct Vote Data'!H772&gt;0.5),1,0)+IF(('Precinct Vote Data'!H772&gt;0.5)&lt;&gt;('Precinct Vote Data'!H773&gt;0.5),1,0)</f>
        <v>0</v>
      </c>
      <c r="H194" s="2" t="str">
        <f t="shared" si="1"/>
        <v>Easy</v>
      </c>
    </row>
    <row r="195" ht="15.0" customHeight="1">
      <c r="A195" s="5" t="s">
        <v>143</v>
      </c>
      <c r="B195" s="5" t="s">
        <v>263</v>
      </c>
      <c r="C195" s="5" t="s">
        <v>266</v>
      </c>
      <c r="D195" s="10">
        <f>AVERAGE('Precinct Vote Data'!H774:H777)</f>
        <v>0.3168958558</v>
      </c>
      <c r="E195" s="10">
        <f>AVERAGE(ABS('Precinct Vote Data'!H774-0.5),ABS('Precinct Vote Data'!H775-0.5),ABS('Precinct Vote Data'!H776-0.5),ABS('Precinct Vote Data'!H777-0.5))</f>
        <v>0.1831041442</v>
      </c>
      <c r="F195" s="10">
        <f>STDEV('Precinct Vote Data'!H774:H777)</f>
        <v>0.02908240916</v>
      </c>
      <c r="G195" s="5">
        <f>IF(('Precinct Vote Data'!H774&gt;0.5)&lt;&gt;('Precinct Vote Data'!H775&gt;0.5),1,0)+IF(('Precinct Vote Data'!H775&gt;0.5)&lt;&gt;('Precinct Vote Data'!H776&gt;0.5),1,0)+IF(('Precinct Vote Data'!H776&gt;0.5)&lt;&gt;('Precinct Vote Data'!H777&gt;0.5),1,0)</f>
        <v>0</v>
      </c>
      <c r="H195" s="2" t="str">
        <f t="shared" si="1"/>
        <v>Easy</v>
      </c>
    </row>
    <row r="196" ht="15.0" customHeight="1">
      <c r="A196" s="5" t="s">
        <v>143</v>
      </c>
      <c r="B196" s="5" t="s">
        <v>267</v>
      </c>
      <c r="C196" s="5" t="s">
        <v>268</v>
      </c>
      <c r="D196" s="10">
        <f>AVERAGE('Precinct Vote Data'!H778:H781)</f>
        <v>0.3488278143</v>
      </c>
      <c r="E196" s="10">
        <f>AVERAGE(ABS('Precinct Vote Data'!H778-0.5),ABS('Precinct Vote Data'!H779-0.5),ABS('Precinct Vote Data'!H780-0.5),ABS('Precinct Vote Data'!H781-0.5))</f>
        <v>0.1511721857</v>
      </c>
      <c r="F196" s="10">
        <f>STDEV('Precinct Vote Data'!H778:H781)</f>
        <v>0.01320607565</v>
      </c>
      <c r="G196" s="5">
        <f>IF(('Precinct Vote Data'!H778&gt;0.5)&lt;&gt;('Precinct Vote Data'!H779&gt;0.5),1,0)+IF(('Precinct Vote Data'!H779&gt;0.5)&lt;&gt;('Precinct Vote Data'!H780&gt;0.5),1,0)+IF(('Precinct Vote Data'!H780&gt;0.5)&lt;&gt;('Precinct Vote Data'!H781&gt;0.5),1,0)</f>
        <v>0</v>
      </c>
      <c r="H196" s="2" t="str">
        <f t="shared" si="1"/>
        <v>Easy</v>
      </c>
    </row>
    <row r="197" ht="15.0" customHeight="1">
      <c r="A197" s="5" t="s">
        <v>143</v>
      </c>
      <c r="B197" s="5" t="s">
        <v>269</v>
      </c>
      <c r="C197" s="5" t="s">
        <v>270</v>
      </c>
      <c r="D197" s="10">
        <f>AVERAGE('Precinct Vote Data'!H782:H785)</f>
        <v>0.6236942456</v>
      </c>
      <c r="E197" s="10">
        <f>AVERAGE(ABS('Precinct Vote Data'!H782-0.5),ABS('Precinct Vote Data'!H783-0.5),ABS('Precinct Vote Data'!H784-0.5),ABS('Precinct Vote Data'!H785-0.5))</f>
        <v>0.1236942456</v>
      </c>
      <c r="F197" s="10">
        <f>STDEV('Precinct Vote Data'!H782:H785)</f>
        <v>0.03201623384</v>
      </c>
      <c r="G197" s="5">
        <f>IF(('Precinct Vote Data'!H782&gt;0.5)&lt;&gt;('Precinct Vote Data'!H783&gt;0.5),1,0)+IF(('Precinct Vote Data'!H783&gt;0.5)&lt;&gt;('Precinct Vote Data'!H784&gt;0.5),1,0)+IF(('Precinct Vote Data'!H784&gt;0.5)&lt;&gt;('Precinct Vote Data'!H785&gt;0.5),1,0)</f>
        <v>0</v>
      </c>
      <c r="H197" s="2" t="str">
        <f t="shared" si="1"/>
        <v>Medium</v>
      </c>
    </row>
    <row r="198" ht="15.0" customHeight="1">
      <c r="A198" s="5" t="s">
        <v>143</v>
      </c>
      <c r="B198" s="5" t="s">
        <v>269</v>
      </c>
      <c r="C198" s="5" t="s">
        <v>271</v>
      </c>
      <c r="D198" s="10">
        <f>AVERAGE('Precinct Vote Data'!H786:H789)</f>
        <v>0.5611362096</v>
      </c>
      <c r="E198" s="10">
        <f>AVERAGE(ABS('Precinct Vote Data'!H786-0.5),ABS('Precinct Vote Data'!H787-0.5),ABS('Precinct Vote Data'!H788-0.5),ABS('Precinct Vote Data'!H789-0.5))</f>
        <v>0.06113620964</v>
      </c>
      <c r="F198" s="10">
        <f>STDEV('Precinct Vote Data'!H786:H789)</f>
        <v>0.02769131835</v>
      </c>
      <c r="G198" s="5">
        <f>IF(('Precinct Vote Data'!H786&gt;0.5)&lt;&gt;('Precinct Vote Data'!H787&gt;0.5),1,0)+IF(('Precinct Vote Data'!H787&gt;0.5)&lt;&gt;('Precinct Vote Data'!H788&gt;0.5),1,0)+IF(('Precinct Vote Data'!H788&gt;0.5)&lt;&gt;('Precinct Vote Data'!H789&gt;0.5),1,0)</f>
        <v>0</v>
      </c>
      <c r="H198" s="2" t="str">
        <f t="shared" si="1"/>
        <v>Medium</v>
      </c>
    </row>
    <row r="199" ht="15.0" customHeight="1">
      <c r="A199" s="5" t="s">
        <v>143</v>
      </c>
      <c r="B199" s="5" t="s">
        <v>269</v>
      </c>
      <c r="C199" s="5" t="s">
        <v>272</v>
      </c>
      <c r="D199" s="10">
        <f>AVERAGE('Precinct Vote Data'!H790:H793)</f>
        <v>0.6694308007</v>
      </c>
      <c r="E199" s="10">
        <f>AVERAGE(ABS('Precinct Vote Data'!H790-0.5),ABS('Precinct Vote Data'!H791-0.5),ABS('Precinct Vote Data'!H792-0.5),ABS('Precinct Vote Data'!H793-0.5))</f>
        <v>0.1694308007</v>
      </c>
      <c r="F199" s="10">
        <f>STDEV('Precinct Vote Data'!H790:H793)</f>
        <v>0.05169611587</v>
      </c>
      <c r="G199" s="5">
        <f>IF(('Precinct Vote Data'!H790&gt;0.5)&lt;&gt;('Precinct Vote Data'!H791&gt;0.5),1,0)+IF(('Precinct Vote Data'!H791&gt;0.5)&lt;&gt;('Precinct Vote Data'!H792&gt;0.5),1,0)+IF(('Precinct Vote Data'!H792&gt;0.5)&lt;&gt;('Precinct Vote Data'!H793&gt;0.5),1,0)</f>
        <v>0</v>
      </c>
      <c r="H199" s="2" t="str">
        <f t="shared" si="1"/>
        <v>Medium</v>
      </c>
    </row>
    <row r="200" ht="15.0" customHeight="1">
      <c r="A200" s="5" t="s">
        <v>143</v>
      </c>
      <c r="B200" s="5" t="s">
        <v>269</v>
      </c>
      <c r="C200" s="5" t="s">
        <v>273</v>
      </c>
      <c r="D200" s="10">
        <f>AVERAGE('Precinct Vote Data'!H794:H797)</f>
        <v>0.5610695241</v>
      </c>
      <c r="E200" s="10">
        <f>AVERAGE(ABS('Precinct Vote Data'!H794-0.5),ABS('Precinct Vote Data'!H795-0.5),ABS('Precinct Vote Data'!H796-0.5),ABS('Precinct Vote Data'!H797-0.5))</f>
        <v>0.06106952415</v>
      </c>
      <c r="F200" s="10">
        <f>STDEV('Precinct Vote Data'!H794:H797)</f>
        <v>0.02160040295</v>
      </c>
      <c r="G200" s="5">
        <f>IF(('Precinct Vote Data'!H794&gt;0.5)&lt;&gt;('Precinct Vote Data'!H795&gt;0.5),1,0)+IF(('Precinct Vote Data'!H795&gt;0.5)&lt;&gt;('Precinct Vote Data'!H796&gt;0.5),1,0)+IF(('Precinct Vote Data'!H796&gt;0.5)&lt;&gt;('Precinct Vote Data'!H797&gt;0.5),1,0)</f>
        <v>0</v>
      </c>
      <c r="H200" s="2" t="str">
        <f t="shared" si="1"/>
        <v>Medium</v>
      </c>
    </row>
    <row r="201" ht="15.0" customHeight="1">
      <c r="A201" s="5" t="s">
        <v>143</v>
      </c>
      <c r="B201" s="5" t="s">
        <v>269</v>
      </c>
      <c r="C201" s="5" t="s">
        <v>274</v>
      </c>
      <c r="D201" s="10">
        <f>AVERAGE('Precinct Vote Data'!H798:H801)</f>
        <v>0.5005978774</v>
      </c>
      <c r="E201" s="10">
        <f>AVERAGE(ABS('Precinct Vote Data'!H798-0.5),ABS('Precinct Vote Data'!H799-0.5),ABS('Precinct Vote Data'!H800-0.5),ABS('Precinct Vote Data'!H801-0.5))</f>
        <v>0.03112801088</v>
      </c>
      <c r="F201" s="10">
        <f>STDEV('Precinct Vote Data'!H798:H801)</f>
        <v>0.04333947403</v>
      </c>
      <c r="G201" s="5">
        <f>IF(('Precinct Vote Data'!H798&gt;0.5)&lt;&gt;('Precinct Vote Data'!H799&gt;0.5),1,0)+IF(('Precinct Vote Data'!H799&gt;0.5)&lt;&gt;('Precinct Vote Data'!H800&gt;0.5),1,0)+IF(('Precinct Vote Data'!H800&gt;0.5)&lt;&gt;('Precinct Vote Data'!H801&gt;0.5),1,0)</f>
        <v>1</v>
      </c>
      <c r="H201" s="2" t="str">
        <f t="shared" si="1"/>
        <v>Hard</v>
      </c>
    </row>
    <row r="202" ht="15.0" customHeight="1">
      <c r="A202" s="5" t="s">
        <v>143</v>
      </c>
      <c r="B202" s="5" t="s">
        <v>269</v>
      </c>
      <c r="C202" s="5" t="s">
        <v>275</v>
      </c>
      <c r="D202" s="10">
        <f>AVERAGE('Precinct Vote Data'!H802:H805)</f>
        <v>0.5468832958</v>
      </c>
      <c r="E202" s="10">
        <f>AVERAGE(ABS('Precinct Vote Data'!H802-0.5),ABS('Precinct Vote Data'!H803-0.5),ABS('Precinct Vote Data'!H804-0.5),ABS('Precinct Vote Data'!H805-0.5))</f>
        <v>0.0468832958</v>
      </c>
      <c r="F202" s="10">
        <f>STDEV('Precinct Vote Data'!H802:H805)</f>
        <v>0.02603192576</v>
      </c>
      <c r="G202" s="5">
        <f>IF(('Precinct Vote Data'!H802&gt;0.5)&lt;&gt;('Precinct Vote Data'!H803&gt;0.5),1,0)+IF(('Precinct Vote Data'!H803&gt;0.5)&lt;&gt;('Precinct Vote Data'!H804&gt;0.5),1,0)+IF(('Precinct Vote Data'!H804&gt;0.5)&lt;&gt;('Precinct Vote Data'!H805&gt;0.5),1,0)</f>
        <v>0</v>
      </c>
      <c r="H202" s="2" t="str">
        <f t="shared" si="1"/>
        <v>Hard</v>
      </c>
    </row>
    <row r="203" ht="15.0" customHeight="1">
      <c r="A203" s="5" t="s">
        <v>143</v>
      </c>
      <c r="B203" s="5" t="s">
        <v>269</v>
      </c>
      <c r="C203" s="5" t="s">
        <v>276</v>
      </c>
      <c r="D203" s="10">
        <f>AVERAGE('Precinct Vote Data'!H806:H809)</f>
        <v>0.4758101664</v>
      </c>
      <c r="E203" s="10">
        <f>AVERAGE(ABS('Precinct Vote Data'!H806-0.5),ABS('Precinct Vote Data'!H807-0.5),ABS('Precinct Vote Data'!H808-0.5),ABS('Precinct Vote Data'!H809-0.5))</f>
        <v>0.02418983361</v>
      </c>
      <c r="F203" s="10">
        <f>STDEV('Precinct Vote Data'!H806:H809)</f>
        <v>0.01582015623</v>
      </c>
      <c r="G203" s="5">
        <f>IF(('Precinct Vote Data'!H806&gt;0.5)&lt;&gt;('Precinct Vote Data'!H807&gt;0.5),1,0)+IF(('Precinct Vote Data'!H807&gt;0.5)&lt;&gt;('Precinct Vote Data'!H808&gt;0.5),1,0)+IF(('Precinct Vote Data'!H808&gt;0.5)&lt;&gt;('Precinct Vote Data'!H809&gt;0.5),1,0)</f>
        <v>0</v>
      </c>
      <c r="H203" s="2" t="str">
        <f t="shared" si="1"/>
        <v>Hard</v>
      </c>
    </row>
    <row r="204" ht="15.0" customHeight="1">
      <c r="A204" s="5" t="s">
        <v>143</v>
      </c>
      <c r="B204" s="5" t="s">
        <v>269</v>
      </c>
      <c r="C204" s="5" t="s">
        <v>277</v>
      </c>
      <c r="D204" s="10">
        <f>AVERAGE('Precinct Vote Data'!H810:H813)</f>
        <v>0.4924450305</v>
      </c>
      <c r="E204" s="10">
        <f>AVERAGE(ABS('Precinct Vote Data'!H810-0.5),ABS('Precinct Vote Data'!H811-0.5),ABS('Precinct Vote Data'!H812-0.5),ABS('Precinct Vote Data'!H813-0.5))</f>
        <v>0.01843364563</v>
      </c>
      <c r="F204" s="10">
        <f>STDEV('Precinct Vote Data'!H810:H813)</f>
        <v>0.02305985376</v>
      </c>
      <c r="G204" s="5">
        <f>IF(('Precinct Vote Data'!H810&gt;0.5)&lt;&gt;('Precinct Vote Data'!H811&gt;0.5),1,0)+IF(('Precinct Vote Data'!H811&gt;0.5)&lt;&gt;('Precinct Vote Data'!H812&gt;0.5),1,0)+IF(('Precinct Vote Data'!H812&gt;0.5)&lt;&gt;('Precinct Vote Data'!H813&gt;0.5),1,0)</f>
        <v>3</v>
      </c>
      <c r="H204" s="2" t="str">
        <f t="shared" si="1"/>
        <v>Hard</v>
      </c>
    </row>
    <row r="205" ht="15.0" customHeight="1">
      <c r="A205" s="5" t="s">
        <v>143</v>
      </c>
      <c r="B205" s="5" t="s">
        <v>269</v>
      </c>
      <c r="C205" s="5" t="s">
        <v>278</v>
      </c>
      <c r="D205" s="10">
        <f>AVERAGE('Precinct Vote Data'!H814:H817)</f>
        <v>0.5330426063</v>
      </c>
      <c r="E205" s="10">
        <f>AVERAGE(ABS('Precinct Vote Data'!H814-0.5),ABS('Precinct Vote Data'!H815-0.5),ABS('Precinct Vote Data'!H816-0.5),ABS('Precinct Vote Data'!H817-0.5))</f>
        <v>0.03304260626</v>
      </c>
      <c r="F205" s="10">
        <f>STDEV('Precinct Vote Data'!H814:H817)</f>
        <v>0.02166052366</v>
      </c>
      <c r="G205" s="5">
        <f>IF(('Precinct Vote Data'!H814&gt;0.5)&lt;&gt;('Precinct Vote Data'!H815&gt;0.5),1,0)+IF(('Precinct Vote Data'!H815&gt;0.5)&lt;&gt;('Precinct Vote Data'!H816&gt;0.5),1,0)+IF(('Precinct Vote Data'!H816&gt;0.5)&lt;&gt;('Precinct Vote Data'!H817&gt;0.5),1,0)</f>
        <v>0</v>
      </c>
      <c r="H205" s="2" t="str">
        <f t="shared" si="1"/>
        <v>Hard</v>
      </c>
    </row>
    <row r="206" ht="15.0" customHeight="1">
      <c r="A206" s="5" t="s">
        <v>143</v>
      </c>
      <c r="B206" s="5" t="s">
        <v>269</v>
      </c>
      <c r="C206" s="5" t="s">
        <v>279</v>
      </c>
      <c r="D206" s="10">
        <f>AVERAGE('Precinct Vote Data'!H818:H821)</f>
        <v>0.4612210508</v>
      </c>
      <c r="E206" s="10">
        <f>AVERAGE(ABS('Precinct Vote Data'!H818-0.5),ABS('Precinct Vote Data'!H819-0.5),ABS('Precinct Vote Data'!H820-0.5),ABS('Precinct Vote Data'!H821-0.5))</f>
        <v>0.03877894921</v>
      </c>
      <c r="F206" s="10">
        <f>STDEV('Precinct Vote Data'!H818:H821)</f>
        <v>0.01806731147</v>
      </c>
      <c r="G206" s="5">
        <f>IF(('Precinct Vote Data'!H818&gt;0.5)&lt;&gt;('Precinct Vote Data'!H819&gt;0.5),1,0)+IF(('Precinct Vote Data'!H819&gt;0.5)&lt;&gt;('Precinct Vote Data'!H820&gt;0.5),1,0)+IF(('Precinct Vote Data'!H820&gt;0.5)&lt;&gt;('Precinct Vote Data'!H821&gt;0.5),1,0)</f>
        <v>0</v>
      </c>
      <c r="H206" s="2" t="str">
        <f t="shared" si="1"/>
        <v>Hard</v>
      </c>
    </row>
    <row r="207" ht="15.0" customHeight="1">
      <c r="A207" s="5" t="s">
        <v>143</v>
      </c>
      <c r="B207" s="5" t="s">
        <v>269</v>
      </c>
      <c r="C207" s="5" t="s">
        <v>280</v>
      </c>
      <c r="D207" s="10">
        <f>AVERAGE('Precinct Vote Data'!H822:H825)</f>
        <v>0.4818962931</v>
      </c>
      <c r="E207" s="10">
        <f>AVERAGE(ABS('Precinct Vote Data'!H822-0.5),ABS('Precinct Vote Data'!H823-0.5),ABS('Precinct Vote Data'!H824-0.5),ABS('Precinct Vote Data'!H825-0.5))</f>
        <v>0.0235177196</v>
      </c>
      <c r="F207" s="10">
        <f>STDEV('Precinct Vote Data'!H822:H825)</f>
        <v>0.02037417557</v>
      </c>
      <c r="G207" s="5">
        <f>IF(('Precinct Vote Data'!H822&gt;0.5)&lt;&gt;('Precinct Vote Data'!H823&gt;0.5),1,0)+IF(('Precinct Vote Data'!H823&gt;0.5)&lt;&gt;('Precinct Vote Data'!H824&gt;0.5),1,0)+IF(('Precinct Vote Data'!H824&gt;0.5)&lt;&gt;('Precinct Vote Data'!H825&gt;0.5),1,0)</f>
        <v>1</v>
      </c>
      <c r="H207" s="2" t="str">
        <f t="shared" si="1"/>
        <v>Hard</v>
      </c>
    </row>
    <row r="208" ht="15.0" customHeight="1">
      <c r="A208" s="5" t="s">
        <v>143</v>
      </c>
      <c r="B208" s="5" t="s">
        <v>269</v>
      </c>
      <c r="C208" s="5" t="s">
        <v>281</v>
      </c>
      <c r="D208" s="10">
        <f>AVERAGE('Precinct Vote Data'!H826:H829)</f>
        <v>0.5920002088</v>
      </c>
      <c r="E208" s="10">
        <f>AVERAGE(ABS('Precinct Vote Data'!H826-0.5),ABS('Precinct Vote Data'!H827-0.5),ABS('Precinct Vote Data'!H828-0.5),ABS('Precinct Vote Data'!H829-0.5))</f>
        <v>0.0920002088</v>
      </c>
      <c r="F208" s="10">
        <f>STDEV('Precinct Vote Data'!H826:H829)</f>
        <v>0.03441315157</v>
      </c>
      <c r="G208" s="5">
        <f>IF(('Precinct Vote Data'!H826&gt;0.5)&lt;&gt;('Precinct Vote Data'!H827&gt;0.5),1,0)+IF(('Precinct Vote Data'!H827&gt;0.5)&lt;&gt;('Precinct Vote Data'!H828&gt;0.5),1,0)+IF(('Precinct Vote Data'!H828&gt;0.5)&lt;&gt;('Precinct Vote Data'!H829&gt;0.5),1,0)</f>
        <v>0</v>
      </c>
      <c r="H208" s="2" t="str">
        <f t="shared" si="1"/>
        <v>Medium</v>
      </c>
    </row>
    <row r="209" ht="15.0" customHeight="1">
      <c r="A209" s="5" t="s">
        <v>282</v>
      </c>
      <c r="B209" s="5" t="s">
        <v>283</v>
      </c>
      <c r="C209" s="5" t="s">
        <v>284</v>
      </c>
      <c r="D209" s="10">
        <f>AVERAGE('Precinct Vote Data'!H830:H833)</f>
        <v>0.4780217054</v>
      </c>
      <c r="E209" s="10">
        <f>AVERAGE(ABS('Precinct Vote Data'!H830-0.5),ABS('Precinct Vote Data'!H831-0.5),ABS('Precinct Vote Data'!H832-0.5),ABS('Precinct Vote Data'!H833-0.5))</f>
        <v>0.02197829458</v>
      </c>
      <c r="F209" s="10">
        <f>STDEV('Precinct Vote Data'!H830:H833)</f>
        <v>0.00512785519</v>
      </c>
      <c r="G209" s="5">
        <f>IF(('Precinct Vote Data'!H830&gt;0.5)&lt;&gt;('Precinct Vote Data'!H831&gt;0.5),1,0)+IF(('Precinct Vote Data'!H831&gt;0.5)&lt;&gt;('Precinct Vote Data'!H832&gt;0.5),1,0)+IF(('Precinct Vote Data'!H832&gt;0.5)&lt;&gt;('Precinct Vote Data'!H833&gt;0.5),1,0)</f>
        <v>0</v>
      </c>
      <c r="H209" s="2" t="str">
        <f t="shared" si="1"/>
        <v>Hard</v>
      </c>
    </row>
    <row r="210" ht="15.0" customHeight="1">
      <c r="A210" s="5" t="s">
        <v>282</v>
      </c>
      <c r="B210" s="5" t="s">
        <v>283</v>
      </c>
      <c r="C210" s="5" t="s">
        <v>285</v>
      </c>
      <c r="D210" s="10">
        <f>AVERAGE('Precinct Vote Data'!H834:H837)</f>
        <v>0.4772620827</v>
      </c>
      <c r="E210" s="10">
        <f>AVERAGE(ABS('Precinct Vote Data'!H834-0.5),ABS('Precinct Vote Data'!H835-0.5),ABS('Precinct Vote Data'!H836-0.5),ABS('Precinct Vote Data'!H837-0.5))</f>
        <v>0.02273791727</v>
      </c>
      <c r="F210" s="10">
        <f>STDEV('Precinct Vote Data'!H834:H837)</f>
        <v>0.01429205315</v>
      </c>
      <c r="G210" s="5">
        <f>IF(('Precinct Vote Data'!H834&gt;0.5)&lt;&gt;('Precinct Vote Data'!H835&gt;0.5),1,0)+IF(('Precinct Vote Data'!H835&gt;0.5)&lt;&gt;('Precinct Vote Data'!H836&gt;0.5),1,0)+IF(('Precinct Vote Data'!H836&gt;0.5)&lt;&gt;('Precinct Vote Data'!H837&gt;0.5),1,0)</f>
        <v>0</v>
      </c>
      <c r="H210" s="2" t="str">
        <f t="shared" si="1"/>
        <v>Hard</v>
      </c>
    </row>
    <row r="211" ht="15.0" customHeight="1">
      <c r="A211" s="5" t="s">
        <v>282</v>
      </c>
      <c r="B211" s="5" t="s">
        <v>286</v>
      </c>
      <c r="C211" s="5" t="s">
        <v>287</v>
      </c>
      <c r="D211" s="10">
        <f>AVERAGE('Precinct Vote Data'!H838:H841)</f>
        <v>0.4692924502</v>
      </c>
      <c r="E211" s="10">
        <f>AVERAGE(ABS('Precinct Vote Data'!H838-0.5),ABS('Precinct Vote Data'!H839-0.5),ABS('Precinct Vote Data'!H840-0.5),ABS('Precinct Vote Data'!H841-0.5))</f>
        <v>0.03070754977</v>
      </c>
      <c r="F211" s="10">
        <f>STDEV('Precinct Vote Data'!H838:H841)</f>
        <v>0.02453018228</v>
      </c>
      <c r="G211" s="5">
        <f>IF(('Precinct Vote Data'!H838&gt;0.5)&lt;&gt;('Precinct Vote Data'!H839&gt;0.5),1,0)+IF(('Precinct Vote Data'!H839&gt;0.5)&lt;&gt;('Precinct Vote Data'!H840&gt;0.5),1,0)+IF(('Precinct Vote Data'!H840&gt;0.5)&lt;&gt;('Precinct Vote Data'!H841&gt;0.5),1,0)</f>
        <v>0</v>
      </c>
      <c r="H211" s="2" t="str">
        <f t="shared" si="1"/>
        <v>Hard</v>
      </c>
    </row>
    <row r="212" ht="15.0" customHeight="1">
      <c r="A212" s="5" t="s">
        <v>282</v>
      </c>
      <c r="B212" s="5" t="s">
        <v>286</v>
      </c>
      <c r="C212" s="5" t="s">
        <v>288</v>
      </c>
      <c r="D212" s="10">
        <f>AVERAGE('Precinct Vote Data'!H842:H845)</f>
        <v>0.452686037</v>
      </c>
      <c r="E212" s="10">
        <f>AVERAGE(ABS('Precinct Vote Data'!H842-0.5),ABS('Precinct Vote Data'!H843-0.5),ABS('Precinct Vote Data'!H844-0.5),ABS('Precinct Vote Data'!H845-0.5))</f>
        <v>0.04731396297</v>
      </c>
      <c r="F212" s="10">
        <f>STDEV('Precinct Vote Data'!H842:H845)</f>
        <v>0.02131422238</v>
      </c>
      <c r="G212" s="5">
        <f>IF(('Precinct Vote Data'!H842&gt;0.5)&lt;&gt;('Precinct Vote Data'!H843&gt;0.5),1,0)+IF(('Precinct Vote Data'!H843&gt;0.5)&lt;&gt;('Precinct Vote Data'!H844&gt;0.5),1,0)+IF(('Precinct Vote Data'!H844&gt;0.5)&lt;&gt;('Precinct Vote Data'!H845&gt;0.5),1,0)</f>
        <v>0</v>
      </c>
      <c r="H212" s="2" t="str">
        <f t="shared" si="1"/>
        <v>Hard</v>
      </c>
    </row>
    <row r="213" ht="15.0" customHeight="1">
      <c r="A213" s="5" t="s">
        <v>282</v>
      </c>
      <c r="B213" s="5" t="s">
        <v>286</v>
      </c>
      <c r="C213" s="5" t="s">
        <v>289</v>
      </c>
      <c r="D213" s="10">
        <f>AVERAGE('Precinct Vote Data'!H846:H849)</f>
        <v>0.4768679835</v>
      </c>
      <c r="E213" s="10">
        <f>AVERAGE(ABS('Precinct Vote Data'!H846-0.5),ABS('Precinct Vote Data'!H847-0.5),ABS('Precinct Vote Data'!H848-0.5),ABS('Precinct Vote Data'!H849-0.5))</f>
        <v>0.02637175729</v>
      </c>
      <c r="F213" s="10">
        <f>STDEV('Precinct Vote Data'!H846:H849)</f>
        <v>0.02278425436</v>
      </c>
      <c r="G213" s="5">
        <f>IF(('Precinct Vote Data'!H846&gt;0.5)&lt;&gt;('Precinct Vote Data'!H847&gt;0.5),1,0)+IF(('Precinct Vote Data'!H847&gt;0.5)&lt;&gt;('Precinct Vote Data'!H848&gt;0.5),1,0)+IF(('Precinct Vote Data'!H848&gt;0.5)&lt;&gt;('Precinct Vote Data'!H849&gt;0.5),1,0)</f>
        <v>1</v>
      </c>
      <c r="H213" s="2" t="str">
        <f t="shared" si="1"/>
        <v>Hard</v>
      </c>
    </row>
    <row r="214" ht="15.0" customHeight="1">
      <c r="A214" s="5" t="s">
        <v>282</v>
      </c>
      <c r="B214" s="5" t="s">
        <v>286</v>
      </c>
      <c r="C214" s="5" t="s">
        <v>290</v>
      </c>
      <c r="D214" s="10">
        <f>AVERAGE('Precinct Vote Data'!H850:H853)</f>
        <v>0.3940991867</v>
      </c>
      <c r="E214" s="10">
        <f>AVERAGE(ABS('Precinct Vote Data'!H850-0.5),ABS('Precinct Vote Data'!H851-0.5),ABS('Precinct Vote Data'!H852-0.5),ABS('Precinct Vote Data'!H853-0.5))</f>
        <v>0.1059008133</v>
      </c>
      <c r="F214" s="10">
        <f>STDEV('Precinct Vote Data'!H850:H853)</f>
        <v>0.01229242401</v>
      </c>
      <c r="G214" s="5">
        <f>IF(('Precinct Vote Data'!H850&gt;0.5)&lt;&gt;('Precinct Vote Data'!H851&gt;0.5),1,0)+IF(('Precinct Vote Data'!H851&gt;0.5)&lt;&gt;('Precinct Vote Data'!H852&gt;0.5),1,0)+IF(('Precinct Vote Data'!H852&gt;0.5)&lt;&gt;('Precinct Vote Data'!H853&gt;0.5),1,0)</f>
        <v>0</v>
      </c>
      <c r="H214" s="2" t="str">
        <f t="shared" si="1"/>
        <v>Medium</v>
      </c>
    </row>
    <row r="215" ht="15.0" customHeight="1">
      <c r="A215" s="5" t="s">
        <v>282</v>
      </c>
      <c r="B215" s="5" t="s">
        <v>291</v>
      </c>
      <c r="C215" s="5" t="s">
        <v>292</v>
      </c>
      <c r="D215" s="10">
        <f>AVERAGE('Precinct Vote Data'!H854:H857)</f>
        <v>0.5344180992</v>
      </c>
      <c r="E215" s="10">
        <f>AVERAGE(ABS('Precinct Vote Data'!H854-0.5),ABS('Precinct Vote Data'!H855-0.5),ABS('Precinct Vote Data'!H856-0.5),ABS('Precinct Vote Data'!H857-0.5))</f>
        <v>0.03441809925</v>
      </c>
      <c r="F215" s="10">
        <f>STDEV('Precinct Vote Data'!H854:H857)</f>
        <v>0.0119149206</v>
      </c>
      <c r="G215" s="5">
        <f>IF(('Precinct Vote Data'!H854&gt;0.5)&lt;&gt;('Precinct Vote Data'!H855&gt;0.5),1,0)+IF(('Precinct Vote Data'!H855&gt;0.5)&lt;&gt;('Precinct Vote Data'!H856&gt;0.5),1,0)+IF(('Precinct Vote Data'!H856&gt;0.5)&lt;&gt;('Precinct Vote Data'!H857&gt;0.5),1,0)</f>
        <v>0</v>
      </c>
      <c r="H215" s="2" t="str">
        <f t="shared" si="1"/>
        <v>Hard</v>
      </c>
    </row>
    <row r="216" ht="15.0" customHeight="1">
      <c r="A216" s="5" t="s">
        <v>282</v>
      </c>
      <c r="B216" s="5" t="s">
        <v>291</v>
      </c>
      <c r="C216" s="5" t="s">
        <v>293</v>
      </c>
      <c r="D216" s="10">
        <f>AVERAGE('Precinct Vote Data'!H858:H861)</f>
        <v>0.6060149564</v>
      </c>
      <c r="E216" s="10">
        <f>AVERAGE(ABS('Precinct Vote Data'!H858-0.5),ABS('Precinct Vote Data'!H859-0.5),ABS('Precinct Vote Data'!H860-0.5),ABS('Precinct Vote Data'!H861-0.5))</f>
        <v>0.1060149564</v>
      </c>
      <c r="F216" s="10">
        <f>STDEV('Precinct Vote Data'!H858:H861)</f>
        <v>0.01303647772</v>
      </c>
      <c r="G216" s="5">
        <f>IF(('Precinct Vote Data'!H858&gt;0.5)&lt;&gt;('Precinct Vote Data'!H859&gt;0.5),1,0)+IF(('Precinct Vote Data'!H859&gt;0.5)&lt;&gt;('Precinct Vote Data'!H860&gt;0.5),1,0)+IF(('Precinct Vote Data'!H860&gt;0.5)&lt;&gt;('Precinct Vote Data'!H861&gt;0.5),1,0)</f>
        <v>0</v>
      </c>
      <c r="H216" s="2" t="str">
        <f t="shared" si="1"/>
        <v>Medium</v>
      </c>
    </row>
    <row r="217" ht="15.0" customHeight="1">
      <c r="A217" s="5" t="s">
        <v>282</v>
      </c>
      <c r="B217" s="5" t="s">
        <v>291</v>
      </c>
      <c r="C217" s="5" t="s">
        <v>294</v>
      </c>
      <c r="D217" s="10">
        <f>AVERAGE('Precinct Vote Data'!H862:H865)</f>
        <v>0.7477834671</v>
      </c>
      <c r="E217" s="10">
        <f>AVERAGE(ABS('Precinct Vote Data'!H862-0.5),ABS('Precinct Vote Data'!H863-0.5),ABS('Precinct Vote Data'!H864-0.5),ABS('Precinct Vote Data'!H865-0.5))</f>
        <v>0.2477834671</v>
      </c>
      <c r="F217" s="10">
        <f>STDEV('Precinct Vote Data'!H862:H865)</f>
        <v>0.02722536382</v>
      </c>
      <c r="G217" s="5">
        <f>IF(('Precinct Vote Data'!H862&gt;0.5)&lt;&gt;('Precinct Vote Data'!H863&gt;0.5),1,0)+IF(('Precinct Vote Data'!H863&gt;0.5)&lt;&gt;('Precinct Vote Data'!H864&gt;0.5),1,0)+IF(('Precinct Vote Data'!H864&gt;0.5)&lt;&gt;('Precinct Vote Data'!H865&gt;0.5),1,0)</f>
        <v>0</v>
      </c>
      <c r="H217" s="2" t="str">
        <f t="shared" si="1"/>
        <v>Easy</v>
      </c>
    </row>
    <row r="218" ht="15.0" customHeight="1">
      <c r="A218" s="5" t="s">
        <v>282</v>
      </c>
      <c r="B218" s="5" t="s">
        <v>291</v>
      </c>
      <c r="C218" s="5" t="s">
        <v>295</v>
      </c>
      <c r="D218" s="10">
        <f>AVERAGE('Precinct Vote Data'!H866:H869)</f>
        <v>0.6849762335</v>
      </c>
      <c r="E218" s="10">
        <f>AVERAGE(ABS('Precinct Vote Data'!H866-0.5),ABS('Precinct Vote Data'!H867-0.5),ABS('Precinct Vote Data'!H868-0.5),ABS('Precinct Vote Data'!H869-0.5))</f>
        <v>0.1849762335</v>
      </c>
      <c r="F218" s="10">
        <f>STDEV('Precinct Vote Data'!H866:H869)</f>
        <v>0.01774867481</v>
      </c>
      <c r="G218" s="5">
        <f>IF(('Precinct Vote Data'!H866&gt;0.5)&lt;&gt;('Precinct Vote Data'!H867&gt;0.5),1,0)+IF(('Precinct Vote Data'!H867&gt;0.5)&lt;&gt;('Precinct Vote Data'!H868&gt;0.5),1,0)+IF(('Precinct Vote Data'!H868&gt;0.5)&lt;&gt;('Precinct Vote Data'!H869&gt;0.5),1,0)</f>
        <v>0</v>
      </c>
      <c r="H218" s="2" t="str">
        <f t="shared" si="1"/>
        <v>Easy</v>
      </c>
    </row>
    <row r="219" ht="15.0" customHeight="1">
      <c r="A219" s="5" t="s">
        <v>282</v>
      </c>
      <c r="B219" s="5" t="s">
        <v>296</v>
      </c>
      <c r="C219" s="5" t="s">
        <v>59</v>
      </c>
      <c r="D219" s="10">
        <f>AVERAGE('Precinct Vote Data'!H870:H873)</f>
        <v>0.6341039316</v>
      </c>
      <c r="E219" s="10">
        <f>AVERAGE(ABS('Precinct Vote Data'!H870-0.5),ABS('Precinct Vote Data'!H871-0.5),ABS('Precinct Vote Data'!H872-0.5),ABS('Precinct Vote Data'!H873-0.5))</f>
        <v>0.1341039316</v>
      </c>
      <c r="F219" s="10">
        <f>STDEV('Precinct Vote Data'!H870:H873)</f>
        <v>0.03247375689</v>
      </c>
      <c r="G219" s="5">
        <f>IF(('Precinct Vote Data'!H870&gt;0.5)&lt;&gt;('Precinct Vote Data'!H871&gt;0.5),1,0)+IF(('Precinct Vote Data'!H871&gt;0.5)&lt;&gt;('Precinct Vote Data'!H872&gt;0.5),1,0)+IF(('Precinct Vote Data'!H872&gt;0.5)&lt;&gt;('Precinct Vote Data'!H873&gt;0.5),1,0)</f>
        <v>0</v>
      </c>
      <c r="H219" s="2" t="str">
        <f t="shared" si="1"/>
        <v>Medium</v>
      </c>
    </row>
    <row r="220" ht="15.0" customHeight="1">
      <c r="A220" s="5" t="s">
        <v>282</v>
      </c>
      <c r="B220" s="5" t="s">
        <v>297</v>
      </c>
      <c r="C220" s="5" t="s">
        <v>63</v>
      </c>
      <c r="D220" s="10">
        <f>AVERAGE('Precinct Vote Data'!H874:H877)</f>
        <v>0.696581684</v>
      </c>
      <c r="E220" s="10">
        <f>AVERAGE(ABS('Precinct Vote Data'!H874-0.5),ABS('Precinct Vote Data'!H875-0.5),ABS('Precinct Vote Data'!H876-0.5),ABS('Precinct Vote Data'!H877-0.5))</f>
        <v>0.196581684</v>
      </c>
      <c r="F220" s="10">
        <f>STDEV('Precinct Vote Data'!H874:H877)</f>
        <v>0.01414380473</v>
      </c>
      <c r="G220" s="5">
        <f>IF(('Precinct Vote Data'!H874&gt;0.5)&lt;&gt;('Precinct Vote Data'!H875&gt;0.5),1,0)+IF(('Precinct Vote Data'!H875&gt;0.5)&lt;&gt;('Precinct Vote Data'!H876&gt;0.5),1,0)+IF(('Precinct Vote Data'!H876&gt;0.5)&lt;&gt;('Precinct Vote Data'!H877&gt;0.5),1,0)</f>
        <v>0</v>
      </c>
      <c r="H220" s="2" t="str">
        <f t="shared" si="1"/>
        <v>Easy</v>
      </c>
    </row>
    <row r="221" ht="15.0" customHeight="1">
      <c r="A221" s="5" t="s">
        <v>282</v>
      </c>
      <c r="B221" s="5" t="s">
        <v>297</v>
      </c>
      <c r="C221" s="5" t="s">
        <v>73</v>
      </c>
      <c r="D221" s="10">
        <f>AVERAGE('Precinct Vote Data'!H878:H881)</f>
        <v>0.7426194809</v>
      </c>
      <c r="E221" s="10">
        <f>AVERAGE(ABS('Precinct Vote Data'!H878-0.5),ABS('Precinct Vote Data'!H879-0.5),ABS('Precinct Vote Data'!H880-0.5),ABS('Precinct Vote Data'!H881-0.5))</f>
        <v>0.2426194809</v>
      </c>
      <c r="F221" s="10">
        <f>STDEV('Precinct Vote Data'!H878:H881)</f>
        <v>0.03872782644</v>
      </c>
      <c r="G221" s="5">
        <f>IF(('Precinct Vote Data'!H878&gt;0.5)&lt;&gt;('Precinct Vote Data'!H879&gt;0.5),1,0)+IF(('Precinct Vote Data'!H879&gt;0.5)&lt;&gt;('Precinct Vote Data'!H880&gt;0.5),1,0)+IF(('Precinct Vote Data'!H880&gt;0.5)&lt;&gt;('Precinct Vote Data'!H881&gt;0.5),1,0)</f>
        <v>0</v>
      </c>
      <c r="H221" s="2" t="str">
        <f t="shared" si="1"/>
        <v>Easy</v>
      </c>
    </row>
    <row r="222" ht="15.0" customHeight="1">
      <c r="A222" s="5" t="s">
        <v>282</v>
      </c>
      <c r="B222" s="5" t="s">
        <v>297</v>
      </c>
      <c r="C222" s="5" t="s">
        <v>74</v>
      </c>
      <c r="D222" s="10">
        <f>AVERAGE('Precinct Vote Data'!H882:H885)</f>
        <v>0.6243515338</v>
      </c>
      <c r="E222" s="10">
        <f>AVERAGE(ABS('Precinct Vote Data'!H882-0.5),ABS('Precinct Vote Data'!H883-0.5),ABS('Precinct Vote Data'!H884-0.5),ABS('Precinct Vote Data'!H885-0.5))</f>
        <v>0.1243515338</v>
      </c>
      <c r="F222" s="10">
        <f>STDEV('Precinct Vote Data'!H882:H885)</f>
        <v>0.01636485485</v>
      </c>
      <c r="G222" s="5">
        <f>IF(('Precinct Vote Data'!H882&gt;0.5)&lt;&gt;('Precinct Vote Data'!H883&gt;0.5),1,0)+IF(('Precinct Vote Data'!H883&gt;0.5)&lt;&gt;('Precinct Vote Data'!H884&gt;0.5),1,0)+IF(('Precinct Vote Data'!H884&gt;0.5)&lt;&gt;('Precinct Vote Data'!H885&gt;0.5),1,0)</f>
        <v>0</v>
      </c>
      <c r="H222" s="2" t="str">
        <f t="shared" si="1"/>
        <v>Medium</v>
      </c>
    </row>
    <row r="223" ht="15.0" customHeight="1">
      <c r="A223" s="5" t="s">
        <v>282</v>
      </c>
      <c r="B223" s="5" t="s">
        <v>297</v>
      </c>
      <c r="C223" s="5" t="s">
        <v>76</v>
      </c>
      <c r="D223" s="10">
        <f>AVERAGE('Precinct Vote Data'!H886:H889)</f>
        <v>0.6011917562</v>
      </c>
      <c r="E223" s="10">
        <f>AVERAGE(ABS('Precinct Vote Data'!H886-0.5),ABS('Precinct Vote Data'!H887-0.5),ABS('Precinct Vote Data'!H888-0.5),ABS('Precinct Vote Data'!H889-0.5))</f>
        <v>0.1011917562</v>
      </c>
      <c r="F223" s="10">
        <f>STDEV('Precinct Vote Data'!H886:H889)</f>
        <v>0.02580192771</v>
      </c>
      <c r="G223" s="5">
        <f>IF(('Precinct Vote Data'!H886&gt;0.5)&lt;&gt;('Precinct Vote Data'!H887&gt;0.5),1,0)+IF(('Precinct Vote Data'!H887&gt;0.5)&lt;&gt;('Precinct Vote Data'!H888&gt;0.5),1,0)+IF(('Precinct Vote Data'!H888&gt;0.5)&lt;&gt;('Precinct Vote Data'!H889&gt;0.5),1,0)</f>
        <v>0</v>
      </c>
      <c r="H223" s="2" t="str">
        <f t="shared" si="1"/>
        <v>Medium</v>
      </c>
    </row>
    <row r="224" ht="15.0" customHeight="1">
      <c r="A224" s="5" t="s">
        <v>282</v>
      </c>
      <c r="B224" s="5" t="s">
        <v>297</v>
      </c>
      <c r="C224" s="5" t="s">
        <v>78</v>
      </c>
      <c r="D224" s="10">
        <f>AVERAGE('Precinct Vote Data'!H890:H893)</f>
        <v>0.6053745826</v>
      </c>
      <c r="E224" s="10">
        <f>AVERAGE(ABS('Precinct Vote Data'!H890-0.5),ABS('Precinct Vote Data'!H891-0.5),ABS('Precinct Vote Data'!H892-0.5),ABS('Precinct Vote Data'!H893-0.5))</f>
        <v>0.1053745826</v>
      </c>
      <c r="F224" s="10">
        <f>STDEV('Precinct Vote Data'!H890:H893)</f>
        <v>0.04091287874</v>
      </c>
      <c r="G224" s="5">
        <f>IF(('Precinct Vote Data'!H890&gt;0.5)&lt;&gt;('Precinct Vote Data'!H891&gt;0.5),1,0)+IF(('Precinct Vote Data'!H891&gt;0.5)&lt;&gt;('Precinct Vote Data'!H892&gt;0.5),1,0)+IF(('Precinct Vote Data'!H892&gt;0.5)&lt;&gt;('Precinct Vote Data'!H893&gt;0.5),1,0)</f>
        <v>0</v>
      </c>
      <c r="H224" s="2" t="str">
        <f t="shared" si="1"/>
        <v>Medium</v>
      </c>
    </row>
    <row r="225" ht="15.0" customHeight="1">
      <c r="A225" s="5" t="s">
        <v>282</v>
      </c>
      <c r="B225" s="5" t="s">
        <v>297</v>
      </c>
      <c r="C225" s="5" t="s">
        <v>79</v>
      </c>
      <c r="D225" s="10">
        <f>AVERAGE('Precinct Vote Data'!H894:H897)</f>
        <v>0.6115896145</v>
      </c>
      <c r="E225" s="10">
        <f>AVERAGE(ABS('Precinct Vote Data'!H894-0.5),ABS('Precinct Vote Data'!H895-0.5),ABS('Precinct Vote Data'!H896-0.5),ABS('Precinct Vote Data'!H897-0.5))</f>
        <v>0.1115896145</v>
      </c>
      <c r="F225" s="10">
        <f>STDEV('Precinct Vote Data'!H894:H897)</f>
        <v>0.01958280969</v>
      </c>
      <c r="G225" s="5">
        <f>IF(('Precinct Vote Data'!H894&gt;0.5)&lt;&gt;('Precinct Vote Data'!H895&gt;0.5),1,0)+IF(('Precinct Vote Data'!H895&gt;0.5)&lt;&gt;('Precinct Vote Data'!H896&gt;0.5),1,0)+IF(('Precinct Vote Data'!H896&gt;0.5)&lt;&gt;('Precinct Vote Data'!H897&gt;0.5),1,0)</f>
        <v>0</v>
      </c>
      <c r="H225" s="2" t="str">
        <f t="shared" si="1"/>
        <v>Medium</v>
      </c>
    </row>
    <row r="226" ht="15.0" customHeight="1">
      <c r="A226" s="5" t="s">
        <v>282</v>
      </c>
      <c r="B226" s="5" t="s">
        <v>298</v>
      </c>
      <c r="C226" s="5" t="s">
        <v>87</v>
      </c>
      <c r="D226" s="10">
        <f>AVERAGE('Precinct Vote Data'!H898:H901)</f>
        <v>0.3177722156</v>
      </c>
      <c r="E226" s="10">
        <f>AVERAGE(ABS('Precinct Vote Data'!H898-0.5),ABS('Precinct Vote Data'!H899-0.5),ABS('Precinct Vote Data'!H900-0.5),ABS('Precinct Vote Data'!H901-0.5))</f>
        <v>0.1822277844</v>
      </c>
      <c r="F226" s="10">
        <f>STDEV('Precinct Vote Data'!H898:H901)</f>
        <v>0.02177693244</v>
      </c>
      <c r="G226" s="5">
        <f>IF(('Precinct Vote Data'!H898&gt;0.5)&lt;&gt;('Precinct Vote Data'!H899&gt;0.5),1,0)+IF(('Precinct Vote Data'!H899&gt;0.5)&lt;&gt;('Precinct Vote Data'!H900&gt;0.5),1,0)+IF(('Precinct Vote Data'!H900&gt;0.5)&lt;&gt;('Precinct Vote Data'!H901&gt;0.5),1,0)</f>
        <v>0</v>
      </c>
      <c r="H226" s="2" t="str">
        <f t="shared" si="1"/>
        <v>Easy</v>
      </c>
    </row>
    <row r="227" ht="15.0" customHeight="1">
      <c r="A227" s="5" t="s">
        <v>282</v>
      </c>
      <c r="B227" s="5" t="s">
        <v>299</v>
      </c>
      <c r="C227" s="5" t="s">
        <v>88</v>
      </c>
      <c r="D227" s="10">
        <f>AVERAGE('Precinct Vote Data'!H902:H905)</f>
        <v>0.4649669525</v>
      </c>
      <c r="E227" s="10">
        <f>AVERAGE(ABS('Precinct Vote Data'!H902-0.5),ABS('Precinct Vote Data'!H903-0.5),ABS('Precinct Vote Data'!H904-0.5),ABS('Precinct Vote Data'!H905-0.5))</f>
        <v>0.0350330475</v>
      </c>
      <c r="F227" s="10">
        <f>STDEV('Precinct Vote Data'!H902:H905)</f>
        <v>0.0200765668</v>
      </c>
      <c r="G227" s="5">
        <f>IF(('Precinct Vote Data'!H902&gt;0.5)&lt;&gt;('Precinct Vote Data'!H903&gt;0.5),1,0)+IF(('Precinct Vote Data'!H903&gt;0.5)&lt;&gt;('Precinct Vote Data'!H904&gt;0.5),1,0)+IF(('Precinct Vote Data'!H904&gt;0.5)&lt;&gt;('Precinct Vote Data'!H905&gt;0.5),1,0)</f>
        <v>0</v>
      </c>
      <c r="H227" s="2" t="str">
        <f t="shared" si="1"/>
        <v>Hard</v>
      </c>
    </row>
    <row r="228" ht="15.0" customHeight="1">
      <c r="A228" s="5" t="s">
        <v>282</v>
      </c>
      <c r="B228" s="5" t="s">
        <v>299</v>
      </c>
      <c r="C228" s="5" t="s">
        <v>89</v>
      </c>
      <c r="D228" s="10">
        <f>AVERAGE('Precinct Vote Data'!H906:H909)</f>
        <v>0.4449878119</v>
      </c>
      <c r="E228" s="10">
        <f>AVERAGE(ABS('Precinct Vote Data'!H906-0.5),ABS('Precinct Vote Data'!H907-0.5),ABS('Precinct Vote Data'!H908-0.5),ABS('Precinct Vote Data'!H909-0.5))</f>
        <v>0.05501218808</v>
      </c>
      <c r="F228" s="10">
        <f>STDEV('Precinct Vote Data'!H906:H909)</f>
        <v>0.01037250717</v>
      </c>
      <c r="G228" s="5">
        <f>IF(('Precinct Vote Data'!H906&gt;0.5)&lt;&gt;('Precinct Vote Data'!H907&gt;0.5),1,0)+IF(('Precinct Vote Data'!H907&gt;0.5)&lt;&gt;('Precinct Vote Data'!H908&gt;0.5),1,0)+IF(('Precinct Vote Data'!H908&gt;0.5)&lt;&gt;('Precinct Vote Data'!H909&gt;0.5),1,0)</f>
        <v>0</v>
      </c>
      <c r="H228" s="2" t="str">
        <f t="shared" si="1"/>
        <v>Medium</v>
      </c>
    </row>
    <row r="229" ht="15.0" customHeight="1">
      <c r="A229" s="5" t="s">
        <v>282</v>
      </c>
      <c r="B229" s="5" t="s">
        <v>300</v>
      </c>
      <c r="C229" s="5" t="s">
        <v>91</v>
      </c>
      <c r="D229" s="10">
        <f>AVERAGE('Precinct Vote Data'!H910:H913)</f>
        <v>0.4923646292</v>
      </c>
      <c r="E229" s="10">
        <f>AVERAGE(ABS('Precinct Vote Data'!H910-0.5),ABS('Precinct Vote Data'!H911-0.5),ABS('Precinct Vote Data'!H912-0.5),ABS('Precinct Vote Data'!H913-0.5))</f>
        <v>0.01440039383</v>
      </c>
      <c r="F229" s="10">
        <f>STDEV('Precinct Vote Data'!H910:H913)</f>
        <v>0.01665286152</v>
      </c>
      <c r="G229" s="5">
        <f>IF(('Precinct Vote Data'!H910&gt;0.5)&lt;&gt;('Precinct Vote Data'!H911&gt;0.5),1,0)+IF(('Precinct Vote Data'!H911&gt;0.5)&lt;&gt;('Precinct Vote Data'!H912&gt;0.5),1,0)+IF(('Precinct Vote Data'!H912&gt;0.5)&lt;&gt;('Precinct Vote Data'!H913&gt;0.5),1,0)</f>
        <v>1</v>
      </c>
      <c r="H229" s="2" t="str">
        <f t="shared" si="1"/>
        <v>Hard</v>
      </c>
    </row>
    <row r="230" ht="15.0" customHeight="1">
      <c r="A230" s="5" t="s">
        <v>282</v>
      </c>
      <c r="B230" s="5" t="s">
        <v>301</v>
      </c>
      <c r="C230" s="5" t="s">
        <v>302</v>
      </c>
      <c r="D230" s="10">
        <f>AVERAGE('Precinct Vote Data'!H914:H917)</f>
        <v>0.6149685689</v>
      </c>
      <c r="E230" s="10">
        <f>AVERAGE(ABS('Precinct Vote Data'!H914-0.5),ABS('Precinct Vote Data'!H915-0.5),ABS('Precinct Vote Data'!H916-0.5),ABS('Precinct Vote Data'!H917-0.5))</f>
        <v>0.1149685689</v>
      </c>
      <c r="F230" s="10">
        <f>STDEV('Precinct Vote Data'!H914:H917)</f>
        <v>0.0317972615</v>
      </c>
      <c r="G230" s="5">
        <f>IF(('Precinct Vote Data'!H914&gt;0.5)&lt;&gt;('Precinct Vote Data'!H915&gt;0.5),1,0)+IF(('Precinct Vote Data'!H915&gt;0.5)&lt;&gt;('Precinct Vote Data'!H916&gt;0.5),1,0)+IF(('Precinct Vote Data'!H916&gt;0.5)&lt;&gt;('Precinct Vote Data'!H917&gt;0.5),1,0)</f>
        <v>0</v>
      </c>
      <c r="H230" s="2" t="str">
        <f t="shared" si="1"/>
        <v>Medium</v>
      </c>
    </row>
    <row r="231" ht="15.0" customHeight="1">
      <c r="A231" s="5" t="s">
        <v>282</v>
      </c>
      <c r="B231" s="5" t="s">
        <v>303</v>
      </c>
      <c r="C231" s="5" t="s">
        <v>94</v>
      </c>
      <c r="D231" s="10">
        <f>AVERAGE('Precinct Vote Data'!H918:H921)</f>
        <v>0.6178930445</v>
      </c>
      <c r="E231" s="10">
        <f>AVERAGE(ABS('Precinct Vote Data'!H918-0.5),ABS('Precinct Vote Data'!H919-0.5),ABS('Precinct Vote Data'!H920-0.5),ABS('Precinct Vote Data'!H921-0.5))</f>
        <v>0.1178930445</v>
      </c>
      <c r="F231" s="10">
        <f>STDEV('Precinct Vote Data'!H918:H921)</f>
        <v>0.0250257186</v>
      </c>
      <c r="G231" s="5">
        <f>IF(('Precinct Vote Data'!H918&gt;0.5)&lt;&gt;('Precinct Vote Data'!H919&gt;0.5),1,0)+IF(('Precinct Vote Data'!H919&gt;0.5)&lt;&gt;('Precinct Vote Data'!H920&gt;0.5),1,0)+IF(('Precinct Vote Data'!H920&gt;0.5)&lt;&gt;('Precinct Vote Data'!H921&gt;0.5),1,0)</f>
        <v>0</v>
      </c>
      <c r="H231" s="2" t="str">
        <f t="shared" si="1"/>
        <v>Medium</v>
      </c>
    </row>
    <row r="232" ht="15.0" customHeight="1">
      <c r="A232" s="5" t="s">
        <v>282</v>
      </c>
      <c r="B232" s="5" t="s">
        <v>304</v>
      </c>
      <c r="C232" s="5" t="s">
        <v>95</v>
      </c>
      <c r="D232" s="10">
        <f>AVERAGE('Precinct Vote Data'!H922:H925)</f>
        <v>0.4744898875</v>
      </c>
      <c r="E232" s="10">
        <f>AVERAGE(ABS('Precinct Vote Data'!H922-0.5),ABS('Precinct Vote Data'!H923-0.5),ABS('Precinct Vote Data'!H924-0.5),ABS('Precinct Vote Data'!H925-0.5))</f>
        <v>0.02551011252</v>
      </c>
      <c r="F232" s="10">
        <f>STDEV('Precinct Vote Data'!H922:H925)</f>
        <v>0.01403070201</v>
      </c>
      <c r="G232" s="5">
        <f>IF(('Precinct Vote Data'!H922&gt;0.5)&lt;&gt;('Precinct Vote Data'!H923&gt;0.5),1,0)+IF(('Precinct Vote Data'!H923&gt;0.5)&lt;&gt;('Precinct Vote Data'!H924&gt;0.5),1,0)+IF(('Precinct Vote Data'!H924&gt;0.5)&lt;&gt;('Precinct Vote Data'!H925&gt;0.5),1,0)</f>
        <v>0</v>
      </c>
      <c r="H232" s="2" t="str">
        <f t="shared" si="1"/>
        <v>Hard</v>
      </c>
    </row>
    <row r="233" ht="15.0" customHeight="1">
      <c r="A233" s="5" t="s">
        <v>282</v>
      </c>
      <c r="B233" s="5" t="s">
        <v>305</v>
      </c>
      <c r="C233" s="5" t="s">
        <v>306</v>
      </c>
      <c r="D233" s="10">
        <f>AVERAGE('Precinct Vote Data'!H926:H929)</f>
        <v>0.5107889391</v>
      </c>
      <c r="E233" s="10">
        <f>AVERAGE(ABS('Precinct Vote Data'!H926-0.5),ABS('Precinct Vote Data'!H927-0.5),ABS('Precinct Vote Data'!H928-0.5),ABS('Precinct Vote Data'!H929-0.5))</f>
        <v>0.01078893905</v>
      </c>
      <c r="F233" s="10">
        <f>STDEV('Precinct Vote Data'!H926:H929)</f>
        <v>0.002864590283</v>
      </c>
      <c r="G233" s="5">
        <f>IF(('Precinct Vote Data'!H926&gt;0.5)&lt;&gt;('Precinct Vote Data'!H927&gt;0.5),1,0)+IF(('Precinct Vote Data'!H927&gt;0.5)&lt;&gt;('Precinct Vote Data'!H928&gt;0.5),1,0)+IF(('Precinct Vote Data'!H928&gt;0.5)&lt;&gt;('Precinct Vote Data'!H929&gt;0.5),1,0)</f>
        <v>0</v>
      </c>
      <c r="H233" s="2" t="str">
        <f t="shared" si="1"/>
        <v>Hard</v>
      </c>
    </row>
    <row r="234" ht="15.0" customHeight="1">
      <c r="A234" s="5" t="s">
        <v>282</v>
      </c>
      <c r="B234" s="5" t="s">
        <v>305</v>
      </c>
      <c r="C234" s="5" t="s">
        <v>307</v>
      </c>
      <c r="D234" s="10">
        <f>AVERAGE('Precinct Vote Data'!H930:H933)</f>
        <v>0.5412237414</v>
      </c>
      <c r="E234" s="10">
        <f>AVERAGE(ABS('Precinct Vote Data'!H930-0.5),ABS('Precinct Vote Data'!H931-0.5),ABS('Precinct Vote Data'!H932-0.5),ABS('Precinct Vote Data'!H933-0.5))</f>
        <v>0.04122374144</v>
      </c>
      <c r="F234" s="10">
        <f>STDEV('Precinct Vote Data'!H930:H933)</f>
        <v>0.01023912131</v>
      </c>
      <c r="G234" s="5">
        <f>IF(('Precinct Vote Data'!H930&gt;0.5)&lt;&gt;('Precinct Vote Data'!H931&gt;0.5),1,0)+IF(('Precinct Vote Data'!H931&gt;0.5)&lt;&gt;('Precinct Vote Data'!H932&gt;0.5),1,0)+IF(('Precinct Vote Data'!H932&gt;0.5)&lt;&gt;('Precinct Vote Data'!H933&gt;0.5),1,0)</f>
        <v>0</v>
      </c>
      <c r="H234" s="2" t="str">
        <f t="shared" si="1"/>
        <v>Hard</v>
      </c>
    </row>
    <row r="235" ht="15.0" customHeight="1">
      <c r="A235" s="5" t="s">
        <v>282</v>
      </c>
      <c r="B235" s="5" t="s">
        <v>305</v>
      </c>
      <c r="C235" s="5" t="s">
        <v>308</v>
      </c>
      <c r="D235" s="10">
        <f>AVERAGE('Precinct Vote Data'!H934:H937)</f>
        <v>0.5325582904</v>
      </c>
      <c r="E235" s="10">
        <f>AVERAGE(ABS('Precinct Vote Data'!H934-0.5),ABS('Precinct Vote Data'!H935-0.5),ABS('Precinct Vote Data'!H936-0.5),ABS('Precinct Vote Data'!H937-0.5))</f>
        <v>0.03255829037</v>
      </c>
      <c r="F235" s="10">
        <f>STDEV('Precinct Vote Data'!H934:H937)</f>
        <v>0.01663992442</v>
      </c>
      <c r="G235" s="5">
        <f>IF(('Precinct Vote Data'!H934&gt;0.5)&lt;&gt;('Precinct Vote Data'!H935&gt;0.5),1,0)+IF(('Precinct Vote Data'!H935&gt;0.5)&lt;&gt;('Precinct Vote Data'!H936&gt;0.5),1,0)+IF(('Precinct Vote Data'!H936&gt;0.5)&lt;&gt;('Precinct Vote Data'!H937&gt;0.5),1,0)</f>
        <v>0</v>
      </c>
      <c r="H235" s="2" t="str">
        <f t="shared" si="1"/>
        <v>Hard</v>
      </c>
    </row>
    <row r="236" ht="15.0" customHeight="1">
      <c r="A236" s="5" t="s">
        <v>282</v>
      </c>
      <c r="B236" s="5" t="s">
        <v>305</v>
      </c>
      <c r="C236" s="5" t="s">
        <v>309</v>
      </c>
      <c r="D236" s="10">
        <f>AVERAGE('Precinct Vote Data'!H938:H941)</f>
        <v>0.538190172</v>
      </c>
      <c r="E236" s="10">
        <f>AVERAGE(ABS('Precinct Vote Data'!H938-0.5),ABS('Precinct Vote Data'!H939-0.5),ABS('Precinct Vote Data'!H940-0.5),ABS('Precinct Vote Data'!H941-0.5))</f>
        <v>0.03819017198</v>
      </c>
      <c r="F236" s="10">
        <f>STDEV('Precinct Vote Data'!H938:H941)</f>
        <v>0.009446434287</v>
      </c>
      <c r="G236" s="5">
        <f>IF(('Precinct Vote Data'!H938&gt;0.5)&lt;&gt;('Precinct Vote Data'!H939&gt;0.5),1,0)+IF(('Precinct Vote Data'!H939&gt;0.5)&lt;&gt;('Precinct Vote Data'!H940&gt;0.5),1,0)+IF(('Precinct Vote Data'!H940&gt;0.5)&lt;&gt;('Precinct Vote Data'!H941&gt;0.5),1,0)</f>
        <v>0</v>
      </c>
      <c r="H236" s="2" t="str">
        <f t="shared" si="1"/>
        <v>Hard</v>
      </c>
    </row>
    <row r="237" ht="15.0" customHeight="1">
      <c r="A237" s="5" t="s">
        <v>282</v>
      </c>
      <c r="B237" s="5" t="s">
        <v>310</v>
      </c>
      <c r="C237" s="5" t="s">
        <v>100</v>
      </c>
      <c r="D237" s="10">
        <f>AVERAGE('Precinct Vote Data'!H942:H945)</f>
        <v>0.3596850438</v>
      </c>
      <c r="E237" s="10">
        <f>AVERAGE(ABS('Precinct Vote Data'!H942-0.5),ABS('Precinct Vote Data'!H943-0.5),ABS('Precinct Vote Data'!H944-0.5),ABS('Precinct Vote Data'!H945-0.5))</f>
        <v>0.1403149562</v>
      </c>
      <c r="F237" s="10">
        <f>STDEV('Precinct Vote Data'!H942:H945)</f>
        <v>0.03478049507</v>
      </c>
      <c r="G237" s="5">
        <f>IF(('Precinct Vote Data'!H942&gt;0.5)&lt;&gt;('Precinct Vote Data'!H943&gt;0.5),1,0)+IF(('Precinct Vote Data'!H943&gt;0.5)&lt;&gt;('Precinct Vote Data'!H944&gt;0.5),1,0)+IF(('Precinct Vote Data'!H944&gt;0.5)&lt;&gt;('Precinct Vote Data'!H945&gt;0.5),1,0)</f>
        <v>0</v>
      </c>
      <c r="H237" s="2" t="str">
        <f t="shared" si="1"/>
        <v>Medium</v>
      </c>
    </row>
    <row r="238" ht="15.0" customHeight="1">
      <c r="A238" s="5" t="s">
        <v>282</v>
      </c>
      <c r="B238" s="5" t="s">
        <v>311</v>
      </c>
      <c r="C238" s="5" t="s">
        <v>102</v>
      </c>
      <c r="D238" s="10">
        <f>AVERAGE('Precinct Vote Data'!H946:H949)</f>
        <v>0.5441935976</v>
      </c>
      <c r="E238" s="10">
        <f>AVERAGE(ABS('Precinct Vote Data'!H946-0.5),ABS('Precinct Vote Data'!H947-0.5),ABS('Precinct Vote Data'!H948-0.5),ABS('Precinct Vote Data'!H949-0.5))</f>
        <v>0.04419359761</v>
      </c>
      <c r="F238" s="10">
        <f>STDEV('Precinct Vote Data'!H946:H949)</f>
        <v>0.0263530337</v>
      </c>
      <c r="G238" s="5">
        <f>IF(('Precinct Vote Data'!H946&gt;0.5)&lt;&gt;('Precinct Vote Data'!H947&gt;0.5),1,0)+IF(('Precinct Vote Data'!H947&gt;0.5)&lt;&gt;('Precinct Vote Data'!H948&gt;0.5),1,0)+IF(('Precinct Vote Data'!H948&gt;0.5)&lt;&gt;('Precinct Vote Data'!H949&gt;0.5),1,0)</f>
        <v>0</v>
      </c>
      <c r="H238" s="2" t="str">
        <f t="shared" si="1"/>
        <v>Hard</v>
      </c>
    </row>
    <row r="239" ht="15.0" customHeight="1">
      <c r="A239" s="5" t="s">
        <v>282</v>
      </c>
      <c r="B239" s="5" t="s">
        <v>312</v>
      </c>
      <c r="C239" s="5" t="s">
        <v>313</v>
      </c>
      <c r="D239" s="10">
        <f>AVERAGE('Precinct Vote Data'!H950:H953)</f>
        <v>0.594588298</v>
      </c>
      <c r="E239" s="10">
        <f>AVERAGE(ABS('Precinct Vote Data'!H950-0.5),ABS('Precinct Vote Data'!H951-0.5),ABS('Precinct Vote Data'!H952-0.5),ABS('Precinct Vote Data'!H953-0.5))</f>
        <v>0.09458829804</v>
      </c>
      <c r="F239" s="10">
        <f>STDEV('Precinct Vote Data'!H950:H953)</f>
        <v>0.008980190709</v>
      </c>
      <c r="G239" s="5">
        <f>IF(('Precinct Vote Data'!H950&gt;0.5)&lt;&gt;('Precinct Vote Data'!H951&gt;0.5),1,0)+IF(('Precinct Vote Data'!H951&gt;0.5)&lt;&gt;('Precinct Vote Data'!H952&gt;0.5),1,0)+IF(('Precinct Vote Data'!H952&gt;0.5)&lt;&gt;('Precinct Vote Data'!H953&gt;0.5),1,0)</f>
        <v>0</v>
      </c>
      <c r="H239" s="2" t="str">
        <f t="shared" si="1"/>
        <v>Medium</v>
      </c>
    </row>
    <row r="240" ht="15.0" customHeight="1">
      <c r="A240" s="5" t="s">
        <v>282</v>
      </c>
      <c r="B240" s="5" t="s">
        <v>312</v>
      </c>
      <c r="C240" s="5" t="s">
        <v>314</v>
      </c>
      <c r="D240" s="10">
        <f>AVERAGE('Precinct Vote Data'!H954:H957)</f>
        <v>0.5795402631</v>
      </c>
      <c r="E240" s="10">
        <f>AVERAGE(ABS('Precinct Vote Data'!H954-0.5),ABS('Precinct Vote Data'!H955-0.5),ABS('Precinct Vote Data'!H956-0.5),ABS('Precinct Vote Data'!H957-0.5))</f>
        <v>0.07954026309</v>
      </c>
      <c r="F240" s="10">
        <f>STDEV('Precinct Vote Data'!H954:H957)</f>
        <v>0.04287042349</v>
      </c>
      <c r="G240" s="5">
        <f>IF(('Precinct Vote Data'!H954&gt;0.5)&lt;&gt;('Precinct Vote Data'!H955&gt;0.5),1,0)+IF(('Precinct Vote Data'!H955&gt;0.5)&lt;&gt;('Precinct Vote Data'!H956&gt;0.5),1,0)+IF(('Precinct Vote Data'!H956&gt;0.5)&lt;&gt;('Precinct Vote Data'!H957&gt;0.5),1,0)</f>
        <v>0</v>
      </c>
      <c r="H240" s="2" t="str">
        <f t="shared" si="1"/>
        <v>Medium</v>
      </c>
    </row>
    <row r="241" ht="15.0" customHeight="1">
      <c r="A241" s="5" t="s">
        <v>282</v>
      </c>
      <c r="B241" s="5" t="s">
        <v>312</v>
      </c>
      <c r="C241" s="5" t="s">
        <v>315</v>
      </c>
      <c r="D241" s="10">
        <f>AVERAGE('Precinct Vote Data'!H958:H961)</f>
        <v>0.604775022</v>
      </c>
      <c r="E241" s="10">
        <f>AVERAGE(ABS('Precinct Vote Data'!H958-0.5),ABS('Precinct Vote Data'!H959-0.5),ABS('Precinct Vote Data'!H960-0.5),ABS('Precinct Vote Data'!H961-0.5))</f>
        <v>0.104775022</v>
      </c>
      <c r="F241" s="10">
        <f>STDEV('Precinct Vote Data'!H958:H961)</f>
        <v>0.01315066489</v>
      </c>
      <c r="G241" s="5">
        <f>IF(('Precinct Vote Data'!H958&gt;0.5)&lt;&gt;('Precinct Vote Data'!H959&gt;0.5),1,0)+IF(('Precinct Vote Data'!H959&gt;0.5)&lt;&gt;('Precinct Vote Data'!H960&gt;0.5),1,0)+IF(('Precinct Vote Data'!H960&gt;0.5)&lt;&gt;('Precinct Vote Data'!H961&gt;0.5),1,0)</f>
        <v>0</v>
      </c>
      <c r="H241" s="2" t="str">
        <f t="shared" si="1"/>
        <v>Medium</v>
      </c>
    </row>
    <row r="242" ht="15.0" customHeight="1">
      <c r="A242" s="5" t="s">
        <v>282</v>
      </c>
      <c r="B242" s="5" t="s">
        <v>316</v>
      </c>
      <c r="C242" s="5" t="s">
        <v>317</v>
      </c>
      <c r="D242" s="10">
        <f>AVERAGE('Precinct Vote Data'!H962:H965)</f>
        <v>0.658748837</v>
      </c>
      <c r="E242" s="10">
        <f>AVERAGE(ABS('Precinct Vote Data'!H962-0.5),ABS('Precinct Vote Data'!H963-0.5),ABS('Precinct Vote Data'!H964-0.5),ABS('Precinct Vote Data'!H965-0.5))</f>
        <v>0.158748837</v>
      </c>
      <c r="F242" s="10">
        <f>STDEV('Precinct Vote Data'!H962:H965)</f>
        <v>0.01029822834</v>
      </c>
      <c r="G242" s="5">
        <f>IF(('Precinct Vote Data'!H962&gt;0.5)&lt;&gt;('Precinct Vote Data'!H963&gt;0.5),1,0)+IF(('Precinct Vote Data'!H963&gt;0.5)&lt;&gt;('Precinct Vote Data'!H964&gt;0.5),1,0)+IF(('Precinct Vote Data'!H964&gt;0.5)&lt;&gt;('Precinct Vote Data'!H965&gt;0.5),1,0)</f>
        <v>0</v>
      </c>
      <c r="H242" s="2" t="str">
        <f t="shared" si="1"/>
        <v>Easy</v>
      </c>
    </row>
    <row r="243" ht="15.0" customHeight="1">
      <c r="A243" s="5" t="s">
        <v>282</v>
      </c>
      <c r="B243" s="5" t="s">
        <v>316</v>
      </c>
      <c r="C243" s="5" t="s">
        <v>318</v>
      </c>
      <c r="D243" s="10">
        <f>AVERAGE('Precinct Vote Data'!H966:H969)</f>
        <v>0.6923987101</v>
      </c>
      <c r="E243" s="10">
        <f>AVERAGE(ABS('Precinct Vote Data'!H966-0.5),ABS('Precinct Vote Data'!H967-0.5),ABS('Precinct Vote Data'!H968-0.5),ABS('Precinct Vote Data'!H969-0.5))</f>
        <v>0.1923987101</v>
      </c>
      <c r="F243" s="10">
        <f>STDEV('Precinct Vote Data'!H966:H969)</f>
        <v>0.0223640198</v>
      </c>
      <c r="G243" s="5">
        <f>IF(('Precinct Vote Data'!H966&gt;0.5)&lt;&gt;('Precinct Vote Data'!H967&gt;0.5),1,0)+IF(('Precinct Vote Data'!H967&gt;0.5)&lt;&gt;('Precinct Vote Data'!H968&gt;0.5),1,0)+IF(('Precinct Vote Data'!H968&gt;0.5)&lt;&gt;('Precinct Vote Data'!H969&gt;0.5),1,0)</f>
        <v>0</v>
      </c>
      <c r="H243" s="2" t="str">
        <f t="shared" si="1"/>
        <v>Easy</v>
      </c>
    </row>
    <row r="244" ht="15.0" customHeight="1">
      <c r="A244" s="5" t="s">
        <v>282</v>
      </c>
      <c r="B244" s="5" t="s">
        <v>316</v>
      </c>
      <c r="C244" s="5" t="s">
        <v>319</v>
      </c>
      <c r="D244" s="10">
        <f>AVERAGE('Precinct Vote Data'!H970:H973)</f>
        <v>0.6115744037</v>
      </c>
      <c r="E244" s="10">
        <f>AVERAGE(ABS('Precinct Vote Data'!H970-0.5),ABS('Precinct Vote Data'!H971-0.5),ABS('Precinct Vote Data'!H972-0.5),ABS('Precinct Vote Data'!H973-0.5))</f>
        <v>0.1115744037</v>
      </c>
      <c r="F244" s="10">
        <f>STDEV('Precinct Vote Data'!H970:H973)</f>
        <v>0.01940104001</v>
      </c>
      <c r="G244" s="5">
        <f>IF(('Precinct Vote Data'!H970&gt;0.5)&lt;&gt;('Precinct Vote Data'!H971&gt;0.5),1,0)+IF(('Precinct Vote Data'!H971&gt;0.5)&lt;&gt;('Precinct Vote Data'!H972&gt;0.5),1,0)+IF(('Precinct Vote Data'!H972&gt;0.5)&lt;&gt;('Precinct Vote Data'!H973&gt;0.5),1,0)</f>
        <v>0</v>
      </c>
      <c r="H244" s="2" t="str">
        <f t="shared" si="1"/>
        <v>Medium</v>
      </c>
    </row>
    <row r="245" ht="15.0" customHeight="1">
      <c r="A245" s="5" t="s">
        <v>282</v>
      </c>
      <c r="B245" s="5" t="s">
        <v>316</v>
      </c>
      <c r="C245" s="5" t="s">
        <v>320</v>
      </c>
      <c r="D245" s="10">
        <f>AVERAGE('Precinct Vote Data'!H974:H977)</f>
        <v>0.5405296817</v>
      </c>
      <c r="E245" s="10">
        <f>AVERAGE(ABS('Precinct Vote Data'!H974-0.5),ABS('Precinct Vote Data'!H975-0.5),ABS('Precinct Vote Data'!H976-0.5),ABS('Precinct Vote Data'!H977-0.5))</f>
        <v>0.04052968172</v>
      </c>
      <c r="F245" s="10">
        <f>STDEV('Precinct Vote Data'!H974:H977)</f>
        <v>0.009576421184</v>
      </c>
      <c r="G245" s="5">
        <f>IF(('Precinct Vote Data'!H974&gt;0.5)&lt;&gt;('Precinct Vote Data'!H975&gt;0.5),1,0)+IF(('Precinct Vote Data'!H975&gt;0.5)&lt;&gt;('Precinct Vote Data'!H976&gt;0.5),1,0)+IF(('Precinct Vote Data'!H976&gt;0.5)&lt;&gt;('Precinct Vote Data'!H977&gt;0.5),1,0)</f>
        <v>0</v>
      </c>
      <c r="H245" s="2" t="str">
        <f t="shared" si="1"/>
        <v>Hard</v>
      </c>
    </row>
    <row r="246" ht="15.0" customHeight="1">
      <c r="A246" s="5" t="s">
        <v>282</v>
      </c>
      <c r="B246" s="5" t="s">
        <v>316</v>
      </c>
      <c r="C246" s="5" t="s">
        <v>321</v>
      </c>
      <c r="D246" s="10">
        <f>AVERAGE('Precinct Vote Data'!H978:H981)</f>
        <v>0.5836506578</v>
      </c>
      <c r="E246" s="10">
        <f>AVERAGE(ABS('Precinct Vote Data'!H978-0.5),ABS('Precinct Vote Data'!H979-0.5),ABS('Precinct Vote Data'!H980-0.5),ABS('Precinct Vote Data'!H981-0.5))</f>
        <v>0.08365065785</v>
      </c>
      <c r="F246" s="10">
        <f>STDEV('Precinct Vote Data'!H978:H981)</f>
        <v>0.02271105193</v>
      </c>
      <c r="G246" s="5">
        <f>IF(('Precinct Vote Data'!H978&gt;0.5)&lt;&gt;('Precinct Vote Data'!H979&gt;0.5),1,0)+IF(('Precinct Vote Data'!H979&gt;0.5)&lt;&gt;('Precinct Vote Data'!H980&gt;0.5),1,0)+IF(('Precinct Vote Data'!H980&gt;0.5)&lt;&gt;('Precinct Vote Data'!H981&gt;0.5),1,0)</f>
        <v>0</v>
      </c>
      <c r="H246" s="2" t="str">
        <f t="shared" si="1"/>
        <v>Medium</v>
      </c>
    </row>
    <row r="247" ht="15.0" customHeight="1">
      <c r="A247" s="5" t="s">
        <v>282</v>
      </c>
      <c r="B247" s="5" t="s">
        <v>316</v>
      </c>
      <c r="C247" s="5" t="s">
        <v>322</v>
      </c>
      <c r="D247" s="10">
        <f>AVERAGE('Precinct Vote Data'!H982:H985)</f>
        <v>0.5503674192</v>
      </c>
      <c r="E247" s="10">
        <f>AVERAGE(ABS('Precinct Vote Data'!H982-0.5),ABS('Precinct Vote Data'!H983-0.5),ABS('Precinct Vote Data'!H984-0.5),ABS('Precinct Vote Data'!H985-0.5))</f>
        <v>0.05036741917</v>
      </c>
      <c r="F247" s="10">
        <f>STDEV('Precinct Vote Data'!H982:H985)</f>
        <v>0.009054536903</v>
      </c>
      <c r="G247" s="5">
        <f>IF(('Precinct Vote Data'!H982&gt;0.5)&lt;&gt;('Precinct Vote Data'!H983&gt;0.5),1,0)+IF(('Precinct Vote Data'!H983&gt;0.5)&lt;&gt;('Precinct Vote Data'!H984&gt;0.5),1,0)+IF(('Precinct Vote Data'!H984&gt;0.5)&lt;&gt;('Precinct Vote Data'!H985&gt;0.5),1,0)</f>
        <v>0</v>
      </c>
      <c r="H247" s="2" t="str">
        <f t="shared" si="1"/>
        <v>Medium</v>
      </c>
    </row>
    <row r="248" ht="15.0" customHeight="1">
      <c r="A248" s="5" t="s">
        <v>282</v>
      </c>
      <c r="B248" s="5" t="s">
        <v>316</v>
      </c>
      <c r="C248" s="5" t="s">
        <v>323</v>
      </c>
      <c r="D248" s="10">
        <f>AVERAGE('Precinct Vote Data'!H986:H989)</f>
        <v>0.506909433</v>
      </c>
      <c r="E248" s="10">
        <f>AVERAGE(ABS('Precinct Vote Data'!H986-0.5),ABS('Precinct Vote Data'!H987-0.5),ABS('Precinct Vote Data'!H988-0.5),ABS('Precinct Vote Data'!H989-0.5))</f>
        <v>0.02117309257</v>
      </c>
      <c r="F248" s="10">
        <f>STDEV('Precinct Vote Data'!H986:H989)</f>
        <v>0.02470713652</v>
      </c>
      <c r="G248" s="5">
        <f>IF(('Precinct Vote Data'!H986&gt;0.5)&lt;&gt;('Precinct Vote Data'!H987&gt;0.5),1,0)+IF(('Precinct Vote Data'!H987&gt;0.5)&lt;&gt;('Precinct Vote Data'!H988&gt;0.5),1,0)+IF(('Precinct Vote Data'!H988&gt;0.5)&lt;&gt;('Precinct Vote Data'!H989&gt;0.5),1,0)</f>
        <v>3</v>
      </c>
      <c r="H248" s="2" t="str">
        <f t="shared" si="1"/>
        <v>Hard</v>
      </c>
    </row>
    <row r="249" ht="15.0" customHeight="1">
      <c r="A249" s="5" t="s">
        <v>282</v>
      </c>
      <c r="B249" s="5" t="s">
        <v>324</v>
      </c>
      <c r="C249" s="5" t="s">
        <v>113</v>
      </c>
      <c r="D249" s="10">
        <f>AVERAGE('Precinct Vote Data'!H990:H993)</f>
        <v>0.7732648603</v>
      </c>
      <c r="E249" s="10">
        <f>AVERAGE(ABS('Precinct Vote Data'!H990-0.5),ABS('Precinct Vote Data'!H991-0.5),ABS('Precinct Vote Data'!H992-0.5),ABS('Precinct Vote Data'!H993-0.5))</f>
        <v>0.2732648603</v>
      </c>
      <c r="F249" s="10">
        <f>STDEV('Precinct Vote Data'!H990:H993)</f>
        <v>0.03543875824</v>
      </c>
      <c r="G249" s="5">
        <f>IF(('Precinct Vote Data'!H990&gt;0.5)&lt;&gt;('Precinct Vote Data'!H991&gt;0.5),1,0)+IF(('Precinct Vote Data'!H991&gt;0.5)&lt;&gt;('Precinct Vote Data'!H992&gt;0.5),1,0)+IF(('Precinct Vote Data'!H992&gt;0.5)&lt;&gt;('Precinct Vote Data'!H993&gt;0.5),1,0)</f>
        <v>0</v>
      </c>
      <c r="H249" s="2" t="str">
        <f t="shared" si="1"/>
        <v>Easy</v>
      </c>
    </row>
    <row r="250" ht="15.0" customHeight="1">
      <c r="A250" s="5" t="s">
        <v>282</v>
      </c>
      <c r="B250" s="5" t="s">
        <v>324</v>
      </c>
      <c r="C250" s="5" t="s">
        <v>114</v>
      </c>
      <c r="D250" s="10">
        <f>AVERAGE('Precinct Vote Data'!H994:H997)</f>
        <v>0.7152480785</v>
      </c>
      <c r="E250" s="10">
        <f>AVERAGE(ABS('Precinct Vote Data'!H994-0.5),ABS('Precinct Vote Data'!H995-0.5),ABS('Precinct Vote Data'!H996-0.5),ABS('Precinct Vote Data'!H997-0.5))</f>
        <v>0.2152480785</v>
      </c>
      <c r="F250" s="10">
        <f>STDEV('Precinct Vote Data'!H994:H997)</f>
        <v>0.01332161877</v>
      </c>
      <c r="G250" s="5">
        <f>IF(('Precinct Vote Data'!H994&gt;0.5)&lt;&gt;('Precinct Vote Data'!H995&gt;0.5),1,0)+IF(('Precinct Vote Data'!H995&gt;0.5)&lt;&gt;('Precinct Vote Data'!H996&gt;0.5),1,0)+IF(('Precinct Vote Data'!H996&gt;0.5)&lt;&gt;('Precinct Vote Data'!H997&gt;0.5),1,0)</f>
        <v>0</v>
      </c>
      <c r="H250" s="2" t="str">
        <f t="shared" si="1"/>
        <v>Easy</v>
      </c>
    </row>
    <row r="251" ht="15.0" customHeight="1">
      <c r="A251" s="5" t="s">
        <v>282</v>
      </c>
      <c r="B251" s="5" t="s">
        <v>324</v>
      </c>
      <c r="C251" s="5" t="s">
        <v>116</v>
      </c>
      <c r="D251" s="10">
        <f>AVERAGE('Precinct Vote Data'!H998:H1001)</f>
        <v>0.6374873821</v>
      </c>
      <c r="E251" s="10">
        <f>AVERAGE(ABS('Precinct Vote Data'!H998-0.5),ABS('Precinct Vote Data'!H999-0.5),ABS('Precinct Vote Data'!H1000-0.5),ABS('Precinct Vote Data'!H1001-0.5))</f>
        <v>0.1374873821</v>
      </c>
      <c r="F251" s="10">
        <f>STDEV('Precinct Vote Data'!H998:H1001)</f>
        <v>0.01323485624</v>
      </c>
      <c r="G251" s="5">
        <f>IF(('Precinct Vote Data'!H998&gt;0.5)&lt;&gt;('Precinct Vote Data'!H999&gt;0.5),1,0)+IF(('Precinct Vote Data'!H999&gt;0.5)&lt;&gt;('Precinct Vote Data'!H1000&gt;0.5),1,0)+IF(('Precinct Vote Data'!H1000&gt;0.5)&lt;&gt;('Precinct Vote Data'!H1001&gt;0.5),1,0)</f>
        <v>0</v>
      </c>
      <c r="H251" s="2" t="str">
        <f t="shared" si="1"/>
        <v>Medium</v>
      </c>
    </row>
    <row r="252" ht="15.0" customHeight="1">
      <c r="A252" s="5" t="s">
        <v>282</v>
      </c>
      <c r="B252" s="5" t="s">
        <v>324</v>
      </c>
      <c r="C252" s="5" t="s">
        <v>118</v>
      </c>
      <c r="D252" s="10">
        <f>AVERAGE('Precinct Vote Data'!H1002:H1005)</f>
        <v>0.7094948435</v>
      </c>
      <c r="E252" s="10">
        <f>AVERAGE(ABS('Precinct Vote Data'!H1002-0.5),ABS('Precinct Vote Data'!H1003-0.5),ABS('Precinct Vote Data'!H1004-0.5),ABS('Precinct Vote Data'!H1005-0.5))</f>
        <v>0.2094948435</v>
      </c>
      <c r="F252" s="10">
        <f>STDEV('Precinct Vote Data'!H1002:H1005)</f>
        <v>0.01642146946</v>
      </c>
      <c r="G252" s="5">
        <f>IF(('Precinct Vote Data'!H1002&gt;0.5)&lt;&gt;('Precinct Vote Data'!H1003&gt;0.5),1,0)+IF(('Precinct Vote Data'!H1003&gt;0.5)&lt;&gt;('Precinct Vote Data'!H1004&gt;0.5),1,0)+IF(('Precinct Vote Data'!H1004&gt;0.5)&lt;&gt;('Precinct Vote Data'!H1005&gt;0.5),1,0)</f>
        <v>0</v>
      </c>
      <c r="H252" s="2" t="str">
        <f t="shared" si="1"/>
        <v>Easy</v>
      </c>
    </row>
    <row r="253" ht="15.0" customHeight="1">
      <c r="A253" s="5" t="s">
        <v>282</v>
      </c>
      <c r="B253" s="5" t="s">
        <v>324</v>
      </c>
      <c r="C253" s="5" t="s">
        <v>119</v>
      </c>
      <c r="D253" s="10">
        <f>AVERAGE('Precinct Vote Data'!H1006:H1009)</f>
        <v>0.6385996424</v>
      </c>
      <c r="E253" s="10">
        <f>AVERAGE(ABS('Precinct Vote Data'!H1006-0.5),ABS('Precinct Vote Data'!H1007-0.5),ABS('Precinct Vote Data'!H1008-0.5),ABS('Precinct Vote Data'!H1009-0.5))</f>
        <v>0.1385996424</v>
      </c>
      <c r="F253" s="10">
        <f>STDEV('Precinct Vote Data'!H1006:H1009)</f>
        <v>0.0111529061</v>
      </c>
      <c r="G253" s="5">
        <f>IF(('Precinct Vote Data'!H1006&gt;0.5)&lt;&gt;('Precinct Vote Data'!H1007&gt;0.5),1,0)+IF(('Precinct Vote Data'!H1007&gt;0.5)&lt;&gt;('Precinct Vote Data'!H1008&gt;0.5),1,0)+IF(('Precinct Vote Data'!H1008&gt;0.5)&lt;&gt;('Precinct Vote Data'!H1009&gt;0.5),1,0)</f>
        <v>0</v>
      </c>
      <c r="H253" s="2" t="str">
        <f t="shared" si="1"/>
        <v>Medium</v>
      </c>
    </row>
    <row r="254" ht="15.0" customHeight="1">
      <c r="A254" s="5" t="s">
        <v>282</v>
      </c>
      <c r="B254" s="5" t="s">
        <v>325</v>
      </c>
      <c r="C254" s="5" t="s">
        <v>120</v>
      </c>
      <c r="D254" s="10">
        <f>AVERAGE('Precinct Vote Data'!H1010:H1013)</f>
        <v>0.5775414296</v>
      </c>
      <c r="E254" s="10">
        <f>AVERAGE(ABS('Precinct Vote Data'!H1010-0.5),ABS('Precinct Vote Data'!H1011-0.5),ABS('Precinct Vote Data'!H1012-0.5),ABS('Precinct Vote Data'!H1013-0.5))</f>
        <v>0.07754142959</v>
      </c>
      <c r="F254" s="10">
        <f>STDEV('Precinct Vote Data'!H1010:H1013)</f>
        <v>0.006448980981</v>
      </c>
      <c r="G254" s="5">
        <f>IF(('Precinct Vote Data'!H1010&gt;0.5)&lt;&gt;('Precinct Vote Data'!H1011&gt;0.5),1,0)+IF(('Precinct Vote Data'!H1011&gt;0.5)&lt;&gt;('Precinct Vote Data'!H1012&gt;0.5),1,0)+IF(('Precinct Vote Data'!H1012&gt;0.5)&lt;&gt;('Precinct Vote Data'!H1013&gt;0.5),1,0)</f>
        <v>0</v>
      </c>
      <c r="H254" s="2" t="str">
        <f t="shared" si="1"/>
        <v>Medium</v>
      </c>
    </row>
    <row r="255" ht="15.0" customHeight="1">
      <c r="A255" s="5" t="s">
        <v>282</v>
      </c>
      <c r="B255" s="5" t="s">
        <v>325</v>
      </c>
      <c r="C255" s="5" t="s">
        <v>122</v>
      </c>
      <c r="D255" s="10">
        <f>AVERAGE('Precinct Vote Data'!H1014:H1017)</f>
        <v>0.4481301485</v>
      </c>
      <c r="E255" s="10">
        <f>AVERAGE(ABS('Precinct Vote Data'!H1014-0.5),ABS('Precinct Vote Data'!H1015-0.5),ABS('Precinct Vote Data'!H1016-0.5),ABS('Precinct Vote Data'!H1017-0.5))</f>
        <v>0.05186985151</v>
      </c>
      <c r="F255" s="10">
        <f>STDEV('Precinct Vote Data'!H1014:H1017)</f>
        <v>0.02290428054</v>
      </c>
      <c r="G255" s="5">
        <f>IF(('Precinct Vote Data'!H1014&gt;0.5)&lt;&gt;('Precinct Vote Data'!H1015&gt;0.5),1,0)+IF(('Precinct Vote Data'!H1015&gt;0.5)&lt;&gt;('Precinct Vote Data'!H1016&gt;0.5),1,0)+IF(('Precinct Vote Data'!H1016&gt;0.5)&lt;&gt;('Precinct Vote Data'!H1017&gt;0.5),1,0)</f>
        <v>0</v>
      </c>
      <c r="H255" s="2" t="str">
        <f t="shared" si="1"/>
        <v>Medium</v>
      </c>
    </row>
    <row r="256" ht="15.0" customHeight="1">
      <c r="A256" s="5" t="s">
        <v>282</v>
      </c>
      <c r="B256" s="5" t="s">
        <v>326</v>
      </c>
      <c r="C256" s="5" t="s">
        <v>124</v>
      </c>
      <c r="D256" s="10">
        <f>AVERAGE('Precinct Vote Data'!H1018:H1021)</f>
        <v>0.5297989329</v>
      </c>
      <c r="E256" s="10">
        <f>AVERAGE(ABS('Precinct Vote Data'!H1018-0.5),ABS('Precinct Vote Data'!H1019-0.5),ABS('Precinct Vote Data'!H1020-0.5),ABS('Precinct Vote Data'!H1021-0.5))</f>
        <v>0.02979893286</v>
      </c>
      <c r="F256" s="10">
        <f>STDEV('Precinct Vote Data'!H1018:H1021)</f>
        <v>0.02202768574</v>
      </c>
      <c r="G256" s="5">
        <f>IF(('Precinct Vote Data'!H1018&gt;0.5)&lt;&gt;('Precinct Vote Data'!H1019&gt;0.5),1,0)+IF(('Precinct Vote Data'!H1019&gt;0.5)&lt;&gt;('Precinct Vote Data'!H1020&gt;0.5),1,0)+IF(('Precinct Vote Data'!H1020&gt;0.5)&lt;&gt;('Precinct Vote Data'!H1021&gt;0.5),1,0)</f>
        <v>0</v>
      </c>
      <c r="H256" s="2" t="str">
        <f t="shared" si="1"/>
        <v>Hard</v>
      </c>
    </row>
    <row r="257" ht="15.0" customHeight="1">
      <c r="A257" s="5" t="s">
        <v>327</v>
      </c>
      <c r="B257" s="5" t="s">
        <v>328</v>
      </c>
      <c r="C257" s="5" t="s">
        <v>18</v>
      </c>
      <c r="D257" s="10">
        <f>AVERAGE('Precinct Vote Data'!H1022:H1025)</f>
        <v>0.4088569596</v>
      </c>
      <c r="E257" s="10">
        <f>AVERAGE(ABS('Precinct Vote Data'!H1022-0.5),ABS('Precinct Vote Data'!H1023-0.5),ABS('Precinct Vote Data'!H1024-0.5),ABS('Precinct Vote Data'!H1025-0.5))</f>
        <v>0.09114304042</v>
      </c>
      <c r="F257" s="10">
        <f>STDEV('Precinct Vote Data'!H1022:H1025)</f>
        <v>0.01905599869</v>
      </c>
      <c r="G257" s="5">
        <f>IF(('Precinct Vote Data'!H1022&gt;0.5)&lt;&gt;('Precinct Vote Data'!H1023&gt;0.5),1,0)+IF(('Precinct Vote Data'!H1023&gt;0.5)&lt;&gt;('Precinct Vote Data'!H1024&gt;0.5),1,0)+IF(('Precinct Vote Data'!H1024&gt;0.5)&lt;&gt;('Precinct Vote Data'!H1025&gt;0.5),1,0)</f>
        <v>0</v>
      </c>
      <c r="H257" s="2" t="str">
        <f t="shared" si="1"/>
        <v>Medium</v>
      </c>
    </row>
    <row r="258" ht="15.0" customHeight="1">
      <c r="A258" s="5" t="s">
        <v>327</v>
      </c>
      <c r="B258" s="5" t="s">
        <v>329</v>
      </c>
      <c r="C258" s="5" t="s">
        <v>146</v>
      </c>
      <c r="D258" s="10">
        <f>AVERAGE('Precinct Vote Data'!H1026:H1029)</f>
        <v>0.4477744415</v>
      </c>
      <c r="E258" s="10">
        <f>AVERAGE(ABS('Precinct Vote Data'!H1026-0.5),ABS('Precinct Vote Data'!H1027-0.5),ABS('Precinct Vote Data'!H1028-0.5),ABS('Precinct Vote Data'!H1029-0.5))</f>
        <v>0.0522255585</v>
      </c>
      <c r="F258" s="10">
        <f>STDEV('Precinct Vote Data'!H1026:H1029)</f>
        <v>0.03184098596</v>
      </c>
      <c r="G258" s="5">
        <f>IF(('Precinct Vote Data'!H1026&gt;0.5)&lt;&gt;('Precinct Vote Data'!H1027&gt;0.5),1,0)+IF(('Precinct Vote Data'!H1027&gt;0.5)&lt;&gt;('Precinct Vote Data'!H1028&gt;0.5),1,0)+IF(('Precinct Vote Data'!H1028&gt;0.5)&lt;&gt;('Precinct Vote Data'!H1029&gt;0.5),1,0)</f>
        <v>0</v>
      </c>
      <c r="H258" s="2" t="str">
        <f t="shared" si="1"/>
        <v>Medium</v>
      </c>
    </row>
    <row r="259" ht="15.0" customHeight="1">
      <c r="A259" s="5" t="s">
        <v>327</v>
      </c>
      <c r="B259" s="5" t="s">
        <v>329</v>
      </c>
      <c r="C259" s="5" t="s">
        <v>147</v>
      </c>
      <c r="D259" s="10">
        <f>AVERAGE('Precinct Vote Data'!H1030:H1033)</f>
        <v>0.462953431</v>
      </c>
      <c r="E259" s="10">
        <f>AVERAGE(ABS('Precinct Vote Data'!H1030-0.5),ABS('Precinct Vote Data'!H1031-0.5),ABS('Precinct Vote Data'!H1032-0.5),ABS('Precinct Vote Data'!H1033-0.5))</f>
        <v>0.05441817021</v>
      </c>
      <c r="F259" s="10">
        <f>STDEV('Precinct Vote Data'!H1030:H1033)</f>
        <v>0.05164170841</v>
      </c>
      <c r="G259" s="5">
        <f>IF(('Precinct Vote Data'!H1030&gt;0.5)&lt;&gt;('Precinct Vote Data'!H1031&gt;0.5),1,0)+IF(('Precinct Vote Data'!H1031&gt;0.5)&lt;&gt;('Precinct Vote Data'!H1032&gt;0.5),1,0)+IF(('Precinct Vote Data'!H1032&gt;0.5)&lt;&gt;('Precinct Vote Data'!H1033&gt;0.5),1,0)</f>
        <v>1</v>
      </c>
      <c r="H259" s="2" t="str">
        <f t="shared" si="1"/>
        <v>Hard</v>
      </c>
    </row>
    <row r="260" ht="15.0" customHeight="1">
      <c r="A260" s="5" t="s">
        <v>327</v>
      </c>
      <c r="B260" s="5" t="s">
        <v>329</v>
      </c>
      <c r="C260" s="5" t="s">
        <v>55</v>
      </c>
      <c r="D260" s="10">
        <f>AVERAGE('Precinct Vote Data'!H1034:H1037)</f>
        <v>0.4321941401</v>
      </c>
      <c r="E260" s="10">
        <f>AVERAGE(ABS('Precinct Vote Data'!H1034-0.5),ABS('Precinct Vote Data'!H1035-0.5),ABS('Precinct Vote Data'!H1036-0.5),ABS('Precinct Vote Data'!H1037-0.5))</f>
        <v>0.06780585989</v>
      </c>
      <c r="F260" s="10">
        <f>STDEV('Precinct Vote Data'!H1034:H1037)</f>
        <v>0.02170321248</v>
      </c>
      <c r="G260" s="5">
        <f>IF(('Precinct Vote Data'!H1034&gt;0.5)&lt;&gt;('Precinct Vote Data'!H1035&gt;0.5),1,0)+IF(('Precinct Vote Data'!H1035&gt;0.5)&lt;&gt;('Precinct Vote Data'!H1036&gt;0.5),1,0)+IF(('Precinct Vote Data'!H1036&gt;0.5)&lt;&gt;('Precinct Vote Data'!H1037&gt;0.5),1,0)</f>
        <v>0</v>
      </c>
      <c r="H260" s="2" t="str">
        <f t="shared" si="1"/>
        <v>Medium</v>
      </c>
    </row>
    <row r="261" ht="15.0" customHeight="1">
      <c r="A261" s="5" t="s">
        <v>327</v>
      </c>
      <c r="B261" s="5" t="s">
        <v>329</v>
      </c>
      <c r="C261" s="5" t="s">
        <v>57</v>
      </c>
      <c r="D261" s="10">
        <f>AVERAGE('Precinct Vote Data'!H1038:H1041)</f>
        <v>0.4036667183</v>
      </c>
      <c r="E261" s="10">
        <f>AVERAGE(ABS('Precinct Vote Data'!H1038-0.5),ABS('Precinct Vote Data'!H1039-0.5),ABS('Precinct Vote Data'!H1040-0.5),ABS('Precinct Vote Data'!H1041-0.5))</f>
        <v>0.09633328169</v>
      </c>
      <c r="F261" s="10">
        <f>STDEV('Precinct Vote Data'!H1038:H1041)</f>
        <v>0.01830828903</v>
      </c>
      <c r="G261" s="5">
        <f>IF(('Precinct Vote Data'!H1038&gt;0.5)&lt;&gt;('Precinct Vote Data'!H1039&gt;0.5),1,0)+IF(('Precinct Vote Data'!H1039&gt;0.5)&lt;&gt;('Precinct Vote Data'!H1040&gt;0.5),1,0)+IF(('Precinct Vote Data'!H1040&gt;0.5)&lt;&gt;('Precinct Vote Data'!H1041&gt;0.5),1,0)</f>
        <v>0</v>
      </c>
      <c r="H261" s="2" t="str">
        <f t="shared" si="1"/>
        <v>Medium</v>
      </c>
    </row>
    <row r="262" ht="15.0" customHeight="1">
      <c r="A262" s="5" t="s">
        <v>327</v>
      </c>
      <c r="B262" s="5" t="s">
        <v>330</v>
      </c>
      <c r="C262" s="5" t="s">
        <v>59</v>
      </c>
      <c r="D262" s="10">
        <f>AVERAGE('Precinct Vote Data'!H1042:H1045)</f>
        <v>0.4631971564</v>
      </c>
      <c r="E262" s="10">
        <f>AVERAGE(ABS('Precinct Vote Data'!H1042-0.5),ABS('Precinct Vote Data'!H1043-0.5),ABS('Precinct Vote Data'!H1044-0.5),ABS('Precinct Vote Data'!H1045-0.5))</f>
        <v>0.03680284365</v>
      </c>
      <c r="F262" s="10">
        <f>STDEV('Precinct Vote Data'!H1042:H1045)</f>
        <v>0.008175208844</v>
      </c>
      <c r="G262" s="5">
        <f>IF(('Precinct Vote Data'!H1042&gt;0.5)&lt;&gt;('Precinct Vote Data'!H1043&gt;0.5),1,0)+IF(('Precinct Vote Data'!H1043&gt;0.5)&lt;&gt;('Precinct Vote Data'!H1044&gt;0.5),1,0)+IF(('Precinct Vote Data'!H1044&gt;0.5)&lt;&gt;('Precinct Vote Data'!H1045&gt;0.5),1,0)</f>
        <v>0</v>
      </c>
      <c r="H262" s="2" t="str">
        <f t="shared" si="1"/>
        <v>Hard</v>
      </c>
    </row>
    <row r="263" ht="15.0" customHeight="1">
      <c r="A263" s="5" t="s">
        <v>327</v>
      </c>
      <c r="B263" s="5" t="s">
        <v>157</v>
      </c>
      <c r="C263" s="5" t="s">
        <v>60</v>
      </c>
      <c r="D263" s="10">
        <f>AVERAGE('Precinct Vote Data'!H1046:H1049)</f>
        <v>0.7725689408</v>
      </c>
      <c r="E263" s="10">
        <f>AVERAGE(ABS('Precinct Vote Data'!H1046-0.5),ABS('Precinct Vote Data'!H1047-0.5),ABS('Precinct Vote Data'!H1048-0.5),ABS('Precinct Vote Data'!H1049-0.5))</f>
        <v>0.2725689408</v>
      </c>
      <c r="F263" s="10">
        <f>STDEV('Precinct Vote Data'!H1046:H1049)</f>
        <v>0.04523323987</v>
      </c>
      <c r="G263" s="5">
        <f>IF(('Precinct Vote Data'!H1046&gt;0.5)&lt;&gt;('Precinct Vote Data'!H1047&gt;0.5),1,0)+IF(('Precinct Vote Data'!H1047&gt;0.5)&lt;&gt;('Precinct Vote Data'!H1048&gt;0.5),1,0)+IF(('Precinct Vote Data'!H1048&gt;0.5)&lt;&gt;('Precinct Vote Data'!H1049&gt;0.5),1,0)</f>
        <v>0</v>
      </c>
      <c r="H263" s="2" t="str">
        <f t="shared" si="1"/>
        <v>Easy</v>
      </c>
    </row>
    <row r="264" ht="15.0" customHeight="1">
      <c r="A264" s="5" t="s">
        <v>327</v>
      </c>
      <c r="B264" s="5" t="s">
        <v>157</v>
      </c>
      <c r="C264" s="5" t="s">
        <v>63</v>
      </c>
      <c r="D264" s="10">
        <f>AVERAGE('Precinct Vote Data'!H1050:H1053)</f>
        <v>0.7663208425</v>
      </c>
      <c r="E264" s="10">
        <f>AVERAGE(ABS('Precinct Vote Data'!H1050-0.5),ABS('Precinct Vote Data'!H1051-0.5),ABS('Precinct Vote Data'!H1052-0.5),ABS('Precinct Vote Data'!H1053-0.5))</f>
        <v>0.2663208425</v>
      </c>
      <c r="F264" s="10">
        <f>STDEV('Precinct Vote Data'!H1050:H1053)</f>
        <v>0.03449074183</v>
      </c>
      <c r="G264" s="5">
        <f>IF(('Precinct Vote Data'!H1050&gt;0.5)&lt;&gt;('Precinct Vote Data'!H1051&gt;0.5),1,0)+IF(('Precinct Vote Data'!H1051&gt;0.5)&lt;&gt;('Precinct Vote Data'!H1052&gt;0.5),1,0)+IF(('Precinct Vote Data'!H1052&gt;0.5)&lt;&gt;('Precinct Vote Data'!H1053&gt;0.5),1,0)</f>
        <v>0</v>
      </c>
      <c r="H264" s="2" t="str">
        <f t="shared" si="1"/>
        <v>Easy</v>
      </c>
    </row>
    <row r="265" ht="15.0" customHeight="1">
      <c r="A265" s="5" t="s">
        <v>327</v>
      </c>
      <c r="B265" s="5" t="s">
        <v>157</v>
      </c>
      <c r="C265" s="5" t="s">
        <v>331</v>
      </c>
      <c r="D265" s="10">
        <f>AVERAGE('Precinct Vote Data'!H1054:H1057)</f>
        <v>0.7937991555</v>
      </c>
      <c r="E265" s="10">
        <f>AVERAGE(ABS('Precinct Vote Data'!H1054-0.5),ABS('Precinct Vote Data'!H1055-0.5),ABS('Precinct Vote Data'!H1056-0.5),ABS('Precinct Vote Data'!H1057-0.5))</f>
        <v>0.2937991555</v>
      </c>
      <c r="F265" s="10">
        <f>STDEV('Precinct Vote Data'!H1054:H1057)</f>
        <v>0.03782741843</v>
      </c>
      <c r="G265" s="5">
        <f>IF(('Precinct Vote Data'!H1054&gt;0.5)&lt;&gt;('Precinct Vote Data'!H1055&gt;0.5),1,0)+IF(('Precinct Vote Data'!H1055&gt;0.5)&lt;&gt;('Precinct Vote Data'!H1056&gt;0.5),1,0)+IF(('Precinct Vote Data'!H1056&gt;0.5)&lt;&gt;('Precinct Vote Data'!H1057&gt;0.5),1,0)</f>
        <v>0</v>
      </c>
      <c r="H265" s="2" t="str">
        <f t="shared" si="1"/>
        <v>Easy</v>
      </c>
    </row>
    <row r="266" ht="15.0" customHeight="1">
      <c r="A266" s="5" t="s">
        <v>327</v>
      </c>
      <c r="B266" s="5" t="s">
        <v>157</v>
      </c>
      <c r="C266" s="5" t="s">
        <v>74</v>
      </c>
      <c r="D266" s="10">
        <f>AVERAGE('Precinct Vote Data'!H1058:H1061)</f>
        <v>0.8457815106</v>
      </c>
      <c r="E266" s="10">
        <f>AVERAGE(ABS('Precinct Vote Data'!H1058-0.5),ABS('Precinct Vote Data'!H1059-0.5),ABS('Precinct Vote Data'!H1060-0.5),ABS('Precinct Vote Data'!H1061-0.5))</f>
        <v>0.3457815106</v>
      </c>
      <c r="F266" s="10">
        <f>STDEV('Precinct Vote Data'!H1058:H1061)</f>
        <v>0.0280910791</v>
      </c>
      <c r="G266" s="5">
        <f>IF(('Precinct Vote Data'!H1058&gt;0.5)&lt;&gt;('Precinct Vote Data'!H1059&gt;0.5),1,0)+IF(('Precinct Vote Data'!H1059&gt;0.5)&lt;&gt;('Precinct Vote Data'!H1060&gt;0.5),1,0)+IF(('Precinct Vote Data'!H1060&gt;0.5)&lt;&gt;('Precinct Vote Data'!H1061&gt;0.5),1,0)</f>
        <v>0</v>
      </c>
      <c r="H266" s="2" t="str">
        <f t="shared" si="1"/>
        <v>Easy</v>
      </c>
    </row>
    <row r="267" ht="15.0" customHeight="1">
      <c r="A267" s="5" t="s">
        <v>327</v>
      </c>
      <c r="B267" s="5" t="s">
        <v>157</v>
      </c>
      <c r="C267" s="5" t="s">
        <v>332</v>
      </c>
      <c r="D267" s="10">
        <f>AVERAGE('Precinct Vote Data'!H1062:H1065)</f>
        <v>0.7830403927</v>
      </c>
      <c r="E267" s="10">
        <f>AVERAGE(ABS('Precinct Vote Data'!H1062-0.5),ABS('Precinct Vote Data'!H1063-0.5),ABS('Precinct Vote Data'!H1064-0.5),ABS('Precinct Vote Data'!H1065-0.5))</f>
        <v>0.2830403927</v>
      </c>
      <c r="F267" s="10">
        <f>STDEV('Precinct Vote Data'!H1062:H1065)</f>
        <v>0.04601767409</v>
      </c>
      <c r="G267" s="5">
        <f>IF(('Precinct Vote Data'!H1062&gt;0.5)&lt;&gt;('Precinct Vote Data'!H1063&gt;0.5),1,0)+IF(('Precinct Vote Data'!H1063&gt;0.5)&lt;&gt;('Precinct Vote Data'!H1064&gt;0.5),1,0)+IF(('Precinct Vote Data'!H1064&gt;0.5)&lt;&gt;('Precinct Vote Data'!H1065&gt;0.5),1,0)</f>
        <v>0</v>
      </c>
      <c r="H267" s="2" t="str">
        <f t="shared" si="1"/>
        <v>Easy</v>
      </c>
    </row>
    <row r="268" ht="15.0" customHeight="1">
      <c r="A268" s="5" t="s">
        <v>327</v>
      </c>
      <c r="B268" s="5" t="s">
        <v>157</v>
      </c>
      <c r="C268" s="5" t="s">
        <v>87</v>
      </c>
      <c r="D268" s="10">
        <f>AVERAGE('Precinct Vote Data'!H1066:H1069)</f>
        <v>0.7686962735</v>
      </c>
      <c r="E268" s="10">
        <f>AVERAGE(ABS('Precinct Vote Data'!H1066-0.5),ABS('Precinct Vote Data'!H1067-0.5),ABS('Precinct Vote Data'!H1068-0.5),ABS('Precinct Vote Data'!H1069-0.5))</f>
        <v>0.2686962735</v>
      </c>
      <c r="F268" s="10">
        <f>STDEV('Precinct Vote Data'!H1066:H1069)</f>
        <v>0.06848960798</v>
      </c>
      <c r="G268" s="5">
        <f>IF(('Precinct Vote Data'!H1066&gt;0.5)&lt;&gt;('Precinct Vote Data'!H1067&gt;0.5),1,0)+IF(('Precinct Vote Data'!H1067&gt;0.5)&lt;&gt;('Precinct Vote Data'!H1068&gt;0.5),1,0)+IF(('Precinct Vote Data'!H1068&gt;0.5)&lt;&gt;('Precinct Vote Data'!H1069&gt;0.5),1,0)</f>
        <v>0</v>
      </c>
      <c r="H268" s="2" t="str">
        <f t="shared" si="1"/>
        <v>Medium</v>
      </c>
    </row>
    <row r="269" ht="15.0" customHeight="1">
      <c r="A269" s="5" t="s">
        <v>327</v>
      </c>
      <c r="B269" s="5" t="s">
        <v>157</v>
      </c>
      <c r="C269" s="5" t="s">
        <v>88</v>
      </c>
      <c r="D269" s="10">
        <f>AVERAGE('Precinct Vote Data'!H1070:H1073)</f>
        <v>0.7368173383</v>
      </c>
      <c r="E269" s="10">
        <f>AVERAGE(ABS('Precinct Vote Data'!H1070-0.5),ABS('Precinct Vote Data'!H1071-0.5),ABS('Precinct Vote Data'!H1072-0.5),ABS('Precinct Vote Data'!H1073-0.5))</f>
        <v>0.2368173383</v>
      </c>
      <c r="F269" s="10">
        <f>STDEV('Precinct Vote Data'!H1070:H1073)</f>
        <v>0.01524212405</v>
      </c>
      <c r="G269" s="5">
        <f>IF(('Precinct Vote Data'!H1070&gt;0.5)&lt;&gt;('Precinct Vote Data'!H1071&gt;0.5),1,0)+IF(('Precinct Vote Data'!H1071&gt;0.5)&lt;&gt;('Precinct Vote Data'!H1072&gt;0.5),1,0)+IF(('Precinct Vote Data'!H1072&gt;0.5)&lt;&gt;('Precinct Vote Data'!H1073&gt;0.5),1,0)</f>
        <v>0</v>
      </c>
      <c r="H269" s="2" t="str">
        <f t="shared" si="1"/>
        <v>Easy</v>
      </c>
    </row>
    <row r="270" ht="15.0" customHeight="1">
      <c r="A270" s="5" t="s">
        <v>327</v>
      </c>
      <c r="B270" s="5" t="s">
        <v>157</v>
      </c>
      <c r="C270" s="5" t="s">
        <v>89</v>
      </c>
      <c r="D270" s="10">
        <f>AVERAGE('Precinct Vote Data'!H1074:H1077)</f>
        <v>0.7358847862</v>
      </c>
      <c r="E270" s="10">
        <f>AVERAGE(ABS('Precinct Vote Data'!H1074-0.5),ABS('Precinct Vote Data'!H1075-0.5),ABS('Precinct Vote Data'!H1076-0.5),ABS('Precinct Vote Data'!H1077-0.5))</f>
        <v>0.2358847862</v>
      </c>
      <c r="F270" s="10">
        <f>STDEV('Precinct Vote Data'!H1074:H1077)</f>
        <v>0.02507204895</v>
      </c>
      <c r="G270" s="5">
        <f>IF(('Precinct Vote Data'!H1074&gt;0.5)&lt;&gt;('Precinct Vote Data'!H1075&gt;0.5),1,0)+IF(('Precinct Vote Data'!H1075&gt;0.5)&lt;&gt;('Precinct Vote Data'!H1076&gt;0.5),1,0)+IF(('Precinct Vote Data'!H1076&gt;0.5)&lt;&gt;('Precinct Vote Data'!H1077&gt;0.5),1,0)</f>
        <v>0</v>
      </c>
      <c r="H270" s="2" t="str">
        <f t="shared" si="1"/>
        <v>Easy</v>
      </c>
    </row>
    <row r="271" ht="15.0" customHeight="1">
      <c r="A271" s="5" t="s">
        <v>327</v>
      </c>
      <c r="B271" s="5" t="s">
        <v>157</v>
      </c>
      <c r="C271" s="5" t="s">
        <v>91</v>
      </c>
      <c r="D271" s="10">
        <f>AVERAGE('Precinct Vote Data'!H1078:H1081)</f>
        <v>0.7237963666</v>
      </c>
      <c r="E271" s="10">
        <f>AVERAGE(ABS('Precinct Vote Data'!H1078-0.5),ABS('Precinct Vote Data'!H1079-0.5),ABS('Precinct Vote Data'!H1080-0.5),ABS('Precinct Vote Data'!H1081-0.5))</f>
        <v>0.2237963666</v>
      </c>
      <c r="F271" s="10">
        <f>STDEV('Precinct Vote Data'!H1078:H1081)</f>
        <v>0.03442683671</v>
      </c>
      <c r="G271" s="5">
        <f>IF(('Precinct Vote Data'!H1078&gt;0.5)&lt;&gt;('Precinct Vote Data'!H1079&gt;0.5),1,0)+IF(('Precinct Vote Data'!H1079&gt;0.5)&lt;&gt;('Precinct Vote Data'!H1080&gt;0.5),1,0)+IF(('Precinct Vote Data'!H1080&gt;0.5)&lt;&gt;('Precinct Vote Data'!H1081&gt;0.5),1,0)</f>
        <v>0</v>
      </c>
      <c r="H271" s="2" t="str">
        <f t="shared" si="1"/>
        <v>Easy</v>
      </c>
    </row>
    <row r="272" ht="15.0" customHeight="1">
      <c r="A272" s="5" t="s">
        <v>327</v>
      </c>
      <c r="B272" s="5" t="s">
        <v>157</v>
      </c>
      <c r="C272" s="5" t="s">
        <v>92</v>
      </c>
      <c r="D272" s="10">
        <f>AVERAGE('Precinct Vote Data'!H1082:H1085)</f>
        <v>0.6978936863</v>
      </c>
      <c r="E272" s="10">
        <f>AVERAGE(ABS('Precinct Vote Data'!H1082-0.5),ABS('Precinct Vote Data'!H1083-0.5),ABS('Precinct Vote Data'!H1084-0.5),ABS('Precinct Vote Data'!H1085-0.5))</f>
        <v>0.1978936863</v>
      </c>
      <c r="F272" s="10">
        <f>STDEV('Precinct Vote Data'!H1082:H1085)</f>
        <v>0.04383632576</v>
      </c>
      <c r="G272" s="5">
        <f>IF(('Precinct Vote Data'!H1082&gt;0.5)&lt;&gt;('Precinct Vote Data'!H1083&gt;0.5),1,0)+IF(('Precinct Vote Data'!H1083&gt;0.5)&lt;&gt;('Precinct Vote Data'!H1084&gt;0.5),1,0)+IF(('Precinct Vote Data'!H1084&gt;0.5)&lt;&gt;('Precinct Vote Data'!H1085&gt;0.5),1,0)</f>
        <v>0</v>
      </c>
      <c r="H272" s="2" t="str">
        <f t="shared" si="1"/>
        <v>Easy</v>
      </c>
    </row>
    <row r="273" ht="15.0" customHeight="1">
      <c r="A273" s="5" t="s">
        <v>327</v>
      </c>
      <c r="B273" s="5" t="s">
        <v>157</v>
      </c>
      <c r="C273" s="5" t="s">
        <v>94</v>
      </c>
      <c r="D273" s="10">
        <f>AVERAGE('Precinct Vote Data'!H1086:H1089)</f>
        <v>0.7188019141</v>
      </c>
      <c r="E273" s="10">
        <f>AVERAGE(ABS('Precinct Vote Data'!H1086-0.5),ABS('Precinct Vote Data'!H1087-0.5),ABS('Precinct Vote Data'!H1088-0.5),ABS('Precinct Vote Data'!H1089-0.5))</f>
        <v>0.2188019141</v>
      </c>
      <c r="F273" s="10">
        <f>STDEV('Precinct Vote Data'!H1086:H1089)</f>
        <v>0.02507470828</v>
      </c>
      <c r="G273" s="5">
        <f>IF(('Precinct Vote Data'!H1086&gt;0.5)&lt;&gt;('Precinct Vote Data'!H1087&gt;0.5),1,0)+IF(('Precinct Vote Data'!H1087&gt;0.5)&lt;&gt;('Precinct Vote Data'!H1088&gt;0.5),1,0)+IF(('Precinct Vote Data'!H1088&gt;0.5)&lt;&gt;('Precinct Vote Data'!H1089&gt;0.5),1,0)</f>
        <v>0</v>
      </c>
      <c r="H273" s="2" t="str">
        <f t="shared" si="1"/>
        <v>Easy</v>
      </c>
    </row>
    <row r="274" ht="15.0" customHeight="1">
      <c r="A274" s="5" t="s">
        <v>327</v>
      </c>
      <c r="B274" s="5" t="s">
        <v>157</v>
      </c>
      <c r="C274" s="5" t="s">
        <v>95</v>
      </c>
      <c r="D274" s="10">
        <f>AVERAGE('Precinct Vote Data'!H1090:H1093)</f>
        <v>0.6828345443</v>
      </c>
      <c r="E274" s="10">
        <f>AVERAGE(ABS('Precinct Vote Data'!H1090-0.5),ABS('Precinct Vote Data'!H1091-0.5),ABS('Precinct Vote Data'!H1092-0.5),ABS('Precinct Vote Data'!H1093-0.5))</f>
        <v>0.1828345443</v>
      </c>
      <c r="F274" s="10">
        <f>STDEV('Precinct Vote Data'!H1090:H1093)</f>
        <v>0.02303543456</v>
      </c>
      <c r="G274" s="5">
        <f>IF(('Precinct Vote Data'!H1090&gt;0.5)&lt;&gt;('Precinct Vote Data'!H1091&gt;0.5),1,0)+IF(('Precinct Vote Data'!H1091&gt;0.5)&lt;&gt;('Precinct Vote Data'!H1092&gt;0.5),1,0)+IF(('Precinct Vote Data'!H1092&gt;0.5)&lt;&gt;('Precinct Vote Data'!H1093&gt;0.5),1,0)</f>
        <v>0</v>
      </c>
      <c r="H274" s="2" t="str">
        <f t="shared" si="1"/>
        <v>Easy</v>
      </c>
    </row>
    <row r="275" ht="15.0" customHeight="1">
      <c r="A275" s="5" t="s">
        <v>327</v>
      </c>
      <c r="B275" s="5" t="s">
        <v>157</v>
      </c>
      <c r="C275" s="5" t="s">
        <v>96</v>
      </c>
      <c r="D275" s="10">
        <f>AVERAGE('Precinct Vote Data'!H1094:H1097)</f>
        <v>0.6225074936</v>
      </c>
      <c r="E275" s="10">
        <f>AVERAGE(ABS('Precinct Vote Data'!H1094-0.5),ABS('Precinct Vote Data'!H1095-0.5),ABS('Precinct Vote Data'!H1096-0.5),ABS('Precinct Vote Data'!H1097-0.5))</f>
        <v>0.1225074936</v>
      </c>
      <c r="F275" s="10">
        <f>STDEV('Precinct Vote Data'!H1094:H1097)</f>
        <v>0.01406922487</v>
      </c>
      <c r="G275" s="5">
        <f>IF(('Precinct Vote Data'!H1094&gt;0.5)&lt;&gt;('Precinct Vote Data'!H1095&gt;0.5),1,0)+IF(('Precinct Vote Data'!H1095&gt;0.5)&lt;&gt;('Precinct Vote Data'!H1096&gt;0.5),1,0)+IF(('Precinct Vote Data'!H1096&gt;0.5)&lt;&gt;('Precinct Vote Data'!H1097&gt;0.5),1,0)</f>
        <v>0</v>
      </c>
      <c r="H275" s="2" t="str">
        <f t="shared" si="1"/>
        <v>Medium</v>
      </c>
    </row>
    <row r="276" ht="15.0" customHeight="1">
      <c r="A276" s="5" t="s">
        <v>327</v>
      </c>
      <c r="B276" s="5" t="s">
        <v>157</v>
      </c>
      <c r="C276" s="5" t="s">
        <v>98</v>
      </c>
      <c r="D276" s="10">
        <f>AVERAGE('Precinct Vote Data'!H1098:H1101)</f>
        <v>0.5904979394</v>
      </c>
      <c r="E276" s="10">
        <f>AVERAGE(ABS('Precinct Vote Data'!H1098-0.5),ABS('Precinct Vote Data'!H1099-0.5),ABS('Precinct Vote Data'!H1100-0.5),ABS('Precinct Vote Data'!H1101-0.5))</f>
        <v>0.09049793944</v>
      </c>
      <c r="F276" s="10">
        <f>STDEV('Precinct Vote Data'!H1098:H1101)</f>
        <v>0.01171628653</v>
      </c>
      <c r="G276" s="5">
        <f>IF(('Precinct Vote Data'!H1098&gt;0.5)&lt;&gt;('Precinct Vote Data'!H1099&gt;0.5),1,0)+IF(('Precinct Vote Data'!H1099&gt;0.5)&lt;&gt;('Precinct Vote Data'!H1100&gt;0.5),1,0)+IF(('Precinct Vote Data'!H1100&gt;0.5)&lt;&gt;('Precinct Vote Data'!H1101&gt;0.5),1,0)</f>
        <v>0</v>
      </c>
      <c r="H276" s="2" t="str">
        <f t="shared" si="1"/>
        <v>Medium</v>
      </c>
    </row>
    <row r="277" ht="15.0" customHeight="1">
      <c r="A277" s="5" t="s">
        <v>327</v>
      </c>
      <c r="B277" s="5" t="s">
        <v>157</v>
      </c>
      <c r="C277" s="5" t="s">
        <v>100</v>
      </c>
      <c r="D277" s="10">
        <f>AVERAGE('Precinct Vote Data'!H1102:H1105)</f>
        <v>0.6508148262</v>
      </c>
      <c r="E277" s="10">
        <f>AVERAGE(ABS('Precinct Vote Data'!H1102-0.5),ABS('Precinct Vote Data'!H1103-0.5),ABS('Precinct Vote Data'!H1104-0.5),ABS('Precinct Vote Data'!H1105-0.5))</f>
        <v>0.1508148262</v>
      </c>
      <c r="F277" s="10">
        <f>STDEV('Precinct Vote Data'!H1102:H1105)</f>
        <v>0.02102429787</v>
      </c>
      <c r="G277" s="5">
        <f>IF(('Precinct Vote Data'!H1102&gt;0.5)&lt;&gt;('Precinct Vote Data'!H1103&gt;0.5),1,0)+IF(('Precinct Vote Data'!H1103&gt;0.5)&lt;&gt;('Precinct Vote Data'!H1104&gt;0.5),1,0)+IF(('Precinct Vote Data'!H1104&gt;0.5)&lt;&gt;('Precinct Vote Data'!H1105&gt;0.5),1,0)</f>
        <v>0</v>
      </c>
      <c r="H277" s="2" t="str">
        <f t="shared" si="1"/>
        <v>Easy</v>
      </c>
    </row>
    <row r="278" ht="15.0" customHeight="1">
      <c r="A278" s="5" t="s">
        <v>327</v>
      </c>
      <c r="B278" s="5" t="s">
        <v>157</v>
      </c>
      <c r="C278" s="5" t="s">
        <v>102</v>
      </c>
      <c r="D278" s="10">
        <f>AVERAGE('Precinct Vote Data'!H1106:H1109)</f>
        <v>0.6561880991</v>
      </c>
      <c r="E278" s="10">
        <f>AVERAGE(ABS('Precinct Vote Data'!H1106-0.5),ABS('Precinct Vote Data'!H1107-0.5),ABS('Precinct Vote Data'!H1108-0.5),ABS('Precinct Vote Data'!H1109-0.5))</f>
        <v>0.1561880991</v>
      </c>
      <c r="F278" s="10">
        <f>STDEV('Precinct Vote Data'!H1106:H1109)</f>
        <v>0.02024557722</v>
      </c>
      <c r="G278" s="5">
        <f>IF(('Precinct Vote Data'!H1106&gt;0.5)&lt;&gt;('Precinct Vote Data'!H1107&gt;0.5),1,0)+IF(('Precinct Vote Data'!H1107&gt;0.5)&lt;&gt;('Precinct Vote Data'!H1108&gt;0.5),1,0)+IF(('Precinct Vote Data'!H1108&gt;0.5)&lt;&gt;('Precinct Vote Data'!H1109&gt;0.5),1,0)</f>
        <v>0</v>
      </c>
      <c r="H278" s="2" t="str">
        <f t="shared" si="1"/>
        <v>Easy</v>
      </c>
    </row>
    <row r="279" ht="15.0" customHeight="1">
      <c r="A279" s="5" t="s">
        <v>327</v>
      </c>
      <c r="B279" s="5" t="s">
        <v>157</v>
      </c>
      <c r="C279" s="5" t="s">
        <v>103</v>
      </c>
      <c r="D279" s="10">
        <f>AVERAGE('Precinct Vote Data'!H1110:H1113)</f>
        <v>0.606290091</v>
      </c>
      <c r="E279" s="10">
        <f>AVERAGE(ABS('Precinct Vote Data'!H1110-0.5),ABS('Precinct Vote Data'!H1111-0.5),ABS('Precinct Vote Data'!H1112-0.5),ABS('Precinct Vote Data'!H1113-0.5))</f>
        <v>0.106290091</v>
      </c>
      <c r="F279" s="10">
        <f>STDEV('Precinct Vote Data'!H1110:H1113)</f>
        <v>0.02203523717</v>
      </c>
      <c r="G279" s="5">
        <f>IF(('Precinct Vote Data'!H1110&gt;0.5)&lt;&gt;('Precinct Vote Data'!H1111&gt;0.5),1,0)+IF(('Precinct Vote Data'!H1111&gt;0.5)&lt;&gt;('Precinct Vote Data'!H1112&gt;0.5),1,0)+IF(('Precinct Vote Data'!H1112&gt;0.5)&lt;&gt;('Precinct Vote Data'!H1113&gt;0.5),1,0)</f>
        <v>0</v>
      </c>
      <c r="H279" s="2" t="str">
        <f t="shared" si="1"/>
        <v>Medium</v>
      </c>
    </row>
    <row r="280" ht="15.0" customHeight="1">
      <c r="A280" s="5" t="s">
        <v>327</v>
      </c>
      <c r="B280" s="5" t="s">
        <v>157</v>
      </c>
      <c r="C280" s="5" t="s">
        <v>104</v>
      </c>
      <c r="D280" s="10">
        <f>AVERAGE('Precinct Vote Data'!H1114:H1117)</f>
        <v>0.6426596838</v>
      </c>
      <c r="E280" s="10">
        <f>AVERAGE(ABS('Precinct Vote Data'!H1114-0.5),ABS('Precinct Vote Data'!H1115-0.5),ABS('Precinct Vote Data'!H1116-0.5),ABS('Precinct Vote Data'!H1117-0.5))</f>
        <v>0.1426596838</v>
      </c>
      <c r="F280" s="10">
        <f>STDEV('Precinct Vote Data'!H1114:H1117)</f>
        <v>0.01361697607</v>
      </c>
      <c r="G280" s="5">
        <f>IF(('Precinct Vote Data'!H1114&gt;0.5)&lt;&gt;('Precinct Vote Data'!H1115&gt;0.5),1,0)+IF(('Precinct Vote Data'!H1115&gt;0.5)&lt;&gt;('Precinct Vote Data'!H1116&gt;0.5),1,0)+IF(('Precinct Vote Data'!H1116&gt;0.5)&lt;&gt;('Precinct Vote Data'!H1117&gt;0.5),1,0)</f>
        <v>0</v>
      </c>
      <c r="H280" s="2" t="str">
        <f t="shared" si="1"/>
        <v>Medium</v>
      </c>
    </row>
    <row r="281" ht="15.0" customHeight="1">
      <c r="A281" s="5" t="s">
        <v>327</v>
      </c>
      <c r="B281" s="5" t="s">
        <v>157</v>
      </c>
      <c r="C281" s="5" t="s">
        <v>333</v>
      </c>
      <c r="D281" s="10">
        <f>AVERAGE('Precinct Vote Data'!H1118:H1121)</f>
        <v>0.5780201838</v>
      </c>
      <c r="E281" s="10">
        <f>AVERAGE(ABS('Precinct Vote Data'!H1118-0.5),ABS('Precinct Vote Data'!H1119-0.5),ABS('Precinct Vote Data'!H1120-0.5),ABS('Precinct Vote Data'!H1121-0.5))</f>
        <v>0.07802018383</v>
      </c>
      <c r="F281" s="10">
        <f>STDEV('Precinct Vote Data'!H1118:H1121)</f>
        <v>0.01429078158</v>
      </c>
      <c r="G281" s="5">
        <f>IF(('Precinct Vote Data'!H1118&gt;0.5)&lt;&gt;('Precinct Vote Data'!H1119&gt;0.5),1,0)+IF(('Precinct Vote Data'!H1119&gt;0.5)&lt;&gt;('Precinct Vote Data'!H1120&gt;0.5),1,0)+IF(('Precinct Vote Data'!H1120&gt;0.5)&lt;&gt;('Precinct Vote Data'!H1121&gt;0.5),1,0)</f>
        <v>0</v>
      </c>
      <c r="H281" s="2" t="str">
        <f t="shared" si="1"/>
        <v>Medium</v>
      </c>
    </row>
    <row r="282" ht="15.0" customHeight="1">
      <c r="A282" s="5" t="s">
        <v>327</v>
      </c>
      <c r="B282" s="5" t="s">
        <v>157</v>
      </c>
      <c r="C282" s="5" t="s">
        <v>106</v>
      </c>
      <c r="D282" s="10">
        <f>AVERAGE('Precinct Vote Data'!H1122:H1125)</f>
        <v>0.644234516</v>
      </c>
      <c r="E282" s="10">
        <f>AVERAGE(ABS('Precinct Vote Data'!H1122-0.5),ABS('Precinct Vote Data'!H1123-0.5),ABS('Precinct Vote Data'!H1124-0.5),ABS('Precinct Vote Data'!H1125-0.5))</f>
        <v>0.144234516</v>
      </c>
      <c r="F282" s="10">
        <f>STDEV('Precinct Vote Data'!H1122:H1125)</f>
        <v>0.0146874179</v>
      </c>
      <c r="G282" s="5">
        <f>IF(('Precinct Vote Data'!H1122&gt;0.5)&lt;&gt;('Precinct Vote Data'!H1123&gt;0.5),1,0)+IF(('Precinct Vote Data'!H1123&gt;0.5)&lt;&gt;('Precinct Vote Data'!H1124&gt;0.5),1,0)+IF(('Precinct Vote Data'!H1124&gt;0.5)&lt;&gt;('Precinct Vote Data'!H1125&gt;0.5),1,0)</f>
        <v>0</v>
      </c>
      <c r="H282" s="2" t="str">
        <f t="shared" si="1"/>
        <v>Medium</v>
      </c>
    </row>
    <row r="283" ht="15.0" customHeight="1">
      <c r="A283" s="5" t="s">
        <v>327</v>
      </c>
      <c r="B283" s="5" t="s">
        <v>157</v>
      </c>
      <c r="C283" s="5" t="s">
        <v>109</v>
      </c>
      <c r="D283" s="10">
        <f>AVERAGE('Precinct Vote Data'!H1126:H1129)</f>
        <v>0.668060758</v>
      </c>
      <c r="E283" s="10">
        <f>AVERAGE(ABS('Precinct Vote Data'!H1126-0.5),ABS('Precinct Vote Data'!H1127-0.5),ABS('Precinct Vote Data'!H1128-0.5),ABS('Precinct Vote Data'!H1129-0.5))</f>
        <v>0.168060758</v>
      </c>
      <c r="F283" s="10">
        <f>STDEV('Precinct Vote Data'!H1126:H1129)</f>
        <v>0.0321899176</v>
      </c>
      <c r="G283" s="5">
        <f>IF(('Precinct Vote Data'!H1126&gt;0.5)&lt;&gt;('Precinct Vote Data'!H1127&gt;0.5),1,0)+IF(('Precinct Vote Data'!H1127&gt;0.5)&lt;&gt;('Precinct Vote Data'!H1128&gt;0.5),1,0)+IF(('Precinct Vote Data'!H1128&gt;0.5)&lt;&gt;('Precinct Vote Data'!H1129&gt;0.5),1,0)</f>
        <v>0</v>
      </c>
      <c r="H283" s="2" t="str">
        <f t="shared" si="1"/>
        <v>Easy</v>
      </c>
    </row>
    <row r="284" ht="15.0" customHeight="1">
      <c r="A284" s="5" t="s">
        <v>327</v>
      </c>
      <c r="B284" s="5" t="s">
        <v>157</v>
      </c>
      <c r="C284" s="5" t="s">
        <v>110</v>
      </c>
      <c r="D284" s="10">
        <f>AVERAGE('Precinct Vote Data'!H1130:H1133)</f>
        <v>0.6355016098</v>
      </c>
      <c r="E284" s="10">
        <f>AVERAGE(ABS('Precinct Vote Data'!H1130-0.5),ABS('Precinct Vote Data'!H1131-0.5),ABS('Precinct Vote Data'!H1132-0.5),ABS('Precinct Vote Data'!H1133-0.5))</f>
        <v>0.1355016098</v>
      </c>
      <c r="F284" s="10">
        <f>STDEV('Precinct Vote Data'!H1130:H1133)</f>
        <v>0.02814724962</v>
      </c>
      <c r="G284" s="5">
        <f>IF(('Precinct Vote Data'!H1130&gt;0.5)&lt;&gt;('Precinct Vote Data'!H1131&gt;0.5),1,0)+IF(('Precinct Vote Data'!H1131&gt;0.5)&lt;&gt;('Precinct Vote Data'!H1132&gt;0.5),1,0)+IF(('Precinct Vote Data'!H1132&gt;0.5)&lt;&gt;('Precinct Vote Data'!H1133&gt;0.5),1,0)</f>
        <v>0</v>
      </c>
      <c r="H284" s="2" t="str">
        <f t="shared" si="1"/>
        <v>Medium</v>
      </c>
    </row>
    <row r="285" ht="15.0" customHeight="1">
      <c r="A285" s="5" t="s">
        <v>327</v>
      </c>
      <c r="B285" s="5" t="s">
        <v>157</v>
      </c>
      <c r="C285" s="5" t="s">
        <v>111</v>
      </c>
      <c r="D285" s="10">
        <f>AVERAGE('Precinct Vote Data'!H1134:H1137)</f>
        <v>0.7380431456</v>
      </c>
      <c r="E285" s="10">
        <f>AVERAGE(ABS('Precinct Vote Data'!H1134-0.5),ABS('Precinct Vote Data'!H1135-0.5),ABS('Precinct Vote Data'!H1136-0.5),ABS('Precinct Vote Data'!H1137-0.5))</f>
        <v>0.2380431456</v>
      </c>
      <c r="F285" s="10">
        <f>STDEV('Precinct Vote Data'!H1134:H1137)</f>
        <v>0.0642849259</v>
      </c>
      <c r="G285" s="5">
        <f>IF(('Precinct Vote Data'!H1134&gt;0.5)&lt;&gt;('Precinct Vote Data'!H1135&gt;0.5),1,0)+IF(('Precinct Vote Data'!H1135&gt;0.5)&lt;&gt;('Precinct Vote Data'!H1136&gt;0.5),1,0)+IF(('Precinct Vote Data'!H1136&gt;0.5)&lt;&gt;('Precinct Vote Data'!H1137&gt;0.5),1,0)</f>
        <v>0</v>
      </c>
      <c r="H285" s="2" t="str">
        <f t="shared" si="1"/>
        <v>Medium</v>
      </c>
    </row>
    <row r="286" ht="15.0" customHeight="1">
      <c r="A286" s="5" t="s">
        <v>327</v>
      </c>
      <c r="B286" s="5" t="s">
        <v>157</v>
      </c>
      <c r="C286" s="5" t="s">
        <v>113</v>
      </c>
      <c r="D286" s="10">
        <f>AVERAGE('Precinct Vote Data'!H1138:H1141)</f>
        <v>0.6454719205</v>
      </c>
      <c r="E286" s="10">
        <f>AVERAGE(ABS('Precinct Vote Data'!H1138-0.5),ABS('Precinct Vote Data'!H1139-0.5),ABS('Precinct Vote Data'!H1140-0.5),ABS('Precinct Vote Data'!H1141-0.5))</f>
        <v>0.1454719205</v>
      </c>
      <c r="F286" s="10">
        <f>STDEV('Precinct Vote Data'!H1138:H1141)</f>
        <v>0.03205051585</v>
      </c>
      <c r="G286" s="5">
        <f>IF(('Precinct Vote Data'!H1138&gt;0.5)&lt;&gt;('Precinct Vote Data'!H1139&gt;0.5),1,0)+IF(('Precinct Vote Data'!H1139&gt;0.5)&lt;&gt;('Precinct Vote Data'!H1140&gt;0.5),1,0)+IF(('Precinct Vote Data'!H1140&gt;0.5)&lt;&gt;('Precinct Vote Data'!H1141&gt;0.5),1,0)</f>
        <v>0</v>
      </c>
      <c r="H286" s="2" t="str">
        <f t="shared" si="1"/>
        <v>Medium</v>
      </c>
    </row>
    <row r="287" ht="15.0" customHeight="1">
      <c r="A287" s="5" t="s">
        <v>327</v>
      </c>
      <c r="B287" s="5" t="s">
        <v>157</v>
      </c>
      <c r="C287" s="5" t="s">
        <v>114</v>
      </c>
      <c r="D287" s="10">
        <f>AVERAGE('Precinct Vote Data'!H1142:H1145)</f>
        <v>0.7948581825</v>
      </c>
      <c r="E287" s="10">
        <f>AVERAGE(ABS('Precinct Vote Data'!H1142-0.5),ABS('Precinct Vote Data'!H1143-0.5),ABS('Precinct Vote Data'!H1144-0.5),ABS('Precinct Vote Data'!H1145-0.5))</f>
        <v>0.2948581825</v>
      </c>
      <c r="F287" s="10">
        <f>STDEV('Precinct Vote Data'!H1142:H1145)</f>
        <v>0.08198357098</v>
      </c>
      <c r="G287" s="5">
        <f>IF(('Precinct Vote Data'!H1142&gt;0.5)&lt;&gt;('Precinct Vote Data'!H1143&gt;0.5),1,0)+IF(('Precinct Vote Data'!H1143&gt;0.5)&lt;&gt;('Precinct Vote Data'!H1144&gt;0.5),1,0)+IF(('Precinct Vote Data'!H1144&gt;0.5)&lt;&gt;('Precinct Vote Data'!H1145&gt;0.5),1,0)</f>
        <v>0</v>
      </c>
      <c r="H287" s="2" t="str">
        <f t="shared" si="1"/>
        <v>Medium</v>
      </c>
    </row>
    <row r="288" ht="15.0" customHeight="1">
      <c r="A288" s="5" t="s">
        <v>327</v>
      </c>
      <c r="B288" s="5" t="s">
        <v>157</v>
      </c>
      <c r="C288" s="5" t="s">
        <v>116</v>
      </c>
      <c r="D288" s="10">
        <f>AVERAGE('Precinct Vote Data'!H1146:H1149)</f>
        <v>0.5190472935</v>
      </c>
      <c r="E288" s="10">
        <f>AVERAGE(ABS('Precinct Vote Data'!H1146-0.5),ABS('Precinct Vote Data'!H1147-0.5),ABS('Precinct Vote Data'!H1148-0.5),ABS('Precinct Vote Data'!H1149-0.5))</f>
        <v>0.01904729346</v>
      </c>
      <c r="F288" s="10">
        <f>STDEV('Precinct Vote Data'!H1146:H1149)</f>
        <v>0.01342131457</v>
      </c>
      <c r="G288" s="5">
        <f>IF(('Precinct Vote Data'!H1146&gt;0.5)&lt;&gt;('Precinct Vote Data'!H1147&gt;0.5),1,0)+IF(('Precinct Vote Data'!H1147&gt;0.5)&lt;&gt;('Precinct Vote Data'!H1148&gt;0.5),1,0)+IF(('Precinct Vote Data'!H1148&gt;0.5)&lt;&gt;('Precinct Vote Data'!H1149&gt;0.5),1,0)</f>
        <v>0</v>
      </c>
      <c r="H288" s="2" t="str">
        <f t="shared" si="1"/>
        <v>Hard</v>
      </c>
    </row>
    <row r="289" ht="15.0" customHeight="1">
      <c r="A289" s="5" t="s">
        <v>327</v>
      </c>
      <c r="B289" s="5" t="s">
        <v>157</v>
      </c>
      <c r="C289" s="5" t="s">
        <v>118</v>
      </c>
      <c r="D289" s="10">
        <f>AVERAGE('Precinct Vote Data'!H1150:H1153)</f>
        <v>0.5203429135</v>
      </c>
      <c r="E289" s="10">
        <f>AVERAGE(ABS('Precinct Vote Data'!H1150-0.5),ABS('Precinct Vote Data'!H1151-0.5),ABS('Precinct Vote Data'!H1152-0.5),ABS('Precinct Vote Data'!H1153-0.5))</f>
        <v>0.02034291349</v>
      </c>
      <c r="F289" s="10">
        <f>STDEV('Precinct Vote Data'!H1150:H1153)</f>
        <v>0.01140190283</v>
      </c>
      <c r="G289" s="5">
        <f>IF(('Precinct Vote Data'!H1150&gt;0.5)&lt;&gt;('Precinct Vote Data'!H1151&gt;0.5),1,0)+IF(('Precinct Vote Data'!H1151&gt;0.5)&lt;&gt;('Precinct Vote Data'!H1152&gt;0.5),1,0)+IF(('Precinct Vote Data'!H1152&gt;0.5)&lt;&gt;('Precinct Vote Data'!H1153&gt;0.5),1,0)</f>
        <v>0</v>
      </c>
      <c r="H289" s="2" t="str">
        <f t="shared" si="1"/>
        <v>Hard</v>
      </c>
    </row>
    <row r="290" ht="15.0" customHeight="1">
      <c r="A290" s="5" t="s">
        <v>327</v>
      </c>
      <c r="B290" s="5" t="s">
        <v>157</v>
      </c>
      <c r="C290" s="5" t="s">
        <v>334</v>
      </c>
      <c r="D290" s="10">
        <f>AVERAGE('Precinct Vote Data'!H1154:H1157)</f>
        <v>0.5705031204</v>
      </c>
      <c r="E290" s="10">
        <f>AVERAGE(ABS('Precinct Vote Data'!H1154-0.5),ABS('Precinct Vote Data'!H1155-0.5),ABS('Precinct Vote Data'!H1156-0.5),ABS('Precinct Vote Data'!H1157-0.5))</f>
        <v>0.0705031204</v>
      </c>
      <c r="F290" s="10">
        <f>STDEV('Precinct Vote Data'!H1154:H1157)</f>
        <v>0.01623613969</v>
      </c>
      <c r="G290" s="5">
        <f>IF(('Precinct Vote Data'!H1154&gt;0.5)&lt;&gt;('Precinct Vote Data'!H1155&gt;0.5),1,0)+IF(('Precinct Vote Data'!H1155&gt;0.5)&lt;&gt;('Precinct Vote Data'!H1156&gt;0.5),1,0)+IF(('Precinct Vote Data'!H1156&gt;0.5)&lt;&gt;('Precinct Vote Data'!H1157&gt;0.5),1,0)</f>
        <v>0</v>
      </c>
      <c r="H290" s="2" t="str">
        <f t="shared" si="1"/>
        <v>Medium</v>
      </c>
    </row>
    <row r="291" ht="15.0" customHeight="1">
      <c r="A291" s="5" t="s">
        <v>327</v>
      </c>
      <c r="B291" s="5" t="s">
        <v>157</v>
      </c>
      <c r="C291" s="5" t="s">
        <v>335</v>
      </c>
      <c r="D291" s="10">
        <f>AVERAGE('Precinct Vote Data'!H1158:H1161)</f>
        <v>0.4849447903</v>
      </c>
      <c r="E291" s="10">
        <f>AVERAGE(ABS('Precinct Vote Data'!H1158-0.5),ABS('Precinct Vote Data'!H1159-0.5),ABS('Precinct Vote Data'!H1160-0.5),ABS('Precinct Vote Data'!H1161-0.5))</f>
        <v>0.01542448595</v>
      </c>
      <c r="F291" s="10">
        <f>STDEV('Precinct Vote Data'!H1158:H1161)</f>
        <v>0.01632041669</v>
      </c>
      <c r="G291" s="5">
        <f>IF(('Precinct Vote Data'!H1158&gt;0.5)&lt;&gt;('Precinct Vote Data'!H1159&gt;0.5),1,0)+IF(('Precinct Vote Data'!H1159&gt;0.5)&lt;&gt;('Precinct Vote Data'!H1160&gt;0.5),1,0)+IF(('Precinct Vote Data'!H1160&gt;0.5)&lt;&gt;('Precinct Vote Data'!H1161&gt;0.5),1,0)</f>
        <v>1</v>
      </c>
      <c r="H291" s="2" t="str">
        <f t="shared" si="1"/>
        <v>Hard</v>
      </c>
    </row>
    <row r="292" ht="15.0" customHeight="1">
      <c r="A292" s="5" t="s">
        <v>327</v>
      </c>
      <c r="B292" s="5" t="s">
        <v>157</v>
      </c>
      <c r="C292" s="5" t="s">
        <v>119</v>
      </c>
      <c r="D292" s="10">
        <f>AVERAGE('Precinct Vote Data'!H1162:H1165)</f>
        <v>0.5648770523</v>
      </c>
      <c r="E292" s="10">
        <f>AVERAGE(ABS('Precinct Vote Data'!H1162-0.5),ABS('Precinct Vote Data'!H1163-0.5),ABS('Precinct Vote Data'!H1164-0.5),ABS('Precinct Vote Data'!H1165-0.5))</f>
        <v>0.06487705227</v>
      </c>
      <c r="F292" s="10">
        <f>STDEV('Precinct Vote Data'!H1162:H1165)</f>
        <v>0.0186429025</v>
      </c>
      <c r="G292" s="5">
        <f>IF(('Precinct Vote Data'!H1162&gt;0.5)&lt;&gt;('Precinct Vote Data'!H1163&gt;0.5),1,0)+IF(('Precinct Vote Data'!H1163&gt;0.5)&lt;&gt;('Precinct Vote Data'!H1164&gt;0.5),1,0)+IF(('Precinct Vote Data'!H1164&gt;0.5)&lt;&gt;('Precinct Vote Data'!H1165&gt;0.5),1,0)</f>
        <v>0</v>
      </c>
      <c r="H292" s="2" t="str">
        <f t="shared" si="1"/>
        <v>Medium</v>
      </c>
    </row>
    <row r="293" ht="15.0" customHeight="1">
      <c r="A293" s="5" t="s">
        <v>327</v>
      </c>
      <c r="B293" s="5" t="s">
        <v>157</v>
      </c>
      <c r="C293" s="5" t="s">
        <v>336</v>
      </c>
      <c r="D293" s="10">
        <f>AVERAGE('Precinct Vote Data'!H1166:H1169)</f>
        <v>0.5477212889</v>
      </c>
      <c r="E293" s="10">
        <f>AVERAGE(ABS('Precinct Vote Data'!H1166-0.5),ABS('Precinct Vote Data'!H1167-0.5),ABS('Precinct Vote Data'!H1168-0.5),ABS('Precinct Vote Data'!H1169-0.5))</f>
        <v>0.0477212889</v>
      </c>
      <c r="F293" s="10">
        <f>STDEV('Precinct Vote Data'!H1166:H1169)</f>
        <v>0.03355763787</v>
      </c>
      <c r="G293" s="5">
        <f>IF(('Precinct Vote Data'!H1166&gt;0.5)&lt;&gt;('Precinct Vote Data'!H1167&gt;0.5),1,0)+IF(('Precinct Vote Data'!H1167&gt;0.5)&lt;&gt;('Precinct Vote Data'!H1168&gt;0.5),1,0)+IF(('Precinct Vote Data'!H1168&gt;0.5)&lt;&gt;('Precinct Vote Data'!H1169&gt;0.5),1,0)</f>
        <v>0</v>
      </c>
      <c r="H293" s="2" t="str">
        <f t="shared" si="1"/>
        <v>Hard</v>
      </c>
    </row>
    <row r="294" ht="15.0" customHeight="1">
      <c r="A294" s="5" t="s">
        <v>327</v>
      </c>
      <c r="B294" s="5" t="s">
        <v>157</v>
      </c>
      <c r="C294" s="5" t="s">
        <v>337</v>
      </c>
      <c r="D294" s="10">
        <f>AVERAGE('Precinct Vote Data'!H1170:H1173)</f>
        <v>0.5375045594</v>
      </c>
      <c r="E294" s="10">
        <f>AVERAGE(ABS('Precinct Vote Data'!H1170-0.5),ABS('Precinct Vote Data'!H1171-0.5),ABS('Precinct Vote Data'!H1172-0.5),ABS('Precinct Vote Data'!H1173-0.5))</f>
        <v>0.03750455936</v>
      </c>
      <c r="F294" s="10">
        <f>STDEV('Precinct Vote Data'!H1170:H1173)</f>
        <v>0.02453818015</v>
      </c>
      <c r="G294" s="5">
        <f>IF(('Precinct Vote Data'!H1170&gt;0.5)&lt;&gt;('Precinct Vote Data'!H1171&gt;0.5),1,0)+IF(('Precinct Vote Data'!H1171&gt;0.5)&lt;&gt;('Precinct Vote Data'!H1172&gt;0.5),1,0)+IF(('Precinct Vote Data'!H1172&gt;0.5)&lt;&gt;('Precinct Vote Data'!H1173&gt;0.5),1,0)</f>
        <v>0</v>
      </c>
      <c r="H294" s="2" t="str">
        <f t="shared" si="1"/>
        <v>Hard</v>
      </c>
    </row>
    <row r="295" ht="15.0" customHeight="1">
      <c r="A295" s="5" t="s">
        <v>327</v>
      </c>
      <c r="B295" s="5" t="s">
        <v>157</v>
      </c>
      <c r="C295" s="5" t="s">
        <v>338</v>
      </c>
      <c r="D295" s="10">
        <f>AVERAGE('Precinct Vote Data'!H1174:H1177)</f>
        <v>0.5857581354</v>
      </c>
      <c r="E295" s="10">
        <f>AVERAGE(ABS('Precinct Vote Data'!H1174-0.5),ABS('Precinct Vote Data'!H1175-0.5),ABS('Precinct Vote Data'!H1176-0.5),ABS('Precinct Vote Data'!H1177-0.5))</f>
        <v>0.0857581354</v>
      </c>
      <c r="F295" s="10">
        <f>STDEV('Precinct Vote Data'!H1174:H1177)</f>
        <v>0.01212849223</v>
      </c>
      <c r="G295" s="5">
        <f>IF(('Precinct Vote Data'!H1174&gt;0.5)&lt;&gt;('Precinct Vote Data'!H1175&gt;0.5),1,0)+IF(('Precinct Vote Data'!H1175&gt;0.5)&lt;&gt;('Precinct Vote Data'!H1176&gt;0.5),1,0)+IF(('Precinct Vote Data'!H1176&gt;0.5)&lt;&gt;('Precinct Vote Data'!H1177&gt;0.5),1,0)</f>
        <v>0</v>
      </c>
      <c r="H295" s="2" t="str">
        <f t="shared" si="1"/>
        <v>Medium</v>
      </c>
    </row>
    <row r="296" ht="15.0" customHeight="1">
      <c r="A296" s="5" t="s">
        <v>327</v>
      </c>
      <c r="B296" s="5" t="s">
        <v>157</v>
      </c>
      <c r="C296" s="5" t="s">
        <v>120</v>
      </c>
      <c r="D296" s="10">
        <f>AVERAGE('Precinct Vote Data'!H1178:H1181)</f>
        <v>0.599544377</v>
      </c>
      <c r="E296" s="10">
        <f>AVERAGE(ABS('Precinct Vote Data'!H1178-0.5),ABS('Precinct Vote Data'!H1179-0.5),ABS('Precinct Vote Data'!H1180-0.5),ABS('Precinct Vote Data'!H1181-0.5))</f>
        <v>0.09954437696</v>
      </c>
      <c r="F296" s="10">
        <f>STDEV('Precinct Vote Data'!H1178:H1181)</f>
        <v>0.008821804657</v>
      </c>
      <c r="G296" s="5">
        <f>IF(('Precinct Vote Data'!H1178&gt;0.5)&lt;&gt;('Precinct Vote Data'!H1179&gt;0.5),1,0)+IF(('Precinct Vote Data'!H1179&gt;0.5)&lt;&gt;('Precinct Vote Data'!H1180&gt;0.5),1,0)+IF(('Precinct Vote Data'!H1180&gt;0.5)&lt;&gt;('Precinct Vote Data'!H1181&gt;0.5),1,0)</f>
        <v>0</v>
      </c>
      <c r="H296" s="2" t="str">
        <f t="shared" si="1"/>
        <v>Medium</v>
      </c>
    </row>
    <row r="297" ht="15.0" customHeight="1">
      <c r="A297" s="5" t="s">
        <v>327</v>
      </c>
      <c r="B297" s="5" t="s">
        <v>157</v>
      </c>
      <c r="C297" s="5" t="s">
        <v>122</v>
      </c>
      <c r="D297" s="10">
        <f>AVERAGE('Precinct Vote Data'!H1182:H1185)</f>
        <v>0.5046517066</v>
      </c>
      <c r="E297" s="10">
        <f>AVERAGE(ABS('Precinct Vote Data'!H1182-0.5),ABS('Precinct Vote Data'!H1183-0.5),ABS('Precinct Vote Data'!H1184-0.5),ABS('Precinct Vote Data'!H1185-0.5))</f>
        <v>0.01074926756</v>
      </c>
      <c r="F297" s="10">
        <f>STDEV('Precinct Vote Data'!H1182:H1185)</f>
        <v>0.01372369706</v>
      </c>
      <c r="G297" s="5">
        <f>IF(('Precinct Vote Data'!H1182&gt;0.5)&lt;&gt;('Precinct Vote Data'!H1183&gt;0.5),1,0)+IF(('Precinct Vote Data'!H1183&gt;0.5)&lt;&gt;('Precinct Vote Data'!H1184&gt;0.5),1,0)+IF(('Precinct Vote Data'!H1184&gt;0.5)&lt;&gt;('Precinct Vote Data'!H1185&gt;0.5),1,0)</f>
        <v>2</v>
      </c>
      <c r="H297" s="2" t="str">
        <f t="shared" si="1"/>
        <v>Hard</v>
      </c>
    </row>
    <row r="298" ht="15.0" customHeight="1">
      <c r="A298" s="5" t="s">
        <v>327</v>
      </c>
      <c r="B298" s="5" t="s">
        <v>157</v>
      </c>
      <c r="C298" s="5" t="s">
        <v>339</v>
      </c>
      <c r="D298" s="10">
        <f>AVERAGE('Precinct Vote Data'!H1186:H1189)</f>
        <v>0.5439606463</v>
      </c>
      <c r="E298" s="10">
        <f>AVERAGE(ABS('Precinct Vote Data'!H1186-0.5),ABS('Precinct Vote Data'!H1187-0.5),ABS('Precinct Vote Data'!H1188-0.5),ABS('Precinct Vote Data'!H1189-0.5))</f>
        <v>0.04396064626</v>
      </c>
      <c r="F298" s="10">
        <f>STDEV('Precinct Vote Data'!H1186:H1189)</f>
        <v>0.0141502857</v>
      </c>
      <c r="G298" s="5">
        <f>IF(('Precinct Vote Data'!H1186&gt;0.5)&lt;&gt;('Precinct Vote Data'!H1187&gt;0.5),1,0)+IF(('Precinct Vote Data'!H1187&gt;0.5)&lt;&gt;('Precinct Vote Data'!H1188&gt;0.5),1,0)+IF(('Precinct Vote Data'!H1188&gt;0.5)&lt;&gt;('Precinct Vote Data'!H1189&gt;0.5),1,0)</f>
        <v>0</v>
      </c>
      <c r="H298" s="2" t="str">
        <f t="shared" si="1"/>
        <v>Hard</v>
      </c>
    </row>
    <row r="299" ht="15.0" customHeight="1">
      <c r="A299" s="5" t="s">
        <v>327</v>
      </c>
      <c r="B299" s="5" t="s">
        <v>157</v>
      </c>
      <c r="C299" s="5" t="s">
        <v>340</v>
      </c>
      <c r="D299" s="10">
        <f>AVERAGE('Precinct Vote Data'!H1190:H1193)</f>
        <v>0.5735578594</v>
      </c>
      <c r="E299" s="10">
        <f>AVERAGE(ABS('Precinct Vote Data'!H1190-0.5),ABS('Precinct Vote Data'!H1191-0.5),ABS('Precinct Vote Data'!H1192-0.5),ABS('Precinct Vote Data'!H1193-0.5))</f>
        <v>0.07355785936</v>
      </c>
      <c r="F299" s="10">
        <f>STDEV('Precinct Vote Data'!H1190:H1193)</f>
        <v>0.01757668027</v>
      </c>
      <c r="G299" s="5">
        <f>IF(('Precinct Vote Data'!H1190&gt;0.5)&lt;&gt;('Precinct Vote Data'!H1191&gt;0.5),1,0)+IF(('Precinct Vote Data'!H1191&gt;0.5)&lt;&gt;('Precinct Vote Data'!H1192&gt;0.5),1,0)+IF(('Precinct Vote Data'!H1192&gt;0.5)&lt;&gt;('Precinct Vote Data'!H1193&gt;0.5),1,0)</f>
        <v>0</v>
      </c>
      <c r="H299" s="2" t="str">
        <f t="shared" si="1"/>
        <v>Medium</v>
      </c>
    </row>
    <row r="300" ht="15.0" customHeight="1">
      <c r="A300" s="5" t="s">
        <v>327</v>
      </c>
      <c r="B300" s="5" t="s">
        <v>157</v>
      </c>
      <c r="C300" s="5" t="s">
        <v>341</v>
      </c>
      <c r="D300" s="10">
        <f>AVERAGE('Precinct Vote Data'!H1194:H1197)</f>
        <v>0.5065654117</v>
      </c>
      <c r="E300" s="10">
        <f>AVERAGE(ABS('Precinct Vote Data'!H1194-0.5),ABS('Precinct Vote Data'!H1195-0.5),ABS('Precinct Vote Data'!H1196-0.5),ABS('Precinct Vote Data'!H1197-0.5))</f>
        <v>0.008822748022</v>
      </c>
      <c r="F300" s="10">
        <f>STDEV('Precinct Vote Data'!H1194:H1197)</f>
        <v>0.009703607222</v>
      </c>
      <c r="G300" s="5">
        <f>IF(('Precinct Vote Data'!H1194&gt;0.5)&lt;&gt;('Precinct Vote Data'!H1195&gt;0.5),1,0)+IF(('Precinct Vote Data'!H1195&gt;0.5)&lt;&gt;('Precinct Vote Data'!H1196&gt;0.5),1,0)+IF(('Precinct Vote Data'!H1196&gt;0.5)&lt;&gt;('Precinct Vote Data'!H1197&gt;0.5),1,0)</f>
        <v>2</v>
      </c>
      <c r="H300" s="2" t="str">
        <f t="shared" si="1"/>
        <v>Hard</v>
      </c>
    </row>
    <row r="301" ht="15.0" customHeight="1">
      <c r="A301" s="5" t="s">
        <v>327</v>
      </c>
      <c r="B301" s="5" t="s">
        <v>157</v>
      </c>
      <c r="C301" s="5" t="s">
        <v>124</v>
      </c>
      <c r="D301" s="10">
        <f>AVERAGE('Precinct Vote Data'!H1198:H1201)</f>
        <v>0.565240774</v>
      </c>
      <c r="E301" s="10">
        <f>AVERAGE(ABS('Precinct Vote Data'!H1198-0.5),ABS('Precinct Vote Data'!H1199-0.5),ABS('Precinct Vote Data'!H1200-0.5),ABS('Precinct Vote Data'!H1201-0.5))</f>
        <v>0.06524077404</v>
      </c>
      <c r="F301" s="10">
        <f>STDEV('Precinct Vote Data'!H1198:H1201)</f>
        <v>0.007798321105</v>
      </c>
      <c r="G301" s="5">
        <f>IF(('Precinct Vote Data'!H1198&gt;0.5)&lt;&gt;('Precinct Vote Data'!H1199&gt;0.5),1,0)+IF(('Precinct Vote Data'!H1199&gt;0.5)&lt;&gt;('Precinct Vote Data'!H1200&gt;0.5),1,0)+IF(('Precinct Vote Data'!H1200&gt;0.5)&lt;&gt;('Precinct Vote Data'!H1201&gt;0.5),1,0)</f>
        <v>0</v>
      </c>
      <c r="H301" s="2" t="str">
        <f t="shared" si="1"/>
        <v>Medium</v>
      </c>
    </row>
    <row r="302" ht="15.0" customHeight="1">
      <c r="A302" s="5" t="s">
        <v>327</v>
      </c>
      <c r="B302" s="5" t="s">
        <v>157</v>
      </c>
      <c r="C302" s="5" t="s">
        <v>126</v>
      </c>
      <c r="D302" s="10">
        <f>AVERAGE('Precinct Vote Data'!H1202:H1205)</f>
        <v>0.4887118941</v>
      </c>
      <c r="E302" s="10">
        <f>AVERAGE(ABS('Precinct Vote Data'!H1202-0.5),ABS('Precinct Vote Data'!H1203-0.5),ABS('Precinct Vote Data'!H1204-0.5),ABS('Precinct Vote Data'!H1205-0.5))</f>
        <v>0.01855093689</v>
      </c>
      <c r="F302" s="10">
        <f>STDEV('Precinct Vote Data'!H1202:H1205)</f>
        <v>0.02192279483</v>
      </c>
      <c r="G302" s="5">
        <f>IF(('Precinct Vote Data'!H1202&gt;0.5)&lt;&gt;('Precinct Vote Data'!H1203&gt;0.5),1,0)+IF(('Precinct Vote Data'!H1203&gt;0.5)&lt;&gt;('Precinct Vote Data'!H1204&gt;0.5),1,0)+IF(('Precinct Vote Data'!H1204&gt;0.5)&lt;&gt;('Precinct Vote Data'!H1205&gt;0.5),1,0)</f>
        <v>1</v>
      </c>
      <c r="H302" s="2" t="str">
        <f t="shared" si="1"/>
        <v>Hard</v>
      </c>
    </row>
    <row r="303" ht="15.0" customHeight="1">
      <c r="A303" s="5" t="s">
        <v>327</v>
      </c>
      <c r="B303" s="5" t="s">
        <v>157</v>
      </c>
      <c r="C303" s="5" t="s">
        <v>127</v>
      </c>
      <c r="D303" s="10">
        <f>AVERAGE('Precinct Vote Data'!H1206:H1209)</f>
        <v>0.518504237</v>
      </c>
      <c r="E303" s="10">
        <f>AVERAGE(ABS('Precinct Vote Data'!H1206-0.5),ABS('Precinct Vote Data'!H1207-0.5),ABS('Precinct Vote Data'!H1208-0.5),ABS('Precinct Vote Data'!H1209-0.5))</f>
        <v>0.01850423703</v>
      </c>
      <c r="F303" s="10">
        <f>STDEV('Precinct Vote Data'!H1206:H1209)</f>
        <v>0.0141954341</v>
      </c>
      <c r="G303" s="5">
        <f>IF(('Precinct Vote Data'!H1206&gt;0.5)&lt;&gt;('Precinct Vote Data'!H1207&gt;0.5),1,0)+IF(('Precinct Vote Data'!H1207&gt;0.5)&lt;&gt;('Precinct Vote Data'!H1208&gt;0.5),1,0)+IF(('Precinct Vote Data'!H1208&gt;0.5)&lt;&gt;('Precinct Vote Data'!H1209&gt;0.5),1,0)</f>
        <v>0</v>
      </c>
      <c r="H303" s="2" t="str">
        <f t="shared" si="1"/>
        <v>Hard</v>
      </c>
    </row>
    <row r="304" ht="15.0" customHeight="1">
      <c r="A304" s="5" t="s">
        <v>327</v>
      </c>
      <c r="B304" s="5" t="s">
        <v>157</v>
      </c>
      <c r="C304" s="5" t="s">
        <v>342</v>
      </c>
      <c r="D304" s="10">
        <f>AVERAGE('Precinct Vote Data'!H1210:H1213)</f>
        <v>0.5261169751</v>
      </c>
      <c r="E304" s="10">
        <f>AVERAGE(ABS('Precinct Vote Data'!H1210-0.5),ABS('Precinct Vote Data'!H1211-0.5),ABS('Precinct Vote Data'!H1212-0.5),ABS('Precinct Vote Data'!H1213-0.5))</f>
        <v>0.02611697511</v>
      </c>
      <c r="F304" s="10">
        <f>STDEV('Precinct Vote Data'!H1210:H1213)</f>
        <v>0.01088392159</v>
      </c>
      <c r="G304" s="5">
        <f>IF(('Precinct Vote Data'!H1210&gt;0.5)&lt;&gt;('Precinct Vote Data'!H1211&gt;0.5),1,0)+IF(('Precinct Vote Data'!H1211&gt;0.5)&lt;&gt;('Precinct Vote Data'!H1212&gt;0.5),1,0)+IF(('Precinct Vote Data'!H1212&gt;0.5)&lt;&gt;('Precinct Vote Data'!H1213&gt;0.5),1,0)</f>
        <v>0</v>
      </c>
      <c r="H304" s="2" t="str">
        <f t="shared" si="1"/>
        <v>Hard</v>
      </c>
    </row>
    <row r="305" ht="15.0" customHeight="1">
      <c r="A305" s="5" t="s">
        <v>327</v>
      </c>
      <c r="B305" s="5" t="s">
        <v>343</v>
      </c>
      <c r="C305" s="5" t="s">
        <v>130</v>
      </c>
      <c r="D305" s="10">
        <f>AVERAGE('Precinct Vote Data'!H1214:H1217)</f>
        <v>0.3836929132</v>
      </c>
      <c r="E305" s="10">
        <f>AVERAGE(ABS('Precinct Vote Data'!H1214-0.5),ABS('Precinct Vote Data'!H1215-0.5),ABS('Precinct Vote Data'!H1216-0.5),ABS('Precinct Vote Data'!H1217-0.5))</f>
        <v>0.1163070868</v>
      </c>
      <c r="F305" s="10">
        <f>STDEV('Precinct Vote Data'!H1214:H1217)</f>
        <v>0.008998680002</v>
      </c>
      <c r="G305" s="5">
        <f>IF(('Precinct Vote Data'!H1214&gt;0.5)&lt;&gt;('Precinct Vote Data'!H1215&gt;0.5),1,0)+IF(('Precinct Vote Data'!H1215&gt;0.5)&lt;&gt;('Precinct Vote Data'!H1216&gt;0.5),1,0)+IF(('Precinct Vote Data'!H1216&gt;0.5)&lt;&gt;('Precinct Vote Data'!H1217&gt;0.5),1,0)</f>
        <v>0</v>
      </c>
      <c r="H305" s="2" t="str">
        <f t="shared" si="1"/>
        <v>Medium</v>
      </c>
    </row>
    <row r="306" ht="15.0" customHeight="1">
      <c r="A306" s="5" t="s">
        <v>327</v>
      </c>
      <c r="B306" s="5" t="s">
        <v>343</v>
      </c>
      <c r="C306" s="5" t="s">
        <v>131</v>
      </c>
      <c r="D306" s="10">
        <f>AVERAGE('Precinct Vote Data'!H1218:H1221)</f>
        <v>0.4185129031</v>
      </c>
      <c r="E306" s="10">
        <f>AVERAGE(ABS('Precinct Vote Data'!H1218-0.5),ABS('Precinct Vote Data'!H1219-0.5),ABS('Precinct Vote Data'!H1220-0.5),ABS('Precinct Vote Data'!H1221-0.5))</f>
        <v>0.08148709687</v>
      </c>
      <c r="F306" s="10">
        <f>STDEV('Precinct Vote Data'!H1218:H1221)</f>
        <v>0.02117767483</v>
      </c>
      <c r="G306" s="5">
        <f>IF(('Precinct Vote Data'!H1218&gt;0.5)&lt;&gt;('Precinct Vote Data'!H1219&gt;0.5),1,0)+IF(('Precinct Vote Data'!H1219&gt;0.5)&lt;&gt;('Precinct Vote Data'!H1220&gt;0.5),1,0)+IF(('Precinct Vote Data'!H1220&gt;0.5)&lt;&gt;('Precinct Vote Data'!H1221&gt;0.5),1,0)</f>
        <v>0</v>
      </c>
      <c r="H306" s="2" t="str">
        <f t="shared" si="1"/>
        <v>Medium</v>
      </c>
    </row>
    <row r="307" ht="15.0" customHeight="1">
      <c r="A307" s="5" t="s">
        <v>327</v>
      </c>
      <c r="B307" s="5" t="s">
        <v>343</v>
      </c>
      <c r="C307" s="5" t="s">
        <v>132</v>
      </c>
      <c r="D307" s="10">
        <f>AVERAGE('Precinct Vote Data'!H1222:H1225)</f>
        <v>0.3301520705</v>
      </c>
      <c r="E307" s="10">
        <f>AVERAGE(ABS('Precinct Vote Data'!H1222-0.5),ABS('Precinct Vote Data'!H1223-0.5),ABS('Precinct Vote Data'!H1224-0.5),ABS('Precinct Vote Data'!H1225-0.5))</f>
        <v>0.1698479295</v>
      </c>
      <c r="F307" s="10">
        <f>STDEV('Precinct Vote Data'!H1222:H1225)</f>
        <v>0.009984679663</v>
      </c>
      <c r="G307" s="5">
        <f>IF(('Precinct Vote Data'!H1222&gt;0.5)&lt;&gt;('Precinct Vote Data'!H1223&gt;0.5),1,0)+IF(('Precinct Vote Data'!H1223&gt;0.5)&lt;&gt;('Precinct Vote Data'!H1224&gt;0.5),1,0)+IF(('Precinct Vote Data'!H1224&gt;0.5)&lt;&gt;('Precinct Vote Data'!H1225&gt;0.5),1,0)</f>
        <v>0</v>
      </c>
      <c r="H307" s="2" t="str">
        <f t="shared" si="1"/>
        <v>Easy</v>
      </c>
    </row>
    <row r="308" ht="15.0" customHeight="1">
      <c r="A308" s="5" t="s">
        <v>327</v>
      </c>
      <c r="B308" s="5" t="s">
        <v>344</v>
      </c>
      <c r="C308" s="5" t="s">
        <v>133</v>
      </c>
      <c r="D308" s="10">
        <f>AVERAGE('Precinct Vote Data'!H1226:H1229)</f>
        <v>0.3676805744</v>
      </c>
      <c r="E308" s="10">
        <f>AVERAGE(ABS('Precinct Vote Data'!H1226-0.5),ABS('Precinct Vote Data'!H1227-0.5),ABS('Precinct Vote Data'!H1228-0.5),ABS('Precinct Vote Data'!H1229-0.5))</f>
        <v>0.1323194256</v>
      </c>
      <c r="F308" s="10">
        <f>STDEV('Precinct Vote Data'!H1226:H1229)</f>
        <v>0.05995458881</v>
      </c>
      <c r="G308" s="5">
        <f>IF(('Precinct Vote Data'!H1226&gt;0.5)&lt;&gt;('Precinct Vote Data'!H1227&gt;0.5),1,0)+IF(('Precinct Vote Data'!H1227&gt;0.5)&lt;&gt;('Precinct Vote Data'!H1228&gt;0.5),1,0)+IF(('Precinct Vote Data'!H1228&gt;0.5)&lt;&gt;('Precinct Vote Data'!H1229&gt;0.5),1,0)</f>
        <v>0</v>
      </c>
      <c r="H308" s="2" t="str">
        <f t="shared" si="1"/>
        <v>Medium</v>
      </c>
    </row>
    <row r="309" ht="15.0" customHeight="1">
      <c r="A309" s="5" t="s">
        <v>327</v>
      </c>
      <c r="B309" s="5" t="s">
        <v>345</v>
      </c>
      <c r="C309" s="5" t="s">
        <v>135</v>
      </c>
      <c r="D309" s="10">
        <f>AVERAGE('Precinct Vote Data'!H1230:H1233)</f>
        <v>0.4105908354</v>
      </c>
      <c r="E309" s="10">
        <f>AVERAGE(ABS('Precinct Vote Data'!H1230-0.5),ABS('Precinct Vote Data'!H1231-0.5),ABS('Precinct Vote Data'!H1232-0.5),ABS('Precinct Vote Data'!H1233-0.5))</f>
        <v>0.08940916465</v>
      </c>
      <c r="F309" s="10">
        <f>STDEV('Precinct Vote Data'!H1230:H1233)</f>
        <v>0.02343624123</v>
      </c>
      <c r="G309" s="5">
        <f>IF(('Precinct Vote Data'!H1230&gt;0.5)&lt;&gt;('Precinct Vote Data'!H1231&gt;0.5),1,0)+IF(('Precinct Vote Data'!H1231&gt;0.5)&lt;&gt;('Precinct Vote Data'!H1232&gt;0.5),1,0)+IF(('Precinct Vote Data'!H1232&gt;0.5)&lt;&gt;('Precinct Vote Data'!H1233&gt;0.5),1,0)</f>
        <v>0</v>
      </c>
      <c r="H309" s="2" t="str">
        <f t="shared" si="1"/>
        <v>Medium</v>
      </c>
    </row>
    <row r="310" ht="15.0" customHeight="1">
      <c r="A310" s="5" t="s">
        <v>327</v>
      </c>
      <c r="B310" s="5" t="s">
        <v>345</v>
      </c>
      <c r="C310" s="5" t="s">
        <v>136</v>
      </c>
      <c r="D310" s="10">
        <f>AVERAGE('Precinct Vote Data'!H1234:H1237)</f>
        <v>0.4376200531</v>
      </c>
      <c r="E310" s="10">
        <f>AVERAGE(ABS('Precinct Vote Data'!H1234-0.5),ABS('Precinct Vote Data'!H1235-0.5),ABS('Precinct Vote Data'!H1236-0.5),ABS('Precinct Vote Data'!H1237-0.5))</f>
        <v>0.06237994694</v>
      </c>
      <c r="F310" s="10">
        <f>STDEV('Precinct Vote Data'!H1234:H1237)</f>
        <v>0.01188967155</v>
      </c>
      <c r="G310" s="5">
        <f>IF(('Precinct Vote Data'!H1234&gt;0.5)&lt;&gt;('Precinct Vote Data'!H1235&gt;0.5),1,0)+IF(('Precinct Vote Data'!H1235&gt;0.5)&lt;&gt;('Precinct Vote Data'!H1236&gt;0.5),1,0)+IF(('Precinct Vote Data'!H1236&gt;0.5)&lt;&gt;('Precinct Vote Data'!H1237&gt;0.5),1,0)</f>
        <v>0</v>
      </c>
      <c r="H310" s="2" t="str">
        <f t="shared" si="1"/>
        <v>Medium</v>
      </c>
    </row>
    <row r="311" ht="15.0" customHeight="1">
      <c r="A311" s="5" t="s">
        <v>327</v>
      </c>
      <c r="B311" s="5" t="s">
        <v>346</v>
      </c>
      <c r="C311" s="5" t="s">
        <v>139</v>
      </c>
      <c r="D311" s="10">
        <f>AVERAGE('Precinct Vote Data'!H1238:H1241)</f>
        <v>0.3816461606</v>
      </c>
      <c r="E311" s="10">
        <f>AVERAGE(ABS('Precinct Vote Data'!H1238-0.5),ABS('Precinct Vote Data'!H1239-0.5),ABS('Precinct Vote Data'!H1240-0.5),ABS('Precinct Vote Data'!H1241-0.5))</f>
        <v>0.1183538394</v>
      </c>
      <c r="F311" s="10">
        <f>STDEV('Precinct Vote Data'!H1238:H1241)</f>
        <v>0.03386545065</v>
      </c>
      <c r="G311" s="5">
        <f>IF(('Precinct Vote Data'!H1238&gt;0.5)&lt;&gt;('Precinct Vote Data'!H1239&gt;0.5),1,0)+IF(('Precinct Vote Data'!H1239&gt;0.5)&lt;&gt;('Precinct Vote Data'!H1240&gt;0.5),1,0)+IF(('Precinct Vote Data'!H1240&gt;0.5)&lt;&gt;('Precinct Vote Data'!H1241&gt;0.5),1,0)</f>
        <v>0</v>
      </c>
      <c r="H311" s="2" t="str">
        <f t="shared" si="1"/>
        <v>Medium</v>
      </c>
    </row>
    <row r="312" ht="15.0" customHeight="1">
      <c r="A312" s="5" t="s">
        <v>327</v>
      </c>
      <c r="B312" s="5" t="s">
        <v>347</v>
      </c>
      <c r="C312" s="5" t="s">
        <v>140</v>
      </c>
      <c r="D312" s="10">
        <f>AVERAGE('Precinct Vote Data'!H1242:H1245)</f>
        <v>0.7488240921</v>
      </c>
      <c r="E312" s="10">
        <f>AVERAGE(ABS('Precinct Vote Data'!H1242-0.5),ABS('Precinct Vote Data'!H1243-0.5),ABS('Precinct Vote Data'!H1244-0.5),ABS('Precinct Vote Data'!H1245-0.5))</f>
        <v>0.2488240921</v>
      </c>
      <c r="F312" s="10">
        <f>STDEV('Precinct Vote Data'!H1242:H1245)</f>
        <v>0.02871508673</v>
      </c>
      <c r="G312" s="5">
        <f>IF(('Precinct Vote Data'!H1242&gt;0.5)&lt;&gt;('Precinct Vote Data'!H1243&gt;0.5),1,0)+IF(('Precinct Vote Data'!H1243&gt;0.5)&lt;&gt;('Precinct Vote Data'!H1244&gt;0.5),1,0)+IF(('Precinct Vote Data'!H1244&gt;0.5)&lt;&gt;('Precinct Vote Data'!H1245&gt;0.5),1,0)</f>
        <v>0</v>
      </c>
      <c r="H312" s="2" t="str">
        <f t="shared" si="1"/>
        <v>Easy</v>
      </c>
    </row>
    <row r="313" ht="15.0" customHeight="1">
      <c r="A313" s="5" t="s">
        <v>327</v>
      </c>
      <c r="B313" s="5" t="s">
        <v>347</v>
      </c>
      <c r="C313" s="5" t="s">
        <v>142</v>
      </c>
      <c r="D313" s="10">
        <f>AVERAGE('Precinct Vote Data'!H1246:H1249)</f>
        <v>0.7428650807</v>
      </c>
      <c r="E313" s="10">
        <f>AVERAGE(ABS('Precinct Vote Data'!H1246-0.5),ABS('Precinct Vote Data'!H1247-0.5),ABS('Precinct Vote Data'!H1248-0.5),ABS('Precinct Vote Data'!H1249-0.5))</f>
        <v>0.2428650807</v>
      </c>
      <c r="F313" s="10">
        <f>STDEV('Precinct Vote Data'!H1246:H1249)</f>
        <v>0.02214959487</v>
      </c>
      <c r="G313" s="5">
        <f>IF(('Precinct Vote Data'!H1246&gt;0.5)&lt;&gt;('Precinct Vote Data'!H1247&gt;0.5),1,0)+IF(('Precinct Vote Data'!H1247&gt;0.5)&lt;&gt;('Precinct Vote Data'!H1248&gt;0.5),1,0)+IF(('Precinct Vote Data'!H1248&gt;0.5)&lt;&gt;('Precinct Vote Data'!H1249&gt;0.5),1,0)</f>
        <v>0</v>
      </c>
      <c r="H313" s="2" t="str">
        <f t="shared" si="1"/>
        <v>Easy</v>
      </c>
    </row>
    <row r="314" ht="15.0" customHeight="1">
      <c r="A314" s="5" t="s">
        <v>327</v>
      </c>
      <c r="B314" s="5" t="s">
        <v>347</v>
      </c>
      <c r="C314" s="5" t="s">
        <v>148</v>
      </c>
      <c r="D314" s="10">
        <f>AVERAGE('Precinct Vote Data'!H1250:H1253)</f>
        <v>0.8344386405</v>
      </c>
      <c r="E314" s="10">
        <f>AVERAGE(ABS('Precinct Vote Data'!H1250-0.5),ABS('Precinct Vote Data'!H1251-0.5),ABS('Precinct Vote Data'!H1252-0.5),ABS('Precinct Vote Data'!H1253-0.5))</f>
        <v>0.3344386405</v>
      </c>
      <c r="F314" s="10">
        <f>STDEV('Precinct Vote Data'!H1250:H1253)</f>
        <v>0.04814017157</v>
      </c>
      <c r="G314" s="5">
        <f>IF(('Precinct Vote Data'!H1250&gt;0.5)&lt;&gt;('Precinct Vote Data'!H1251&gt;0.5),1,0)+IF(('Precinct Vote Data'!H1251&gt;0.5)&lt;&gt;('Precinct Vote Data'!H1252&gt;0.5),1,0)+IF(('Precinct Vote Data'!H1252&gt;0.5)&lt;&gt;('Precinct Vote Data'!H1253&gt;0.5),1,0)</f>
        <v>0</v>
      </c>
      <c r="H314" s="2" t="str">
        <f t="shared" si="1"/>
        <v>Easy</v>
      </c>
    </row>
    <row r="315" ht="15.0" customHeight="1">
      <c r="A315" s="5" t="s">
        <v>327</v>
      </c>
      <c r="B315" s="5" t="s">
        <v>347</v>
      </c>
      <c r="C315" s="5" t="s">
        <v>149</v>
      </c>
      <c r="D315" s="10">
        <f>AVERAGE('Precinct Vote Data'!H1254:H1257)</f>
        <v>0.7233785204</v>
      </c>
      <c r="E315" s="10">
        <f>AVERAGE(ABS('Precinct Vote Data'!H1254-0.5),ABS('Precinct Vote Data'!H1255-0.5),ABS('Precinct Vote Data'!H1256-0.5),ABS('Precinct Vote Data'!H1257-0.5))</f>
        <v>0.2233785204</v>
      </c>
      <c r="F315" s="10">
        <f>STDEV('Precinct Vote Data'!H1254:H1257)</f>
        <v>0.0373975632</v>
      </c>
      <c r="G315" s="5">
        <f>IF(('Precinct Vote Data'!H1254&gt;0.5)&lt;&gt;('Precinct Vote Data'!H1255&gt;0.5),1,0)+IF(('Precinct Vote Data'!H1255&gt;0.5)&lt;&gt;('Precinct Vote Data'!H1256&gt;0.5),1,0)+IF(('Precinct Vote Data'!H1256&gt;0.5)&lt;&gt;('Precinct Vote Data'!H1257&gt;0.5),1,0)</f>
        <v>0</v>
      </c>
      <c r="H315" s="2" t="str">
        <f t="shared" si="1"/>
        <v>Easy</v>
      </c>
    </row>
    <row r="316" ht="15.0" customHeight="1">
      <c r="A316" s="5" t="s">
        <v>327</v>
      </c>
      <c r="B316" s="5" t="s">
        <v>347</v>
      </c>
      <c r="C316" s="5" t="s">
        <v>348</v>
      </c>
      <c r="D316" s="10">
        <f>AVERAGE('Precinct Vote Data'!H1258:H1261)</f>
        <v>0.6919354117</v>
      </c>
      <c r="E316" s="10">
        <f>AVERAGE(ABS('Precinct Vote Data'!H1258-0.5),ABS('Precinct Vote Data'!H1259-0.5),ABS('Precinct Vote Data'!H1260-0.5),ABS('Precinct Vote Data'!H1261-0.5))</f>
        <v>0.1919354117</v>
      </c>
      <c r="F316" s="10">
        <f>STDEV('Precinct Vote Data'!H1258:H1261)</f>
        <v>0.02640561821</v>
      </c>
      <c r="G316" s="5">
        <f>IF(('Precinct Vote Data'!H1258&gt;0.5)&lt;&gt;('Precinct Vote Data'!H1259&gt;0.5),1,0)+IF(('Precinct Vote Data'!H1259&gt;0.5)&lt;&gt;('Precinct Vote Data'!H1260&gt;0.5),1,0)+IF(('Precinct Vote Data'!H1260&gt;0.5)&lt;&gt;('Precinct Vote Data'!H1261&gt;0.5),1,0)</f>
        <v>0</v>
      </c>
      <c r="H316" s="2" t="str">
        <f t="shared" si="1"/>
        <v>Easy</v>
      </c>
    </row>
    <row r="317" ht="15.0" customHeight="1">
      <c r="A317" s="5" t="s">
        <v>327</v>
      </c>
      <c r="B317" s="5" t="s">
        <v>347</v>
      </c>
      <c r="C317" s="5" t="s">
        <v>150</v>
      </c>
      <c r="D317" s="10">
        <f>AVERAGE('Precinct Vote Data'!H1262:H1265)</f>
        <v>0.7574031713</v>
      </c>
      <c r="E317" s="10">
        <f>AVERAGE(ABS('Precinct Vote Data'!H1262-0.5),ABS('Precinct Vote Data'!H1263-0.5),ABS('Precinct Vote Data'!H1264-0.5),ABS('Precinct Vote Data'!H1265-0.5))</f>
        <v>0.2574031713</v>
      </c>
      <c r="F317" s="10">
        <f>STDEV('Precinct Vote Data'!H1262:H1265)</f>
        <v>0.04167456212</v>
      </c>
      <c r="G317" s="5">
        <f>IF(('Precinct Vote Data'!H1262&gt;0.5)&lt;&gt;('Precinct Vote Data'!H1263&gt;0.5),1,0)+IF(('Precinct Vote Data'!H1263&gt;0.5)&lt;&gt;('Precinct Vote Data'!H1264&gt;0.5),1,0)+IF(('Precinct Vote Data'!H1264&gt;0.5)&lt;&gt;('Precinct Vote Data'!H1265&gt;0.5),1,0)</f>
        <v>0</v>
      </c>
      <c r="H317" s="2" t="str">
        <f t="shared" si="1"/>
        <v>Easy</v>
      </c>
    </row>
    <row r="318" ht="15.0" customHeight="1">
      <c r="A318" s="5" t="s">
        <v>327</v>
      </c>
      <c r="B318" s="5" t="s">
        <v>347</v>
      </c>
      <c r="C318" s="5" t="s">
        <v>349</v>
      </c>
      <c r="D318" s="10">
        <f>AVERAGE('Precinct Vote Data'!H1266:H1269)</f>
        <v>0.75149325</v>
      </c>
      <c r="E318" s="10">
        <f>AVERAGE(ABS('Precinct Vote Data'!H1266-0.5),ABS('Precinct Vote Data'!H1267-0.5),ABS('Precinct Vote Data'!H1268-0.5),ABS('Precinct Vote Data'!H1269-0.5))</f>
        <v>0.25149325</v>
      </c>
      <c r="F318" s="10">
        <f>STDEV('Precinct Vote Data'!H1266:H1269)</f>
        <v>0.03945504215</v>
      </c>
      <c r="G318" s="5">
        <f>IF(('Precinct Vote Data'!H1266&gt;0.5)&lt;&gt;('Precinct Vote Data'!H1267&gt;0.5),1,0)+IF(('Precinct Vote Data'!H1267&gt;0.5)&lt;&gt;('Precinct Vote Data'!H1268&gt;0.5),1,0)+IF(('Precinct Vote Data'!H1268&gt;0.5)&lt;&gt;('Precinct Vote Data'!H1269&gt;0.5),1,0)</f>
        <v>0</v>
      </c>
      <c r="H318" s="2" t="str">
        <f t="shared" si="1"/>
        <v>Easy</v>
      </c>
    </row>
    <row r="319" ht="15.0" customHeight="1">
      <c r="A319" s="5" t="s">
        <v>327</v>
      </c>
      <c r="B319" s="5" t="s">
        <v>347</v>
      </c>
      <c r="C319" s="5" t="s">
        <v>151</v>
      </c>
      <c r="D319" s="10">
        <f>AVERAGE('Precinct Vote Data'!H1270:H1273)</f>
        <v>0.7456507588</v>
      </c>
      <c r="E319" s="10">
        <f>AVERAGE(ABS('Precinct Vote Data'!H1270-0.5),ABS('Precinct Vote Data'!H1271-0.5),ABS('Precinct Vote Data'!H1272-0.5),ABS('Precinct Vote Data'!H1273-0.5))</f>
        <v>0.2456507588</v>
      </c>
      <c r="F319" s="10">
        <f>STDEV('Precinct Vote Data'!H1270:H1273)</f>
        <v>0.06175448031</v>
      </c>
      <c r="G319" s="5">
        <f>IF(('Precinct Vote Data'!H1270&gt;0.5)&lt;&gt;('Precinct Vote Data'!H1271&gt;0.5),1,0)+IF(('Precinct Vote Data'!H1271&gt;0.5)&lt;&gt;('Precinct Vote Data'!H1272&gt;0.5),1,0)+IF(('Precinct Vote Data'!H1272&gt;0.5)&lt;&gt;('Precinct Vote Data'!H1273&gt;0.5),1,0)</f>
        <v>0</v>
      </c>
      <c r="H319" s="2" t="str">
        <f t="shared" si="1"/>
        <v>Medium</v>
      </c>
    </row>
    <row r="320" ht="15.0" customHeight="1">
      <c r="A320" s="5" t="s">
        <v>327</v>
      </c>
      <c r="B320" s="5" t="s">
        <v>347</v>
      </c>
      <c r="C320" s="5" t="s">
        <v>152</v>
      </c>
      <c r="D320" s="10">
        <f>AVERAGE('Precinct Vote Data'!H1274:H1277)</f>
        <v>0.6658051818</v>
      </c>
      <c r="E320" s="10">
        <f>AVERAGE(ABS('Precinct Vote Data'!H1274-0.5),ABS('Precinct Vote Data'!H1275-0.5),ABS('Precinct Vote Data'!H1276-0.5),ABS('Precinct Vote Data'!H1277-0.5))</f>
        <v>0.1658051818</v>
      </c>
      <c r="F320" s="10">
        <f>STDEV('Precinct Vote Data'!H1274:H1277)</f>
        <v>0.02274395525</v>
      </c>
      <c r="G320" s="5">
        <f>IF(('Precinct Vote Data'!H1274&gt;0.5)&lt;&gt;('Precinct Vote Data'!H1275&gt;0.5),1,0)+IF(('Precinct Vote Data'!H1275&gt;0.5)&lt;&gt;('Precinct Vote Data'!H1276&gt;0.5),1,0)+IF(('Precinct Vote Data'!H1276&gt;0.5)&lt;&gt;('Precinct Vote Data'!H1277&gt;0.5),1,0)</f>
        <v>0</v>
      </c>
      <c r="H320" s="2" t="str">
        <f t="shared" si="1"/>
        <v>Easy</v>
      </c>
    </row>
    <row r="321" ht="15.0" customHeight="1">
      <c r="A321" s="5" t="s">
        <v>327</v>
      </c>
      <c r="B321" s="5" t="s">
        <v>347</v>
      </c>
      <c r="C321" s="5" t="s">
        <v>153</v>
      </c>
      <c r="D321" s="10">
        <f>AVERAGE('Precinct Vote Data'!H1278:H1281)</f>
        <v>0.6428137047</v>
      </c>
      <c r="E321" s="10">
        <f>AVERAGE(ABS('Precinct Vote Data'!H1278-0.5),ABS('Precinct Vote Data'!H1279-0.5),ABS('Precinct Vote Data'!H1280-0.5),ABS('Precinct Vote Data'!H1281-0.5))</f>
        <v>0.1428137047</v>
      </c>
      <c r="F321" s="10">
        <f>STDEV('Precinct Vote Data'!H1278:H1281)</f>
        <v>0.02628419166</v>
      </c>
      <c r="G321" s="5">
        <f>IF(('Precinct Vote Data'!H1278&gt;0.5)&lt;&gt;('Precinct Vote Data'!H1279&gt;0.5),1,0)+IF(('Precinct Vote Data'!H1279&gt;0.5)&lt;&gt;('Precinct Vote Data'!H1280&gt;0.5),1,0)+IF(('Precinct Vote Data'!H1280&gt;0.5)&lt;&gt;('Precinct Vote Data'!H1281&gt;0.5),1,0)</f>
        <v>0</v>
      </c>
      <c r="H321" s="2" t="str">
        <f t="shared" si="1"/>
        <v>Medium</v>
      </c>
    </row>
    <row r="322" ht="15.0" customHeight="1">
      <c r="A322" s="5" t="s">
        <v>327</v>
      </c>
      <c r="B322" s="5" t="s">
        <v>347</v>
      </c>
      <c r="C322" s="5" t="s">
        <v>154</v>
      </c>
      <c r="D322" s="10">
        <f>AVERAGE('Precinct Vote Data'!H1282:H1285)</f>
        <v>0.7159699183</v>
      </c>
      <c r="E322" s="10">
        <f>AVERAGE(ABS('Precinct Vote Data'!H1282-0.5),ABS('Precinct Vote Data'!H1283-0.5),ABS('Precinct Vote Data'!H1284-0.5),ABS('Precinct Vote Data'!H1285-0.5))</f>
        <v>0.2159699183</v>
      </c>
      <c r="F322" s="10">
        <f>STDEV('Precinct Vote Data'!H1282:H1285)</f>
        <v>0.03873264708</v>
      </c>
      <c r="G322" s="5">
        <f>IF(('Precinct Vote Data'!H1282&gt;0.5)&lt;&gt;('Precinct Vote Data'!H1283&gt;0.5),1,0)+IF(('Precinct Vote Data'!H1283&gt;0.5)&lt;&gt;('Precinct Vote Data'!H1284&gt;0.5),1,0)+IF(('Precinct Vote Data'!H1284&gt;0.5)&lt;&gt;('Precinct Vote Data'!H1285&gt;0.5),1,0)</f>
        <v>0</v>
      </c>
      <c r="H322" s="2" t="str">
        <f t="shared" si="1"/>
        <v>Easy</v>
      </c>
    </row>
    <row r="323" ht="15.0" customHeight="1">
      <c r="A323" s="5" t="s">
        <v>327</v>
      </c>
      <c r="B323" s="5" t="s">
        <v>347</v>
      </c>
      <c r="C323" s="5" t="s">
        <v>155</v>
      </c>
      <c r="D323" s="10">
        <f>AVERAGE('Precinct Vote Data'!H1286:H1289)</f>
        <v>0.6865570138</v>
      </c>
      <c r="E323" s="10">
        <f>AVERAGE(ABS('Precinct Vote Data'!H1286-0.5),ABS('Precinct Vote Data'!H1287-0.5),ABS('Precinct Vote Data'!H1288-0.5),ABS('Precinct Vote Data'!H1289-0.5))</f>
        <v>0.1865570138</v>
      </c>
      <c r="F323" s="10">
        <f>STDEV('Precinct Vote Data'!H1286:H1289)</f>
        <v>0.01814988866</v>
      </c>
      <c r="G323" s="5">
        <f>IF(('Precinct Vote Data'!H1286&gt;0.5)&lt;&gt;('Precinct Vote Data'!H1287&gt;0.5),1,0)+IF(('Precinct Vote Data'!H1287&gt;0.5)&lt;&gt;('Precinct Vote Data'!H1288&gt;0.5),1,0)+IF(('Precinct Vote Data'!H1288&gt;0.5)&lt;&gt;('Precinct Vote Data'!H1289&gt;0.5),1,0)</f>
        <v>0</v>
      </c>
      <c r="H323" s="2" t="str">
        <f t="shared" si="1"/>
        <v>Easy</v>
      </c>
    </row>
    <row r="324" ht="15.0" customHeight="1">
      <c r="A324" s="5" t="s">
        <v>327</v>
      </c>
      <c r="B324" s="5" t="s">
        <v>347</v>
      </c>
      <c r="C324" s="5" t="s">
        <v>156</v>
      </c>
      <c r="D324" s="10">
        <f>AVERAGE('Precinct Vote Data'!H1290:H1293)</f>
        <v>0.6860231249</v>
      </c>
      <c r="E324" s="10">
        <f>AVERAGE(ABS('Precinct Vote Data'!H1290-0.5),ABS('Precinct Vote Data'!H1291-0.5),ABS('Precinct Vote Data'!H1292-0.5),ABS('Precinct Vote Data'!H1293-0.5))</f>
        <v>0.1860231249</v>
      </c>
      <c r="F324" s="10">
        <f>STDEV('Precinct Vote Data'!H1290:H1293)</f>
        <v>0.03291373705</v>
      </c>
      <c r="G324" s="5">
        <f>IF(('Precinct Vote Data'!H1290&gt;0.5)&lt;&gt;('Precinct Vote Data'!H1291&gt;0.5),1,0)+IF(('Precinct Vote Data'!H1291&gt;0.5)&lt;&gt;('Precinct Vote Data'!H1292&gt;0.5),1,0)+IF(('Precinct Vote Data'!H1292&gt;0.5)&lt;&gt;('Precinct Vote Data'!H1293&gt;0.5),1,0)</f>
        <v>0</v>
      </c>
      <c r="H324" s="2" t="str">
        <f t="shared" si="1"/>
        <v>Easy</v>
      </c>
    </row>
    <row r="325" ht="15.0" customHeight="1">
      <c r="A325" s="5" t="s">
        <v>327</v>
      </c>
      <c r="B325" s="5" t="s">
        <v>347</v>
      </c>
      <c r="C325" s="5" t="s">
        <v>158</v>
      </c>
      <c r="D325" s="10">
        <f>AVERAGE('Precinct Vote Data'!H1294:H1297)</f>
        <v>0.7148636042</v>
      </c>
      <c r="E325" s="10">
        <f>AVERAGE(ABS('Precinct Vote Data'!H1294-0.5),ABS('Precinct Vote Data'!H1295-0.5),ABS('Precinct Vote Data'!H1296-0.5),ABS('Precinct Vote Data'!H1297-0.5))</f>
        <v>0.2148636042</v>
      </c>
      <c r="F325" s="10">
        <f>STDEV('Precinct Vote Data'!H1294:H1297)</f>
        <v>0.03356262488</v>
      </c>
      <c r="G325" s="5">
        <f>IF(('Precinct Vote Data'!H1294&gt;0.5)&lt;&gt;('Precinct Vote Data'!H1295&gt;0.5),1,0)+IF(('Precinct Vote Data'!H1295&gt;0.5)&lt;&gt;('Precinct Vote Data'!H1296&gt;0.5),1,0)+IF(('Precinct Vote Data'!H1296&gt;0.5)&lt;&gt;('Precinct Vote Data'!H1297&gt;0.5),1,0)</f>
        <v>0</v>
      </c>
      <c r="H325" s="2" t="str">
        <f t="shared" si="1"/>
        <v>Easy</v>
      </c>
    </row>
    <row r="326" ht="15.0" customHeight="1">
      <c r="A326" s="5" t="s">
        <v>327</v>
      </c>
      <c r="B326" s="5" t="s">
        <v>347</v>
      </c>
      <c r="C326" s="5" t="s">
        <v>159</v>
      </c>
      <c r="D326" s="10">
        <f>AVERAGE('Precinct Vote Data'!H1298:H1301)</f>
        <v>0.7177090704</v>
      </c>
      <c r="E326" s="10">
        <f>AVERAGE(ABS('Precinct Vote Data'!H1298-0.5),ABS('Precinct Vote Data'!H1299-0.5),ABS('Precinct Vote Data'!H1300-0.5),ABS('Precinct Vote Data'!H1301-0.5))</f>
        <v>0.2177090704</v>
      </c>
      <c r="F326" s="10">
        <f>STDEV('Precinct Vote Data'!H1298:H1301)</f>
        <v>0.02186235874</v>
      </c>
      <c r="G326" s="5">
        <f>IF(('Precinct Vote Data'!H1298&gt;0.5)&lt;&gt;('Precinct Vote Data'!H1299&gt;0.5),1,0)+IF(('Precinct Vote Data'!H1299&gt;0.5)&lt;&gt;('Precinct Vote Data'!H1300&gt;0.5),1,0)+IF(('Precinct Vote Data'!H1300&gt;0.5)&lt;&gt;('Precinct Vote Data'!H1301&gt;0.5),1,0)</f>
        <v>0</v>
      </c>
      <c r="H326" s="2" t="str">
        <f t="shared" si="1"/>
        <v>Easy</v>
      </c>
    </row>
    <row r="327" ht="15.0" customHeight="1">
      <c r="A327" s="5" t="s">
        <v>327</v>
      </c>
      <c r="B327" s="5" t="s">
        <v>350</v>
      </c>
      <c r="C327" s="5" t="s">
        <v>351</v>
      </c>
      <c r="D327" s="10">
        <f>AVERAGE('Precinct Vote Data'!H1302:H1305)</f>
        <v>0.497232179</v>
      </c>
      <c r="E327" s="10">
        <f>AVERAGE(ABS('Precinct Vote Data'!H1302-0.5),ABS('Precinct Vote Data'!H1303-0.5),ABS('Precinct Vote Data'!H1304-0.5),ABS('Precinct Vote Data'!H1305-0.5))</f>
        <v>0.0117062819</v>
      </c>
      <c r="F327" s="10">
        <f>STDEV('Precinct Vote Data'!H1302:H1305)</f>
        <v>0.01394435551</v>
      </c>
      <c r="G327" s="5">
        <f>IF(('Precinct Vote Data'!H1302&gt;0.5)&lt;&gt;('Precinct Vote Data'!H1303&gt;0.5),1,0)+IF(('Precinct Vote Data'!H1303&gt;0.5)&lt;&gt;('Precinct Vote Data'!H1304&gt;0.5),1,0)+IF(('Precinct Vote Data'!H1304&gt;0.5)&lt;&gt;('Precinct Vote Data'!H1305&gt;0.5),1,0)</f>
        <v>3</v>
      </c>
      <c r="H327" s="2" t="str">
        <f t="shared" si="1"/>
        <v>Hard</v>
      </c>
    </row>
    <row r="328" ht="15.0" customHeight="1">
      <c r="A328" s="5" t="s">
        <v>327</v>
      </c>
      <c r="B328" s="5" t="s">
        <v>350</v>
      </c>
      <c r="C328" s="5" t="s">
        <v>352</v>
      </c>
      <c r="D328" s="10">
        <f>AVERAGE('Precinct Vote Data'!H1306:H1309)</f>
        <v>0.5317000363</v>
      </c>
      <c r="E328" s="10">
        <f>AVERAGE(ABS('Precinct Vote Data'!H1306-0.5),ABS('Precinct Vote Data'!H1307-0.5),ABS('Precinct Vote Data'!H1308-0.5),ABS('Precinct Vote Data'!H1309-0.5))</f>
        <v>0.03170003633</v>
      </c>
      <c r="F328" s="10">
        <f>STDEV('Precinct Vote Data'!H1306:H1309)</f>
        <v>0.009629140114</v>
      </c>
      <c r="G328" s="5">
        <f>IF(('Precinct Vote Data'!H1306&gt;0.5)&lt;&gt;('Precinct Vote Data'!H1307&gt;0.5),1,0)+IF(('Precinct Vote Data'!H1307&gt;0.5)&lt;&gt;('Precinct Vote Data'!H1308&gt;0.5),1,0)+IF(('Precinct Vote Data'!H1308&gt;0.5)&lt;&gt;('Precinct Vote Data'!H1309&gt;0.5),1,0)</f>
        <v>0</v>
      </c>
      <c r="H328" s="2" t="str">
        <f t="shared" si="1"/>
        <v>Hard</v>
      </c>
    </row>
    <row r="329" ht="15.0" customHeight="1">
      <c r="A329" s="5" t="s">
        <v>327</v>
      </c>
      <c r="B329" s="5" t="s">
        <v>350</v>
      </c>
      <c r="C329" s="5" t="s">
        <v>353</v>
      </c>
      <c r="D329" s="10">
        <f>AVERAGE('Precinct Vote Data'!H1310:H1313)</f>
        <v>0.5419561251</v>
      </c>
      <c r="E329" s="10">
        <f>AVERAGE(ABS('Precinct Vote Data'!H1310-0.5),ABS('Precinct Vote Data'!H1311-0.5),ABS('Precinct Vote Data'!H1312-0.5),ABS('Precinct Vote Data'!H1313-0.5))</f>
        <v>0.04195612507</v>
      </c>
      <c r="F329" s="10">
        <f>STDEV('Precinct Vote Data'!H1310:H1313)</f>
        <v>0.03141515456</v>
      </c>
      <c r="G329" s="5">
        <f>IF(('Precinct Vote Data'!H1310&gt;0.5)&lt;&gt;('Precinct Vote Data'!H1311&gt;0.5),1,0)+IF(('Precinct Vote Data'!H1311&gt;0.5)&lt;&gt;('Precinct Vote Data'!H1312&gt;0.5),1,0)+IF(('Precinct Vote Data'!H1312&gt;0.5)&lt;&gt;('Precinct Vote Data'!H1313&gt;0.5),1,0)</f>
        <v>0</v>
      </c>
      <c r="H329" s="2" t="str">
        <f t="shared" si="1"/>
        <v>Hard</v>
      </c>
    </row>
    <row r="330" ht="15.0" customHeight="1">
      <c r="A330" s="5" t="s">
        <v>327</v>
      </c>
      <c r="B330" s="5" t="s">
        <v>350</v>
      </c>
      <c r="C330" s="5" t="s">
        <v>354</v>
      </c>
      <c r="D330" s="10">
        <f>AVERAGE('Precinct Vote Data'!H1314:H1317)</f>
        <v>0.526667321</v>
      </c>
      <c r="E330" s="10">
        <f>AVERAGE(ABS('Precinct Vote Data'!H1314-0.5),ABS('Precinct Vote Data'!H1315-0.5),ABS('Precinct Vote Data'!H1316-0.5),ABS('Precinct Vote Data'!H1317-0.5))</f>
        <v>0.02666732104</v>
      </c>
      <c r="F330" s="10">
        <f>STDEV('Precinct Vote Data'!H1314:H1317)</f>
        <v>0.01088616487</v>
      </c>
      <c r="G330" s="5">
        <f>IF(('Precinct Vote Data'!H1314&gt;0.5)&lt;&gt;('Precinct Vote Data'!H1315&gt;0.5),1,0)+IF(('Precinct Vote Data'!H1315&gt;0.5)&lt;&gt;('Precinct Vote Data'!H1316&gt;0.5),1,0)+IF(('Precinct Vote Data'!H1316&gt;0.5)&lt;&gt;('Precinct Vote Data'!H1317&gt;0.5),1,0)</f>
        <v>0</v>
      </c>
      <c r="H330" s="2" t="str">
        <f t="shared" si="1"/>
        <v>Hard</v>
      </c>
    </row>
    <row r="331" ht="15.0" customHeight="1">
      <c r="A331" s="5" t="s">
        <v>327</v>
      </c>
      <c r="B331" s="5" t="s">
        <v>355</v>
      </c>
      <c r="C331" s="5" t="s">
        <v>162</v>
      </c>
      <c r="D331" s="10">
        <f>AVERAGE('Precinct Vote Data'!H1318:H1321)</f>
        <v>0.6191649369</v>
      </c>
      <c r="E331" s="10">
        <f>AVERAGE(ABS('Precinct Vote Data'!H1318-0.5),ABS('Precinct Vote Data'!H1319-0.5),ABS('Precinct Vote Data'!H1320-0.5),ABS('Precinct Vote Data'!H1321-0.5))</f>
        <v>0.1191649369</v>
      </c>
      <c r="F331" s="10">
        <f>STDEV('Precinct Vote Data'!H1318:H1321)</f>
        <v>0.03252885451</v>
      </c>
      <c r="G331" s="5">
        <f>IF(('Precinct Vote Data'!H1318&gt;0.5)&lt;&gt;('Precinct Vote Data'!H1319&gt;0.5),1,0)+IF(('Precinct Vote Data'!H1319&gt;0.5)&lt;&gt;('Precinct Vote Data'!H1320&gt;0.5),1,0)+IF(('Precinct Vote Data'!H1320&gt;0.5)&lt;&gt;('Precinct Vote Data'!H1321&gt;0.5),1,0)</f>
        <v>0</v>
      </c>
      <c r="H331" s="2" t="str">
        <f t="shared" si="1"/>
        <v>Medium</v>
      </c>
    </row>
    <row r="332" ht="15.0" customHeight="1">
      <c r="A332" s="5" t="s">
        <v>327</v>
      </c>
      <c r="B332" s="5" t="s">
        <v>356</v>
      </c>
      <c r="C332" s="5" t="s">
        <v>163</v>
      </c>
      <c r="D332" s="10">
        <f>AVERAGE('Precinct Vote Data'!H1322:H1325)</f>
        <v>0.5477251806</v>
      </c>
      <c r="E332" s="10">
        <f>AVERAGE(ABS('Precinct Vote Data'!H1322-0.5),ABS('Precinct Vote Data'!H1323-0.5),ABS('Precinct Vote Data'!H1324-0.5),ABS('Precinct Vote Data'!H1325-0.5))</f>
        <v>0.04772518058</v>
      </c>
      <c r="F332" s="10">
        <f>STDEV('Precinct Vote Data'!H1322:H1325)</f>
        <v>0.06819908838</v>
      </c>
      <c r="G332" s="5">
        <f>IF(('Precinct Vote Data'!H1322&gt;0.5)&lt;&gt;('Precinct Vote Data'!H1323&gt;0.5),1,0)+IF(('Precinct Vote Data'!H1323&gt;0.5)&lt;&gt;('Precinct Vote Data'!H1324&gt;0.5),1,0)+IF(('Precinct Vote Data'!H1324&gt;0.5)&lt;&gt;('Precinct Vote Data'!H1325&gt;0.5),1,0)</f>
        <v>0</v>
      </c>
      <c r="H332" s="2" t="str">
        <f t="shared" si="1"/>
        <v>Hard</v>
      </c>
    </row>
    <row r="333" ht="15.0" customHeight="1">
      <c r="A333" s="5" t="s">
        <v>327</v>
      </c>
      <c r="B333" s="5" t="s">
        <v>190</v>
      </c>
      <c r="C333" s="5" t="s">
        <v>164</v>
      </c>
      <c r="D333" s="10">
        <f>AVERAGE('Precinct Vote Data'!H1326:H1329)</f>
        <v>0.5715191396</v>
      </c>
      <c r="E333" s="10">
        <f>AVERAGE(ABS('Precinct Vote Data'!H1326-0.5),ABS('Precinct Vote Data'!H1327-0.5),ABS('Precinct Vote Data'!H1328-0.5),ABS('Precinct Vote Data'!H1329-0.5))</f>
        <v>0.0715191396</v>
      </c>
      <c r="F333" s="10">
        <f>STDEV('Precinct Vote Data'!H1326:H1329)</f>
        <v>0.01283114486</v>
      </c>
      <c r="G333" s="5">
        <f>IF(('Precinct Vote Data'!H1326&gt;0.5)&lt;&gt;('Precinct Vote Data'!H1327&gt;0.5),1,0)+IF(('Precinct Vote Data'!H1327&gt;0.5)&lt;&gt;('Precinct Vote Data'!H1328&gt;0.5),1,0)+IF(('Precinct Vote Data'!H1328&gt;0.5)&lt;&gt;('Precinct Vote Data'!H1329&gt;0.5),1,0)</f>
        <v>0</v>
      </c>
      <c r="H333" s="2" t="str">
        <f t="shared" si="1"/>
        <v>Medium</v>
      </c>
    </row>
    <row r="334" ht="15.0" customHeight="1">
      <c r="A334" s="5" t="s">
        <v>327</v>
      </c>
      <c r="B334" s="5" t="s">
        <v>190</v>
      </c>
      <c r="C334" s="5" t="s">
        <v>165</v>
      </c>
      <c r="D334" s="10">
        <f>AVERAGE('Precinct Vote Data'!H1330:H1333)</f>
        <v>0.5459344149</v>
      </c>
      <c r="E334" s="10">
        <f>AVERAGE(ABS('Precinct Vote Data'!H1330-0.5),ABS('Precinct Vote Data'!H1331-0.5),ABS('Precinct Vote Data'!H1332-0.5),ABS('Precinct Vote Data'!H1333-0.5))</f>
        <v>0.04593441488</v>
      </c>
      <c r="F334" s="10">
        <f>STDEV('Precinct Vote Data'!H1330:H1333)</f>
        <v>0.01443858758</v>
      </c>
      <c r="G334" s="5">
        <f>IF(('Precinct Vote Data'!H1330&gt;0.5)&lt;&gt;('Precinct Vote Data'!H1331&gt;0.5),1,0)+IF(('Precinct Vote Data'!H1331&gt;0.5)&lt;&gt;('Precinct Vote Data'!H1332&gt;0.5),1,0)+IF(('Precinct Vote Data'!H1332&gt;0.5)&lt;&gt;('Precinct Vote Data'!H1333&gt;0.5),1,0)</f>
        <v>0</v>
      </c>
      <c r="H334" s="2" t="str">
        <f t="shared" si="1"/>
        <v>Hard</v>
      </c>
    </row>
    <row r="335" ht="15.0" customHeight="1">
      <c r="A335" s="5" t="s">
        <v>327</v>
      </c>
      <c r="B335" s="5" t="s">
        <v>190</v>
      </c>
      <c r="C335" s="5" t="s">
        <v>166</v>
      </c>
      <c r="D335" s="10">
        <f>AVERAGE('Precinct Vote Data'!H1334:H1337)</f>
        <v>0.5182571405</v>
      </c>
      <c r="E335" s="10">
        <f>AVERAGE(ABS('Precinct Vote Data'!H1334-0.5),ABS('Precinct Vote Data'!H1335-0.5),ABS('Precinct Vote Data'!H1336-0.5),ABS('Precinct Vote Data'!H1337-0.5))</f>
        <v>0.01825714053</v>
      </c>
      <c r="F335" s="10">
        <f>STDEV('Precinct Vote Data'!H1334:H1337)</f>
        <v>0.01239334812</v>
      </c>
      <c r="G335" s="5">
        <f>IF(('Precinct Vote Data'!H1334&gt;0.5)&lt;&gt;('Precinct Vote Data'!H1335&gt;0.5),1,0)+IF(('Precinct Vote Data'!H1335&gt;0.5)&lt;&gt;('Precinct Vote Data'!H1336&gt;0.5),1,0)+IF(('Precinct Vote Data'!H1336&gt;0.5)&lt;&gt;('Precinct Vote Data'!H1337&gt;0.5),1,0)</f>
        <v>0</v>
      </c>
      <c r="H335" s="2" t="str">
        <f t="shared" si="1"/>
        <v>Hard</v>
      </c>
    </row>
    <row r="336" ht="15.0" customHeight="1">
      <c r="A336" s="5" t="s">
        <v>327</v>
      </c>
      <c r="B336" s="5" t="s">
        <v>190</v>
      </c>
      <c r="C336" s="5" t="s">
        <v>167</v>
      </c>
      <c r="D336" s="10">
        <f>AVERAGE('Precinct Vote Data'!H1338:H1341)</f>
        <v>0.5201927363</v>
      </c>
      <c r="E336" s="10">
        <f>AVERAGE(ABS('Precinct Vote Data'!H1338-0.5),ABS('Precinct Vote Data'!H1339-0.5),ABS('Precinct Vote Data'!H1340-0.5),ABS('Precinct Vote Data'!H1341-0.5))</f>
        <v>0.0201927363</v>
      </c>
      <c r="F336" s="10">
        <f>STDEV('Precinct Vote Data'!H1338:H1341)</f>
        <v>0.006045257398</v>
      </c>
      <c r="G336" s="5">
        <f>IF(('Precinct Vote Data'!H1338&gt;0.5)&lt;&gt;('Precinct Vote Data'!H1339&gt;0.5),1,0)+IF(('Precinct Vote Data'!H1339&gt;0.5)&lt;&gt;('Precinct Vote Data'!H1340&gt;0.5),1,0)+IF(('Precinct Vote Data'!H1340&gt;0.5)&lt;&gt;('Precinct Vote Data'!H1341&gt;0.5),1,0)</f>
        <v>0</v>
      </c>
      <c r="H336" s="2" t="str">
        <f t="shared" si="1"/>
        <v>Hard</v>
      </c>
    </row>
    <row r="337" ht="15.0" customHeight="1">
      <c r="A337" s="5" t="s">
        <v>327</v>
      </c>
      <c r="B337" s="5" t="s">
        <v>190</v>
      </c>
      <c r="C337" s="5" t="s">
        <v>357</v>
      </c>
      <c r="D337" s="10">
        <f>AVERAGE('Precinct Vote Data'!H1342:H1345)</f>
        <v>0.5564844307</v>
      </c>
      <c r="E337" s="10">
        <f>AVERAGE(ABS('Precinct Vote Data'!H1342-0.5),ABS('Precinct Vote Data'!H1343-0.5),ABS('Precinct Vote Data'!H1344-0.5),ABS('Precinct Vote Data'!H1345-0.5))</f>
        <v>0.05648443074</v>
      </c>
      <c r="F337" s="10">
        <f>STDEV('Precinct Vote Data'!H1342:H1345)</f>
        <v>0.009506524189</v>
      </c>
      <c r="G337" s="5">
        <f>IF(('Precinct Vote Data'!H1342&gt;0.5)&lt;&gt;('Precinct Vote Data'!H1343&gt;0.5),1,0)+IF(('Precinct Vote Data'!H1343&gt;0.5)&lt;&gt;('Precinct Vote Data'!H1344&gt;0.5),1,0)+IF(('Precinct Vote Data'!H1344&gt;0.5)&lt;&gt;('Precinct Vote Data'!H1345&gt;0.5),1,0)</f>
        <v>0</v>
      </c>
      <c r="H337" s="2" t="str">
        <f t="shared" si="1"/>
        <v>Medium</v>
      </c>
    </row>
    <row r="338" ht="15.0" customHeight="1">
      <c r="A338" s="5" t="s">
        <v>327</v>
      </c>
      <c r="B338" s="5" t="s">
        <v>190</v>
      </c>
      <c r="C338" s="5" t="s">
        <v>358</v>
      </c>
      <c r="D338" s="10">
        <f>AVERAGE('Precinct Vote Data'!H1346:H1349)</f>
        <v>0.5285578729</v>
      </c>
      <c r="E338" s="10">
        <f>AVERAGE(ABS('Precinct Vote Data'!H1346-0.5),ABS('Precinct Vote Data'!H1347-0.5),ABS('Precinct Vote Data'!H1348-0.5),ABS('Precinct Vote Data'!H1349-0.5))</f>
        <v>0.02855787286</v>
      </c>
      <c r="F338" s="10">
        <f>STDEV('Precinct Vote Data'!H1346:H1349)</f>
        <v>0.01503541048</v>
      </c>
      <c r="G338" s="5">
        <f>IF(('Precinct Vote Data'!H1346&gt;0.5)&lt;&gt;('Precinct Vote Data'!H1347&gt;0.5),1,0)+IF(('Precinct Vote Data'!H1347&gt;0.5)&lt;&gt;('Precinct Vote Data'!H1348&gt;0.5),1,0)+IF(('Precinct Vote Data'!H1348&gt;0.5)&lt;&gt;('Precinct Vote Data'!H1349&gt;0.5),1,0)</f>
        <v>0</v>
      </c>
      <c r="H338" s="2" t="str">
        <f t="shared" si="1"/>
        <v>Hard</v>
      </c>
    </row>
    <row r="339" ht="15.0" customHeight="1">
      <c r="A339" s="5" t="s">
        <v>327</v>
      </c>
      <c r="B339" s="5" t="s">
        <v>359</v>
      </c>
      <c r="C339" s="5" t="s">
        <v>168</v>
      </c>
      <c r="D339" s="10">
        <f>AVERAGE('Precinct Vote Data'!H1350:H1353)</f>
        <v>0.5073781428</v>
      </c>
      <c r="E339" s="10">
        <f>AVERAGE(ABS('Precinct Vote Data'!H1350-0.5),ABS('Precinct Vote Data'!H1351-0.5),ABS('Precinct Vote Data'!H1352-0.5),ABS('Precinct Vote Data'!H1353-0.5))</f>
        <v>0.02167591123</v>
      </c>
      <c r="F339" s="10">
        <f>STDEV('Precinct Vote Data'!H1350:H1353)</f>
        <v>0.03388843986</v>
      </c>
      <c r="G339" s="5">
        <f>IF(('Precinct Vote Data'!H1350&gt;0.5)&lt;&gt;('Precinct Vote Data'!H1351&gt;0.5),1,0)+IF(('Precinct Vote Data'!H1351&gt;0.5)&lt;&gt;('Precinct Vote Data'!H1352&gt;0.5),1,0)+IF(('Precinct Vote Data'!H1352&gt;0.5)&lt;&gt;('Precinct Vote Data'!H1353&gt;0.5),1,0)</f>
        <v>1</v>
      </c>
      <c r="H339" s="2" t="str">
        <f t="shared" si="1"/>
        <v>Hard</v>
      </c>
    </row>
    <row r="340" ht="15.0" customHeight="1">
      <c r="A340" s="5" t="s">
        <v>327</v>
      </c>
      <c r="B340" s="5" t="s">
        <v>359</v>
      </c>
      <c r="C340" s="5" t="s">
        <v>169</v>
      </c>
      <c r="D340" s="10">
        <f>AVERAGE('Precinct Vote Data'!H1354:H1357)</f>
        <v>0.5288747798</v>
      </c>
      <c r="E340" s="10">
        <f>AVERAGE(ABS('Precinct Vote Data'!H1354-0.5),ABS('Precinct Vote Data'!H1355-0.5),ABS('Precinct Vote Data'!H1356-0.5),ABS('Precinct Vote Data'!H1357-0.5))</f>
        <v>0.02887477976</v>
      </c>
      <c r="F340" s="10">
        <f>STDEV('Precinct Vote Data'!H1354:H1357)</f>
        <v>0.03069750215</v>
      </c>
      <c r="G340" s="5">
        <f>IF(('Precinct Vote Data'!H1354&gt;0.5)&lt;&gt;('Precinct Vote Data'!H1355&gt;0.5),1,0)+IF(('Precinct Vote Data'!H1355&gt;0.5)&lt;&gt;('Precinct Vote Data'!H1356&gt;0.5),1,0)+IF(('Precinct Vote Data'!H1356&gt;0.5)&lt;&gt;('Precinct Vote Data'!H1357&gt;0.5),1,0)</f>
        <v>0</v>
      </c>
      <c r="H340" s="2" t="str">
        <f t="shared" si="1"/>
        <v>Hard</v>
      </c>
    </row>
    <row r="341" ht="15.0" customHeight="1">
      <c r="A341" s="5" t="s">
        <v>327</v>
      </c>
      <c r="B341" s="5" t="s">
        <v>359</v>
      </c>
      <c r="C341" s="5" t="s">
        <v>171</v>
      </c>
      <c r="D341" s="10">
        <f>AVERAGE('Precinct Vote Data'!H1358:H1361)</f>
        <v>0.5429283061</v>
      </c>
      <c r="E341" s="10">
        <f>AVERAGE(ABS('Precinct Vote Data'!H1358-0.5),ABS('Precinct Vote Data'!H1359-0.5),ABS('Precinct Vote Data'!H1360-0.5),ABS('Precinct Vote Data'!H1361-0.5))</f>
        <v>0.04292830612</v>
      </c>
      <c r="F341" s="10">
        <f>STDEV('Precinct Vote Data'!H1358:H1361)</f>
        <v>0.02734598032</v>
      </c>
      <c r="G341" s="5">
        <f>IF(('Precinct Vote Data'!H1358&gt;0.5)&lt;&gt;('Precinct Vote Data'!H1359&gt;0.5),1,0)+IF(('Precinct Vote Data'!H1359&gt;0.5)&lt;&gt;('Precinct Vote Data'!H1360&gt;0.5),1,0)+IF(('Precinct Vote Data'!H1360&gt;0.5)&lt;&gt;('Precinct Vote Data'!H1361&gt;0.5),1,0)</f>
        <v>0</v>
      </c>
      <c r="H341" s="2" t="str">
        <f t="shared" si="1"/>
        <v>Hard</v>
      </c>
    </row>
    <row r="342" ht="15.0" customHeight="1">
      <c r="A342" s="5" t="s">
        <v>327</v>
      </c>
      <c r="B342" s="5" t="s">
        <v>99</v>
      </c>
      <c r="C342" s="5" t="s">
        <v>172</v>
      </c>
      <c r="D342" s="10">
        <f>AVERAGE('Precinct Vote Data'!H1362:H1365)</f>
        <v>0.3472651513</v>
      </c>
      <c r="E342" s="10">
        <f>AVERAGE(ABS('Precinct Vote Data'!H1362-0.5),ABS('Precinct Vote Data'!H1363-0.5),ABS('Precinct Vote Data'!H1364-0.5),ABS('Precinct Vote Data'!H1365-0.5))</f>
        <v>0.1527348487</v>
      </c>
      <c r="F342" s="10">
        <f>STDEV('Precinct Vote Data'!H1362:H1365)</f>
        <v>0.01373570299</v>
      </c>
      <c r="G342" s="5">
        <f>IF(('Precinct Vote Data'!H1362&gt;0.5)&lt;&gt;('Precinct Vote Data'!H1363&gt;0.5),1,0)+IF(('Precinct Vote Data'!H1363&gt;0.5)&lt;&gt;('Precinct Vote Data'!H1364&gt;0.5),1,0)+IF(('Precinct Vote Data'!H1364&gt;0.5)&lt;&gt;('Precinct Vote Data'!H1365&gt;0.5),1,0)</f>
        <v>0</v>
      </c>
      <c r="H342" s="2" t="str">
        <f t="shared" si="1"/>
        <v>Easy</v>
      </c>
    </row>
    <row r="343" ht="15.0" customHeight="1">
      <c r="A343" s="5" t="s">
        <v>327</v>
      </c>
      <c r="B343" s="5" t="s">
        <v>99</v>
      </c>
      <c r="C343" s="5" t="s">
        <v>173</v>
      </c>
      <c r="D343" s="10">
        <f>AVERAGE('Precinct Vote Data'!H1366:H1369)</f>
        <v>0.3562164801</v>
      </c>
      <c r="E343" s="10">
        <f>AVERAGE(ABS('Precinct Vote Data'!H1366-0.5),ABS('Precinct Vote Data'!H1367-0.5),ABS('Precinct Vote Data'!H1368-0.5),ABS('Precinct Vote Data'!H1369-0.5))</f>
        <v>0.1437835199</v>
      </c>
      <c r="F343" s="10">
        <f>STDEV('Precinct Vote Data'!H1366:H1369)</f>
        <v>0.0198738266</v>
      </c>
      <c r="G343" s="5">
        <f>IF(('Precinct Vote Data'!H1366&gt;0.5)&lt;&gt;('Precinct Vote Data'!H1367&gt;0.5),1,0)+IF(('Precinct Vote Data'!H1367&gt;0.5)&lt;&gt;('Precinct Vote Data'!H1368&gt;0.5),1,0)+IF(('Precinct Vote Data'!H1368&gt;0.5)&lt;&gt;('Precinct Vote Data'!H1369&gt;0.5),1,0)</f>
        <v>0</v>
      </c>
      <c r="H343" s="2" t="str">
        <f t="shared" si="1"/>
        <v>Medium</v>
      </c>
    </row>
    <row r="344" ht="15.0" customHeight="1">
      <c r="A344" s="5" t="s">
        <v>327</v>
      </c>
      <c r="B344" s="5" t="s">
        <v>99</v>
      </c>
      <c r="C344" s="5" t="s">
        <v>175</v>
      </c>
      <c r="D344" s="10">
        <f>AVERAGE('Precinct Vote Data'!H1370:H1373)</f>
        <v>0.3165758854</v>
      </c>
      <c r="E344" s="10">
        <f>AVERAGE(ABS('Precinct Vote Data'!H1370-0.5),ABS('Precinct Vote Data'!H1371-0.5),ABS('Precinct Vote Data'!H1372-0.5),ABS('Precinct Vote Data'!H1373-0.5))</f>
        <v>0.1834241146</v>
      </c>
      <c r="F344" s="10">
        <f>STDEV('Precinct Vote Data'!H1370:H1373)</f>
        <v>0.02088140609</v>
      </c>
      <c r="G344" s="5">
        <f>IF(('Precinct Vote Data'!H1370&gt;0.5)&lt;&gt;('Precinct Vote Data'!H1371&gt;0.5),1,0)+IF(('Precinct Vote Data'!H1371&gt;0.5)&lt;&gt;('Precinct Vote Data'!H1372&gt;0.5),1,0)+IF(('Precinct Vote Data'!H1372&gt;0.5)&lt;&gt;('Precinct Vote Data'!H1373&gt;0.5),1,0)</f>
        <v>0</v>
      </c>
      <c r="H344" s="2" t="str">
        <f t="shared" si="1"/>
        <v>Easy</v>
      </c>
    </row>
    <row r="345" ht="15.0" customHeight="1">
      <c r="A345" s="5" t="s">
        <v>327</v>
      </c>
      <c r="B345" s="5" t="s">
        <v>99</v>
      </c>
      <c r="C345" s="5" t="s">
        <v>177</v>
      </c>
      <c r="D345" s="10">
        <f>AVERAGE('Precinct Vote Data'!H1374:H1377)</f>
        <v>0.3483230848</v>
      </c>
      <c r="E345" s="10">
        <f>AVERAGE(ABS('Precinct Vote Data'!H1374-0.5),ABS('Precinct Vote Data'!H1375-0.5),ABS('Precinct Vote Data'!H1376-0.5),ABS('Precinct Vote Data'!H1377-0.5))</f>
        <v>0.1516769152</v>
      </c>
      <c r="F345" s="10">
        <f>STDEV('Precinct Vote Data'!H1374:H1377)</f>
        <v>0.01926535793</v>
      </c>
      <c r="G345" s="5">
        <f>IF(('Precinct Vote Data'!H1374&gt;0.5)&lt;&gt;('Precinct Vote Data'!H1375&gt;0.5),1,0)+IF(('Precinct Vote Data'!H1375&gt;0.5)&lt;&gt;('Precinct Vote Data'!H1376&gt;0.5),1,0)+IF(('Precinct Vote Data'!H1376&gt;0.5)&lt;&gt;('Precinct Vote Data'!H1377&gt;0.5),1,0)</f>
        <v>0</v>
      </c>
      <c r="H345" s="2" t="str">
        <f t="shared" si="1"/>
        <v>Easy</v>
      </c>
    </row>
    <row r="346" ht="15.0" customHeight="1">
      <c r="A346" s="5" t="s">
        <v>327</v>
      </c>
      <c r="B346" s="5" t="s">
        <v>99</v>
      </c>
      <c r="C346" s="5" t="s">
        <v>178</v>
      </c>
      <c r="D346" s="10">
        <f>AVERAGE('Precinct Vote Data'!H1378:H1381)</f>
        <v>0.3436099937</v>
      </c>
      <c r="E346" s="10">
        <f>AVERAGE(ABS('Precinct Vote Data'!H1378-0.5),ABS('Precinct Vote Data'!H1379-0.5),ABS('Precinct Vote Data'!H1380-0.5),ABS('Precinct Vote Data'!H1381-0.5))</f>
        <v>0.1563900063</v>
      </c>
      <c r="F346" s="10">
        <f>STDEV('Precinct Vote Data'!H1378:H1381)</f>
        <v>0.0248803338</v>
      </c>
      <c r="G346" s="5">
        <f>IF(('Precinct Vote Data'!H1378&gt;0.5)&lt;&gt;('Precinct Vote Data'!H1379&gt;0.5),1,0)+IF(('Precinct Vote Data'!H1379&gt;0.5)&lt;&gt;('Precinct Vote Data'!H1380&gt;0.5),1,0)+IF(('Precinct Vote Data'!H1380&gt;0.5)&lt;&gt;('Precinct Vote Data'!H1381&gt;0.5),1,0)</f>
        <v>0</v>
      </c>
      <c r="H346" s="2" t="str">
        <f t="shared" si="1"/>
        <v>Easy</v>
      </c>
    </row>
    <row r="347" ht="15.0" customHeight="1">
      <c r="A347" s="5" t="s">
        <v>327</v>
      </c>
      <c r="B347" s="5" t="s">
        <v>360</v>
      </c>
      <c r="C347" s="5" t="s">
        <v>180</v>
      </c>
      <c r="D347" s="10">
        <f>AVERAGE('Precinct Vote Data'!H1382:H1385)</f>
        <v>0.3828021916</v>
      </c>
      <c r="E347" s="10">
        <f>AVERAGE(ABS('Precinct Vote Data'!H1382-0.5),ABS('Precinct Vote Data'!H1383-0.5),ABS('Precinct Vote Data'!H1384-0.5),ABS('Precinct Vote Data'!H1385-0.5))</f>
        <v>0.1171978084</v>
      </c>
      <c r="F347" s="10">
        <f>STDEV('Precinct Vote Data'!H1382:H1385)</f>
        <v>0.02435813273</v>
      </c>
      <c r="G347" s="5">
        <f>IF(('Precinct Vote Data'!H1382&gt;0.5)&lt;&gt;('Precinct Vote Data'!H1383&gt;0.5),1,0)+IF(('Precinct Vote Data'!H1383&gt;0.5)&lt;&gt;('Precinct Vote Data'!H1384&gt;0.5),1,0)+IF(('Precinct Vote Data'!H1384&gt;0.5)&lt;&gt;('Precinct Vote Data'!H1385&gt;0.5),1,0)</f>
        <v>0</v>
      </c>
      <c r="H347" s="2" t="str">
        <f t="shared" si="1"/>
        <v>Medium</v>
      </c>
    </row>
    <row r="348" ht="15.0" customHeight="1">
      <c r="A348" s="5" t="s">
        <v>327</v>
      </c>
      <c r="B348" s="5" t="s">
        <v>360</v>
      </c>
      <c r="C348" s="5" t="s">
        <v>181</v>
      </c>
      <c r="D348" s="10">
        <f>AVERAGE('Precinct Vote Data'!H1386:H1389)</f>
        <v>0.3442407327</v>
      </c>
      <c r="E348" s="10">
        <f>AVERAGE(ABS('Precinct Vote Data'!H1386-0.5),ABS('Precinct Vote Data'!H1387-0.5),ABS('Precinct Vote Data'!H1388-0.5),ABS('Precinct Vote Data'!H1389-0.5))</f>
        <v>0.1557592673</v>
      </c>
      <c r="F348" s="10">
        <f>STDEV('Precinct Vote Data'!H1386:H1389)</f>
        <v>0.03904647158</v>
      </c>
      <c r="G348" s="5">
        <f>IF(('Precinct Vote Data'!H1386&gt;0.5)&lt;&gt;('Precinct Vote Data'!H1387&gt;0.5),1,0)+IF(('Precinct Vote Data'!H1387&gt;0.5)&lt;&gt;('Precinct Vote Data'!H1388&gt;0.5),1,0)+IF(('Precinct Vote Data'!H1388&gt;0.5)&lt;&gt;('Precinct Vote Data'!H1389&gt;0.5),1,0)</f>
        <v>0</v>
      </c>
      <c r="H348" s="2" t="str">
        <f t="shared" si="1"/>
        <v>Easy</v>
      </c>
    </row>
    <row r="349" ht="15.0" customHeight="1">
      <c r="A349" s="5" t="s">
        <v>327</v>
      </c>
      <c r="B349" s="5" t="s">
        <v>361</v>
      </c>
      <c r="C349" s="5" t="s">
        <v>182</v>
      </c>
      <c r="D349" s="10">
        <f>AVERAGE('Precinct Vote Data'!H1390:H1393)</f>
        <v>0.4480089162</v>
      </c>
      <c r="E349" s="10">
        <f>AVERAGE(ABS('Precinct Vote Data'!H1390-0.5),ABS('Precinct Vote Data'!H1391-0.5),ABS('Precinct Vote Data'!H1392-0.5),ABS('Precinct Vote Data'!H1393-0.5))</f>
        <v>0.05199108381</v>
      </c>
      <c r="F349" s="10">
        <f>STDEV('Precinct Vote Data'!H1390:H1393)</f>
        <v>0.01124373579</v>
      </c>
      <c r="G349" s="5">
        <f>IF(('Precinct Vote Data'!H1390&gt;0.5)&lt;&gt;('Precinct Vote Data'!H1391&gt;0.5),1,0)+IF(('Precinct Vote Data'!H1391&gt;0.5)&lt;&gt;('Precinct Vote Data'!H1392&gt;0.5),1,0)+IF(('Precinct Vote Data'!H1392&gt;0.5)&lt;&gt;('Precinct Vote Data'!H1393&gt;0.5),1,0)</f>
        <v>0</v>
      </c>
      <c r="H349" s="2" t="str">
        <f t="shared" si="1"/>
        <v>Medium</v>
      </c>
    </row>
    <row r="350" ht="15.0" customHeight="1">
      <c r="A350" s="5" t="s">
        <v>327</v>
      </c>
      <c r="B350" s="5" t="s">
        <v>361</v>
      </c>
      <c r="C350" s="5" t="s">
        <v>183</v>
      </c>
      <c r="D350" s="10">
        <f>AVERAGE('Precinct Vote Data'!H1394:H1397)</f>
        <v>0.4217484035</v>
      </c>
      <c r="E350" s="10">
        <f>AVERAGE(ABS('Precinct Vote Data'!H1394-0.5),ABS('Precinct Vote Data'!H1395-0.5),ABS('Precinct Vote Data'!H1396-0.5),ABS('Precinct Vote Data'!H1397-0.5))</f>
        <v>0.0782515965</v>
      </c>
      <c r="F350" s="10">
        <f>STDEV('Precinct Vote Data'!H1394:H1397)</f>
        <v>0.01795862007</v>
      </c>
      <c r="G350" s="5">
        <f>IF(('Precinct Vote Data'!H1394&gt;0.5)&lt;&gt;('Precinct Vote Data'!H1395&gt;0.5),1,0)+IF(('Precinct Vote Data'!H1395&gt;0.5)&lt;&gt;('Precinct Vote Data'!H1396&gt;0.5),1,0)+IF(('Precinct Vote Data'!H1396&gt;0.5)&lt;&gt;('Precinct Vote Data'!H1397&gt;0.5),1,0)</f>
        <v>0</v>
      </c>
      <c r="H350" s="2" t="str">
        <f t="shared" si="1"/>
        <v>Medium</v>
      </c>
    </row>
    <row r="351" ht="15.0" customHeight="1">
      <c r="A351" s="5" t="s">
        <v>327</v>
      </c>
      <c r="B351" s="5" t="s">
        <v>362</v>
      </c>
      <c r="C351" s="5" t="s">
        <v>184</v>
      </c>
      <c r="D351" s="10">
        <f>AVERAGE('Precinct Vote Data'!H1398:H1401)</f>
        <v>0.5156770173</v>
      </c>
      <c r="E351" s="10">
        <f>AVERAGE(ABS('Precinct Vote Data'!H1398-0.5),ABS('Precinct Vote Data'!H1399-0.5),ABS('Precinct Vote Data'!H1400-0.5),ABS('Precinct Vote Data'!H1401-0.5))</f>
        <v>0.01787772149</v>
      </c>
      <c r="F351" s="10">
        <f>STDEV('Precinct Vote Data'!H1398:H1401)</f>
        <v>0.01949045648</v>
      </c>
      <c r="G351" s="5">
        <f>IF(('Precinct Vote Data'!H1398&gt;0.5)&lt;&gt;('Precinct Vote Data'!H1399&gt;0.5),1,0)+IF(('Precinct Vote Data'!H1399&gt;0.5)&lt;&gt;('Precinct Vote Data'!H1400&gt;0.5),1,0)+IF(('Precinct Vote Data'!H1400&gt;0.5)&lt;&gt;('Precinct Vote Data'!H1401&gt;0.5),1,0)</f>
        <v>2</v>
      </c>
      <c r="H351" s="2" t="str">
        <f t="shared" si="1"/>
        <v>Hard</v>
      </c>
    </row>
    <row r="352" ht="15.0" customHeight="1">
      <c r="A352" s="5" t="s">
        <v>327</v>
      </c>
      <c r="B352" s="5" t="s">
        <v>362</v>
      </c>
      <c r="C352" s="5" t="s">
        <v>185</v>
      </c>
      <c r="D352" s="10">
        <f>AVERAGE('Precinct Vote Data'!H1402:H1405)</f>
        <v>0.4329112063</v>
      </c>
      <c r="E352" s="10">
        <f>AVERAGE(ABS('Precinct Vote Data'!H1402-0.5),ABS('Precinct Vote Data'!H1403-0.5),ABS('Precinct Vote Data'!H1404-0.5),ABS('Precinct Vote Data'!H1405-0.5))</f>
        <v>0.06708879371</v>
      </c>
      <c r="F352" s="10">
        <f>STDEV('Precinct Vote Data'!H1402:H1405)</f>
        <v>0.0124512635</v>
      </c>
      <c r="G352" s="5">
        <f>IF(('Precinct Vote Data'!H1402&gt;0.5)&lt;&gt;('Precinct Vote Data'!H1403&gt;0.5),1,0)+IF(('Precinct Vote Data'!H1403&gt;0.5)&lt;&gt;('Precinct Vote Data'!H1404&gt;0.5),1,0)+IF(('Precinct Vote Data'!H1404&gt;0.5)&lt;&gt;('Precinct Vote Data'!H1405&gt;0.5),1,0)</f>
        <v>0</v>
      </c>
      <c r="H352" s="2" t="str">
        <f t="shared" si="1"/>
        <v>Medium</v>
      </c>
    </row>
    <row r="353" ht="15.0" customHeight="1">
      <c r="A353" s="5" t="s">
        <v>327</v>
      </c>
      <c r="B353" s="5" t="s">
        <v>362</v>
      </c>
      <c r="C353" s="5" t="s">
        <v>187</v>
      </c>
      <c r="D353" s="10">
        <f>AVERAGE('Precinct Vote Data'!H1406:H1409)</f>
        <v>0.4429036143</v>
      </c>
      <c r="E353" s="10">
        <f>AVERAGE(ABS('Precinct Vote Data'!H1406-0.5),ABS('Precinct Vote Data'!H1407-0.5),ABS('Precinct Vote Data'!H1408-0.5),ABS('Precinct Vote Data'!H1409-0.5))</f>
        <v>0.05709638571</v>
      </c>
      <c r="F353" s="10">
        <f>STDEV('Precinct Vote Data'!H1406:H1409)</f>
        <v>0.01283312605</v>
      </c>
      <c r="G353" s="5">
        <f>IF(('Precinct Vote Data'!H1406&gt;0.5)&lt;&gt;('Precinct Vote Data'!H1407&gt;0.5),1,0)+IF(('Precinct Vote Data'!H1407&gt;0.5)&lt;&gt;('Precinct Vote Data'!H1408&gt;0.5),1,0)+IF(('Precinct Vote Data'!H1408&gt;0.5)&lt;&gt;('Precinct Vote Data'!H1409&gt;0.5),1,0)</f>
        <v>0</v>
      </c>
      <c r="H353" s="2" t="str">
        <f t="shared" si="1"/>
        <v>Medium</v>
      </c>
    </row>
    <row r="354" ht="15.0" customHeight="1">
      <c r="A354" s="5" t="s">
        <v>327</v>
      </c>
      <c r="B354" s="5" t="s">
        <v>362</v>
      </c>
      <c r="C354" s="5" t="s">
        <v>188</v>
      </c>
      <c r="D354" s="10">
        <f>AVERAGE('Precinct Vote Data'!H1410:H1413)</f>
        <v>0.518933362</v>
      </c>
      <c r="E354" s="10">
        <f>AVERAGE(ABS('Precinct Vote Data'!H1410-0.5),ABS('Precinct Vote Data'!H1411-0.5),ABS('Precinct Vote Data'!H1412-0.5),ABS('Precinct Vote Data'!H1413-0.5))</f>
        <v>0.01893336199</v>
      </c>
      <c r="F354" s="10">
        <f>STDEV('Precinct Vote Data'!H1410:H1413)</f>
        <v>0.01055487327</v>
      </c>
      <c r="G354" s="5">
        <f>IF(('Precinct Vote Data'!H1410&gt;0.5)&lt;&gt;('Precinct Vote Data'!H1411&gt;0.5),1,0)+IF(('Precinct Vote Data'!H1411&gt;0.5)&lt;&gt;('Precinct Vote Data'!H1412&gt;0.5),1,0)+IF(('Precinct Vote Data'!H1412&gt;0.5)&lt;&gt;('Precinct Vote Data'!H1413&gt;0.5),1,0)</f>
        <v>0</v>
      </c>
      <c r="H354" s="2" t="str">
        <f t="shared" si="1"/>
        <v>Hard</v>
      </c>
    </row>
    <row r="355" ht="15.0" customHeight="1">
      <c r="A355" s="5" t="s">
        <v>327</v>
      </c>
      <c r="B355" s="5" t="s">
        <v>362</v>
      </c>
      <c r="C355" s="5" t="s">
        <v>363</v>
      </c>
      <c r="D355" s="10">
        <f>AVERAGE('Precinct Vote Data'!H1414:H1417)</f>
        <v>0.5253559404</v>
      </c>
      <c r="E355" s="10">
        <f>AVERAGE(ABS('Precinct Vote Data'!H1414-0.5),ABS('Precinct Vote Data'!H1415-0.5),ABS('Precinct Vote Data'!H1416-0.5),ABS('Precinct Vote Data'!H1417-0.5))</f>
        <v>0.02535594037</v>
      </c>
      <c r="F355" s="10">
        <f>STDEV('Precinct Vote Data'!H1414:H1417)</f>
        <v>0.01837354346</v>
      </c>
      <c r="G355" s="5">
        <f>IF(('Precinct Vote Data'!H1414&gt;0.5)&lt;&gt;('Precinct Vote Data'!H1415&gt;0.5),1,0)+IF(('Precinct Vote Data'!H1415&gt;0.5)&lt;&gt;('Precinct Vote Data'!H1416&gt;0.5),1,0)+IF(('Precinct Vote Data'!H1416&gt;0.5)&lt;&gt;('Precinct Vote Data'!H1417&gt;0.5),1,0)</f>
        <v>0</v>
      </c>
      <c r="H355" s="2" t="str">
        <f t="shared" si="1"/>
        <v>Hard</v>
      </c>
    </row>
    <row r="356" ht="15.0" customHeight="1">
      <c r="A356" s="5" t="s">
        <v>327</v>
      </c>
      <c r="B356" s="5" t="s">
        <v>362</v>
      </c>
      <c r="C356" s="5" t="s">
        <v>364</v>
      </c>
      <c r="D356" s="10">
        <f>AVERAGE('Precinct Vote Data'!H1418:H1421)</f>
        <v>0.5520970868</v>
      </c>
      <c r="E356" s="10">
        <f>AVERAGE(ABS('Precinct Vote Data'!H1418-0.5),ABS('Precinct Vote Data'!H1419-0.5),ABS('Precinct Vote Data'!H1420-0.5),ABS('Precinct Vote Data'!H1421-0.5))</f>
        <v>0.05209708682</v>
      </c>
      <c r="F356" s="10">
        <f>STDEV('Precinct Vote Data'!H1418:H1421)</f>
        <v>0.0178855721</v>
      </c>
      <c r="G356" s="5">
        <f>IF(('Precinct Vote Data'!H1418&gt;0.5)&lt;&gt;('Precinct Vote Data'!H1419&gt;0.5),1,0)+IF(('Precinct Vote Data'!H1419&gt;0.5)&lt;&gt;('Precinct Vote Data'!H1420&gt;0.5),1,0)+IF(('Precinct Vote Data'!H1420&gt;0.5)&lt;&gt;('Precinct Vote Data'!H1421&gt;0.5),1,0)</f>
        <v>0</v>
      </c>
      <c r="H356" s="2" t="str">
        <f t="shared" si="1"/>
        <v>Medium</v>
      </c>
    </row>
    <row r="357" ht="15.0" customHeight="1">
      <c r="A357" s="5" t="s">
        <v>327</v>
      </c>
      <c r="B357" s="5" t="s">
        <v>362</v>
      </c>
      <c r="C357" s="5" t="s">
        <v>189</v>
      </c>
      <c r="D357" s="10">
        <f>AVERAGE('Precinct Vote Data'!H1422:H1425)</f>
        <v>0.4220338477</v>
      </c>
      <c r="E357" s="10">
        <f>AVERAGE(ABS('Precinct Vote Data'!H1422-0.5),ABS('Precinct Vote Data'!H1423-0.5),ABS('Precinct Vote Data'!H1424-0.5),ABS('Precinct Vote Data'!H1425-0.5))</f>
        <v>0.07796615228</v>
      </c>
      <c r="F357" s="10">
        <f>STDEV('Precinct Vote Data'!H1422:H1425)</f>
        <v>0.02622040616</v>
      </c>
      <c r="G357" s="5">
        <f>IF(('Precinct Vote Data'!H1422&gt;0.5)&lt;&gt;('Precinct Vote Data'!H1423&gt;0.5),1,0)+IF(('Precinct Vote Data'!H1423&gt;0.5)&lt;&gt;('Precinct Vote Data'!H1424&gt;0.5),1,0)+IF(('Precinct Vote Data'!H1424&gt;0.5)&lt;&gt;('Precinct Vote Data'!H1425&gt;0.5),1,0)</f>
        <v>0</v>
      </c>
      <c r="H357" s="2" t="str">
        <f t="shared" si="1"/>
        <v>Medium</v>
      </c>
    </row>
    <row r="358" ht="15.0" customHeight="1">
      <c r="A358" s="5" t="s">
        <v>327</v>
      </c>
      <c r="B358" s="5" t="s">
        <v>362</v>
      </c>
      <c r="C358" s="5" t="s">
        <v>191</v>
      </c>
      <c r="D358" s="10">
        <f>AVERAGE('Precinct Vote Data'!H1426:H1429)</f>
        <v>0.4222543439</v>
      </c>
      <c r="E358" s="10">
        <f>AVERAGE(ABS('Precinct Vote Data'!H1426-0.5),ABS('Precinct Vote Data'!H1427-0.5),ABS('Precinct Vote Data'!H1428-0.5),ABS('Precinct Vote Data'!H1429-0.5))</f>
        <v>0.07774565612</v>
      </c>
      <c r="F358" s="10">
        <f>STDEV('Precinct Vote Data'!H1426:H1429)</f>
        <v>0.009577152921</v>
      </c>
      <c r="G358" s="5">
        <f>IF(('Precinct Vote Data'!H1426&gt;0.5)&lt;&gt;('Precinct Vote Data'!H1427&gt;0.5),1,0)+IF(('Precinct Vote Data'!H1427&gt;0.5)&lt;&gt;('Precinct Vote Data'!H1428&gt;0.5),1,0)+IF(('Precinct Vote Data'!H1428&gt;0.5)&lt;&gt;('Precinct Vote Data'!H1429&gt;0.5),1,0)</f>
        <v>0</v>
      </c>
      <c r="H358" s="2" t="str">
        <f t="shared" si="1"/>
        <v>Medium</v>
      </c>
    </row>
    <row r="359" ht="15.0" customHeight="1">
      <c r="A359" s="5" t="s">
        <v>327</v>
      </c>
      <c r="B359" s="5" t="s">
        <v>365</v>
      </c>
      <c r="C359" s="5" t="s">
        <v>193</v>
      </c>
      <c r="D359" s="10">
        <f>AVERAGE('Precinct Vote Data'!H1430:H1433)</f>
        <v>0.3548063936</v>
      </c>
      <c r="E359" s="10">
        <f>AVERAGE(ABS('Precinct Vote Data'!H1430-0.5),ABS('Precinct Vote Data'!H1431-0.5),ABS('Precinct Vote Data'!H1432-0.5),ABS('Precinct Vote Data'!H1433-0.5))</f>
        <v>0.1451936064</v>
      </c>
      <c r="F359" s="10">
        <f>STDEV('Precinct Vote Data'!H1430:H1433)</f>
        <v>0.01350550669</v>
      </c>
      <c r="G359" s="5">
        <f>IF(('Precinct Vote Data'!H1430&gt;0.5)&lt;&gt;('Precinct Vote Data'!H1431&gt;0.5),1,0)+IF(('Precinct Vote Data'!H1431&gt;0.5)&lt;&gt;('Precinct Vote Data'!H1432&gt;0.5),1,0)+IF(('Precinct Vote Data'!H1432&gt;0.5)&lt;&gt;('Precinct Vote Data'!H1433&gt;0.5),1,0)</f>
        <v>0</v>
      </c>
      <c r="H359" s="2" t="str">
        <f t="shared" si="1"/>
        <v>Medium</v>
      </c>
    </row>
    <row r="360" ht="15.0" customHeight="1">
      <c r="A360" s="5" t="s">
        <v>327</v>
      </c>
      <c r="B360" s="5" t="s">
        <v>365</v>
      </c>
      <c r="C360" s="5" t="s">
        <v>195</v>
      </c>
      <c r="D360" s="10">
        <f>AVERAGE('Precinct Vote Data'!H1434:H1437)</f>
        <v>0.3553133246</v>
      </c>
      <c r="E360" s="10">
        <f>AVERAGE(ABS('Precinct Vote Data'!H1434-0.5),ABS('Precinct Vote Data'!H1435-0.5),ABS('Precinct Vote Data'!H1436-0.5),ABS('Precinct Vote Data'!H1437-0.5))</f>
        <v>0.1446866754</v>
      </c>
      <c r="F360" s="10">
        <f>STDEV('Precinct Vote Data'!H1434:H1437)</f>
        <v>0.01932969618</v>
      </c>
      <c r="G360" s="5">
        <f>IF(('Precinct Vote Data'!H1434&gt;0.5)&lt;&gt;('Precinct Vote Data'!H1435&gt;0.5),1,0)+IF(('Precinct Vote Data'!H1435&gt;0.5)&lt;&gt;('Precinct Vote Data'!H1436&gt;0.5),1,0)+IF(('Precinct Vote Data'!H1436&gt;0.5)&lt;&gt;('Precinct Vote Data'!H1437&gt;0.5),1,0)</f>
        <v>0</v>
      </c>
      <c r="H360" s="2" t="str">
        <f t="shared" si="1"/>
        <v>Medium</v>
      </c>
    </row>
    <row r="361" ht="15.0" customHeight="1">
      <c r="A361" s="5" t="s">
        <v>327</v>
      </c>
      <c r="B361" s="5" t="s">
        <v>365</v>
      </c>
      <c r="C361" s="5" t="s">
        <v>196</v>
      </c>
      <c r="D361" s="10">
        <f>AVERAGE('Precinct Vote Data'!H1438:H1441)</f>
        <v>0.3220708306</v>
      </c>
      <c r="E361" s="10">
        <f>AVERAGE(ABS('Precinct Vote Data'!H1438-0.5),ABS('Precinct Vote Data'!H1439-0.5),ABS('Precinct Vote Data'!H1440-0.5),ABS('Precinct Vote Data'!H1441-0.5))</f>
        <v>0.1779291694</v>
      </c>
      <c r="F361" s="10">
        <f>STDEV('Precinct Vote Data'!H1438:H1441)</f>
        <v>0.01375565756</v>
      </c>
      <c r="G361" s="5">
        <f>IF(('Precinct Vote Data'!H1438&gt;0.5)&lt;&gt;('Precinct Vote Data'!H1439&gt;0.5),1,0)+IF(('Precinct Vote Data'!H1439&gt;0.5)&lt;&gt;('Precinct Vote Data'!H1440&gt;0.5),1,0)+IF(('Precinct Vote Data'!H1440&gt;0.5)&lt;&gt;('Precinct Vote Data'!H1441&gt;0.5),1,0)</f>
        <v>0</v>
      </c>
      <c r="H361" s="2" t="str">
        <f t="shared" si="1"/>
        <v>Easy</v>
      </c>
    </row>
    <row r="362" ht="15.0" customHeight="1">
      <c r="A362" s="5" t="s">
        <v>327</v>
      </c>
      <c r="B362" s="5" t="s">
        <v>365</v>
      </c>
      <c r="C362" s="5" t="s">
        <v>197</v>
      </c>
      <c r="D362" s="10">
        <f>AVERAGE('Precinct Vote Data'!H1442:H1445)</f>
        <v>0.3321041806</v>
      </c>
      <c r="E362" s="10">
        <f>AVERAGE(ABS('Precinct Vote Data'!H1442-0.5),ABS('Precinct Vote Data'!H1443-0.5),ABS('Precinct Vote Data'!H1444-0.5),ABS('Precinct Vote Data'!H1445-0.5))</f>
        <v>0.1678958194</v>
      </c>
      <c r="F362" s="10">
        <f>STDEV('Precinct Vote Data'!H1442:H1445)</f>
        <v>0.02116600094</v>
      </c>
      <c r="G362" s="5">
        <f>IF(('Precinct Vote Data'!H1442&gt;0.5)&lt;&gt;('Precinct Vote Data'!H1443&gt;0.5),1,0)+IF(('Precinct Vote Data'!H1443&gt;0.5)&lt;&gt;('Precinct Vote Data'!H1444&gt;0.5),1,0)+IF(('Precinct Vote Data'!H1444&gt;0.5)&lt;&gt;('Precinct Vote Data'!H1445&gt;0.5),1,0)</f>
        <v>0</v>
      </c>
      <c r="H362" s="2" t="str">
        <f t="shared" si="1"/>
        <v>Easy</v>
      </c>
    </row>
    <row r="363" ht="15.0" customHeight="1">
      <c r="A363" s="5" t="s">
        <v>327</v>
      </c>
      <c r="B363" s="5" t="s">
        <v>366</v>
      </c>
      <c r="C363" s="5" t="s">
        <v>198</v>
      </c>
      <c r="D363" s="10">
        <f>AVERAGE('Precinct Vote Data'!H1446:H1449)</f>
        <v>0.4962178433</v>
      </c>
      <c r="E363" s="10">
        <f>AVERAGE(ABS('Precinct Vote Data'!H1446-0.5),ABS('Precinct Vote Data'!H1447-0.5),ABS('Precinct Vote Data'!H1448-0.5),ABS('Precinct Vote Data'!H1449-0.5))</f>
        <v>0.004044486176</v>
      </c>
      <c r="F363" s="10">
        <f>STDEV('Precinct Vote Data'!H1446:H1449)</f>
        <v>0.00687178214</v>
      </c>
      <c r="G363" s="5">
        <f>IF(('Precinct Vote Data'!H1446&gt;0.5)&lt;&gt;('Precinct Vote Data'!H1447&gt;0.5),1,0)+IF(('Precinct Vote Data'!H1447&gt;0.5)&lt;&gt;('Precinct Vote Data'!H1448&gt;0.5),1,0)+IF(('Precinct Vote Data'!H1448&gt;0.5)&lt;&gt;('Precinct Vote Data'!H1449&gt;0.5),1,0)</f>
        <v>2</v>
      </c>
      <c r="H363" s="2" t="str">
        <f t="shared" si="1"/>
        <v>Hard</v>
      </c>
    </row>
    <row r="364" ht="15.0" customHeight="1">
      <c r="A364" s="5" t="s">
        <v>327</v>
      </c>
      <c r="B364" s="5" t="s">
        <v>366</v>
      </c>
      <c r="C364" s="5" t="s">
        <v>199</v>
      </c>
      <c r="D364" s="10">
        <f>AVERAGE('Precinct Vote Data'!H1450:H1453)</f>
        <v>0.5221865334</v>
      </c>
      <c r="E364" s="10">
        <f>AVERAGE(ABS('Precinct Vote Data'!H1450-0.5),ABS('Precinct Vote Data'!H1451-0.5),ABS('Precinct Vote Data'!H1452-0.5),ABS('Precinct Vote Data'!H1453-0.5))</f>
        <v>0.03191242472</v>
      </c>
      <c r="F364" s="10">
        <f>STDEV('Precinct Vote Data'!H1450:H1453)</f>
        <v>0.03699746949</v>
      </c>
      <c r="G364" s="5">
        <f>IF(('Precinct Vote Data'!H1450&gt;0.5)&lt;&gt;('Precinct Vote Data'!H1451&gt;0.5),1,0)+IF(('Precinct Vote Data'!H1451&gt;0.5)&lt;&gt;('Precinct Vote Data'!H1452&gt;0.5),1,0)+IF(('Precinct Vote Data'!H1452&gt;0.5)&lt;&gt;('Precinct Vote Data'!H1453&gt;0.5),1,0)</f>
        <v>3</v>
      </c>
      <c r="H364" s="2" t="str">
        <f t="shared" si="1"/>
        <v>Hard</v>
      </c>
    </row>
    <row r="365" ht="15.0" customHeight="1">
      <c r="A365" s="5" t="s">
        <v>327</v>
      </c>
      <c r="B365" s="5" t="s">
        <v>366</v>
      </c>
      <c r="C365" s="5" t="s">
        <v>200</v>
      </c>
      <c r="D365" s="10">
        <f>AVERAGE('Precinct Vote Data'!H1454:H1457)</f>
        <v>0.4948817101</v>
      </c>
      <c r="E365" s="10">
        <f>AVERAGE(ABS('Precinct Vote Data'!H1454-0.5),ABS('Precinct Vote Data'!H1455-0.5),ABS('Precinct Vote Data'!H1456-0.5),ABS('Precinct Vote Data'!H1457-0.5))</f>
        <v>0.02830784602</v>
      </c>
      <c r="F365" s="10">
        <f>STDEV('Precinct Vote Data'!H1454:H1457)</f>
        <v>0.03747984623</v>
      </c>
      <c r="G365" s="5">
        <f>IF(('Precinct Vote Data'!H1454&gt;0.5)&lt;&gt;('Precinct Vote Data'!H1455&gt;0.5),1,0)+IF(('Precinct Vote Data'!H1455&gt;0.5)&lt;&gt;('Precinct Vote Data'!H1456&gt;0.5),1,0)+IF(('Precinct Vote Data'!H1456&gt;0.5)&lt;&gt;('Precinct Vote Data'!H1457&gt;0.5),1,0)</f>
        <v>3</v>
      </c>
      <c r="H365" s="2" t="str">
        <f t="shared" si="1"/>
        <v>Hard</v>
      </c>
    </row>
    <row r="366" ht="15.0" customHeight="1">
      <c r="A366" s="5" t="s">
        <v>327</v>
      </c>
      <c r="B366" s="5" t="s">
        <v>367</v>
      </c>
      <c r="C366" s="5" t="s">
        <v>206</v>
      </c>
      <c r="D366" s="10">
        <f>AVERAGE('Precinct Vote Data'!H1458:H1461)</f>
        <v>0.45680256</v>
      </c>
      <c r="E366" s="10">
        <f>AVERAGE(ABS('Precinct Vote Data'!H1458-0.5),ABS('Precinct Vote Data'!H1459-0.5),ABS('Precinct Vote Data'!H1460-0.5),ABS('Precinct Vote Data'!H1461-0.5))</f>
        <v>0.04319744</v>
      </c>
      <c r="F366" s="10">
        <f>STDEV('Precinct Vote Data'!H1458:H1461)</f>
        <v>0.03463103386</v>
      </c>
      <c r="G366" s="5">
        <f>IF(('Precinct Vote Data'!H1458&gt;0.5)&lt;&gt;('Precinct Vote Data'!H1459&gt;0.5),1,0)+IF(('Precinct Vote Data'!H1459&gt;0.5)&lt;&gt;('Precinct Vote Data'!H1460&gt;0.5),1,0)+IF(('Precinct Vote Data'!H1460&gt;0.5)&lt;&gt;('Precinct Vote Data'!H1461&gt;0.5),1,0)</f>
        <v>0</v>
      </c>
      <c r="H366" s="2" t="str">
        <f t="shared" si="1"/>
        <v>Hard</v>
      </c>
    </row>
    <row r="367" ht="15.0" customHeight="1">
      <c r="A367" s="5" t="s">
        <v>327</v>
      </c>
      <c r="B367" s="5" t="s">
        <v>367</v>
      </c>
      <c r="C367" s="5" t="s">
        <v>208</v>
      </c>
      <c r="D367" s="10">
        <f>AVERAGE('Precinct Vote Data'!H1462:H1465)</f>
        <v>0.5050966116</v>
      </c>
      <c r="E367" s="10">
        <f>AVERAGE(ABS('Precinct Vote Data'!H1462-0.5),ABS('Precinct Vote Data'!H1463-0.5),ABS('Precinct Vote Data'!H1464-0.5),ABS('Precinct Vote Data'!H1465-0.5))</f>
        <v>0.01205394</v>
      </c>
      <c r="F367" s="10">
        <f>STDEV('Precinct Vote Data'!H1462:H1465)</f>
        <v>0.01408864572</v>
      </c>
      <c r="G367" s="5">
        <f>IF(('Precinct Vote Data'!H1462&gt;0.5)&lt;&gt;('Precinct Vote Data'!H1463&gt;0.5),1,0)+IF(('Precinct Vote Data'!H1463&gt;0.5)&lt;&gt;('Precinct Vote Data'!H1464&gt;0.5),1,0)+IF(('Precinct Vote Data'!H1464&gt;0.5)&lt;&gt;('Precinct Vote Data'!H1465&gt;0.5),1,0)</f>
        <v>2</v>
      </c>
      <c r="H367" s="2" t="str">
        <f t="shared" si="1"/>
        <v>Hard</v>
      </c>
    </row>
    <row r="368" ht="15.0" customHeight="1">
      <c r="A368" s="5" t="s">
        <v>327</v>
      </c>
      <c r="B368" s="5" t="s">
        <v>368</v>
      </c>
      <c r="C368" s="5" t="s">
        <v>210</v>
      </c>
      <c r="D368" s="10">
        <f>AVERAGE('Precinct Vote Data'!H1466:H1469)</f>
        <v>0.47574431</v>
      </c>
      <c r="E368" s="10">
        <f>AVERAGE(ABS('Precinct Vote Data'!H1466-0.5),ABS('Precinct Vote Data'!H1467-0.5),ABS('Precinct Vote Data'!H1468-0.5),ABS('Precinct Vote Data'!H1469-0.5))</f>
        <v>0.02425569005</v>
      </c>
      <c r="F368" s="10">
        <f>STDEV('Precinct Vote Data'!H1466:H1469)</f>
        <v>0.01925126005</v>
      </c>
      <c r="G368" s="5">
        <f>IF(('Precinct Vote Data'!H1466&gt;0.5)&lt;&gt;('Precinct Vote Data'!H1467&gt;0.5),1,0)+IF(('Precinct Vote Data'!H1467&gt;0.5)&lt;&gt;('Precinct Vote Data'!H1468&gt;0.5),1,0)+IF(('Precinct Vote Data'!H1468&gt;0.5)&lt;&gt;('Precinct Vote Data'!H1469&gt;0.5),1,0)</f>
        <v>0</v>
      </c>
      <c r="H368" s="2" t="str">
        <f t="shared" si="1"/>
        <v>Hard</v>
      </c>
    </row>
    <row r="369" ht="15.0" customHeight="1">
      <c r="A369" s="5" t="s">
        <v>327</v>
      </c>
      <c r="B369" s="5" t="s">
        <v>368</v>
      </c>
      <c r="C369" s="5" t="s">
        <v>211</v>
      </c>
      <c r="D369" s="10">
        <f>AVERAGE('Precinct Vote Data'!H1470:H1473)</f>
        <v>0.4920803117</v>
      </c>
      <c r="E369" s="10">
        <f>AVERAGE(ABS('Precinct Vote Data'!H1470-0.5),ABS('Precinct Vote Data'!H1471-0.5),ABS('Precinct Vote Data'!H1472-0.5),ABS('Precinct Vote Data'!H1473-0.5))</f>
        <v>0.02311101348</v>
      </c>
      <c r="F369" s="10">
        <f>STDEV('Precinct Vote Data'!H1470:H1473)</f>
        <v>0.02994288783</v>
      </c>
      <c r="G369" s="5">
        <f>IF(('Precinct Vote Data'!H1470&gt;0.5)&lt;&gt;('Precinct Vote Data'!H1471&gt;0.5),1,0)+IF(('Precinct Vote Data'!H1471&gt;0.5)&lt;&gt;('Precinct Vote Data'!H1472&gt;0.5),1,0)+IF(('Precinct Vote Data'!H1472&gt;0.5)&lt;&gt;('Precinct Vote Data'!H1473&gt;0.5),1,0)</f>
        <v>3</v>
      </c>
      <c r="H369" s="2" t="str">
        <f t="shared" si="1"/>
        <v>Hard</v>
      </c>
    </row>
    <row r="370" ht="15.0" customHeight="1">
      <c r="A370" s="5" t="s">
        <v>327</v>
      </c>
      <c r="B370" s="5" t="s">
        <v>368</v>
      </c>
      <c r="C370" s="5" t="s">
        <v>212</v>
      </c>
      <c r="D370" s="10">
        <f>AVERAGE('Precinct Vote Data'!H1474:H1477)</f>
        <v>0.4710131308</v>
      </c>
      <c r="E370" s="10">
        <f>AVERAGE(ABS('Precinct Vote Data'!H1474-0.5),ABS('Precinct Vote Data'!H1475-0.5),ABS('Precinct Vote Data'!H1476-0.5),ABS('Precinct Vote Data'!H1477-0.5))</f>
        <v>0.02898686916</v>
      </c>
      <c r="F370" s="10">
        <f>STDEV('Precinct Vote Data'!H1474:H1477)</f>
        <v>0.03244337843</v>
      </c>
      <c r="G370" s="5">
        <f>IF(('Precinct Vote Data'!H1474&gt;0.5)&lt;&gt;('Precinct Vote Data'!H1475&gt;0.5),1,0)+IF(('Precinct Vote Data'!H1475&gt;0.5)&lt;&gt;('Precinct Vote Data'!H1476&gt;0.5),1,0)+IF(('Precinct Vote Data'!H1476&gt;0.5)&lt;&gt;('Precinct Vote Data'!H1477&gt;0.5),1,0)</f>
        <v>0</v>
      </c>
      <c r="H370" s="2" t="str">
        <f t="shared" si="1"/>
        <v>Hard</v>
      </c>
    </row>
    <row r="371" ht="15.0" customHeight="1">
      <c r="A371" s="5" t="s">
        <v>327</v>
      </c>
      <c r="B371" s="5" t="s">
        <v>368</v>
      </c>
      <c r="C371" s="5" t="s">
        <v>214</v>
      </c>
      <c r="D371" s="10">
        <f>AVERAGE('Precinct Vote Data'!H1478:H1481)</f>
        <v>0.4689243258</v>
      </c>
      <c r="E371" s="10">
        <f>AVERAGE(ABS('Precinct Vote Data'!H1478-0.5),ABS('Precinct Vote Data'!H1479-0.5),ABS('Precinct Vote Data'!H1480-0.5),ABS('Precinct Vote Data'!H1481-0.5))</f>
        <v>0.03107567422</v>
      </c>
      <c r="F371" s="10">
        <f>STDEV('Precinct Vote Data'!H1478:H1481)</f>
        <v>0.03801937177</v>
      </c>
      <c r="G371" s="5">
        <f>IF(('Precinct Vote Data'!H1478&gt;0.5)&lt;&gt;('Precinct Vote Data'!H1479&gt;0.5),1,0)+IF(('Precinct Vote Data'!H1479&gt;0.5)&lt;&gt;('Precinct Vote Data'!H1480&gt;0.5),1,0)+IF(('Precinct Vote Data'!H1480&gt;0.5)&lt;&gt;('Precinct Vote Data'!H1481&gt;0.5),1,0)</f>
        <v>0</v>
      </c>
      <c r="H371" s="2" t="str">
        <f t="shared" si="1"/>
        <v>Hard</v>
      </c>
    </row>
    <row r="372" ht="15.0" customHeight="1">
      <c r="A372" s="5" t="s">
        <v>327</v>
      </c>
      <c r="B372" s="5" t="s">
        <v>369</v>
      </c>
      <c r="C372" s="5" t="s">
        <v>216</v>
      </c>
      <c r="D372" s="10">
        <f>AVERAGE('Precinct Vote Data'!H1482:H1485)</f>
        <v>0.5687907576</v>
      </c>
      <c r="E372" s="10">
        <f>AVERAGE(ABS('Precinct Vote Data'!H1482-0.5),ABS('Precinct Vote Data'!H1483-0.5),ABS('Precinct Vote Data'!H1484-0.5),ABS('Precinct Vote Data'!H1485-0.5))</f>
        <v>0.06879075757</v>
      </c>
      <c r="F372" s="10">
        <f>STDEV('Precinct Vote Data'!H1482:H1485)</f>
        <v>0.02261567365</v>
      </c>
      <c r="G372" s="5">
        <f>IF(('Precinct Vote Data'!H1482&gt;0.5)&lt;&gt;('Precinct Vote Data'!H1483&gt;0.5),1,0)+IF(('Precinct Vote Data'!H1483&gt;0.5)&lt;&gt;('Precinct Vote Data'!H1484&gt;0.5),1,0)+IF(('Precinct Vote Data'!H1484&gt;0.5)&lt;&gt;('Precinct Vote Data'!H1485&gt;0.5),1,0)</f>
        <v>0</v>
      </c>
      <c r="H372" s="2" t="str">
        <f t="shared" si="1"/>
        <v>Medium</v>
      </c>
    </row>
    <row r="373" ht="15.0" customHeight="1">
      <c r="A373" s="5" t="s">
        <v>327</v>
      </c>
      <c r="B373" s="5" t="s">
        <v>369</v>
      </c>
      <c r="C373" s="5" t="s">
        <v>217</v>
      </c>
      <c r="D373" s="10">
        <f>AVERAGE('Precinct Vote Data'!H1486:H1489)</f>
        <v>0.4914598518</v>
      </c>
      <c r="E373" s="10">
        <f>AVERAGE(ABS('Precinct Vote Data'!H1486-0.5),ABS('Precinct Vote Data'!H1487-0.5),ABS('Precinct Vote Data'!H1488-0.5),ABS('Precinct Vote Data'!H1489-0.5))</f>
        <v>0.02166983736</v>
      </c>
      <c r="F373" s="10">
        <f>STDEV('Precinct Vote Data'!H1486:H1489)</f>
        <v>0.0260061414</v>
      </c>
      <c r="G373" s="5">
        <f>IF(('Precinct Vote Data'!H1486&gt;0.5)&lt;&gt;('Precinct Vote Data'!H1487&gt;0.5),1,0)+IF(('Precinct Vote Data'!H1487&gt;0.5)&lt;&gt;('Precinct Vote Data'!H1488&gt;0.5),1,0)+IF(('Precinct Vote Data'!H1488&gt;0.5)&lt;&gt;('Precinct Vote Data'!H1489&gt;0.5),1,0)</f>
        <v>1</v>
      </c>
      <c r="H373" s="2" t="str">
        <f t="shared" si="1"/>
        <v>Hard</v>
      </c>
    </row>
    <row r="374" ht="15.0" customHeight="1">
      <c r="A374" s="5" t="s">
        <v>327</v>
      </c>
      <c r="B374" s="5" t="s">
        <v>369</v>
      </c>
      <c r="C374" s="5" t="s">
        <v>218</v>
      </c>
      <c r="D374" s="10">
        <f>AVERAGE('Precinct Vote Data'!H1490:H1493)</f>
        <v>0.5135984017</v>
      </c>
      <c r="E374" s="10">
        <f>AVERAGE(ABS('Precinct Vote Data'!H1490-0.5),ABS('Precinct Vote Data'!H1491-0.5),ABS('Precinct Vote Data'!H1492-0.5),ABS('Precinct Vote Data'!H1493-0.5))</f>
        <v>0.01510140768</v>
      </c>
      <c r="F374" s="10">
        <f>STDEV('Precinct Vote Data'!H1490:H1493)</f>
        <v>0.01479987663</v>
      </c>
      <c r="G374" s="5">
        <f>IF(('Precinct Vote Data'!H1490&gt;0.5)&lt;&gt;('Precinct Vote Data'!H1491&gt;0.5),1,0)+IF(('Precinct Vote Data'!H1491&gt;0.5)&lt;&gt;('Precinct Vote Data'!H1492&gt;0.5),1,0)+IF(('Precinct Vote Data'!H1492&gt;0.5)&lt;&gt;('Precinct Vote Data'!H1493&gt;0.5),1,0)</f>
        <v>2</v>
      </c>
      <c r="H374" s="2" t="str">
        <f t="shared" si="1"/>
        <v>Hard</v>
      </c>
    </row>
    <row r="375" ht="15.0" customHeight="1">
      <c r="A375" s="5" t="s">
        <v>327</v>
      </c>
      <c r="B375" s="5" t="s">
        <v>369</v>
      </c>
      <c r="C375" s="5" t="s">
        <v>219</v>
      </c>
      <c r="D375" s="10">
        <f>AVERAGE('Precinct Vote Data'!H1494:H1497)</f>
        <v>0.481293768</v>
      </c>
      <c r="E375" s="10">
        <f>AVERAGE(ABS('Precinct Vote Data'!H1494-0.5),ABS('Precinct Vote Data'!H1495-0.5),ABS('Precinct Vote Data'!H1496-0.5),ABS('Precinct Vote Data'!H1497-0.5))</f>
        <v>0.0213343529</v>
      </c>
      <c r="F375" s="10">
        <f>STDEV('Precinct Vote Data'!H1494:H1497)</f>
        <v>0.01785004759</v>
      </c>
      <c r="G375" s="5">
        <f>IF(('Precinct Vote Data'!H1494&gt;0.5)&lt;&gt;('Precinct Vote Data'!H1495&gt;0.5),1,0)+IF(('Precinct Vote Data'!H1495&gt;0.5)&lt;&gt;('Precinct Vote Data'!H1496&gt;0.5),1,0)+IF(('Precinct Vote Data'!H1496&gt;0.5)&lt;&gt;('Precinct Vote Data'!H1497&gt;0.5),1,0)</f>
        <v>1</v>
      </c>
      <c r="H375" s="2" t="str">
        <f t="shared" si="1"/>
        <v>Hard</v>
      </c>
    </row>
    <row r="376" ht="15.0" customHeight="1">
      <c r="A376" s="5" t="s">
        <v>327</v>
      </c>
      <c r="B376" s="5" t="s">
        <v>369</v>
      </c>
      <c r="C376" s="5" t="s">
        <v>223</v>
      </c>
      <c r="D376" s="10">
        <f>AVERAGE('Precinct Vote Data'!H1498:H1501)</f>
        <v>0.5515482131</v>
      </c>
      <c r="E376" s="10">
        <f>AVERAGE(ABS('Precinct Vote Data'!H1498-0.5),ABS('Precinct Vote Data'!H1499-0.5),ABS('Precinct Vote Data'!H1500-0.5),ABS('Precinct Vote Data'!H1501-0.5))</f>
        <v>0.0515482131</v>
      </c>
      <c r="F376" s="10">
        <f>STDEV('Precinct Vote Data'!H1498:H1501)</f>
        <v>0.02031710814</v>
      </c>
      <c r="G376" s="5">
        <f>IF(('Precinct Vote Data'!H1498&gt;0.5)&lt;&gt;('Precinct Vote Data'!H1499&gt;0.5),1,0)+IF(('Precinct Vote Data'!H1499&gt;0.5)&lt;&gt;('Precinct Vote Data'!H1500&gt;0.5),1,0)+IF(('Precinct Vote Data'!H1500&gt;0.5)&lt;&gt;('Precinct Vote Data'!H1501&gt;0.5),1,0)</f>
        <v>0</v>
      </c>
      <c r="H376" s="2" t="str">
        <f t="shared" si="1"/>
        <v>Medium</v>
      </c>
    </row>
    <row r="377" ht="15.0" customHeight="1">
      <c r="A377" s="5" t="s">
        <v>327</v>
      </c>
      <c r="B377" s="5" t="s">
        <v>369</v>
      </c>
      <c r="C377" s="5" t="s">
        <v>224</v>
      </c>
      <c r="D377" s="10">
        <f>AVERAGE('Precinct Vote Data'!H1502:H1505)</f>
        <v>0.4856151223</v>
      </c>
      <c r="E377" s="10">
        <f>AVERAGE(ABS('Precinct Vote Data'!H1502-0.5),ABS('Precinct Vote Data'!H1503-0.5),ABS('Precinct Vote Data'!H1504-0.5),ABS('Precinct Vote Data'!H1505-0.5))</f>
        <v>0.01438487774</v>
      </c>
      <c r="F377" s="10">
        <f>STDEV('Precinct Vote Data'!H1502:H1505)</f>
        <v>0.006246752599</v>
      </c>
      <c r="G377" s="5">
        <f>IF(('Precinct Vote Data'!H1502&gt;0.5)&lt;&gt;('Precinct Vote Data'!H1503&gt;0.5),1,0)+IF(('Precinct Vote Data'!H1503&gt;0.5)&lt;&gt;('Precinct Vote Data'!H1504&gt;0.5),1,0)+IF(('Precinct Vote Data'!H1504&gt;0.5)&lt;&gt;('Precinct Vote Data'!H1505&gt;0.5),1,0)</f>
        <v>0</v>
      </c>
      <c r="H377" s="2" t="str">
        <f t="shared" si="1"/>
        <v>Hard</v>
      </c>
    </row>
    <row r="378" ht="15.0" customHeight="1">
      <c r="A378" s="5" t="s">
        <v>327</v>
      </c>
      <c r="B378" s="5" t="s">
        <v>369</v>
      </c>
      <c r="C378" s="5" t="s">
        <v>225</v>
      </c>
      <c r="D378" s="10">
        <f>AVERAGE('Precinct Vote Data'!H1506:H1509)</f>
        <v>0.4679711872</v>
      </c>
      <c r="E378" s="10">
        <f>AVERAGE(ABS('Precinct Vote Data'!H1506-0.5),ABS('Precinct Vote Data'!H1507-0.5),ABS('Precinct Vote Data'!H1508-0.5),ABS('Precinct Vote Data'!H1509-0.5))</f>
        <v>0.03794866709</v>
      </c>
      <c r="F378" s="10">
        <f>STDEV('Precinct Vote Data'!H1506:H1509)</f>
        <v>0.03161742421</v>
      </c>
      <c r="G378" s="5">
        <f>IF(('Precinct Vote Data'!H1506&gt;0.5)&lt;&gt;('Precinct Vote Data'!H1507&gt;0.5),1,0)+IF(('Precinct Vote Data'!H1507&gt;0.5)&lt;&gt;('Precinct Vote Data'!H1508&gt;0.5),1,0)+IF(('Precinct Vote Data'!H1508&gt;0.5)&lt;&gt;('Precinct Vote Data'!H1509&gt;0.5),1,0)</f>
        <v>1</v>
      </c>
      <c r="H378" s="2" t="str">
        <f t="shared" si="1"/>
        <v>Hard</v>
      </c>
    </row>
    <row r="379" ht="15.0" customHeight="1">
      <c r="A379" s="5" t="s">
        <v>327</v>
      </c>
      <c r="B379" s="5" t="s">
        <v>370</v>
      </c>
      <c r="C379" s="5" t="s">
        <v>227</v>
      </c>
      <c r="D379" s="10">
        <f>AVERAGE('Precinct Vote Data'!H1510:H1513)</f>
        <v>0.3911716981</v>
      </c>
      <c r="E379" s="10">
        <f>AVERAGE(ABS('Precinct Vote Data'!H1510-0.5),ABS('Precinct Vote Data'!H1511-0.5),ABS('Precinct Vote Data'!H1512-0.5),ABS('Precinct Vote Data'!H1513-0.5))</f>
        <v>0.1088283019</v>
      </c>
      <c r="F379" s="10">
        <f>STDEV('Precinct Vote Data'!H1510:H1513)</f>
        <v>0.04737333284</v>
      </c>
      <c r="G379" s="5">
        <f>IF(('Precinct Vote Data'!H1510&gt;0.5)&lt;&gt;('Precinct Vote Data'!H1511&gt;0.5),1,0)+IF(('Precinct Vote Data'!H1511&gt;0.5)&lt;&gt;('Precinct Vote Data'!H1512&gt;0.5),1,0)+IF(('Precinct Vote Data'!H1512&gt;0.5)&lt;&gt;('Precinct Vote Data'!H1513&gt;0.5),1,0)</f>
        <v>0</v>
      </c>
      <c r="H379" s="2" t="str">
        <f t="shared" si="1"/>
        <v>Medium</v>
      </c>
    </row>
    <row r="380" ht="15.0" customHeight="1">
      <c r="A380" s="5" t="s">
        <v>327</v>
      </c>
      <c r="B380" s="5" t="s">
        <v>370</v>
      </c>
      <c r="C380" s="5" t="s">
        <v>228</v>
      </c>
      <c r="D380" s="10">
        <f>AVERAGE('Precinct Vote Data'!H1514:H1517)</f>
        <v>0.3447839902</v>
      </c>
      <c r="E380" s="10">
        <f>AVERAGE(ABS('Precinct Vote Data'!H1514-0.5),ABS('Precinct Vote Data'!H1515-0.5),ABS('Precinct Vote Data'!H1516-0.5),ABS('Precinct Vote Data'!H1517-0.5))</f>
        <v>0.1552160098</v>
      </c>
      <c r="F380" s="10">
        <f>STDEV('Precinct Vote Data'!H1514:H1517)</f>
        <v>0.007213640114</v>
      </c>
      <c r="G380" s="5">
        <f>IF(('Precinct Vote Data'!H1514&gt;0.5)&lt;&gt;('Precinct Vote Data'!H1515&gt;0.5),1,0)+IF(('Precinct Vote Data'!H1515&gt;0.5)&lt;&gt;('Precinct Vote Data'!H1516&gt;0.5),1,0)+IF(('Precinct Vote Data'!H1516&gt;0.5)&lt;&gt;('Precinct Vote Data'!H1517&gt;0.5),1,0)</f>
        <v>0</v>
      </c>
      <c r="H380" s="2" t="str">
        <f t="shared" si="1"/>
        <v>Easy</v>
      </c>
    </row>
    <row r="381" ht="15.0" customHeight="1">
      <c r="A381" s="5" t="s">
        <v>327</v>
      </c>
      <c r="B381" s="5" t="s">
        <v>370</v>
      </c>
      <c r="C381" s="5" t="s">
        <v>371</v>
      </c>
      <c r="D381" s="10">
        <f>AVERAGE('Precinct Vote Data'!H1518:H1521)</f>
        <v>0.4358719279</v>
      </c>
      <c r="E381" s="10">
        <f>AVERAGE(ABS('Precinct Vote Data'!H1518-0.5),ABS('Precinct Vote Data'!H1519-0.5),ABS('Precinct Vote Data'!H1520-0.5),ABS('Precinct Vote Data'!H1521-0.5))</f>
        <v>0.06412807213</v>
      </c>
      <c r="F381" s="10">
        <f>STDEV('Precinct Vote Data'!H1518:H1521)</f>
        <v>0.03102112082</v>
      </c>
      <c r="G381" s="5">
        <f>IF(('Precinct Vote Data'!H1518&gt;0.5)&lt;&gt;('Precinct Vote Data'!H1519&gt;0.5),1,0)+IF(('Precinct Vote Data'!H1519&gt;0.5)&lt;&gt;('Precinct Vote Data'!H1520&gt;0.5),1,0)+IF(('Precinct Vote Data'!H1520&gt;0.5)&lt;&gt;('Precinct Vote Data'!H1521&gt;0.5),1,0)</f>
        <v>0</v>
      </c>
      <c r="H381" s="2" t="str">
        <f t="shared" si="1"/>
        <v>Medium</v>
      </c>
    </row>
    <row r="382" ht="15.0" customHeight="1">
      <c r="A382" s="5" t="s">
        <v>327</v>
      </c>
      <c r="B382" s="5" t="s">
        <v>370</v>
      </c>
      <c r="C382" s="5" t="s">
        <v>230</v>
      </c>
      <c r="D382" s="10">
        <f>AVERAGE('Precinct Vote Data'!H1522:H1525)</f>
        <v>0.4428229076</v>
      </c>
      <c r="E382" s="10">
        <f>AVERAGE(ABS('Precinct Vote Data'!H1522-0.5),ABS('Precinct Vote Data'!H1523-0.5),ABS('Precinct Vote Data'!H1524-0.5),ABS('Precinct Vote Data'!H1525-0.5))</f>
        <v>0.05717709239</v>
      </c>
      <c r="F382" s="10">
        <f>STDEV('Precinct Vote Data'!H1522:H1525)</f>
        <v>0.04320635522</v>
      </c>
      <c r="G382" s="5">
        <f>IF(('Precinct Vote Data'!H1522&gt;0.5)&lt;&gt;('Precinct Vote Data'!H1523&gt;0.5),1,0)+IF(('Precinct Vote Data'!H1523&gt;0.5)&lt;&gt;('Precinct Vote Data'!H1524&gt;0.5),1,0)+IF(('Precinct Vote Data'!H1524&gt;0.5)&lt;&gt;('Precinct Vote Data'!H1525&gt;0.5),1,0)</f>
        <v>0</v>
      </c>
      <c r="H382" s="2" t="str">
        <f t="shared" si="1"/>
        <v>Medium</v>
      </c>
    </row>
    <row r="383" ht="15.0" customHeight="1">
      <c r="A383" s="5" t="s">
        <v>327</v>
      </c>
      <c r="B383" s="5" t="s">
        <v>372</v>
      </c>
      <c r="C383" s="5" t="s">
        <v>232</v>
      </c>
      <c r="D383" s="10">
        <f>AVERAGE('Precinct Vote Data'!H1526:H1529)</f>
        <v>0.3644958183</v>
      </c>
      <c r="E383" s="10">
        <f>AVERAGE(ABS('Precinct Vote Data'!H1526-0.5),ABS('Precinct Vote Data'!H1527-0.5),ABS('Precinct Vote Data'!H1528-0.5),ABS('Precinct Vote Data'!H1529-0.5))</f>
        <v>0.1355041817</v>
      </c>
      <c r="F383" s="10">
        <f>STDEV('Precinct Vote Data'!H1526:H1529)</f>
        <v>0.03218424027</v>
      </c>
      <c r="G383" s="5">
        <f>IF(('Precinct Vote Data'!H1526&gt;0.5)&lt;&gt;('Precinct Vote Data'!H1527&gt;0.5),1,0)+IF(('Precinct Vote Data'!H1527&gt;0.5)&lt;&gt;('Precinct Vote Data'!H1528&gt;0.5),1,0)+IF(('Precinct Vote Data'!H1528&gt;0.5)&lt;&gt;('Precinct Vote Data'!H1529&gt;0.5),1,0)</f>
        <v>0</v>
      </c>
      <c r="H383" s="2" t="str">
        <f t="shared" si="1"/>
        <v>Medium</v>
      </c>
    </row>
    <row r="384" ht="15.0" customHeight="1">
      <c r="A384" s="5" t="s">
        <v>327</v>
      </c>
      <c r="B384" s="5" t="s">
        <v>372</v>
      </c>
      <c r="C384" s="5" t="s">
        <v>233</v>
      </c>
      <c r="D384" s="10">
        <f>AVERAGE('Precinct Vote Data'!H1530:H1533)</f>
        <v>0.3837479091</v>
      </c>
      <c r="E384" s="10">
        <f>AVERAGE(ABS('Precinct Vote Data'!H1530-0.5),ABS('Precinct Vote Data'!H1531-0.5),ABS('Precinct Vote Data'!H1532-0.5),ABS('Precinct Vote Data'!H1533-0.5))</f>
        <v>0.1162520909</v>
      </c>
      <c r="F384" s="10">
        <f>STDEV('Precinct Vote Data'!H1530:H1533)</f>
        <v>0.03316457264</v>
      </c>
      <c r="G384" s="5">
        <f>IF(('Precinct Vote Data'!H1530&gt;0.5)&lt;&gt;('Precinct Vote Data'!H1531&gt;0.5),1,0)+IF(('Precinct Vote Data'!H1531&gt;0.5)&lt;&gt;('Precinct Vote Data'!H1532&gt;0.5),1,0)+IF(('Precinct Vote Data'!H1532&gt;0.5)&lt;&gt;('Precinct Vote Data'!H1533&gt;0.5),1,0)</f>
        <v>0</v>
      </c>
      <c r="H384" s="2" t="str">
        <f t="shared" si="1"/>
        <v>Medium</v>
      </c>
    </row>
    <row r="385" ht="15.0" customHeight="1">
      <c r="A385" s="5" t="s">
        <v>327</v>
      </c>
      <c r="B385" s="5" t="s">
        <v>372</v>
      </c>
      <c r="C385" s="5" t="s">
        <v>234</v>
      </c>
      <c r="D385" s="10">
        <f>AVERAGE('Precinct Vote Data'!H1534:H1537)</f>
        <v>0.3443134771</v>
      </c>
      <c r="E385" s="10">
        <f>AVERAGE(ABS('Precinct Vote Data'!H1534-0.5),ABS('Precinct Vote Data'!H1535-0.5),ABS('Precinct Vote Data'!H1536-0.5),ABS('Precinct Vote Data'!H1537-0.5))</f>
        <v>0.1556865229</v>
      </c>
      <c r="F385" s="10">
        <f>STDEV('Precinct Vote Data'!H1534:H1537)</f>
        <v>0.002495111711</v>
      </c>
      <c r="G385" s="5">
        <f>IF(('Precinct Vote Data'!H1534&gt;0.5)&lt;&gt;('Precinct Vote Data'!H1535&gt;0.5),1,0)+IF(('Precinct Vote Data'!H1535&gt;0.5)&lt;&gt;('Precinct Vote Data'!H1536&gt;0.5),1,0)+IF(('Precinct Vote Data'!H1536&gt;0.5)&lt;&gt;('Precinct Vote Data'!H1537&gt;0.5),1,0)</f>
        <v>0</v>
      </c>
      <c r="H385" s="2" t="str">
        <f t="shared" si="1"/>
        <v>Easy</v>
      </c>
    </row>
    <row r="386" ht="15.0" customHeight="1">
      <c r="A386" s="5" t="s">
        <v>327</v>
      </c>
      <c r="B386" s="5" t="s">
        <v>372</v>
      </c>
      <c r="C386" s="5" t="s">
        <v>236</v>
      </c>
      <c r="D386" s="10">
        <f>AVERAGE('Precinct Vote Data'!H1538:H1541)</f>
        <v>0.3516628858</v>
      </c>
      <c r="E386" s="10">
        <f>AVERAGE(ABS('Precinct Vote Data'!H1538-0.5),ABS('Precinct Vote Data'!H1539-0.5),ABS('Precinct Vote Data'!H1540-0.5),ABS('Precinct Vote Data'!H1541-0.5))</f>
        <v>0.1483371142</v>
      </c>
      <c r="F386" s="10">
        <f>STDEV('Precinct Vote Data'!H1538:H1541)</f>
        <v>0.02670842314</v>
      </c>
      <c r="G386" s="5">
        <f>IF(('Precinct Vote Data'!H1538&gt;0.5)&lt;&gt;('Precinct Vote Data'!H1539&gt;0.5),1,0)+IF(('Precinct Vote Data'!H1539&gt;0.5)&lt;&gt;('Precinct Vote Data'!H1540&gt;0.5),1,0)+IF(('Precinct Vote Data'!H1540&gt;0.5)&lt;&gt;('Precinct Vote Data'!H1541&gt;0.5),1,0)</f>
        <v>0</v>
      </c>
      <c r="H386" s="2" t="str">
        <f t="shared" si="1"/>
        <v>Medium</v>
      </c>
    </row>
    <row r="387" ht="15.0" customHeight="1">
      <c r="A387" s="5" t="s">
        <v>327</v>
      </c>
      <c r="B387" s="5" t="s">
        <v>373</v>
      </c>
      <c r="C387" s="5" t="s">
        <v>237</v>
      </c>
      <c r="D387" s="10">
        <f>AVERAGE('Precinct Vote Data'!H1542:H1545)</f>
        <v>0.3469671374</v>
      </c>
      <c r="E387" s="10">
        <f>AVERAGE(ABS('Precinct Vote Data'!H1542-0.5),ABS('Precinct Vote Data'!H1543-0.5),ABS('Precinct Vote Data'!H1544-0.5),ABS('Precinct Vote Data'!H1545-0.5))</f>
        <v>0.1530328626</v>
      </c>
      <c r="F387" s="10">
        <f>STDEV('Precinct Vote Data'!H1542:H1545)</f>
        <v>0.02187887947</v>
      </c>
      <c r="G387" s="5">
        <f>IF(('Precinct Vote Data'!H1542&gt;0.5)&lt;&gt;('Precinct Vote Data'!H1543&gt;0.5),1,0)+IF(('Precinct Vote Data'!H1543&gt;0.5)&lt;&gt;('Precinct Vote Data'!H1544&gt;0.5),1,0)+IF(('Precinct Vote Data'!H1544&gt;0.5)&lt;&gt;('Precinct Vote Data'!H1545&gt;0.5),1,0)</f>
        <v>0</v>
      </c>
      <c r="H387" s="2" t="str">
        <f t="shared" si="1"/>
        <v>Easy</v>
      </c>
    </row>
    <row r="388" ht="15.0" customHeight="1">
      <c r="A388" s="5" t="s">
        <v>327</v>
      </c>
      <c r="B388" s="5" t="s">
        <v>374</v>
      </c>
      <c r="C388" s="5" t="s">
        <v>238</v>
      </c>
      <c r="D388" s="10">
        <f>AVERAGE('Precinct Vote Data'!H1546:H1549)</f>
        <v>0.3836887149</v>
      </c>
      <c r="E388" s="10">
        <f>AVERAGE(ABS('Precinct Vote Data'!H1546-0.5),ABS('Precinct Vote Data'!H1547-0.5),ABS('Precinct Vote Data'!H1548-0.5),ABS('Precinct Vote Data'!H1549-0.5))</f>
        <v>0.1163112851</v>
      </c>
      <c r="F388" s="10">
        <f>STDEV('Precinct Vote Data'!H1546:H1549)</f>
        <v>0.02553163943</v>
      </c>
      <c r="G388" s="5">
        <f>IF(('Precinct Vote Data'!H1546&gt;0.5)&lt;&gt;('Precinct Vote Data'!H1547&gt;0.5),1,0)+IF(('Precinct Vote Data'!H1547&gt;0.5)&lt;&gt;('Precinct Vote Data'!H1548&gt;0.5),1,0)+IF(('Precinct Vote Data'!H1548&gt;0.5)&lt;&gt;('Precinct Vote Data'!H1549&gt;0.5),1,0)</f>
        <v>0</v>
      </c>
      <c r="H388" s="2" t="str">
        <f t="shared" si="1"/>
        <v>Medium</v>
      </c>
    </row>
    <row r="389" ht="15.0" customHeight="1">
      <c r="A389" s="5" t="s">
        <v>327</v>
      </c>
      <c r="B389" s="5" t="s">
        <v>375</v>
      </c>
      <c r="C389" s="5" t="s">
        <v>239</v>
      </c>
      <c r="D389" s="10">
        <f>AVERAGE('Precinct Vote Data'!H1550:H1553)</f>
        <v>0.4194956443</v>
      </c>
      <c r="E389" s="10">
        <f>AVERAGE(ABS('Precinct Vote Data'!H1550-0.5),ABS('Precinct Vote Data'!H1551-0.5),ABS('Precinct Vote Data'!H1552-0.5),ABS('Precinct Vote Data'!H1553-0.5))</f>
        <v>0.08050435575</v>
      </c>
      <c r="F389" s="10">
        <f>STDEV('Precinct Vote Data'!H1550:H1553)</f>
        <v>0.02212599811</v>
      </c>
      <c r="G389" s="5">
        <f>IF(('Precinct Vote Data'!H1550&gt;0.5)&lt;&gt;('Precinct Vote Data'!H1551&gt;0.5),1,0)+IF(('Precinct Vote Data'!H1551&gt;0.5)&lt;&gt;('Precinct Vote Data'!H1552&gt;0.5),1,0)+IF(('Precinct Vote Data'!H1552&gt;0.5)&lt;&gt;('Precinct Vote Data'!H1553&gt;0.5),1,0)</f>
        <v>0</v>
      </c>
      <c r="H389" s="2" t="str">
        <f t="shared" si="1"/>
        <v>Medium</v>
      </c>
    </row>
    <row r="390" ht="15.0" customHeight="1">
      <c r="A390" s="5" t="s">
        <v>327</v>
      </c>
      <c r="B390" s="5" t="s">
        <v>376</v>
      </c>
      <c r="C390" s="5" t="s">
        <v>240</v>
      </c>
      <c r="D390" s="10">
        <f>AVERAGE('Precinct Vote Data'!H1554:H1557)</f>
        <v>0.4222240092</v>
      </c>
      <c r="E390" s="10">
        <f>AVERAGE(ABS('Precinct Vote Data'!H1554-0.5),ABS('Precinct Vote Data'!H1555-0.5),ABS('Precinct Vote Data'!H1556-0.5),ABS('Precinct Vote Data'!H1557-0.5))</f>
        <v>0.07777599079</v>
      </c>
      <c r="F390" s="10">
        <f>STDEV('Precinct Vote Data'!H1554:H1557)</f>
        <v>0.01312821169</v>
      </c>
      <c r="G390" s="5">
        <f>IF(('Precinct Vote Data'!H1554&gt;0.5)&lt;&gt;('Precinct Vote Data'!H1555&gt;0.5),1,0)+IF(('Precinct Vote Data'!H1555&gt;0.5)&lt;&gt;('Precinct Vote Data'!H1556&gt;0.5),1,0)+IF(('Precinct Vote Data'!H1556&gt;0.5)&lt;&gt;('Precinct Vote Data'!H1557&gt;0.5),1,0)</f>
        <v>0</v>
      </c>
      <c r="H390" s="2" t="str">
        <f t="shared" si="1"/>
        <v>Medium</v>
      </c>
    </row>
    <row r="391" ht="15.0" customHeight="1">
      <c r="A391" s="5" t="s">
        <v>327</v>
      </c>
      <c r="B391" s="5" t="s">
        <v>377</v>
      </c>
      <c r="C391" s="5" t="s">
        <v>241</v>
      </c>
      <c r="D391" s="10">
        <f>AVERAGE('Precinct Vote Data'!H1558:H1561)</f>
        <v>0.2962104332</v>
      </c>
      <c r="E391" s="10">
        <f>AVERAGE(ABS('Precinct Vote Data'!H1558-0.5),ABS('Precinct Vote Data'!H1559-0.5),ABS('Precinct Vote Data'!H1560-0.5),ABS('Precinct Vote Data'!H1561-0.5))</f>
        <v>0.2037895668</v>
      </c>
      <c r="F391" s="10">
        <f>STDEV('Precinct Vote Data'!H1558:H1561)</f>
        <v>0.0203734788</v>
      </c>
      <c r="G391" s="5">
        <f>IF(('Precinct Vote Data'!H1558&gt;0.5)&lt;&gt;('Precinct Vote Data'!H1559&gt;0.5),1,0)+IF(('Precinct Vote Data'!H1559&gt;0.5)&lt;&gt;('Precinct Vote Data'!H1560&gt;0.5),1,0)+IF(('Precinct Vote Data'!H1560&gt;0.5)&lt;&gt;('Precinct Vote Data'!H1561&gt;0.5),1,0)</f>
        <v>0</v>
      </c>
      <c r="H391" s="2" t="str">
        <f t="shared" si="1"/>
        <v>Easy</v>
      </c>
    </row>
    <row r="392" ht="15.0" customHeight="1">
      <c r="A392" s="5" t="s">
        <v>327</v>
      </c>
      <c r="B392" s="5" t="s">
        <v>377</v>
      </c>
      <c r="C392" s="5" t="s">
        <v>242</v>
      </c>
      <c r="D392" s="10">
        <f>AVERAGE('Precinct Vote Data'!H1562:H1565)</f>
        <v>0.3388298588</v>
      </c>
      <c r="E392" s="10">
        <f>AVERAGE(ABS('Precinct Vote Data'!H1562-0.5),ABS('Precinct Vote Data'!H1563-0.5),ABS('Precinct Vote Data'!H1564-0.5),ABS('Precinct Vote Data'!H1565-0.5))</f>
        <v>0.1611701412</v>
      </c>
      <c r="F392" s="10">
        <f>STDEV('Precinct Vote Data'!H1562:H1565)</f>
        <v>0.02658391309</v>
      </c>
      <c r="G392" s="5">
        <f>IF(('Precinct Vote Data'!H1562&gt;0.5)&lt;&gt;('Precinct Vote Data'!H1563&gt;0.5),1,0)+IF(('Precinct Vote Data'!H1563&gt;0.5)&lt;&gt;('Precinct Vote Data'!H1564&gt;0.5),1,0)+IF(('Precinct Vote Data'!H1564&gt;0.5)&lt;&gt;('Precinct Vote Data'!H1565&gt;0.5),1,0)</f>
        <v>0</v>
      </c>
      <c r="H392" s="2" t="str">
        <f t="shared" si="1"/>
        <v>Easy</v>
      </c>
    </row>
    <row r="393" ht="15.0" customHeight="1">
      <c r="A393" s="5" t="s">
        <v>327</v>
      </c>
      <c r="B393" s="5" t="s">
        <v>377</v>
      </c>
      <c r="C393" s="5" t="s">
        <v>243</v>
      </c>
      <c r="D393" s="10">
        <f>AVERAGE('Precinct Vote Data'!H1566:H1569)</f>
        <v>0.2973263563</v>
      </c>
      <c r="E393" s="10">
        <f>AVERAGE(ABS('Precinct Vote Data'!H1566-0.5),ABS('Precinct Vote Data'!H1567-0.5),ABS('Precinct Vote Data'!H1568-0.5),ABS('Precinct Vote Data'!H1569-0.5))</f>
        <v>0.2026736437</v>
      </c>
      <c r="F393" s="10">
        <f>STDEV('Precinct Vote Data'!H1566:H1569)</f>
        <v>0.03036156258</v>
      </c>
      <c r="G393" s="5">
        <f>IF(('Precinct Vote Data'!H1566&gt;0.5)&lt;&gt;('Precinct Vote Data'!H1567&gt;0.5),1,0)+IF(('Precinct Vote Data'!H1567&gt;0.5)&lt;&gt;('Precinct Vote Data'!H1568&gt;0.5),1,0)+IF(('Precinct Vote Data'!H1568&gt;0.5)&lt;&gt;('Precinct Vote Data'!H1569&gt;0.5),1,0)</f>
        <v>0</v>
      </c>
      <c r="H393" s="2" t="str">
        <f t="shared" si="1"/>
        <v>Easy</v>
      </c>
    </row>
    <row r="394" ht="15.0" customHeight="1">
      <c r="A394" s="5" t="s">
        <v>327</v>
      </c>
      <c r="B394" s="5" t="s">
        <v>377</v>
      </c>
      <c r="C394" s="5" t="s">
        <v>245</v>
      </c>
      <c r="D394" s="10">
        <f>AVERAGE('Precinct Vote Data'!H1570:H1573)</f>
        <v>0.3287691894</v>
      </c>
      <c r="E394" s="10">
        <f>AVERAGE(ABS('Precinct Vote Data'!H1570-0.5),ABS('Precinct Vote Data'!H1571-0.5),ABS('Precinct Vote Data'!H1572-0.5),ABS('Precinct Vote Data'!H1573-0.5))</f>
        <v>0.1712308106</v>
      </c>
      <c r="F394" s="10">
        <f>STDEV('Precinct Vote Data'!H1570:H1573)</f>
        <v>0.0236096964</v>
      </c>
      <c r="G394" s="5">
        <f>IF(('Precinct Vote Data'!H1570&gt;0.5)&lt;&gt;('Precinct Vote Data'!H1571&gt;0.5),1,0)+IF(('Precinct Vote Data'!H1571&gt;0.5)&lt;&gt;('Precinct Vote Data'!H1572&gt;0.5),1,0)+IF(('Precinct Vote Data'!H1572&gt;0.5)&lt;&gt;('Precinct Vote Data'!H1573&gt;0.5),1,0)</f>
        <v>0</v>
      </c>
      <c r="H394" s="2" t="str">
        <f t="shared" si="1"/>
        <v>Easy</v>
      </c>
    </row>
    <row r="395" ht="15.0" customHeight="1">
      <c r="A395" s="5" t="s">
        <v>327</v>
      </c>
      <c r="B395" s="5" t="s">
        <v>377</v>
      </c>
      <c r="C395" s="5" t="s">
        <v>246</v>
      </c>
      <c r="D395" s="10">
        <f>AVERAGE('Precinct Vote Data'!H1574:H1577)</f>
        <v>0.3855893746</v>
      </c>
      <c r="E395" s="10">
        <f>AVERAGE(ABS('Precinct Vote Data'!H1574-0.5),ABS('Precinct Vote Data'!H1575-0.5),ABS('Precinct Vote Data'!H1576-0.5),ABS('Precinct Vote Data'!H1577-0.5))</f>
        <v>0.1144106254</v>
      </c>
      <c r="F395" s="10">
        <f>STDEV('Precinct Vote Data'!H1574:H1577)</f>
        <v>0.01796838295</v>
      </c>
      <c r="G395" s="5">
        <f>IF(('Precinct Vote Data'!H1574&gt;0.5)&lt;&gt;('Precinct Vote Data'!H1575&gt;0.5),1,0)+IF(('Precinct Vote Data'!H1575&gt;0.5)&lt;&gt;('Precinct Vote Data'!H1576&gt;0.5),1,0)+IF(('Precinct Vote Data'!H1576&gt;0.5)&lt;&gt;('Precinct Vote Data'!H1577&gt;0.5),1,0)</f>
        <v>0</v>
      </c>
      <c r="H395" s="2" t="str">
        <f t="shared" si="1"/>
        <v>Medium</v>
      </c>
    </row>
    <row r="396" ht="15.0" customHeight="1">
      <c r="A396" s="5" t="s">
        <v>327</v>
      </c>
      <c r="B396" s="5" t="s">
        <v>378</v>
      </c>
      <c r="C396" s="5" t="s">
        <v>247</v>
      </c>
      <c r="D396" s="10">
        <f>AVERAGE('Precinct Vote Data'!H1578:H1581)</f>
        <v>0.4857733173</v>
      </c>
      <c r="E396" s="10">
        <f>AVERAGE(ABS('Precinct Vote Data'!H1578-0.5),ABS('Precinct Vote Data'!H1579-0.5),ABS('Precinct Vote Data'!H1580-0.5),ABS('Precinct Vote Data'!H1581-0.5))</f>
        <v>0.01862597055</v>
      </c>
      <c r="F396" s="10">
        <f>STDEV('Precinct Vote Data'!H1578:H1581)</f>
        <v>0.02321419906</v>
      </c>
      <c r="G396" s="5">
        <f>IF(('Precinct Vote Data'!H1578&gt;0.5)&lt;&gt;('Precinct Vote Data'!H1579&gt;0.5),1,0)+IF(('Precinct Vote Data'!H1579&gt;0.5)&lt;&gt;('Precinct Vote Data'!H1580&gt;0.5),1,0)+IF(('Precinct Vote Data'!H1580&gt;0.5)&lt;&gt;('Precinct Vote Data'!H1581&gt;0.5),1,0)</f>
        <v>3</v>
      </c>
      <c r="H396" s="2" t="str">
        <f t="shared" si="1"/>
        <v>Hard</v>
      </c>
    </row>
    <row r="397" ht="15.0" customHeight="1">
      <c r="A397" s="5" t="s">
        <v>327</v>
      </c>
      <c r="B397" s="5" t="s">
        <v>378</v>
      </c>
      <c r="C397" s="5" t="s">
        <v>248</v>
      </c>
      <c r="D397" s="10">
        <f>AVERAGE('Precinct Vote Data'!H1582:H1585)</f>
        <v>0.484204301</v>
      </c>
      <c r="E397" s="10">
        <f>AVERAGE(ABS('Precinct Vote Data'!H1582-0.5),ABS('Precinct Vote Data'!H1583-0.5),ABS('Precinct Vote Data'!H1584-0.5),ABS('Precinct Vote Data'!H1585-0.5))</f>
        <v>0.01579569902</v>
      </c>
      <c r="F397" s="10">
        <f>STDEV('Precinct Vote Data'!H1582:H1585)</f>
        <v>0.01014036746</v>
      </c>
      <c r="G397" s="5">
        <f>IF(('Precinct Vote Data'!H1582&gt;0.5)&lt;&gt;('Precinct Vote Data'!H1583&gt;0.5),1,0)+IF(('Precinct Vote Data'!H1583&gt;0.5)&lt;&gt;('Precinct Vote Data'!H1584&gt;0.5),1,0)+IF(('Precinct Vote Data'!H1584&gt;0.5)&lt;&gt;('Precinct Vote Data'!H1585&gt;0.5),1,0)</f>
        <v>0</v>
      </c>
      <c r="H397" s="2" t="str">
        <f t="shared" si="1"/>
        <v>Hard</v>
      </c>
    </row>
    <row r="398" ht="15.0" customHeight="1">
      <c r="A398" s="5" t="s">
        <v>327</v>
      </c>
      <c r="B398" s="5" t="s">
        <v>379</v>
      </c>
      <c r="C398" s="5" t="s">
        <v>254</v>
      </c>
      <c r="D398" s="10">
        <f>AVERAGE('Precinct Vote Data'!H1586:H1589)</f>
        <v>0.4036614496</v>
      </c>
      <c r="E398" s="10">
        <f>AVERAGE(ABS('Precinct Vote Data'!H1586-0.5),ABS('Precinct Vote Data'!H1587-0.5),ABS('Precinct Vote Data'!H1588-0.5),ABS('Precinct Vote Data'!H1589-0.5))</f>
        <v>0.09633855038</v>
      </c>
      <c r="F398" s="10">
        <f>STDEV('Precinct Vote Data'!H1586:H1589)</f>
        <v>0.0201254424</v>
      </c>
      <c r="G398" s="5">
        <f>IF(('Precinct Vote Data'!H1586&gt;0.5)&lt;&gt;('Precinct Vote Data'!H1587&gt;0.5),1,0)+IF(('Precinct Vote Data'!H1587&gt;0.5)&lt;&gt;('Precinct Vote Data'!H1588&gt;0.5),1,0)+IF(('Precinct Vote Data'!H1588&gt;0.5)&lt;&gt;('Precinct Vote Data'!H1589&gt;0.5),1,0)</f>
        <v>0</v>
      </c>
      <c r="H398" s="2" t="str">
        <f t="shared" si="1"/>
        <v>Medium</v>
      </c>
    </row>
    <row r="399" ht="15.0" customHeight="1">
      <c r="A399" s="5" t="s">
        <v>327</v>
      </c>
      <c r="B399" s="5" t="s">
        <v>263</v>
      </c>
      <c r="C399" s="5" t="s">
        <v>255</v>
      </c>
      <c r="D399" s="10">
        <f>AVERAGE('Precinct Vote Data'!H1590:H1593)</f>
        <v>0.3511549741</v>
      </c>
      <c r="E399" s="10">
        <f>AVERAGE(ABS('Precinct Vote Data'!H1590-0.5),ABS('Precinct Vote Data'!H1591-0.5),ABS('Precinct Vote Data'!H1592-0.5),ABS('Precinct Vote Data'!H1593-0.5))</f>
        <v>0.1488450259</v>
      </c>
      <c r="F399" s="10">
        <f>STDEV('Precinct Vote Data'!H1590:H1593)</f>
        <v>0.02503204366</v>
      </c>
      <c r="G399" s="5">
        <f>IF(('Precinct Vote Data'!H1590&gt;0.5)&lt;&gt;('Precinct Vote Data'!H1591&gt;0.5),1,0)+IF(('Precinct Vote Data'!H1591&gt;0.5)&lt;&gt;('Precinct Vote Data'!H1592&gt;0.5),1,0)+IF(('Precinct Vote Data'!H1592&gt;0.5)&lt;&gt;('Precinct Vote Data'!H1593&gt;0.5),1,0)</f>
        <v>0</v>
      </c>
      <c r="H399" s="2" t="str">
        <f t="shared" si="1"/>
        <v>Medium</v>
      </c>
    </row>
    <row r="400" ht="15.0" customHeight="1">
      <c r="A400" s="5" t="s">
        <v>327</v>
      </c>
      <c r="B400" s="5" t="s">
        <v>263</v>
      </c>
      <c r="C400" s="5" t="s">
        <v>257</v>
      </c>
      <c r="D400" s="10">
        <f>AVERAGE('Precinct Vote Data'!H1594:H1597)</f>
        <v>0.3642352059</v>
      </c>
      <c r="E400" s="10">
        <f>AVERAGE(ABS('Precinct Vote Data'!H1594-0.5),ABS('Precinct Vote Data'!H1595-0.5),ABS('Precinct Vote Data'!H1596-0.5),ABS('Precinct Vote Data'!H1597-0.5))</f>
        <v>0.1357647941</v>
      </c>
      <c r="F400" s="10">
        <f>STDEV('Precinct Vote Data'!H1594:H1597)</f>
        <v>0.02497170079</v>
      </c>
      <c r="G400" s="5">
        <f>IF(('Precinct Vote Data'!H1594&gt;0.5)&lt;&gt;('Precinct Vote Data'!H1595&gt;0.5),1,0)+IF(('Precinct Vote Data'!H1595&gt;0.5)&lt;&gt;('Precinct Vote Data'!H1596&gt;0.5),1,0)+IF(('Precinct Vote Data'!H1596&gt;0.5)&lt;&gt;('Precinct Vote Data'!H1597&gt;0.5),1,0)</f>
        <v>0</v>
      </c>
      <c r="H400" s="2" t="str">
        <f t="shared" si="1"/>
        <v>Medium</v>
      </c>
    </row>
    <row r="401" ht="15.0" customHeight="1">
      <c r="A401" s="5" t="s">
        <v>327</v>
      </c>
      <c r="B401" s="5" t="s">
        <v>380</v>
      </c>
      <c r="C401" s="5" t="s">
        <v>258</v>
      </c>
      <c r="D401" s="10">
        <f>AVERAGE('Precinct Vote Data'!H1598:H1601)</f>
        <v>0.4810990968</v>
      </c>
      <c r="E401" s="10">
        <f>AVERAGE(ABS('Precinct Vote Data'!H1598-0.5),ABS('Precinct Vote Data'!H1599-0.5),ABS('Precinct Vote Data'!H1600-0.5),ABS('Precinct Vote Data'!H1601-0.5))</f>
        <v>0.03650653695</v>
      </c>
      <c r="F401" s="10">
        <f>STDEV('Precinct Vote Data'!H1598:H1601)</f>
        <v>0.04191017281</v>
      </c>
      <c r="G401" s="5">
        <f>IF(('Precinct Vote Data'!H1598&gt;0.5)&lt;&gt;('Precinct Vote Data'!H1599&gt;0.5),1,0)+IF(('Precinct Vote Data'!H1599&gt;0.5)&lt;&gt;('Precinct Vote Data'!H1600&gt;0.5),1,0)+IF(('Precinct Vote Data'!H1600&gt;0.5)&lt;&gt;('Precinct Vote Data'!H1601&gt;0.5),1,0)</f>
        <v>1</v>
      </c>
      <c r="H401" s="2" t="str">
        <f t="shared" si="1"/>
        <v>Hard</v>
      </c>
    </row>
    <row r="402" ht="15.0" customHeight="1">
      <c r="A402" s="5" t="s">
        <v>327</v>
      </c>
      <c r="B402" s="5" t="s">
        <v>381</v>
      </c>
      <c r="C402" s="5" t="s">
        <v>259</v>
      </c>
      <c r="D402" s="10">
        <f>AVERAGE('Precinct Vote Data'!H1602:H1605)</f>
        <v>0.4307607256</v>
      </c>
      <c r="E402" s="10">
        <f>AVERAGE(ABS('Precinct Vote Data'!H1602-0.5),ABS('Precinct Vote Data'!H1603-0.5),ABS('Precinct Vote Data'!H1604-0.5),ABS('Precinct Vote Data'!H1605-0.5))</f>
        <v>0.06923927436</v>
      </c>
      <c r="F402" s="10">
        <f>STDEV('Precinct Vote Data'!H1602:H1605)</f>
        <v>0.02456702558</v>
      </c>
      <c r="G402" s="5">
        <f>IF(('Precinct Vote Data'!H1602&gt;0.5)&lt;&gt;('Precinct Vote Data'!H1603&gt;0.5),1,0)+IF(('Precinct Vote Data'!H1603&gt;0.5)&lt;&gt;('Precinct Vote Data'!H1604&gt;0.5),1,0)+IF(('Precinct Vote Data'!H1604&gt;0.5)&lt;&gt;('Precinct Vote Data'!H1605&gt;0.5),1,0)</f>
        <v>0</v>
      </c>
      <c r="H402" s="2" t="str">
        <f t="shared" si="1"/>
        <v>Medium</v>
      </c>
    </row>
    <row r="403" ht="15.0" customHeight="1">
      <c r="A403" s="5" t="s">
        <v>327</v>
      </c>
      <c r="B403" s="5" t="s">
        <v>381</v>
      </c>
      <c r="C403" s="5" t="s">
        <v>260</v>
      </c>
      <c r="D403" s="10">
        <f>AVERAGE('Precinct Vote Data'!H1606:H1609)</f>
        <v>0.3950335098</v>
      </c>
      <c r="E403" s="10">
        <f>AVERAGE(ABS('Precinct Vote Data'!H1606-0.5),ABS('Precinct Vote Data'!H1607-0.5),ABS('Precinct Vote Data'!H1608-0.5),ABS('Precinct Vote Data'!H1609-0.5))</f>
        <v>0.1049664902</v>
      </c>
      <c r="F403" s="10">
        <f>STDEV('Precinct Vote Data'!H1606:H1609)</f>
        <v>0.01959506268</v>
      </c>
      <c r="G403" s="5">
        <f>IF(('Precinct Vote Data'!H1606&gt;0.5)&lt;&gt;('Precinct Vote Data'!H1607&gt;0.5),1,0)+IF(('Precinct Vote Data'!H1607&gt;0.5)&lt;&gt;('Precinct Vote Data'!H1608&gt;0.5),1,0)+IF(('Precinct Vote Data'!H1608&gt;0.5)&lt;&gt;('Precinct Vote Data'!H1609&gt;0.5),1,0)</f>
        <v>0</v>
      </c>
      <c r="H403" s="2" t="str">
        <f t="shared" si="1"/>
        <v>Medium</v>
      </c>
    </row>
    <row r="404" ht="15.0" customHeight="1">
      <c r="A404" s="5" t="s">
        <v>327</v>
      </c>
      <c r="B404" s="5" t="s">
        <v>381</v>
      </c>
      <c r="C404" s="5" t="s">
        <v>264</v>
      </c>
      <c r="D404" s="10">
        <f>AVERAGE('Precinct Vote Data'!H1610:H1613)</f>
        <v>0.4891732468</v>
      </c>
      <c r="E404" s="10">
        <f>AVERAGE(ABS('Precinct Vote Data'!H1610-0.5),ABS('Precinct Vote Data'!H1611-0.5),ABS('Precinct Vote Data'!H1612-0.5),ABS('Precinct Vote Data'!H1613-0.5))</f>
        <v>0.01203448266</v>
      </c>
      <c r="F404" s="10">
        <f>STDEV('Precinct Vote Data'!H1610:H1613)</f>
        <v>0.01022369453</v>
      </c>
      <c r="G404" s="5">
        <f>IF(('Precinct Vote Data'!H1610&gt;0.5)&lt;&gt;('Precinct Vote Data'!H1611&gt;0.5),1,0)+IF(('Precinct Vote Data'!H1611&gt;0.5)&lt;&gt;('Precinct Vote Data'!H1612&gt;0.5),1,0)+IF(('Precinct Vote Data'!H1612&gt;0.5)&lt;&gt;('Precinct Vote Data'!H1613&gt;0.5),1,0)</f>
        <v>1</v>
      </c>
      <c r="H404" s="2" t="str">
        <f t="shared" si="1"/>
        <v>Hard</v>
      </c>
    </row>
    <row r="405" ht="15.0" customHeight="1">
      <c r="A405" s="5" t="s">
        <v>327</v>
      </c>
      <c r="B405" s="5" t="s">
        <v>381</v>
      </c>
      <c r="C405" s="5" t="s">
        <v>265</v>
      </c>
      <c r="D405" s="10">
        <f>AVERAGE('Precinct Vote Data'!H1614:H1617)</f>
        <v>0.4343332255</v>
      </c>
      <c r="E405" s="10">
        <f>AVERAGE(ABS('Precinct Vote Data'!H1614-0.5),ABS('Precinct Vote Data'!H1615-0.5),ABS('Precinct Vote Data'!H1616-0.5),ABS('Precinct Vote Data'!H1617-0.5))</f>
        <v>0.06566677454</v>
      </c>
      <c r="F405" s="10">
        <f>STDEV('Precinct Vote Data'!H1614:H1617)</f>
        <v>0.02897853265</v>
      </c>
      <c r="G405" s="5">
        <f>IF(('Precinct Vote Data'!H1614&gt;0.5)&lt;&gt;('Precinct Vote Data'!H1615&gt;0.5),1,0)+IF(('Precinct Vote Data'!H1615&gt;0.5)&lt;&gt;('Precinct Vote Data'!H1616&gt;0.5),1,0)+IF(('Precinct Vote Data'!H1616&gt;0.5)&lt;&gt;('Precinct Vote Data'!H1617&gt;0.5),1,0)</f>
        <v>0</v>
      </c>
      <c r="H405" s="2" t="str">
        <f t="shared" si="1"/>
        <v>Medium</v>
      </c>
    </row>
    <row r="406" ht="15.0" customHeight="1">
      <c r="A406" s="5" t="s">
        <v>327</v>
      </c>
      <c r="B406" s="5" t="s">
        <v>382</v>
      </c>
      <c r="C406" s="5" t="s">
        <v>266</v>
      </c>
      <c r="D406" s="10">
        <f>AVERAGE('Precinct Vote Data'!H1618:H1621)</f>
        <v>0.601094086</v>
      </c>
      <c r="E406" s="10">
        <f>AVERAGE(ABS('Precinct Vote Data'!H1618-0.5),ABS('Precinct Vote Data'!H1619-0.5),ABS('Precinct Vote Data'!H1620-0.5),ABS('Precinct Vote Data'!H1621-0.5))</f>
        <v>0.101094086</v>
      </c>
      <c r="F406" s="10">
        <f>STDEV('Precinct Vote Data'!H1618:H1621)</f>
        <v>0.02065364985</v>
      </c>
      <c r="G406" s="5">
        <f>IF(('Precinct Vote Data'!H1618&gt;0.5)&lt;&gt;('Precinct Vote Data'!H1619&gt;0.5),1,0)+IF(('Precinct Vote Data'!H1619&gt;0.5)&lt;&gt;('Precinct Vote Data'!H1620&gt;0.5),1,0)+IF(('Precinct Vote Data'!H1620&gt;0.5)&lt;&gt;('Precinct Vote Data'!H1621&gt;0.5),1,0)</f>
        <v>0</v>
      </c>
      <c r="H406" s="2" t="str">
        <f t="shared" si="1"/>
        <v>Medium</v>
      </c>
    </row>
    <row r="407" ht="15.0" customHeight="1">
      <c r="A407" s="5" t="s">
        <v>327</v>
      </c>
      <c r="B407" s="5" t="s">
        <v>382</v>
      </c>
      <c r="C407" s="5" t="s">
        <v>268</v>
      </c>
      <c r="D407" s="10">
        <f>AVERAGE('Precinct Vote Data'!H1622:H1625)</f>
        <v>0.5879177922</v>
      </c>
      <c r="E407" s="10">
        <f>AVERAGE(ABS('Precinct Vote Data'!H1622-0.5),ABS('Precinct Vote Data'!H1623-0.5),ABS('Precinct Vote Data'!H1624-0.5),ABS('Precinct Vote Data'!H1625-0.5))</f>
        <v>0.08791779218</v>
      </c>
      <c r="F407" s="10">
        <f>STDEV('Precinct Vote Data'!H1622:H1625)</f>
        <v>0.0395652474</v>
      </c>
      <c r="G407" s="5">
        <f>IF(('Precinct Vote Data'!H1622&gt;0.5)&lt;&gt;('Precinct Vote Data'!H1623&gt;0.5),1,0)+IF(('Precinct Vote Data'!H1623&gt;0.5)&lt;&gt;('Precinct Vote Data'!H1624&gt;0.5),1,0)+IF(('Precinct Vote Data'!H1624&gt;0.5)&lt;&gt;('Precinct Vote Data'!H1625&gt;0.5),1,0)</f>
        <v>0</v>
      </c>
      <c r="H407" s="2" t="str">
        <f t="shared" si="1"/>
        <v>Medium</v>
      </c>
    </row>
    <row r="408" ht="15.0" customHeight="1">
      <c r="A408" s="5" t="s">
        <v>327</v>
      </c>
      <c r="B408" s="5" t="s">
        <v>382</v>
      </c>
      <c r="C408" s="5" t="s">
        <v>270</v>
      </c>
      <c r="D408" s="10">
        <f>AVERAGE('Precinct Vote Data'!H1626:H1629)</f>
        <v>0.5444313284</v>
      </c>
      <c r="E408" s="10">
        <f>AVERAGE(ABS('Precinct Vote Data'!H1626-0.5),ABS('Precinct Vote Data'!H1627-0.5),ABS('Precinct Vote Data'!H1628-0.5),ABS('Precinct Vote Data'!H1629-0.5))</f>
        <v>0.04443132842</v>
      </c>
      <c r="F408" s="10">
        <f>STDEV('Precinct Vote Data'!H1626:H1629)</f>
        <v>0.02554490996</v>
      </c>
      <c r="G408" s="5">
        <f>IF(('Precinct Vote Data'!H1626&gt;0.5)&lt;&gt;('Precinct Vote Data'!H1627&gt;0.5),1,0)+IF(('Precinct Vote Data'!H1627&gt;0.5)&lt;&gt;('Precinct Vote Data'!H1628&gt;0.5),1,0)+IF(('Precinct Vote Data'!H1628&gt;0.5)&lt;&gt;('Precinct Vote Data'!H1629&gt;0.5),1,0)</f>
        <v>0</v>
      </c>
      <c r="H408" s="2" t="str">
        <f t="shared" si="1"/>
        <v>Hard</v>
      </c>
    </row>
    <row r="409" ht="15.0" customHeight="1">
      <c r="A409" s="5" t="s">
        <v>327</v>
      </c>
      <c r="B409" s="5" t="s">
        <v>383</v>
      </c>
      <c r="C409" s="5" t="s">
        <v>271</v>
      </c>
      <c r="D409" s="10">
        <f>AVERAGE('Precinct Vote Data'!H1630:H1633)</f>
        <v>0.4301953238</v>
      </c>
      <c r="E409" s="10">
        <f>AVERAGE(ABS('Precinct Vote Data'!H1630-0.5),ABS('Precinct Vote Data'!H1631-0.5),ABS('Precinct Vote Data'!H1632-0.5),ABS('Precinct Vote Data'!H1633-0.5))</f>
        <v>0.06980467625</v>
      </c>
      <c r="F409" s="10">
        <f>STDEV('Precinct Vote Data'!H1630:H1633)</f>
        <v>0.02895185006</v>
      </c>
      <c r="G409" s="5">
        <f>IF(('Precinct Vote Data'!H1630&gt;0.5)&lt;&gt;('Precinct Vote Data'!H1631&gt;0.5),1,0)+IF(('Precinct Vote Data'!H1631&gt;0.5)&lt;&gt;('Precinct Vote Data'!H1632&gt;0.5),1,0)+IF(('Precinct Vote Data'!H1632&gt;0.5)&lt;&gt;('Precinct Vote Data'!H1633&gt;0.5),1,0)</f>
        <v>0</v>
      </c>
      <c r="H409" s="2" t="str">
        <f t="shared" si="1"/>
        <v>Medium</v>
      </c>
    </row>
    <row r="410" ht="15.75" customHeight="1">
      <c r="A410" s="9"/>
      <c r="B410" s="9"/>
      <c r="C410" s="9"/>
      <c r="D410" s="9"/>
      <c r="E410" s="9"/>
      <c r="F410" s="9"/>
      <c r="G410" s="9"/>
      <c r="H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</row>
  </sheetData>
  <autoFilter ref="$A$1:$H$409"/>
  <conditionalFormatting sqref="H2:H409">
    <cfRule type="cellIs" dxfId="1" priority="1" operator="equal">
      <formula>"Hard"</formula>
    </cfRule>
  </conditionalFormatting>
  <conditionalFormatting sqref="H2:H409">
    <cfRule type="cellIs" dxfId="0" priority="2" operator="equal">
      <formula>"Easy"</formula>
    </cfRule>
  </conditionalFormatting>
  <conditionalFormatting sqref="H2:H409">
    <cfRule type="cellIs" dxfId="2" priority="3" operator="equal">
      <formula>"Medium"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9.0"/>
    <col customWidth="1" min="2" max="2" width="25.71"/>
    <col customWidth="1" min="3" max="3" width="19.0"/>
    <col customWidth="1" min="4" max="4" width="19.86"/>
    <col customWidth="1" min="5" max="5" width="16.0"/>
    <col customWidth="1" min="6" max="7" width="12.43"/>
    <col customWidth="1" min="8" max="8" width="18.71"/>
    <col customWidth="1" min="9" max="9" width="26.14"/>
    <col customWidth="1" min="10" max="10" width="18.0"/>
    <col customWidth="1" min="11" max="11" width="13.0"/>
    <col customWidth="1" min="12" max="26" width="8.71"/>
  </cols>
  <sheetData>
    <row r="1" ht="15.75" customHeight="1">
      <c r="A1" s="8" t="s">
        <v>25</v>
      </c>
      <c r="I1" s="9"/>
      <c r="J1" s="9"/>
      <c r="K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15.0" customHeight="1">
      <c r="A3" s="2" t="s">
        <v>49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1">
      <c r="A4" s="2" t="s">
        <v>1</v>
      </c>
      <c r="B4" s="2" t="s">
        <v>50</v>
      </c>
      <c r="C4" s="2" t="s">
        <v>51</v>
      </c>
      <c r="D4" s="2" t="s">
        <v>52</v>
      </c>
      <c r="E4" s="2" t="s">
        <v>53</v>
      </c>
      <c r="F4" s="9"/>
      <c r="G4" s="9"/>
      <c r="H4" s="9"/>
      <c r="I4" s="9"/>
      <c r="J4" s="9"/>
      <c r="K4" s="9"/>
    </row>
    <row r="5" ht="15.0" customHeight="1">
      <c r="A5" s="5">
        <v>2018.0</v>
      </c>
      <c r="B5" s="11">
        <f>SUMIF('Precinct Vote Data'!$A:$A,A5,'Precinct Vote Data'!$E:$E)</f>
        <v>164979</v>
      </c>
      <c r="C5" s="11">
        <f>SUMIF('Precinct Vote Data'!$A:$A,A5,'Precinct Vote Data'!$F:$F)</f>
        <v>140498</v>
      </c>
      <c r="D5" s="10">
        <f t="shared" ref="D5:D8" si="1">B5/(B5+C5)</f>
        <v>0.5400701198</v>
      </c>
      <c r="E5" s="5" t="str">
        <f t="shared" ref="E5:E8" si="2">IF(D5&gt;0.5,"D","R")</f>
        <v>D</v>
      </c>
      <c r="F5" s="9"/>
      <c r="G5" s="9"/>
      <c r="H5" s="9"/>
      <c r="I5" s="9"/>
      <c r="J5" s="9"/>
      <c r="K5" s="9"/>
    </row>
    <row r="6" ht="15.0" customHeight="1">
      <c r="A6" s="5">
        <v>2020.0</v>
      </c>
      <c r="B6" s="11">
        <f>SUMIF('Precinct Vote Data'!$A:$A,A6,'Precinct Vote Data'!$E:$E)</f>
        <v>227949</v>
      </c>
      <c r="C6" s="11">
        <f>SUMIF('Precinct Vote Data'!$A:$A,A6,'Precinct Vote Data'!$F:$F)</f>
        <v>221629</v>
      </c>
      <c r="D6" s="10">
        <f t="shared" si="1"/>
        <v>0.5070288137</v>
      </c>
      <c r="E6" s="5" t="str">
        <f t="shared" si="2"/>
        <v>D</v>
      </c>
      <c r="F6" s="9"/>
      <c r="G6" s="9"/>
      <c r="H6" s="9"/>
      <c r="I6" s="9"/>
      <c r="J6" s="9"/>
      <c r="K6" s="9"/>
    </row>
    <row r="7" ht="15.0" customHeight="1">
      <c r="A7" s="5">
        <v>2022.0</v>
      </c>
      <c r="B7" s="11">
        <f>SUMIF('Precinct Vote Data'!$A:$A,A7,'Precinct Vote Data'!$E:$E)</f>
        <v>175346</v>
      </c>
      <c r="C7" s="11">
        <f>SUMIF('Precinct Vote Data'!$A:$A,A7,'Precinct Vote Data'!$F:$F)</f>
        <v>164738</v>
      </c>
      <c r="D7" s="10">
        <f t="shared" si="1"/>
        <v>0.5155961468</v>
      </c>
      <c r="E7" s="5" t="str">
        <f t="shared" si="2"/>
        <v>D</v>
      </c>
      <c r="F7" s="9"/>
      <c r="G7" s="9"/>
      <c r="H7" s="9"/>
      <c r="I7" s="9"/>
      <c r="J7" s="9"/>
      <c r="K7" s="9"/>
    </row>
    <row r="8" ht="15.0" customHeight="1">
      <c r="A8" s="5">
        <v>2024.0</v>
      </c>
      <c r="B8" s="11">
        <f>SUMIF('Precinct Vote Data'!$A:$A,A8,'Precinct Vote Data'!$E:$E)</f>
        <v>232003</v>
      </c>
      <c r="C8" s="11">
        <f>SUMIF('Precinct Vote Data'!$A:$A,A8,'Precinct Vote Data'!$F:$F)</f>
        <v>229952</v>
      </c>
      <c r="D8" s="10">
        <f t="shared" si="1"/>
        <v>0.5022199132</v>
      </c>
      <c r="E8" s="5" t="str">
        <f t="shared" si="2"/>
        <v>D</v>
      </c>
      <c r="F8" s="9"/>
      <c r="G8" s="9"/>
      <c r="H8" s="9"/>
      <c r="I8" s="9"/>
      <c r="J8" s="9"/>
      <c r="K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ht="15.0" customHeight="1">
      <c r="A11" s="2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ht="15.0" customHeight="1">
      <c r="A12" s="2" t="s">
        <v>3</v>
      </c>
      <c r="B12" s="2" t="s">
        <v>4</v>
      </c>
      <c r="C12" s="2" t="s">
        <v>5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68</v>
      </c>
      <c r="I12" s="2" t="s">
        <v>69</v>
      </c>
      <c r="J12" s="2" t="s">
        <v>70</v>
      </c>
      <c r="K12" s="12" t="s">
        <v>71</v>
      </c>
    </row>
    <row r="13" ht="15.0" customHeight="1">
      <c r="A13" s="5" t="s">
        <v>16</v>
      </c>
      <c r="B13" s="5" t="s">
        <v>17</v>
      </c>
      <c r="C13" s="5" t="s">
        <v>18</v>
      </c>
      <c r="D13" s="5">
        <f>IF(IF('Precinct Vote Data'!H2&gt;0.5,"D","R")=$E$5,1,0)</f>
        <v>0</v>
      </c>
      <c r="E13" s="5">
        <f>IF(IF('Precinct Vote Data'!H3&gt;0.5,"D","R")=$E$6,1,0)</f>
        <v>0</v>
      </c>
      <c r="F13" s="5">
        <f>IF(IF('Precinct Vote Data'!H4&gt;0.5,"D","R")=$E$7,1,0)</f>
        <v>0</v>
      </c>
      <c r="G13" s="5">
        <f>IF(IF('Precinct Vote Data'!H5&gt;0.5,"D","R")=$E$8,1,0)</f>
        <v>0</v>
      </c>
      <c r="H13" s="5">
        <f t="shared" ref="H13:H420" si="3">SUM(D13:G13)</f>
        <v>0</v>
      </c>
      <c r="I13" s="13">
        <f>AVERAGE(ABS('Precinct Vote Data'!H2-$D$5),ABS('Precinct Vote Data'!H3-$D$6),ABS('Precinct Vote Data'!H4-$D$7),ABS('Precinct Vote Data'!H5-$D$8))</f>
        <v>0.1404182379</v>
      </c>
      <c r="J13" s="14" t="str">
        <f>IF(AND(H13=4,I13=MIN(K13:K420)),"&lt;&lt; MAGIC PRECINCT","")</f>
        <v/>
      </c>
      <c r="K13" s="5" t="str">
        <f t="shared" ref="K13:K420" si="4">IF(H13=4,I13,"")</f>
        <v/>
      </c>
    </row>
    <row r="14" ht="15.0" customHeight="1">
      <c r="A14" s="5" t="s">
        <v>16</v>
      </c>
      <c r="B14" s="5" t="s">
        <v>54</v>
      </c>
      <c r="C14" s="5" t="s">
        <v>55</v>
      </c>
      <c r="D14" s="5">
        <f>IF(IF('Precinct Vote Data'!H6&gt;0.5,"D","R")=$E$5,1,0)</f>
        <v>0</v>
      </c>
      <c r="E14" s="5">
        <f>IF(IF('Precinct Vote Data'!H7&gt;0.5,"D","R")=$E$6,1,0)</f>
        <v>0</v>
      </c>
      <c r="F14" s="5">
        <f>IF(IF('Precinct Vote Data'!H8&gt;0.5,"D","R")=$E$7,1,0)</f>
        <v>0</v>
      </c>
      <c r="G14" s="5">
        <f>IF(IF('Precinct Vote Data'!H9&gt;0.5,"D","R")=$E$8,1,0)</f>
        <v>0</v>
      </c>
      <c r="H14" s="5">
        <f t="shared" si="3"/>
        <v>0</v>
      </c>
      <c r="I14" s="13">
        <f>AVERAGE(ABS('Precinct Vote Data'!H6-$D$5),ABS('Precinct Vote Data'!H7-$D$6),ABS('Precinct Vote Data'!H8-$D$7),ABS('Precinct Vote Data'!H9-$D$8))</f>
        <v>0.2339882521</v>
      </c>
      <c r="J14" s="14" t="str">
        <f>IF(AND(H14=4,I14=MIN(K13:K420)),"&lt;&lt; MAGIC PRECINCT","")</f>
        <v/>
      </c>
      <c r="K14" s="5" t="str">
        <f t="shared" si="4"/>
        <v/>
      </c>
    </row>
    <row r="15" ht="15.0" customHeight="1">
      <c r="A15" s="5" t="s">
        <v>16</v>
      </c>
      <c r="B15" s="5" t="s">
        <v>56</v>
      </c>
      <c r="C15" s="5" t="s">
        <v>57</v>
      </c>
      <c r="D15" s="5">
        <f>IF(IF('Precinct Vote Data'!H10&gt;0.5,"D","R")=$E$5,1,0)</f>
        <v>0</v>
      </c>
      <c r="E15" s="5">
        <f>IF(IF('Precinct Vote Data'!H11&gt;0.5,"D","R")=$E$6,1,0)</f>
        <v>0</v>
      </c>
      <c r="F15" s="5">
        <f>IF(IF('Precinct Vote Data'!H12&gt;0.5,"D","R")=$E$7,1,0)</f>
        <v>0</v>
      </c>
      <c r="G15" s="5">
        <f>IF(IF('Precinct Vote Data'!H13&gt;0.5,"D","R")=$E$8,1,0)</f>
        <v>0</v>
      </c>
      <c r="H15" s="5">
        <f t="shared" si="3"/>
        <v>0</v>
      </c>
      <c r="I15" s="13">
        <f>AVERAGE(ABS('Precinct Vote Data'!H10-$D$5),ABS('Precinct Vote Data'!H11-$D$6),ABS('Precinct Vote Data'!H12-$D$7),ABS('Precinct Vote Data'!H13-$D$8))</f>
        <v>0.185807067</v>
      </c>
      <c r="J15" s="14" t="str">
        <f>IF(AND(H15=4,I15=MIN(K13:K420)),"&lt;&lt; MAGIC PRECINCT","")</f>
        <v/>
      </c>
      <c r="K15" s="5" t="str">
        <f t="shared" si="4"/>
        <v/>
      </c>
    </row>
    <row r="16" ht="15.0" customHeight="1">
      <c r="A16" s="5" t="s">
        <v>16</v>
      </c>
      <c r="B16" s="5" t="s">
        <v>58</v>
      </c>
      <c r="C16" s="5" t="s">
        <v>59</v>
      </c>
      <c r="D16" s="5">
        <f>IF(IF('Precinct Vote Data'!H14&gt;0.5,"D","R")=$E$5,1,0)</f>
        <v>0</v>
      </c>
      <c r="E16" s="5">
        <f>IF(IF('Precinct Vote Data'!H15&gt;0.5,"D","R")=$E$6,1,0)</f>
        <v>0</v>
      </c>
      <c r="F16" s="5">
        <f>IF(IF('Precinct Vote Data'!H16&gt;0.5,"D","R")=$E$7,1,0)</f>
        <v>0</v>
      </c>
      <c r="G16" s="5">
        <f>IF(IF('Precinct Vote Data'!H17&gt;0.5,"D","R")=$E$8,1,0)</f>
        <v>0</v>
      </c>
      <c r="H16" s="5">
        <f t="shared" si="3"/>
        <v>0</v>
      </c>
      <c r="I16" s="13">
        <f>AVERAGE(ABS('Precinct Vote Data'!H14-$D$5),ABS('Precinct Vote Data'!H15-$D$6),ABS('Precinct Vote Data'!H16-$D$7),ABS('Precinct Vote Data'!H17-$D$8))</f>
        <v>0.2412169564</v>
      </c>
      <c r="J16" s="14" t="str">
        <f>IF(AND(H16=4,I16=MIN(K13:K420)),"&lt;&lt; MAGIC PRECINCT","")</f>
        <v/>
      </c>
      <c r="K16" s="5" t="str">
        <f t="shared" si="4"/>
        <v/>
      </c>
    </row>
    <row r="17" ht="15.0" customHeight="1">
      <c r="A17" s="5" t="s">
        <v>16</v>
      </c>
      <c r="B17" s="5" t="s">
        <v>58</v>
      </c>
      <c r="C17" s="5" t="s">
        <v>60</v>
      </c>
      <c r="D17" s="5">
        <f>IF(IF('Precinct Vote Data'!H18&gt;0.5,"D","R")=$E$5,1,0)</f>
        <v>0</v>
      </c>
      <c r="E17" s="5">
        <f>IF(IF('Precinct Vote Data'!H19&gt;0.5,"D","R")=$E$6,1,0)</f>
        <v>0</v>
      </c>
      <c r="F17" s="5">
        <f>IF(IF('Precinct Vote Data'!H20&gt;0.5,"D","R")=$E$7,1,0)</f>
        <v>0</v>
      </c>
      <c r="G17" s="5">
        <f>IF(IF('Precinct Vote Data'!H21&gt;0.5,"D","R")=$E$8,1,0)</f>
        <v>0</v>
      </c>
      <c r="H17" s="5">
        <f t="shared" si="3"/>
        <v>0</v>
      </c>
      <c r="I17" s="13">
        <f>AVERAGE(ABS('Precinct Vote Data'!H18-$D$5),ABS('Precinct Vote Data'!H19-$D$6),ABS('Precinct Vote Data'!H20-$D$7),ABS('Precinct Vote Data'!H21-$D$8))</f>
        <v>0.2275840655</v>
      </c>
      <c r="J17" s="14" t="str">
        <f>IF(AND(H17=4,I17=MIN(K13:K420)),"&lt;&lt; MAGIC PRECINCT","")</f>
        <v/>
      </c>
      <c r="K17" s="5" t="str">
        <f t="shared" si="4"/>
        <v/>
      </c>
    </row>
    <row r="18" ht="15.0" customHeight="1">
      <c r="A18" s="5" t="s">
        <v>16</v>
      </c>
      <c r="B18" s="5" t="s">
        <v>62</v>
      </c>
      <c r="C18" s="5" t="s">
        <v>63</v>
      </c>
      <c r="D18" s="5">
        <f>IF(IF('Precinct Vote Data'!H22&gt;0.5,"D","R")=$E$5,1,0)</f>
        <v>0</v>
      </c>
      <c r="E18" s="5">
        <f>IF(IF('Precinct Vote Data'!H23&gt;0.5,"D","R")=$E$6,1,0)</f>
        <v>0</v>
      </c>
      <c r="F18" s="5">
        <f>IF(IF('Precinct Vote Data'!H24&gt;0.5,"D","R")=$E$7,1,0)</f>
        <v>0</v>
      </c>
      <c r="G18" s="5">
        <f>IF(IF('Precinct Vote Data'!H25&gt;0.5,"D","R")=$E$8,1,0)</f>
        <v>0</v>
      </c>
      <c r="H18" s="5">
        <f t="shared" si="3"/>
        <v>0</v>
      </c>
      <c r="I18" s="13">
        <f>AVERAGE(ABS('Precinct Vote Data'!H22-$D$5),ABS('Precinct Vote Data'!H23-$D$6),ABS('Precinct Vote Data'!H24-$D$7),ABS('Precinct Vote Data'!H25-$D$8))</f>
        <v>0.1390691908</v>
      </c>
      <c r="J18" s="14" t="str">
        <f>IF(AND(H18=4,I18=MIN(K13:K420)),"&lt;&lt; MAGIC PRECINCT","")</f>
        <v/>
      </c>
      <c r="K18" s="5" t="str">
        <f t="shared" si="4"/>
        <v/>
      </c>
    </row>
    <row r="19" ht="15.0" customHeight="1">
      <c r="A19" s="5" t="s">
        <v>16</v>
      </c>
      <c r="B19" s="5" t="s">
        <v>72</v>
      </c>
      <c r="C19" s="5" t="s">
        <v>73</v>
      </c>
      <c r="D19" s="5">
        <f>IF(IF('Precinct Vote Data'!H26&gt;0.5,"D","R")=$E$5,1,0)</f>
        <v>0</v>
      </c>
      <c r="E19" s="5">
        <f>IF(IF('Precinct Vote Data'!H27&gt;0.5,"D","R")=$E$6,1,0)</f>
        <v>0</v>
      </c>
      <c r="F19" s="5">
        <f>IF(IF('Precinct Vote Data'!H28&gt;0.5,"D","R")=$E$7,1,0)</f>
        <v>0</v>
      </c>
      <c r="G19" s="5">
        <f>IF(IF('Precinct Vote Data'!H29&gt;0.5,"D","R")=$E$8,1,0)</f>
        <v>0</v>
      </c>
      <c r="H19" s="5">
        <f t="shared" si="3"/>
        <v>0</v>
      </c>
      <c r="I19" s="13">
        <f>AVERAGE(ABS('Precinct Vote Data'!H26-$D$5),ABS('Precinct Vote Data'!H27-$D$6),ABS('Precinct Vote Data'!H28-$D$7),ABS('Precinct Vote Data'!H29-$D$8))</f>
        <v>0.2235877439</v>
      </c>
      <c r="J19" s="14" t="str">
        <f>IF(AND(H19=4,I19=MIN(K13:K420)),"&lt;&lt; MAGIC PRECINCT","")</f>
        <v/>
      </c>
      <c r="K19" s="5" t="str">
        <f t="shared" si="4"/>
        <v/>
      </c>
    </row>
    <row r="20" ht="15.0" customHeight="1">
      <c r="A20" s="5" t="s">
        <v>16</v>
      </c>
      <c r="B20" s="5" t="s">
        <v>72</v>
      </c>
      <c r="C20" s="5" t="s">
        <v>74</v>
      </c>
      <c r="D20" s="5">
        <f>IF(IF('Precinct Vote Data'!H30&gt;0.5,"D","R")=$E$5,1,0)</f>
        <v>0</v>
      </c>
      <c r="E20" s="5">
        <f>IF(IF('Precinct Vote Data'!H31&gt;0.5,"D","R")=$E$6,1,0)</f>
        <v>0</v>
      </c>
      <c r="F20" s="5">
        <f>IF(IF('Precinct Vote Data'!H32&gt;0.5,"D","R")=$E$7,1,0)</f>
        <v>0</v>
      </c>
      <c r="G20" s="5">
        <f>IF(IF('Precinct Vote Data'!H33&gt;0.5,"D","R")=$E$8,1,0)</f>
        <v>0</v>
      </c>
      <c r="H20" s="5">
        <f t="shared" si="3"/>
        <v>0</v>
      </c>
      <c r="I20" s="13">
        <f>AVERAGE(ABS('Precinct Vote Data'!H30-$D$5),ABS('Precinct Vote Data'!H31-$D$6),ABS('Precinct Vote Data'!H32-$D$7),ABS('Precinct Vote Data'!H33-$D$8))</f>
        <v>0.2188795836</v>
      </c>
      <c r="J20" s="14" t="str">
        <f>IF(AND(H20=4,I20=MIN(K13:K420)),"&lt;&lt; MAGIC PRECINCT","")</f>
        <v/>
      </c>
      <c r="K20" s="5" t="str">
        <f t="shared" si="4"/>
        <v/>
      </c>
    </row>
    <row r="21" ht="15.0" customHeight="1">
      <c r="A21" s="5" t="s">
        <v>16</v>
      </c>
      <c r="B21" s="5" t="s">
        <v>72</v>
      </c>
      <c r="C21" s="5" t="s">
        <v>76</v>
      </c>
      <c r="D21" s="5">
        <f>IF(IF('Precinct Vote Data'!H34&gt;0.5,"D","R")=$E$5,1,0)</f>
        <v>0</v>
      </c>
      <c r="E21" s="5">
        <f>IF(IF('Precinct Vote Data'!H35&gt;0.5,"D","R")=$E$6,1,0)</f>
        <v>0</v>
      </c>
      <c r="F21" s="5">
        <f>IF(IF('Precinct Vote Data'!H36&gt;0.5,"D","R")=$E$7,1,0)</f>
        <v>0</v>
      </c>
      <c r="G21" s="5">
        <f>IF(IF('Precinct Vote Data'!H37&gt;0.5,"D","R")=$E$8,1,0)</f>
        <v>0</v>
      </c>
      <c r="H21" s="5">
        <f t="shared" si="3"/>
        <v>0</v>
      </c>
      <c r="I21" s="13">
        <f>AVERAGE(ABS('Precinct Vote Data'!H34-$D$5),ABS('Precinct Vote Data'!H35-$D$6),ABS('Precinct Vote Data'!H36-$D$7),ABS('Precinct Vote Data'!H37-$D$8))</f>
        <v>0.2499212635</v>
      </c>
      <c r="J21" s="14" t="str">
        <f>IF(AND(H21=4,I21=MIN(K13:K420)),"&lt;&lt; MAGIC PRECINCT","")</f>
        <v/>
      </c>
      <c r="K21" s="5" t="str">
        <f t="shared" si="4"/>
        <v/>
      </c>
    </row>
    <row r="22" ht="15.0" customHeight="1">
      <c r="A22" s="5" t="s">
        <v>16</v>
      </c>
      <c r="B22" s="5" t="s">
        <v>77</v>
      </c>
      <c r="C22" s="5" t="s">
        <v>78</v>
      </c>
      <c r="D22" s="5">
        <f>IF(IF('Precinct Vote Data'!H38&gt;0.5,"D","R")=$E$5,1,0)</f>
        <v>1</v>
      </c>
      <c r="E22" s="5">
        <f>IF(IF('Precinct Vote Data'!H39&gt;0.5,"D","R")=$E$6,1,0)</f>
        <v>0</v>
      </c>
      <c r="F22" s="5">
        <f>IF(IF('Precinct Vote Data'!H40&gt;0.5,"D","R")=$E$7,1,0)</f>
        <v>0</v>
      </c>
      <c r="G22" s="5">
        <f>IF(IF('Precinct Vote Data'!H41&gt;0.5,"D","R")=$E$8,1,0)</f>
        <v>0</v>
      </c>
      <c r="H22" s="5">
        <f t="shared" si="3"/>
        <v>1</v>
      </c>
      <c r="I22" s="13">
        <f>AVERAGE(ABS('Precinct Vote Data'!H38-$D$5),ABS('Precinct Vote Data'!H39-$D$6),ABS('Precinct Vote Data'!H40-$D$7),ABS('Precinct Vote Data'!H41-$D$8))</f>
        <v>0.05268683058</v>
      </c>
      <c r="J22" s="14" t="str">
        <f>IF(AND(H22=4,I22=MIN(K13:K420)),"&lt;&lt; MAGIC PRECINCT","")</f>
        <v/>
      </c>
      <c r="K22" s="5" t="str">
        <f t="shared" si="4"/>
        <v/>
      </c>
    </row>
    <row r="23" ht="15.0" customHeight="1">
      <c r="A23" s="5" t="s">
        <v>16</v>
      </c>
      <c r="B23" s="5" t="s">
        <v>77</v>
      </c>
      <c r="C23" s="5" t="s">
        <v>79</v>
      </c>
      <c r="D23" s="5">
        <f>IF(IF('Precinct Vote Data'!H42&gt;0.5,"D","R")=$E$5,1,0)</f>
        <v>0</v>
      </c>
      <c r="E23" s="5">
        <f>IF(IF('Precinct Vote Data'!H43&gt;0.5,"D","R")=$E$6,1,0)</f>
        <v>0</v>
      </c>
      <c r="F23" s="5">
        <f>IF(IF('Precinct Vote Data'!H44&gt;0.5,"D","R")=$E$7,1,0)</f>
        <v>0</v>
      </c>
      <c r="G23" s="5">
        <f>IF(IF('Precinct Vote Data'!H45&gt;0.5,"D","R")=$E$8,1,0)</f>
        <v>0</v>
      </c>
      <c r="H23" s="5">
        <f t="shared" si="3"/>
        <v>0</v>
      </c>
      <c r="I23" s="13">
        <f>AVERAGE(ABS('Precinct Vote Data'!H42-$D$5),ABS('Precinct Vote Data'!H43-$D$6),ABS('Precinct Vote Data'!H44-$D$7),ABS('Precinct Vote Data'!H45-$D$8))</f>
        <v>0.09523865464</v>
      </c>
      <c r="J23" s="14" t="str">
        <f>IF(AND(H23=4,I23=MIN(K13:K420)),"&lt;&lt; MAGIC PRECINCT","")</f>
        <v/>
      </c>
      <c r="K23" s="5" t="str">
        <f t="shared" si="4"/>
        <v/>
      </c>
    </row>
    <row r="24" ht="15.0" customHeight="1">
      <c r="A24" s="5" t="s">
        <v>16</v>
      </c>
      <c r="B24" s="5" t="s">
        <v>77</v>
      </c>
      <c r="C24" s="5" t="s">
        <v>87</v>
      </c>
      <c r="D24" s="5">
        <f>IF(IF('Precinct Vote Data'!H46&gt;0.5,"D","R")=$E$5,1,0)</f>
        <v>0</v>
      </c>
      <c r="E24" s="5">
        <f>IF(IF('Precinct Vote Data'!H47&gt;0.5,"D","R")=$E$6,1,0)</f>
        <v>0</v>
      </c>
      <c r="F24" s="5">
        <f>IF(IF('Precinct Vote Data'!H48&gt;0.5,"D","R")=$E$7,1,0)</f>
        <v>0</v>
      </c>
      <c r="G24" s="5">
        <f>IF(IF('Precinct Vote Data'!H49&gt;0.5,"D","R")=$E$8,1,0)</f>
        <v>0</v>
      </c>
      <c r="H24" s="5">
        <f t="shared" si="3"/>
        <v>0</v>
      </c>
      <c r="I24" s="13">
        <f>AVERAGE(ABS('Precinct Vote Data'!H46-$D$5),ABS('Precinct Vote Data'!H47-$D$6),ABS('Precinct Vote Data'!H48-$D$7),ABS('Precinct Vote Data'!H49-$D$8))</f>
        <v>0.1128442213</v>
      </c>
      <c r="J24" s="14" t="str">
        <f>IF(AND(H24=4,I24=MIN(K13:K420)),"&lt;&lt; MAGIC PRECINCT","")</f>
        <v/>
      </c>
      <c r="K24" s="5" t="str">
        <f t="shared" si="4"/>
        <v/>
      </c>
    </row>
    <row r="25" ht="15.0" customHeight="1">
      <c r="A25" s="5" t="s">
        <v>16</v>
      </c>
      <c r="B25" s="5" t="s">
        <v>77</v>
      </c>
      <c r="C25" s="5" t="s">
        <v>88</v>
      </c>
      <c r="D25" s="5">
        <f>IF(IF('Precinct Vote Data'!H50&gt;0.5,"D","R")=$E$5,1,0)</f>
        <v>1</v>
      </c>
      <c r="E25" s="5">
        <f>IF(IF('Precinct Vote Data'!H51&gt;0.5,"D","R")=$E$6,1,0)</f>
        <v>1</v>
      </c>
      <c r="F25" s="5">
        <f>IF(IF('Precinct Vote Data'!H52&gt;0.5,"D","R")=$E$7,1,0)</f>
        <v>1</v>
      </c>
      <c r="G25" s="5">
        <f>IF(IF('Precinct Vote Data'!H53&gt;0.5,"D","R")=$E$8,1,0)</f>
        <v>1</v>
      </c>
      <c r="H25" s="5">
        <f t="shared" si="3"/>
        <v>4</v>
      </c>
      <c r="I25" s="13">
        <f>AVERAGE(ABS('Precinct Vote Data'!H50-$D$5),ABS('Precinct Vote Data'!H51-$D$6),ABS('Precinct Vote Data'!H52-$D$7),ABS('Precinct Vote Data'!H53-$D$8))</f>
        <v>0.03030477178</v>
      </c>
      <c r="J25" s="14" t="str">
        <f>IF(AND(H25=4,I25=MIN(K13:K420)),"&lt;&lt; MAGIC PRECINCT","")</f>
        <v/>
      </c>
      <c r="K25" s="13">
        <f t="shared" si="4"/>
        <v>0.03030477178</v>
      </c>
    </row>
    <row r="26" ht="15.0" customHeight="1">
      <c r="A26" s="5" t="s">
        <v>16</v>
      </c>
      <c r="B26" s="5" t="s">
        <v>77</v>
      </c>
      <c r="C26" s="5" t="s">
        <v>89</v>
      </c>
      <c r="D26" s="5">
        <f>IF(IF('Precinct Vote Data'!H54&gt;0.5,"D","R")=$E$5,1,0)</f>
        <v>0</v>
      </c>
      <c r="E26" s="5">
        <f>IF(IF('Precinct Vote Data'!H55&gt;0.5,"D","R")=$E$6,1,0)</f>
        <v>0</v>
      </c>
      <c r="F26" s="5">
        <f>IF(IF('Precinct Vote Data'!H56&gt;0.5,"D","R")=$E$7,1,0)</f>
        <v>0</v>
      </c>
      <c r="G26" s="5">
        <f>IF(IF('Precinct Vote Data'!H57&gt;0.5,"D","R")=$E$8,1,0)</f>
        <v>0</v>
      </c>
      <c r="H26" s="5">
        <f t="shared" si="3"/>
        <v>0</v>
      </c>
      <c r="I26" s="13">
        <f>AVERAGE(ABS('Precinct Vote Data'!H54-$D$5),ABS('Precinct Vote Data'!H55-$D$6),ABS('Precinct Vote Data'!H56-$D$7),ABS('Precinct Vote Data'!H57-$D$8))</f>
        <v>0.06749700412</v>
      </c>
      <c r="J26" s="14" t="str">
        <f>IF(AND(H26=4,I26=MIN(K13:K420)),"&lt;&lt; MAGIC PRECINCT","")</f>
        <v/>
      </c>
      <c r="K26" s="5" t="str">
        <f t="shared" si="4"/>
        <v/>
      </c>
    </row>
    <row r="27" ht="15.0" customHeight="1">
      <c r="A27" s="5" t="s">
        <v>16</v>
      </c>
      <c r="B27" s="5" t="s">
        <v>90</v>
      </c>
      <c r="C27" s="5" t="s">
        <v>91</v>
      </c>
      <c r="D27" s="5">
        <f>IF(IF('Precinct Vote Data'!H58&gt;0.5,"D","R")=$E$5,1,0)</f>
        <v>0</v>
      </c>
      <c r="E27" s="5">
        <f>IF(IF('Precinct Vote Data'!H59&gt;0.5,"D","R")=$E$6,1,0)</f>
        <v>0</v>
      </c>
      <c r="F27" s="5">
        <f>IF(IF('Precinct Vote Data'!H60&gt;0.5,"D","R")=$E$7,1,0)</f>
        <v>0</v>
      </c>
      <c r="G27" s="5">
        <f>IF(IF('Precinct Vote Data'!H61&gt;0.5,"D","R")=$E$8,1,0)</f>
        <v>0</v>
      </c>
      <c r="H27" s="5">
        <f t="shared" si="3"/>
        <v>0</v>
      </c>
      <c r="I27" s="13">
        <f>AVERAGE(ABS('Precinct Vote Data'!H58-$D$5),ABS('Precinct Vote Data'!H59-$D$6),ABS('Precinct Vote Data'!H60-$D$7),ABS('Precinct Vote Data'!H61-$D$8))</f>
        <v>0.1578423344</v>
      </c>
      <c r="J27" s="14" t="str">
        <f>IF(AND(H27=4,I27=MIN(K13:K420)),"&lt;&lt; MAGIC PRECINCT","")</f>
        <v/>
      </c>
      <c r="K27" s="5" t="str">
        <f t="shared" si="4"/>
        <v/>
      </c>
    </row>
    <row r="28" ht="15.0" customHeight="1">
      <c r="A28" s="5" t="s">
        <v>16</v>
      </c>
      <c r="B28" s="5" t="s">
        <v>90</v>
      </c>
      <c r="C28" s="5" t="s">
        <v>92</v>
      </c>
      <c r="D28" s="5">
        <f>IF(IF('Precinct Vote Data'!H62&gt;0.5,"D","R")=$E$5,1,0)</f>
        <v>0</v>
      </c>
      <c r="E28" s="5">
        <f>IF(IF('Precinct Vote Data'!H63&gt;0.5,"D","R")=$E$6,1,0)</f>
        <v>0</v>
      </c>
      <c r="F28" s="5">
        <f>IF(IF('Precinct Vote Data'!H64&gt;0.5,"D","R")=$E$7,1,0)</f>
        <v>0</v>
      </c>
      <c r="G28" s="5">
        <f>IF(IF('Precinct Vote Data'!H65&gt;0.5,"D","R")=$E$8,1,0)</f>
        <v>0</v>
      </c>
      <c r="H28" s="5">
        <f t="shared" si="3"/>
        <v>0</v>
      </c>
      <c r="I28" s="13">
        <f>AVERAGE(ABS('Precinct Vote Data'!H62-$D$5),ABS('Precinct Vote Data'!H63-$D$6),ABS('Precinct Vote Data'!H64-$D$7),ABS('Precinct Vote Data'!H65-$D$8))</f>
        <v>0.1978584861</v>
      </c>
      <c r="J28" s="14" t="str">
        <f>IF(AND(H28=4,I28=MIN(K13:K420)),"&lt;&lt; MAGIC PRECINCT","")</f>
        <v/>
      </c>
      <c r="K28" s="5" t="str">
        <f t="shared" si="4"/>
        <v/>
      </c>
    </row>
    <row r="29" ht="15.0" customHeight="1">
      <c r="A29" s="5" t="s">
        <v>16</v>
      </c>
      <c r="B29" s="5" t="s">
        <v>93</v>
      </c>
      <c r="C29" s="5" t="s">
        <v>94</v>
      </c>
      <c r="D29" s="5">
        <f>IF(IF('Precinct Vote Data'!H66&gt;0.5,"D","R")=$E$5,1,0)</f>
        <v>0</v>
      </c>
      <c r="E29" s="5">
        <f>IF(IF('Precinct Vote Data'!H67&gt;0.5,"D","R")=$E$6,1,0)</f>
        <v>0</v>
      </c>
      <c r="F29" s="5">
        <f>IF(IF('Precinct Vote Data'!H68&gt;0.5,"D","R")=$E$7,1,0)</f>
        <v>0</v>
      </c>
      <c r="G29" s="5">
        <f>IF(IF('Precinct Vote Data'!H69&gt;0.5,"D","R")=$E$8,1,0)</f>
        <v>0</v>
      </c>
      <c r="H29" s="5">
        <f t="shared" si="3"/>
        <v>0</v>
      </c>
      <c r="I29" s="13">
        <f>AVERAGE(ABS('Precinct Vote Data'!H66-$D$5),ABS('Precinct Vote Data'!H67-$D$6),ABS('Precinct Vote Data'!H68-$D$7),ABS('Precinct Vote Data'!H69-$D$8))</f>
        <v>0.09066138098</v>
      </c>
      <c r="J29" s="14" t="str">
        <f>IF(AND(H29=4,I29=MIN(K13:K420)),"&lt;&lt; MAGIC PRECINCT","")</f>
        <v/>
      </c>
      <c r="K29" s="5" t="str">
        <f t="shared" si="4"/>
        <v/>
      </c>
    </row>
    <row r="30" ht="15.0" customHeight="1">
      <c r="A30" s="5" t="s">
        <v>16</v>
      </c>
      <c r="B30" s="5" t="s">
        <v>93</v>
      </c>
      <c r="C30" s="5" t="s">
        <v>95</v>
      </c>
      <c r="D30" s="5">
        <f>IF(IF('Precinct Vote Data'!H70&gt;0.5,"D","R")=$E$5,1,0)</f>
        <v>0</v>
      </c>
      <c r="E30" s="5">
        <f>IF(IF('Precinct Vote Data'!H71&gt;0.5,"D","R")=$E$6,1,0)</f>
        <v>0</v>
      </c>
      <c r="F30" s="5">
        <f>IF(IF('Precinct Vote Data'!H72&gt;0.5,"D","R")=$E$7,1,0)</f>
        <v>0</v>
      </c>
      <c r="G30" s="5">
        <f>IF(IF('Precinct Vote Data'!H73&gt;0.5,"D","R")=$E$8,1,0)</f>
        <v>0</v>
      </c>
      <c r="H30" s="5">
        <f t="shared" si="3"/>
        <v>0</v>
      </c>
      <c r="I30" s="13">
        <f>AVERAGE(ABS('Precinct Vote Data'!H70-$D$5),ABS('Precinct Vote Data'!H71-$D$6),ABS('Precinct Vote Data'!H72-$D$7),ABS('Precinct Vote Data'!H73-$D$8))</f>
        <v>0.09146825194</v>
      </c>
      <c r="J30" s="14" t="str">
        <f>IF(AND(H30=4,I30=MIN(K13:K420)),"&lt;&lt; MAGIC PRECINCT","")</f>
        <v/>
      </c>
      <c r="K30" s="5" t="str">
        <f t="shared" si="4"/>
        <v/>
      </c>
    </row>
    <row r="31" ht="15.0" customHeight="1">
      <c r="A31" s="5" t="s">
        <v>16</v>
      </c>
      <c r="B31" s="5" t="s">
        <v>93</v>
      </c>
      <c r="C31" s="5" t="s">
        <v>96</v>
      </c>
      <c r="D31" s="5">
        <f>IF(IF('Precinct Vote Data'!H74&gt;0.5,"D","R")=$E$5,1,0)</f>
        <v>1</v>
      </c>
      <c r="E31" s="5">
        <f>IF(IF('Precinct Vote Data'!H75&gt;0.5,"D","R")=$E$6,1,0)</f>
        <v>0</v>
      </c>
      <c r="F31" s="5">
        <f>IF(IF('Precinct Vote Data'!H76&gt;0.5,"D","R")=$E$7,1,0)</f>
        <v>0</v>
      </c>
      <c r="G31" s="5">
        <f>IF(IF('Precinct Vote Data'!H77&gt;0.5,"D","R")=$E$8,1,0)</f>
        <v>0</v>
      </c>
      <c r="H31" s="5">
        <f t="shared" si="3"/>
        <v>1</v>
      </c>
      <c r="I31" s="13">
        <f>AVERAGE(ABS('Precinct Vote Data'!H74-$D$5),ABS('Precinct Vote Data'!H75-$D$6),ABS('Precinct Vote Data'!H76-$D$7),ABS('Precinct Vote Data'!H77-$D$8))</f>
        <v>0.0613767427</v>
      </c>
      <c r="J31" s="14" t="str">
        <f>IF(AND(H31=4,I31=MIN(K13:K420)),"&lt;&lt; MAGIC PRECINCT","")</f>
        <v/>
      </c>
      <c r="K31" s="5" t="str">
        <f t="shared" si="4"/>
        <v/>
      </c>
    </row>
    <row r="32" ht="15.0" customHeight="1">
      <c r="A32" s="5" t="s">
        <v>16</v>
      </c>
      <c r="B32" s="5" t="s">
        <v>97</v>
      </c>
      <c r="C32" s="5" t="s">
        <v>98</v>
      </c>
      <c r="D32" s="5">
        <f>IF(IF('Precinct Vote Data'!H78&gt;0.5,"D","R")=$E$5,1,0)</f>
        <v>0</v>
      </c>
      <c r="E32" s="5">
        <f>IF(IF('Precinct Vote Data'!H79&gt;0.5,"D","R")=$E$6,1,0)</f>
        <v>0</v>
      </c>
      <c r="F32" s="5">
        <f>IF(IF('Precinct Vote Data'!H80&gt;0.5,"D","R")=$E$7,1,0)</f>
        <v>0</v>
      </c>
      <c r="G32" s="5">
        <f>IF(IF('Precinct Vote Data'!H81&gt;0.5,"D","R")=$E$8,1,0)</f>
        <v>0</v>
      </c>
      <c r="H32" s="5">
        <f t="shared" si="3"/>
        <v>0</v>
      </c>
      <c r="I32" s="13">
        <f>AVERAGE(ABS('Precinct Vote Data'!H78-$D$5),ABS('Precinct Vote Data'!H79-$D$6),ABS('Precinct Vote Data'!H80-$D$7),ABS('Precinct Vote Data'!H81-$D$8))</f>
        <v>0.2155961887</v>
      </c>
      <c r="J32" s="14" t="str">
        <f>IF(AND(H32=4,I32=MIN(K13:K420)),"&lt;&lt; MAGIC PRECINCT","")</f>
        <v/>
      </c>
      <c r="K32" s="5" t="str">
        <f t="shared" si="4"/>
        <v/>
      </c>
    </row>
    <row r="33" ht="15.0" customHeight="1">
      <c r="A33" s="5" t="s">
        <v>16</v>
      </c>
      <c r="B33" s="5" t="s">
        <v>99</v>
      </c>
      <c r="C33" s="5" t="s">
        <v>100</v>
      </c>
      <c r="D33" s="5">
        <f>IF(IF('Precinct Vote Data'!H82&gt;0.5,"D","R")=$E$5,1,0)</f>
        <v>0</v>
      </c>
      <c r="E33" s="5">
        <f>IF(IF('Precinct Vote Data'!H83&gt;0.5,"D","R")=$E$6,1,0)</f>
        <v>0</v>
      </c>
      <c r="F33" s="5">
        <f>IF(IF('Precinct Vote Data'!H84&gt;0.5,"D","R")=$E$7,1,0)</f>
        <v>0</v>
      </c>
      <c r="G33" s="5">
        <f>IF(IF('Precinct Vote Data'!H85&gt;0.5,"D","R")=$E$8,1,0)</f>
        <v>0</v>
      </c>
      <c r="H33" s="5">
        <f t="shared" si="3"/>
        <v>0</v>
      </c>
      <c r="I33" s="13">
        <f>AVERAGE(ABS('Precinct Vote Data'!H82-$D$5),ABS('Precinct Vote Data'!H83-$D$6),ABS('Precinct Vote Data'!H84-$D$7),ABS('Precinct Vote Data'!H85-$D$8))</f>
        <v>0.3125891869</v>
      </c>
      <c r="J33" s="14" t="str">
        <f>IF(AND(H33=4,I33=MIN(K13:K420)),"&lt;&lt; MAGIC PRECINCT","")</f>
        <v/>
      </c>
      <c r="K33" s="5" t="str">
        <f t="shared" si="4"/>
        <v/>
      </c>
    </row>
    <row r="34" ht="15.0" customHeight="1">
      <c r="A34" s="5" t="s">
        <v>16</v>
      </c>
      <c r="B34" s="5" t="s">
        <v>101</v>
      </c>
      <c r="C34" s="5" t="s">
        <v>102</v>
      </c>
      <c r="D34" s="5">
        <f>IF(IF('Precinct Vote Data'!H86&gt;0.5,"D","R")=$E$5,1,0)</f>
        <v>0</v>
      </c>
      <c r="E34" s="5">
        <f>IF(IF('Precinct Vote Data'!H87&gt;0.5,"D","R")=$E$6,1,0)</f>
        <v>0</v>
      </c>
      <c r="F34" s="5">
        <f>IF(IF('Precinct Vote Data'!H88&gt;0.5,"D","R")=$E$7,1,0)</f>
        <v>0</v>
      </c>
      <c r="G34" s="5">
        <f>IF(IF('Precinct Vote Data'!H89&gt;0.5,"D","R")=$E$8,1,0)</f>
        <v>0</v>
      </c>
      <c r="H34" s="5">
        <f t="shared" si="3"/>
        <v>0</v>
      </c>
      <c r="I34" s="13">
        <f>AVERAGE(ABS('Precinct Vote Data'!H86-$D$5),ABS('Precinct Vote Data'!H87-$D$6),ABS('Precinct Vote Data'!H88-$D$7),ABS('Precinct Vote Data'!H89-$D$8))</f>
        <v>0.1086087007</v>
      </c>
      <c r="J34" s="14" t="str">
        <f>IF(AND(H34=4,I34=MIN(K13:K420)),"&lt;&lt; MAGIC PRECINCT","")</f>
        <v/>
      </c>
      <c r="K34" s="5" t="str">
        <f t="shared" si="4"/>
        <v/>
      </c>
    </row>
    <row r="35" ht="15.0" customHeight="1">
      <c r="A35" s="5" t="s">
        <v>16</v>
      </c>
      <c r="B35" s="5" t="s">
        <v>101</v>
      </c>
      <c r="C35" s="5" t="s">
        <v>103</v>
      </c>
      <c r="D35" s="5">
        <f>IF(IF('Precinct Vote Data'!H90&gt;0.5,"D","R")=$E$5,1,0)</f>
        <v>0</v>
      </c>
      <c r="E35" s="5">
        <f>IF(IF('Precinct Vote Data'!H91&gt;0.5,"D","R")=$E$6,1,0)</f>
        <v>0</v>
      </c>
      <c r="F35" s="5">
        <f>IF(IF('Precinct Vote Data'!H92&gt;0.5,"D","R")=$E$7,1,0)</f>
        <v>0</v>
      </c>
      <c r="G35" s="5">
        <f>IF(IF('Precinct Vote Data'!H93&gt;0.5,"D","R")=$E$8,1,0)</f>
        <v>0</v>
      </c>
      <c r="H35" s="5">
        <f t="shared" si="3"/>
        <v>0</v>
      </c>
      <c r="I35" s="13">
        <f>AVERAGE(ABS('Precinct Vote Data'!H90-$D$5),ABS('Precinct Vote Data'!H91-$D$6),ABS('Precinct Vote Data'!H92-$D$7),ABS('Precinct Vote Data'!H93-$D$8))</f>
        <v>0.0934436911</v>
      </c>
      <c r="J35" s="14" t="str">
        <f>IF(AND(H35=4,I35=MIN(K13:K420)),"&lt;&lt; MAGIC PRECINCT","")</f>
        <v/>
      </c>
      <c r="K35" s="5" t="str">
        <f t="shared" si="4"/>
        <v/>
      </c>
    </row>
    <row r="36" ht="15.0" customHeight="1">
      <c r="A36" s="5" t="s">
        <v>16</v>
      </c>
      <c r="B36" s="5" t="s">
        <v>101</v>
      </c>
      <c r="C36" s="5" t="s">
        <v>104</v>
      </c>
      <c r="D36" s="5">
        <f>IF(IF('Precinct Vote Data'!H94&gt;0.5,"D","R")=$E$5,1,0)</f>
        <v>0</v>
      </c>
      <c r="E36" s="5">
        <f>IF(IF('Precinct Vote Data'!H95&gt;0.5,"D","R")=$E$6,1,0)</f>
        <v>0</v>
      </c>
      <c r="F36" s="5">
        <f>IF(IF('Precinct Vote Data'!H96&gt;0.5,"D","R")=$E$7,1,0)</f>
        <v>0</v>
      </c>
      <c r="G36" s="5">
        <f>IF(IF('Precinct Vote Data'!H97&gt;0.5,"D","R")=$E$8,1,0)</f>
        <v>0</v>
      </c>
      <c r="H36" s="5">
        <f t="shared" si="3"/>
        <v>0</v>
      </c>
      <c r="I36" s="13">
        <f>AVERAGE(ABS('Precinct Vote Data'!H94-$D$5),ABS('Precinct Vote Data'!H95-$D$6),ABS('Precinct Vote Data'!H96-$D$7),ABS('Precinct Vote Data'!H97-$D$8))</f>
        <v>0.1012609942</v>
      </c>
      <c r="J36" s="14" t="str">
        <f>IF(AND(H36=4,I36=MIN(K13:K420)),"&lt;&lt; MAGIC PRECINCT","")</f>
        <v/>
      </c>
      <c r="K36" s="5" t="str">
        <f t="shared" si="4"/>
        <v/>
      </c>
    </row>
    <row r="37" ht="15.0" customHeight="1">
      <c r="A37" s="5" t="s">
        <v>16</v>
      </c>
      <c r="B37" s="5" t="s">
        <v>105</v>
      </c>
      <c r="C37" s="5" t="s">
        <v>106</v>
      </c>
      <c r="D37" s="5">
        <f>IF(IF('Precinct Vote Data'!H98&gt;0.5,"D","R")=$E$5,1,0)</f>
        <v>0</v>
      </c>
      <c r="E37" s="5">
        <f>IF(IF('Precinct Vote Data'!H99&gt;0.5,"D","R")=$E$6,1,0)</f>
        <v>0</v>
      </c>
      <c r="F37" s="5">
        <f>IF(IF('Precinct Vote Data'!H100&gt;0.5,"D","R")=$E$7,1,0)</f>
        <v>0</v>
      </c>
      <c r="G37" s="5">
        <f>IF(IF('Precinct Vote Data'!H101&gt;0.5,"D","R")=$E$8,1,0)</f>
        <v>0</v>
      </c>
      <c r="H37" s="5">
        <f t="shared" si="3"/>
        <v>0</v>
      </c>
      <c r="I37" s="13">
        <f>AVERAGE(ABS('Precinct Vote Data'!H98-$D$5),ABS('Precinct Vote Data'!H99-$D$6),ABS('Precinct Vote Data'!H100-$D$7),ABS('Precinct Vote Data'!H101-$D$8))</f>
        <v>0.2113406416</v>
      </c>
      <c r="J37" s="14" t="str">
        <f>IF(AND(H37=4,I37=MIN(K13:K420)),"&lt;&lt; MAGIC PRECINCT","")</f>
        <v/>
      </c>
      <c r="K37" s="5" t="str">
        <f t="shared" si="4"/>
        <v/>
      </c>
    </row>
    <row r="38" ht="15.0" customHeight="1">
      <c r="A38" s="5" t="s">
        <v>16</v>
      </c>
      <c r="B38" s="5" t="s">
        <v>105</v>
      </c>
      <c r="C38" s="5" t="s">
        <v>107</v>
      </c>
      <c r="D38" s="5">
        <f>IF(IF('Precinct Vote Data'!H102&gt;0.5,"D","R")=$E$5,1,0)</f>
        <v>0</v>
      </c>
      <c r="E38" s="5">
        <f>IF(IF('Precinct Vote Data'!H103&gt;0.5,"D","R")=$E$6,1,0)</f>
        <v>0</v>
      </c>
      <c r="F38" s="5">
        <f>IF(IF('Precinct Vote Data'!H104&gt;0.5,"D","R")=$E$7,1,0)</f>
        <v>0</v>
      </c>
      <c r="G38" s="5">
        <f>IF(IF('Precinct Vote Data'!H105&gt;0.5,"D","R")=$E$8,1,0)</f>
        <v>0</v>
      </c>
      <c r="H38" s="5">
        <f t="shared" si="3"/>
        <v>0</v>
      </c>
      <c r="I38" s="13">
        <f>AVERAGE(ABS('Precinct Vote Data'!H102-$D$5),ABS('Precinct Vote Data'!H103-$D$6),ABS('Precinct Vote Data'!H104-$D$7),ABS('Precinct Vote Data'!H105-$D$8))</f>
        <v>0.1806846737</v>
      </c>
      <c r="J38" s="14" t="str">
        <f>IF(AND(H38=4,I38=MIN(K13:K420)),"&lt;&lt; MAGIC PRECINCT","")</f>
        <v/>
      </c>
      <c r="K38" s="5" t="str">
        <f t="shared" si="4"/>
        <v/>
      </c>
    </row>
    <row r="39" ht="15.0" customHeight="1">
      <c r="A39" s="5" t="s">
        <v>16</v>
      </c>
      <c r="B39" s="5" t="s">
        <v>108</v>
      </c>
      <c r="C39" s="5" t="s">
        <v>109</v>
      </c>
      <c r="D39" s="5">
        <f>IF(IF('Precinct Vote Data'!H106&gt;0.5,"D","R")=$E$5,1,0)</f>
        <v>0</v>
      </c>
      <c r="E39" s="5">
        <f>IF(IF('Precinct Vote Data'!H107&gt;0.5,"D","R")=$E$6,1,0)</f>
        <v>0</v>
      </c>
      <c r="F39" s="5">
        <f>IF(IF('Precinct Vote Data'!H108&gt;0.5,"D","R")=$E$7,1,0)</f>
        <v>0</v>
      </c>
      <c r="G39" s="5">
        <f>IF(IF('Precinct Vote Data'!H109&gt;0.5,"D","R")=$E$8,1,0)</f>
        <v>0</v>
      </c>
      <c r="H39" s="5">
        <f t="shared" si="3"/>
        <v>0</v>
      </c>
      <c r="I39" s="13">
        <f>AVERAGE(ABS('Precinct Vote Data'!H106-$D$5),ABS('Precinct Vote Data'!H107-$D$6),ABS('Precinct Vote Data'!H108-$D$7),ABS('Precinct Vote Data'!H109-$D$8))</f>
        <v>0.2012240737</v>
      </c>
      <c r="J39" s="14" t="str">
        <f>IF(AND(H39=4,I39=MIN(K13:K420)),"&lt;&lt; MAGIC PRECINCT","")</f>
        <v/>
      </c>
      <c r="K39" s="5" t="str">
        <f t="shared" si="4"/>
        <v/>
      </c>
    </row>
    <row r="40" ht="15.0" customHeight="1">
      <c r="A40" s="5" t="s">
        <v>16</v>
      </c>
      <c r="B40" s="5" t="s">
        <v>108</v>
      </c>
      <c r="C40" s="5" t="s">
        <v>110</v>
      </c>
      <c r="D40" s="5">
        <f>IF(IF('Precinct Vote Data'!H110&gt;0.5,"D","R")=$E$5,1,0)</f>
        <v>0</v>
      </c>
      <c r="E40" s="5">
        <f>IF(IF('Precinct Vote Data'!H111&gt;0.5,"D","R")=$E$6,1,0)</f>
        <v>0</v>
      </c>
      <c r="F40" s="5">
        <f>IF(IF('Precinct Vote Data'!H112&gt;0.5,"D","R")=$E$7,1,0)</f>
        <v>0</v>
      </c>
      <c r="G40" s="5">
        <f>IF(IF('Precinct Vote Data'!H113&gt;0.5,"D","R")=$E$8,1,0)</f>
        <v>0</v>
      </c>
      <c r="H40" s="5">
        <f t="shared" si="3"/>
        <v>0</v>
      </c>
      <c r="I40" s="13">
        <f>AVERAGE(ABS('Precinct Vote Data'!H110-$D$5),ABS('Precinct Vote Data'!H111-$D$6),ABS('Precinct Vote Data'!H112-$D$7),ABS('Precinct Vote Data'!H113-$D$8))</f>
        <v>0.2571872512</v>
      </c>
      <c r="J40" s="14" t="str">
        <f>IF(AND(H40=4,I40=MIN(K13:K420)),"&lt;&lt; MAGIC PRECINCT","")</f>
        <v/>
      </c>
      <c r="K40" s="5" t="str">
        <f t="shared" si="4"/>
        <v/>
      </c>
    </row>
    <row r="41" ht="15.0" customHeight="1">
      <c r="A41" s="5" t="s">
        <v>16</v>
      </c>
      <c r="B41" s="5" t="s">
        <v>108</v>
      </c>
      <c r="C41" s="5" t="s">
        <v>111</v>
      </c>
      <c r="D41" s="5">
        <f>IF(IF('Precinct Vote Data'!H114&gt;0.5,"D","R")=$E$5,1,0)</f>
        <v>0</v>
      </c>
      <c r="E41" s="5">
        <f>IF(IF('Precinct Vote Data'!H115&gt;0.5,"D","R")=$E$6,1,0)</f>
        <v>0</v>
      </c>
      <c r="F41" s="5">
        <f>IF(IF('Precinct Vote Data'!H116&gt;0.5,"D","R")=$E$7,1,0)</f>
        <v>0</v>
      </c>
      <c r="G41" s="5">
        <f>IF(IF('Precinct Vote Data'!H117&gt;0.5,"D","R")=$E$8,1,0)</f>
        <v>0</v>
      </c>
      <c r="H41" s="5">
        <f t="shared" si="3"/>
        <v>0</v>
      </c>
      <c r="I41" s="13">
        <f>AVERAGE(ABS('Precinct Vote Data'!H114-$D$5),ABS('Precinct Vote Data'!H115-$D$6),ABS('Precinct Vote Data'!H116-$D$7),ABS('Precinct Vote Data'!H117-$D$8))</f>
        <v>0.2002090186</v>
      </c>
      <c r="J41" s="14" t="str">
        <f>IF(AND(H41=4,I41=MIN(K13:K420)),"&lt;&lt; MAGIC PRECINCT","")</f>
        <v/>
      </c>
      <c r="K41" s="5" t="str">
        <f t="shared" si="4"/>
        <v/>
      </c>
    </row>
    <row r="42" ht="15.0" customHeight="1">
      <c r="A42" s="5" t="s">
        <v>16</v>
      </c>
      <c r="B42" s="5" t="s">
        <v>112</v>
      </c>
      <c r="C42" s="5" t="s">
        <v>113</v>
      </c>
      <c r="D42" s="5">
        <f>IF(IF('Precinct Vote Data'!H118&gt;0.5,"D","R")=$E$5,1,0)</f>
        <v>0</v>
      </c>
      <c r="E42" s="5">
        <f>IF(IF('Precinct Vote Data'!H119&gt;0.5,"D","R")=$E$6,1,0)</f>
        <v>0</v>
      </c>
      <c r="F42" s="5">
        <f>IF(IF('Precinct Vote Data'!H120&gt;0.5,"D","R")=$E$7,1,0)</f>
        <v>0</v>
      </c>
      <c r="G42" s="5">
        <f>IF(IF('Precinct Vote Data'!H121&gt;0.5,"D","R")=$E$8,1,0)</f>
        <v>0</v>
      </c>
      <c r="H42" s="5">
        <f t="shared" si="3"/>
        <v>0</v>
      </c>
      <c r="I42" s="13">
        <f>AVERAGE(ABS('Precinct Vote Data'!H118-$D$5),ABS('Precinct Vote Data'!H119-$D$6),ABS('Precinct Vote Data'!H120-$D$7),ABS('Precinct Vote Data'!H121-$D$8))</f>
        <v>0.09654971973</v>
      </c>
      <c r="J42" s="14" t="str">
        <f>IF(AND(H42=4,I42=MIN(K13:K420)),"&lt;&lt; MAGIC PRECINCT","")</f>
        <v/>
      </c>
      <c r="K42" s="5" t="str">
        <f t="shared" si="4"/>
        <v/>
      </c>
    </row>
    <row r="43" ht="15.0" customHeight="1">
      <c r="A43" s="5" t="s">
        <v>16</v>
      </c>
      <c r="B43" s="5" t="s">
        <v>112</v>
      </c>
      <c r="C43" s="5" t="s">
        <v>114</v>
      </c>
      <c r="D43" s="5">
        <f>IF(IF('Precinct Vote Data'!H122&gt;0.5,"D","R")=$E$5,1,0)</f>
        <v>0</v>
      </c>
      <c r="E43" s="5">
        <f>IF(IF('Precinct Vote Data'!H123&gt;0.5,"D","R")=$E$6,1,0)</f>
        <v>0</v>
      </c>
      <c r="F43" s="5">
        <f>IF(IF('Precinct Vote Data'!H124&gt;0.5,"D","R")=$E$7,1,0)</f>
        <v>0</v>
      </c>
      <c r="G43" s="5">
        <f>IF(IF('Precinct Vote Data'!H125&gt;0.5,"D","R")=$E$8,1,0)</f>
        <v>0</v>
      </c>
      <c r="H43" s="5">
        <f t="shared" si="3"/>
        <v>0</v>
      </c>
      <c r="I43" s="13">
        <f>AVERAGE(ABS('Precinct Vote Data'!H122-$D$5),ABS('Precinct Vote Data'!H123-$D$6),ABS('Precinct Vote Data'!H124-$D$7),ABS('Precinct Vote Data'!H125-$D$8))</f>
        <v>0.1117956179</v>
      </c>
      <c r="J43" s="14" t="str">
        <f>IF(AND(H43=4,I43=MIN(K13:K420)),"&lt;&lt; MAGIC PRECINCT","")</f>
        <v/>
      </c>
      <c r="K43" s="5" t="str">
        <f t="shared" si="4"/>
        <v/>
      </c>
    </row>
    <row r="44" ht="15.0" customHeight="1">
      <c r="A44" s="5" t="s">
        <v>16</v>
      </c>
      <c r="B44" s="5" t="s">
        <v>115</v>
      </c>
      <c r="C44" s="5" t="s">
        <v>116</v>
      </c>
      <c r="D44" s="5">
        <f>IF(IF('Precinct Vote Data'!H126&gt;0.5,"D","R")=$E$5,1,0)</f>
        <v>0</v>
      </c>
      <c r="E44" s="5">
        <f>IF(IF('Precinct Vote Data'!H127&gt;0.5,"D","R")=$E$6,1,0)</f>
        <v>0</v>
      </c>
      <c r="F44" s="5">
        <f>IF(IF('Precinct Vote Data'!H128&gt;0.5,"D","R")=$E$7,1,0)</f>
        <v>0</v>
      </c>
      <c r="G44" s="5">
        <f>IF(IF('Precinct Vote Data'!H129&gt;0.5,"D","R")=$E$8,1,0)</f>
        <v>0</v>
      </c>
      <c r="H44" s="5">
        <f t="shared" si="3"/>
        <v>0</v>
      </c>
      <c r="I44" s="13">
        <f>AVERAGE(ABS('Precinct Vote Data'!H126-$D$5),ABS('Precinct Vote Data'!H127-$D$6),ABS('Precinct Vote Data'!H128-$D$7),ABS('Precinct Vote Data'!H129-$D$8))</f>
        <v>0.3193270977</v>
      </c>
      <c r="J44" s="14" t="str">
        <f>IF(AND(H44=4,I44=MIN(K13:K420)),"&lt;&lt; MAGIC PRECINCT","")</f>
        <v/>
      </c>
      <c r="K44" s="5" t="str">
        <f t="shared" si="4"/>
        <v/>
      </c>
    </row>
    <row r="45" ht="15.0" customHeight="1">
      <c r="A45" s="5" t="s">
        <v>16</v>
      </c>
      <c r="B45" s="5" t="s">
        <v>117</v>
      </c>
      <c r="C45" s="5" t="s">
        <v>118</v>
      </c>
      <c r="D45" s="5">
        <f>IF(IF('Precinct Vote Data'!H130&gt;0.5,"D","R")=$E$5,1,0)</f>
        <v>0</v>
      </c>
      <c r="E45" s="5">
        <f>IF(IF('Precinct Vote Data'!H131&gt;0.5,"D","R")=$E$6,1,0)</f>
        <v>0</v>
      </c>
      <c r="F45" s="5">
        <f>IF(IF('Precinct Vote Data'!H132&gt;0.5,"D","R")=$E$7,1,0)</f>
        <v>0</v>
      </c>
      <c r="G45" s="5">
        <f>IF(IF('Precinct Vote Data'!H133&gt;0.5,"D","R")=$E$8,1,0)</f>
        <v>0</v>
      </c>
      <c r="H45" s="5">
        <f t="shared" si="3"/>
        <v>0</v>
      </c>
      <c r="I45" s="13">
        <f>AVERAGE(ABS('Precinct Vote Data'!H130-$D$5),ABS('Precinct Vote Data'!H131-$D$6),ABS('Precinct Vote Data'!H132-$D$7),ABS('Precinct Vote Data'!H133-$D$8))</f>
        <v>0.1705435731</v>
      </c>
      <c r="J45" s="14" t="str">
        <f>IF(AND(H45=4,I45=MIN(K13:K420)),"&lt;&lt; MAGIC PRECINCT","")</f>
        <v/>
      </c>
      <c r="K45" s="5" t="str">
        <f t="shared" si="4"/>
        <v/>
      </c>
    </row>
    <row r="46" ht="15.0" customHeight="1">
      <c r="A46" s="5" t="s">
        <v>16</v>
      </c>
      <c r="B46" s="5" t="s">
        <v>117</v>
      </c>
      <c r="C46" s="5" t="s">
        <v>119</v>
      </c>
      <c r="D46" s="5">
        <f>IF(IF('Precinct Vote Data'!H134&gt;0.5,"D","R")=$E$5,1,0)</f>
        <v>0</v>
      </c>
      <c r="E46" s="5">
        <f>IF(IF('Precinct Vote Data'!H135&gt;0.5,"D","R")=$E$6,1,0)</f>
        <v>0</v>
      </c>
      <c r="F46" s="5">
        <f>IF(IF('Precinct Vote Data'!H136&gt;0.5,"D","R")=$E$7,1,0)</f>
        <v>0</v>
      </c>
      <c r="G46" s="5">
        <f>IF(IF('Precinct Vote Data'!H137&gt;0.5,"D","R")=$E$8,1,0)</f>
        <v>0</v>
      </c>
      <c r="H46" s="5">
        <f t="shared" si="3"/>
        <v>0</v>
      </c>
      <c r="I46" s="13">
        <f>AVERAGE(ABS('Precinct Vote Data'!H134-$D$5),ABS('Precinct Vote Data'!H135-$D$6),ABS('Precinct Vote Data'!H136-$D$7),ABS('Precinct Vote Data'!H137-$D$8))</f>
        <v>0.1123784989</v>
      </c>
      <c r="J46" s="14" t="str">
        <f>IF(AND(H46=4,I46=MIN(K13:K420)),"&lt;&lt; MAGIC PRECINCT","")</f>
        <v/>
      </c>
      <c r="K46" s="5" t="str">
        <f t="shared" si="4"/>
        <v/>
      </c>
    </row>
    <row r="47" ht="15.0" customHeight="1">
      <c r="A47" s="5" t="s">
        <v>16</v>
      </c>
      <c r="B47" s="5" t="s">
        <v>117</v>
      </c>
      <c r="C47" s="5" t="s">
        <v>120</v>
      </c>
      <c r="D47" s="5">
        <f>IF(IF('Precinct Vote Data'!H138&gt;0.5,"D","R")=$E$5,1,0)</f>
        <v>0</v>
      </c>
      <c r="E47" s="5">
        <f>IF(IF('Precinct Vote Data'!H139&gt;0.5,"D","R")=$E$6,1,0)</f>
        <v>0</v>
      </c>
      <c r="F47" s="5">
        <f>IF(IF('Precinct Vote Data'!H140&gt;0.5,"D","R")=$E$7,1,0)</f>
        <v>0</v>
      </c>
      <c r="G47" s="5">
        <f>IF(IF('Precinct Vote Data'!H141&gt;0.5,"D","R")=$E$8,1,0)</f>
        <v>0</v>
      </c>
      <c r="H47" s="5">
        <f t="shared" si="3"/>
        <v>0</v>
      </c>
      <c r="I47" s="13">
        <f>AVERAGE(ABS('Precinct Vote Data'!H138-$D$5),ABS('Precinct Vote Data'!H139-$D$6),ABS('Precinct Vote Data'!H140-$D$7),ABS('Precinct Vote Data'!H141-$D$8))</f>
        <v>0.1678686969</v>
      </c>
      <c r="J47" s="14" t="str">
        <f>IF(AND(H47=4,I47=MIN(K13:K420)),"&lt;&lt; MAGIC PRECINCT","")</f>
        <v/>
      </c>
      <c r="K47" s="5" t="str">
        <f t="shared" si="4"/>
        <v/>
      </c>
    </row>
    <row r="48" ht="15.0" customHeight="1">
      <c r="A48" s="5" t="s">
        <v>16</v>
      </c>
      <c r="B48" s="5" t="s">
        <v>121</v>
      </c>
      <c r="C48" s="5" t="s">
        <v>122</v>
      </c>
      <c r="D48" s="5">
        <f>IF(IF('Precinct Vote Data'!H142&gt;0.5,"D","R")=$E$5,1,0)</f>
        <v>0</v>
      </c>
      <c r="E48" s="5">
        <f>IF(IF('Precinct Vote Data'!H143&gt;0.5,"D","R")=$E$6,1,0)</f>
        <v>0</v>
      </c>
      <c r="F48" s="5">
        <f>IF(IF('Precinct Vote Data'!H144&gt;0.5,"D","R")=$E$7,1,0)</f>
        <v>0</v>
      </c>
      <c r="G48" s="5">
        <f>IF(IF('Precinct Vote Data'!H145&gt;0.5,"D","R")=$E$8,1,0)</f>
        <v>0</v>
      </c>
      <c r="H48" s="5">
        <f t="shared" si="3"/>
        <v>0</v>
      </c>
      <c r="I48" s="13">
        <f>AVERAGE(ABS('Precinct Vote Data'!H142-$D$5),ABS('Precinct Vote Data'!H143-$D$6),ABS('Precinct Vote Data'!H144-$D$7),ABS('Precinct Vote Data'!H145-$D$8))</f>
        <v>0.2299933388</v>
      </c>
      <c r="J48" s="14" t="str">
        <f>IF(AND(H48=4,I48=MIN(K13:K420)),"&lt;&lt; MAGIC PRECINCT","")</f>
        <v/>
      </c>
      <c r="K48" s="5" t="str">
        <f t="shared" si="4"/>
        <v/>
      </c>
    </row>
    <row r="49" ht="15.0" customHeight="1">
      <c r="A49" s="5" t="s">
        <v>16</v>
      </c>
      <c r="B49" s="5" t="s">
        <v>123</v>
      </c>
      <c r="C49" s="5" t="s">
        <v>124</v>
      </c>
      <c r="D49" s="5">
        <f>IF(IF('Precinct Vote Data'!H146&gt;0.5,"D","R")=$E$5,1,0)</f>
        <v>0</v>
      </c>
      <c r="E49" s="5">
        <f>IF(IF('Precinct Vote Data'!H147&gt;0.5,"D","R")=$E$6,1,0)</f>
        <v>0</v>
      </c>
      <c r="F49" s="5">
        <f>IF(IF('Precinct Vote Data'!H148&gt;0.5,"D","R")=$E$7,1,0)</f>
        <v>0</v>
      </c>
      <c r="G49" s="5">
        <f>IF(IF('Precinct Vote Data'!H149&gt;0.5,"D","R")=$E$8,1,0)</f>
        <v>0</v>
      </c>
      <c r="H49" s="5">
        <f t="shared" si="3"/>
        <v>0</v>
      </c>
      <c r="I49" s="13">
        <f>AVERAGE(ABS('Precinct Vote Data'!H146-$D$5),ABS('Precinct Vote Data'!H147-$D$6),ABS('Precinct Vote Data'!H148-$D$7),ABS('Precinct Vote Data'!H149-$D$8))</f>
        <v>0.1546396652</v>
      </c>
      <c r="J49" s="14" t="str">
        <f>IF(AND(H49=4,I49=MIN(K13:K420)),"&lt;&lt; MAGIC PRECINCT","")</f>
        <v/>
      </c>
      <c r="K49" s="5" t="str">
        <f t="shared" si="4"/>
        <v/>
      </c>
    </row>
    <row r="50" ht="15.0" customHeight="1">
      <c r="A50" s="5" t="s">
        <v>16</v>
      </c>
      <c r="B50" s="5" t="s">
        <v>123</v>
      </c>
      <c r="C50" s="5" t="s">
        <v>125</v>
      </c>
      <c r="D50" s="5">
        <f>IF(IF('Precinct Vote Data'!H150&gt;0.5,"D","R")=$E$5,1,0)</f>
        <v>0</v>
      </c>
      <c r="E50" s="5">
        <f>IF(IF('Precinct Vote Data'!H151&gt;0.5,"D","R")=$E$6,1,0)</f>
        <v>0</v>
      </c>
      <c r="F50" s="5">
        <f>IF(IF('Precinct Vote Data'!H152&gt;0.5,"D","R")=$E$7,1,0)</f>
        <v>0</v>
      </c>
      <c r="G50" s="5">
        <f>IF(IF('Precinct Vote Data'!H153&gt;0.5,"D","R")=$E$8,1,0)</f>
        <v>0</v>
      </c>
      <c r="H50" s="5">
        <f t="shared" si="3"/>
        <v>0</v>
      </c>
      <c r="I50" s="13">
        <f>AVERAGE(ABS('Precinct Vote Data'!H150-$D$5),ABS('Precinct Vote Data'!H151-$D$6),ABS('Precinct Vote Data'!H152-$D$7),ABS('Precinct Vote Data'!H153-$D$8))</f>
        <v>0.183426343</v>
      </c>
      <c r="J50" s="14" t="str">
        <f>IF(AND(H50=4,I50=MIN(K13:K420)),"&lt;&lt; MAGIC PRECINCT","")</f>
        <v/>
      </c>
      <c r="K50" s="5" t="str">
        <f t="shared" si="4"/>
        <v/>
      </c>
    </row>
    <row r="51" ht="15.0" customHeight="1">
      <c r="A51" s="5" t="s">
        <v>16</v>
      </c>
      <c r="B51" s="5" t="s">
        <v>123</v>
      </c>
      <c r="C51" s="5" t="s">
        <v>126</v>
      </c>
      <c r="D51" s="5">
        <f>IF(IF('Precinct Vote Data'!H154&gt;0.5,"D","R")=$E$5,1,0)</f>
        <v>0</v>
      </c>
      <c r="E51" s="5">
        <f>IF(IF('Precinct Vote Data'!H155&gt;0.5,"D","R")=$E$6,1,0)</f>
        <v>0</v>
      </c>
      <c r="F51" s="5">
        <f>IF(IF('Precinct Vote Data'!H156&gt;0.5,"D","R")=$E$7,1,0)</f>
        <v>0</v>
      </c>
      <c r="G51" s="5">
        <f>IF(IF('Precinct Vote Data'!H157&gt;0.5,"D","R")=$E$8,1,0)</f>
        <v>0</v>
      </c>
      <c r="H51" s="5">
        <f t="shared" si="3"/>
        <v>0</v>
      </c>
      <c r="I51" s="13">
        <f>AVERAGE(ABS('Precinct Vote Data'!H154-$D$5),ABS('Precinct Vote Data'!H155-$D$6),ABS('Precinct Vote Data'!H156-$D$7),ABS('Precinct Vote Data'!H157-$D$8))</f>
        <v>0.1112775158</v>
      </c>
      <c r="J51" s="14" t="str">
        <f>IF(AND(H51=4,I51=MIN(K13:K420)),"&lt;&lt; MAGIC PRECINCT","")</f>
        <v/>
      </c>
      <c r="K51" s="5" t="str">
        <f t="shared" si="4"/>
        <v/>
      </c>
    </row>
    <row r="52" ht="15.0" customHeight="1">
      <c r="A52" s="5" t="s">
        <v>16</v>
      </c>
      <c r="B52" s="5" t="s">
        <v>123</v>
      </c>
      <c r="C52" s="5" t="s">
        <v>127</v>
      </c>
      <c r="D52" s="5">
        <f>IF(IF('Precinct Vote Data'!H158&gt;0.5,"D","R")=$E$5,1,0)</f>
        <v>0</v>
      </c>
      <c r="E52" s="5">
        <f>IF(IF('Precinct Vote Data'!H159&gt;0.5,"D","R")=$E$6,1,0)</f>
        <v>0</v>
      </c>
      <c r="F52" s="5">
        <f>IF(IF('Precinct Vote Data'!H160&gt;0.5,"D","R")=$E$7,1,0)</f>
        <v>0</v>
      </c>
      <c r="G52" s="5">
        <f>IF(IF('Precinct Vote Data'!H161&gt;0.5,"D","R")=$E$8,1,0)</f>
        <v>0</v>
      </c>
      <c r="H52" s="5">
        <f t="shared" si="3"/>
        <v>0</v>
      </c>
      <c r="I52" s="13">
        <f>AVERAGE(ABS('Precinct Vote Data'!H158-$D$5),ABS('Precinct Vote Data'!H159-$D$6),ABS('Precinct Vote Data'!H160-$D$7),ABS('Precinct Vote Data'!H161-$D$8))</f>
        <v>0.1340610117</v>
      </c>
      <c r="J52" s="14" t="str">
        <f>IF(AND(H52=4,I52=MIN(K13:K420)),"&lt;&lt; MAGIC PRECINCT","")</f>
        <v/>
      </c>
      <c r="K52" s="5" t="str">
        <f t="shared" si="4"/>
        <v/>
      </c>
    </row>
    <row r="53" ht="15.0" customHeight="1">
      <c r="A53" s="5" t="s">
        <v>16</v>
      </c>
      <c r="B53" s="5" t="s">
        <v>123</v>
      </c>
      <c r="C53" s="5" t="s">
        <v>128</v>
      </c>
      <c r="D53" s="5">
        <f>IF(IF('Precinct Vote Data'!H162&gt;0.5,"D","R")=$E$5,1,0)</f>
        <v>0</v>
      </c>
      <c r="E53" s="5">
        <f>IF(IF('Precinct Vote Data'!H163&gt;0.5,"D","R")=$E$6,1,0)</f>
        <v>0</v>
      </c>
      <c r="F53" s="5">
        <f>IF(IF('Precinct Vote Data'!H164&gt;0.5,"D","R")=$E$7,1,0)</f>
        <v>0</v>
      </c>
      <c r="G53" s="5">
        <f>IF(IF('Precinct Vote Data'!H165&gt;0.5,"D","R")=$E$8,1,0)</f>
        <v>0</v>
      </c>
      <c r="H53" s="5">
        <f t="shared" si="3"/>
        <v>0</v>
      </c>
      <c r="I53" s="13">
        <f>AVERAGE(ABS('Precinct Vote Data'!H162-$D$5),ABS('Precinct Vote Data'!H163-$D$6),ABS('Precinct Vote Data'!H164-$D$7),ABS('Precinct Vote Data'!H165-$D$8))</f>
        <v>0.1209325404</v>
      </c>
      <c r="J53" s="14" t="str">
        <f>IF(AND(H53=4,I53=MIN(K13:K420)),"&lt;&lt; MAGIC PRECINCT","")</f>
        <v/>
      </c>
      <c r="K53" s="5" t="str">
        <f t="shared" si="4"/>
        <v/>
      </c>
    </row>
    <row r="54" ht="15.0" customHeight="1">
      <c r="A54" s="5" t="s">
        <v>16</v>
      </c>
      <c r="B54" s="5" t="s">
        <v>129</v>
      </c>
      <c r="C54" s="5" t="s">
        <v>130</v>
      </c>
      <c r="D54" s="5">
        <f>IF(IF('Precinct Vote Data'!H166&gt;0.5,"D","R")=$E$5,1,0)</f>
        <v>1</v>
      </c>
      <c r="E54" s="5">
        <f>IF(IF('Precinct Vote Data'!H167&gt;0.5,"D","R")=$E$6,1,0)</f>
        <v>0</v>
      </c>
      <c r="F54" s="5">
        <f>IF(IF('Precinct Vote Data'!H168&gt;0.5,"D","R")=$E$7,1,0)</f>
        <v>0</v>
      </c>
      <c r="G54" s="5">
        <f>IF(IF('Precinct Vote Data'!H169&gt;0.5,"D","R")=$E$8,1,0)</f>
        <v>0</v>
      </c>
      <c r="H54" s="5">
        <f t="shared" si="3"/>
        <v>1</v>
      </c>
      <c r="I54" s="13">
        <f>AVERAGE(ABS('Precinct Vote Data'!H166-$D$5),ABS('Precinct Vote Data'!H167-$D$6),ABS('Precinct Vote Data'!H168-$D$7),ABS('Precinct Vote Data'!H169-$D$8))</f>
        <v>0.04236159534</v>
      </c>
      <c r="J54" s="14" t="str">
        <f>IF(AND(H54=4,I54=MIN(K13:K420)),"&lt;&lt; MAGIC PRECINCT","")</f>
        <v/>
      </c>
      <c r="K54" s="5" t="str">
        <f t="shared" si="4"/>
        <v/>
      </c>
    </row>
    <row r="55" ht="15.0" customHeight="1">
      <c r="A55" s="5" t="s">
        <v>16</v>
      </c>
      <c r="B55" s="5" t="s">
        <v>129</v>
      </c>
      <c r="C55" s="5" t="s">
        <v>131</v>
      </c>
      <c r="D55" s="5">
        <f>IF(IF('Precinct Vote Data'!H170&gt;0.5,"D","R")=$E$5,1,0)</f>
        <v>1</v>
      </c>
      <c r="E55" s="5">
        <f>IF(IF('Precinct Vote Data'!H171&gt;0.5,"D","R")=$E$6,1,0)</f>
        <v>0</v>
      </c>
      <c r="F55" s="5">
        <f>IF(IF('Precinct Vote Data'!H172&gt;0.5,"D","R")=$E$7,1,0)</f>
        <v>1</v>
      </c>
      <c r="G55" s="5">
        <f>IF(IF('Precinct Vote Data'!H173&gt;0.5,"D","R")=$E$8,1,0)</f>
        <v>0</v>
      </c>
      <c r="H55" s="5">
        <f t="shared" si="3"/>
        <v>2</v>
      </c>
      <c r="I55" s="13">
        <f>AVERAGE(ABS('Precinct Vote Data'!H170-$D$5),ABS('Precinct Vote Data'!H171-$D$6),ABS('Precinct Vote Data'!H172-$D$7),ABS('Precinct Vote Data'!H173-$D$8))</f>
        <v>0.02358259019</v>
      </c>
      <c r="J55" s="14" t="str">
        <f>IF(AND(H55=4,I55=MIN(K13:K420)),"&lt;&lt; MAGIC PRECINCT","")</f>
        <v/>
      </c>
      <c r="K55" s="5" t="str">
        <f t="shared" si="4"/>
        <v/>
      </c>
    </row>
    <row r="56" ht="15.0" customHeight="1">
      <c r="A56" s="5" t="s">
        <v>16</v>
      </c>
      <c r="B56" s="5" t="s">
        <v>129</v>
      </c>
      <c r="C56" s="5" t="s">
        <v>132</v>
      </c>
      <c r="D56" s="5">
        <f>IF(IF('Precinct Vote Data'!H174&gt;0.5,"D","R")=$E$5,1,0)</f>
        <v>0</v>
      </c>
      <c r="E56" s="5">
        <f>IF(IF('Precinct Vote Data'!H175&gt;0.5,"D","R")=$E$6,1,0)</f>
        <v>0</v>
      </c>
      <c r="F56" s="5">
        <f>IF(IF('Precinct Vote Data'!H176&gt;0.5,"D","R")=$E$7,1,0)</f>
        <v>0</v>
      </c>
      <c r="G56" s="5">
        <f>IF(IF('Precinct Vote Data'!H177&gt;0.5,"D","R")=$E$8,1,0)</f>
        <v>0</v>
      </c>
      <c r="H56" s="5">
        <f t="shared" si="3"/>
        <v>0</v>
      </c>
      <c r="I56" s="13">
        <f>AVERAGE(ABS('Precinct Vote Data'!H174-$D$5),ABS('Precinct Vote Data'!H175-$D$6),ABS('Precinct Vote Data'!H176-$D$7),ABS('Precinct Vote Data'!H177-$D$8))</f>
        <v>0.09956957127</v>
      </c>
      <c r="J56" s="14" t="str">
        <f>IF(AND(H56=4,I56=MIN(K13:K420)),"&lt;&lt; MAGIC PRECINCT","")</f>
        <v/>
      </c>
      <c r="K56" s="5" t="str">
        <f t="shared" si="4"/>
        <v/>
      </c>
    </row>
    <row r="57" ht="15.0" customHeight="1">
      <c r="A57" s="5" t="s">
        <v>16</v>
      </c>
      <c r="B57" s="5" t="s">
        <v>129</v>
      </c>
      <c r="C57" s="5" t="s">
        <v>133</v>
      </c>
      <c r="D57" s="5">
        <f>IF(IF('Precinct Vote Data'!H178&gt;0.5,"D","R")=$E$5,1,0)</f>
        <v>0</v>
      </c>
      <c r="E57" s="5">
        <f>IF(IF('Precinct Vote Data'!H179&gt;0.5,"D","R")=$E$6,1,0)</f>
        <v>0</v>
      </c>
      <c r="F57" s="5">
        <f>IF(IF('Precinct Vote Data'!H180&gt;0.5,"D","R")=$E$7,1,0)</f>
        <v>0</v>
      </c>
      <c r="G57" s="5">
        <f>IF(IF('Precinct Vote Data'!H181&gt;0.5,"D","R")=$E$8,1,0)</f>
        <v>0</v>
      </c>
      <c r="H57" s="5">
        <f t="shared" si="3"/>
        <v>0</v>
      </c>
      <c r="I57" s="13">
        <f>AVERAGE(ABS('Precinct Vote Data'!H178-$D$5),ABS('Precinct Vote Data'!H179-$D$6),ABS('Precinct Vote Data'!H180-$D$7),ABS('Precinct Vote Data'!H181-$D$8))</f>
        <v>0.1616977825</v>
      </c>
      <c r="J57" s="14" t="str">
        <f>IF(AND(H57=4,I57=MIN(K13:K420)),"&lt;&lt; MAGIC PRECINCT","")</f>
        <v/>
      </c>
      <c r="K57" s="5" t="str">
        <f t="shared" si="4"/>
        <v/>
      </c>
    </row>
    <row r="58" ht="15.0" customHeight="1">
      <c r="A58" s="5" t="s">
        <v>16</v>
      </c>
      <c r="B58" s="5" t="s">
        <v>134</v>
      </c>
      <c r="C58" s="5" t="s">
        <v>135</v>
      </c>
      <c r="D58" s="5">
        <f>IF(IF('Precinct Vote Data'!H182&gt;0.5,"D","R")=$E$5,1,0)</f>
        <v>0</v>
      </c>
      <c r="E58" s="5">
        <f>IF(IF('Precinct Vote Data'!H183&gt;0.5,"D","R")=$E$6,1,0)</f>
        <v>0</v>
      </c>
      <c r="F58" s="5">
        <f>IF(IF('Precinct Vote Data'!H184&gt;0.5,"D","R")=$E$7,1,0)</f>
        <v>0</v>
      </c>
      <c r="G58" s="5">
        <f>IF(IF('Precinct Vote Data'!H185&gt;0.5,"D","R")=$E$8,1,0)</f>
        <v>0</v>
      </c>
      <c r="H58" s="5">
        <f t="shared" si="3"/>
        <v>0</v>
      </c>
      <c r="I58" s="13">
        <f>AVERAGE(ABS('Precinct Vote Data'!H182-$D$5),ABS('Precinct Vote Data'!H183-$D$6),ABS('Precinct Vote Data'!H184-$D$7),ABS('Precinct Vote Data'!H185-$D$8))</f>
        <v>0.202318287</v>
      </c>
      <c r="J58" s="14" t="str">
        <f>IF(AND(H58=4,I58=MIN(K13:K420)),"&lt;&lt; MAGIC PRECINCT","")</f>
        <v/>
      </c>
      <c r="K58" s="5" t="str">
        <f t="shared" si="4"/>
        <v/>
      </c>
    </row>
    <row r="59" ht="15.0" customHeight="1">
      <c r="A59" s="5" t="s">
        <v>16</v>
      </c>
      <c r="B59" s="5" t="s">
        <v>134</v>
      </c>
      <c r="C59" s="5" t="s">
        <v>136</v>
      </c>
      <c r="D59" s="5">
        <f>IF(IF('Precinct Vote Data'!H186&gt;0.5,"D","R")=$E$5,1,0)</f>
        <v>0</v>
      </c>
      <c r="E59" s="5">
        <f>IF(IF('Precinct Vote Data'!H187&gt;0.5,"D","R")=$E$6,1,0)</f>
        <v>0</v>
      </c>
      <c r="F59" s="5">
        <f>IF(IF('Precinct Vote Data'!H188&gt;0.5,"D","R")=$E$7,1,0)</f>
        <v>0</v>
      </c>
      <c r="G59" s="5">
        <f>IF(IF('Precinct Vote Data'!H189&gt;0.5,"D","R")=$E$8,1,0)</f>
        <v>0</v>
      </c>
      <c r="H59" s="5">
        <f t="shared" si="3"/>
        <v>0</v>
      </c>
      <c r="I59" s="13">
        <f>AVERAGE(ABS('Precinct Vote Data'!H186-$D$5),ABS('Precinct Vote Data'!H187-$D$6),ABS('Precinct Vote Data'!H188-$D$7),ABS('Precinct Vote Data'!H189-$D$8))</f>
        <v>0.2282819065</v>
      </c>
      <c r="J59" s="14" t="str">
        <f>IF(AND(H59=4,I59=MIN(K13:K420)),"&lt;&lt; MAGIC PRECINCT","")</f>
        <v/>
      </c>
      <c r="K59" s="5" t="str">
        <f t="shared" si="4"/>
        <v/>
      </c>
    </row>
    <row r="60" ht="15.0" customHeight="1">
      <c r="A60" s="5" t="s">
        <v>16</v>
      </c>
      <c r="B60" s="5" t="s">
        <v>134</v>
      </c>
      <c r="C60" s="5" t="s">
        <v>137</v>
      </c>
      <c r="D60" s="5">
        <f>IF(IF('Precinct Vote Data'!H190&gt;0.5,"D","R")=$E$5,1,0)</f>
        <v>0</v>
      </c>
      <c r="E60" s="5">
        <f>IF(IF('Precinct Vote Data'!H191&gt;0.5,"D","R")=$E$6,1,0)</f>
        <v>0</v>
      </c>
      <c r="F60" s="5">
        <f>IF(IF('Precinct Vote Data'!H192&gt;0.5,"D","R")=$E$7,1,0)</f>
        <v>0</v>
      </c>
      <c r="G60" s="5">
        <f>IF(IF('Precinct Vote Data'!H193&gt;0.5,"D","R")=$E$8,1,0)</f>
        <v>0</v>
      </c>
      <c r="H60" s="5">
        <f t="shared" si="3"/>
        <v>0</v>
      </c>
      <c r="I60" s="13">
        <f>AVERAGE(ABS('Precinct Vote Data'!H190-$D$5),ABS('Precinct Vote Data'!H191-$D$6),ABS('Precinct Vote Data'!H192-$D$7),ABS('Precinct Vote Data'!H193-$D$8))</f>
        <v>0.2090683976</v>
      </c>
      <c r="J60" s="14" t="str">
        <f>IF(AND(H60=4,I60=MIN(K13:K420)),"&lt;&lt; MAGIC PRECINCT","")</f>
        <v/>
      </c>
      <c r="K60" s="5" t="str">
        <f t="shared" si="4"/>
        <v/>
      </c>
    </row>
    <row r="61" ht="15.0" customHeight="1">
      <c r="A61" s="5" t="s">
        <v>16</v>
      </c>
      <c r="B61" s="5" t="s">
        <v>138</v>
      </c>
      <c r="C61" s="5" t="s">
        <v>139</v>
      </c>
      <c r="D61" s="5">
        <f>IF(IF('Precinct Vote Data'!H194&gt;0.5,"D","R")=$E$5,1,0)</f>
        <v>0</v>
      </c>
      <c r="E61" s="5">
        <f>IF(IF('Precinct Vote Data'!H195&gt;0.5,"D","R")=$E$6,1,0)</f>
        <v>0</v>
      </c>
      <c r="F61" s="5">
        <f>IF(IF('Precinct Vote Data'!H196&gt;0.5,"D","R")=$E$7,1,0)</f>
        <v>0</v>
      </c>
      <c r="G61" s="5">
        <f>IF(IF('Precinct Vote Data'!H197&gt;0.5,"D","R")=$E$8,1,0)</f>
        <v>0</v>
      </c>
      <c r="H61" s="5">
        <f t="shared" si="3"/>
        <v>0</v>
      </c>
      <c r="I61" s="13">
        <f>AVERAGE(ABS('Precinct Vote Data'!H194-$D$5),ABS('Precinct Vote Data'!H195-$D$6),ABS('Precinct Vote Data'!H196-$D$7),ABS('Precinct Vote Data'!H197-$D$8))</f>
        <v>0.2215740487</v>
      </c>
      <c r="J61" s="14" t="str">
        <f>IF(AND(H61=4,I61=MIN(K13:K420)),"&lt;&lt; MAGIC PRECINCT","")</f>
        <v/>
      </c>
      <c r="K61" s="5" t="str">
        <f t="shared" si="4"/>
        <v/>
      </c>
    </row>
    <row r="62" ht="15.0" customHeight="1">
      <c r="A62" s="5" t="s">
        <v>16</v>
      </c>
      <c r="B62" s="5" t="s">
        <v>138</v>
      </c>
      <c r="C62" s="5" t="s">
        <v>140</v>
      </c>
      <c r="D62" s="5">
        <f>IF(IF('Precinct Vote Data'!H198&gt;0.5,"D","R")=$E$5,1,0)</f>
        <v>0</v>
      </c>
      <c r="E62" s="5">
        <f>IF(IF('Precinct Vote Data'!H199&gt;0.5,"D","R")=$E$6,1,0)</f>
        <v>0</v>
      </c>
      <c r="F62" s="5">
        <f>IF(IF('Precinct Vote Data'!H200&gt;0.5,"D","R")=$E$7,1,0)</f>
        <v>0</v>
      </c>
      <c r="G62" s="5">
        <f>IF(IF('Precinct Vote Data'!H201&gt;0.5,"D","R")=$E$8,1,0)</f>
        <v>0</v>
      </c>
      <c r="H62" s="5">
        <f t="shared" si="3"/>
        <v>0</v>
      </c>
      <c r="I62" s="13">
        <f>AVERAGE(ABS('Precinct Vote Data'!H198-$D$5),ABS('Precinct Vote Data'!H199-$D$6),ABS('Precinct Vote Data'!H200-$D$7),ABS('Precinct Vote Data'!H201-$D$8))</f>
        <v>0.2418794517</v>
      </c>
      <c r="J62" s="14" t="str">
        <f>IF(AND(H62=4,I62=MIN(K13:K420)),"&lt;&lt; MAGIC PRECINCT","")</f>
        <v/>
      </c>
      <c r="K62" s="5" t="str">
        <f t="shared" si="4"/>
        <v/>
      </c>
    </row>
    <row r="63" ht="15.0" customHeight="1">
      <c r="A63" s="5" t="s">
        <v>16</v>
      </c>
      <c r="B63" s="5" t="s">
        <v>141</v>
      </c>
      <c r="C63" s="5" t="s">
        <v>142</v>
      </c>
      <c r="D63" s="5">
        <f>IF(IF('Precinct Vote Data'!H202&gt;0.5,"D","R")=$E$5,1,0)</f>
        <v>1</v>
      </c>
      <c r="E63" s="5">
        <f>IF(IF('Precinct Vote Data'!H203&gt;0.5,"D","R")=$E$6,1,0)</f>
        <v>0</v>
      </c>
      <c r="F63" s="5">
        <f>IF(IF('Precinct Vote Data'!H204&gt;0.5,"D","R")=$E$7,1,0)</f>
        <v>0</v>
      </c>
      <c r="G63" s="5">
        <f>IF(IF('Precinct Vote Data'!H205&gt;0.5,"D","R")=$E$8,1,0)</f>
        <v>0</v>
      </c>
      <c r="H63" s="5">
        <f t="shared" si="3"/>
        <v>1</v>
      </c>
      <c r="I63" s="13">
        <f>AVERAGE(ABS('Precinct Vote Data'!H202-$D$5),ABS('Precinct Vote Data'!H203-$D$6),ABS('Precinct Vote Data'!H204-$D$7),ABS('Precinct Vote Data'!H205-$D$8))</f>
        <v>0.08341348323</v>
      </c>
      <c r="J63" s="14" t="str">
        <f>IF(AND(H63=4,I63=MIN(K13:K420)),"&lt;&lt; MAGIC PRECINCT","")</f>
        <v/>
      </c>
      <c r="K63" s="5" t="str">
        <f t="shared" si="4"/>
        <v/>
      </c>
    </row>
    <row r="64" ht="15.0" customHeight="1">
      <c r="A64" s="5" t="s">
        <v>143</v>
      </c>
      <c r="B64" s="5" t="s">
        <v>144</v>
      </c>
      <c r="C64" s="5" t="s">
        <v>18</v>
      </c>
      <c r="D64" s="5">
        <f>IF(IF('Precinct Vote Data'!H206&gt;0.5,"D","R")=$E$5,1,0)</f>
        <v>1</v>
      </c>
      <c r="E64" s="5">
        <f>IF(IF('Precinct Vote Data'!H207&gt;0.5,"D","R")=$E$6,1,0)</f>
        <v>0</v>
      </c>
      <c r="F64" s="5">
        <f>IF(IF('Precinct Vote Data'!H208&gt;0.5,"D","R")=$E$7,1,0)</f>
        <v>0</v>
      </c>
      <c r="G64" s="5">
        <f>IF(IF('Precinct Vote Data'!H209&gt;0.5,"D","R")=$E$8,1,0)</f>
        <v>0</v>
      </c>
      <c r="H64" s="5">
        <f t="shared" si="3"/>
        <v>1</v>
      </c>
      <c r="I64" s="13">
        <f>AVERAGE(ABS('Precinct Vote Data'!H206-$D$5),ABS('Precinct Vote Data'!H207-$D$6),ABS('Precinct Vote Data'!H208-$D$7),ABS('Precinct Vote Data'!H209-$D$8))</f>
        <v>0.03567341498</v>
      </c>
      <c r="J64" s="14" t="str">
        <f>IF(AND(H64=4,I64=MIN(K13:K420)),"&lt;&lt; MAGIC PRECINCT","")</f>
        <v/>
      </c>
      <c r="K64" s="5" t="str">
        <f t="shared" si="4"/>
        <v/>
      </c>
    </row>
    <row r="65" ht="15.0" customHeight="1">
      <c r="A65" s="5" t="s">
        <v>143</v>
      </c>
      <c r="B65" s="5" t="s">
        <v>145</v>
      </c>
      <c r="C65" s="5" t="s">
        <v>146</v>
      </c>
      <c r="D65" s="5">
        <f>IF(IF('Precinct Vote Data'!H210&gt;0.5,"D","R")=$E$5,1,0)</f>
        <v>1</v>
      </c>
      <c r="E65" s="5">
        <f>IF(IF('Precinct Vote Data'!H211&gt;0.5,"D","R")=$E$6,1,0)</f>
        <v>1</v>
      </c>
      <c r="F65" s="5">
        <f>IF(IF('Precinct Vote Data'!H212&gt;0.5,"D","R")=$E$7,1,0)</f>
        <v>1</v>
      </c>
      <c r="G65" s="5">
        <f>IF(IF('Precinct Vote Data'!H213&gt;0.5,"D","R")=$E$8,1,0)</f>
        <v>1</v>
      </c>
      <c r="H65" s="5">
        <f t="shared" si="3"/>
        <v>4</v>
      </c>
      <c r="I65" s="13">
        <f>AVERAGE(ABS('Precinct Vote Data'!H210-$D$5),ABS('Precinct Vote Data'!H211-$D$6),ABS('Precinct Vote Data'!H212-$D$7),ABS('Precinct Vote Data'!H213-$D$8))</f>
        <v>0.2908923316</v>
      </c>
      <c r="J65" s="14" t="str">
        <f>IF(AND(H65=4,I65=MIN(K13:K420)),"&lt;&lt; MAGIC PRECINCT","")</f>
        <v/>
      </c>
      <c r="K65" s="13">
        <f t="shared" si="4"/>
        <v>0.2908923316</v>
      </c>
    </row>
    <row r="66" ht="15.0" customHeight="1">
      <c r="A66" s="5" t="s">
        <v>143</v>
      </c>
      <c r="B66" s="5" t="s">
        <v>145</v>
      </c>
      <c r="C66" s="5" t="s">
        <v>147</v>
      </c>
      <c r="D66" s="5">
        <f>IF(IF('Precinct Vote Data'!H214&gt;0.5,"D","R")=$E$5,1,0)</f>
        <v>1</v>
      </c>
      <c r="E66" s="5">
        <f>IF(IF('Precinct Vote Data'!H215&gt;0.5,"D","R")=$E$6,1,0)</f>
        <v>1</v>
      </c>
      <c r="F66" s="5">
        <f>IF(IF('Precinct Vote Data'!H216&gt;0.5,"D","R")=$E$7,1,0)</f>
        <v>1</v>
      </c>
      <c r="G66" s="5">
        <f>IF(IF('Precinct Vote Data'!H217&gt;0.5,"D","R")=$E$8,1,0)</f>
        <v>1</v>
      </c>
      <c r="H66" s="5">
        <f t="shared" si="3"/>
        <v>4</v>
      </c>
      <c r="I66" s="13">
        <f>AVERAGE(ABS('Precinct Vote Data'!H214-$D$5),ABS('Precinct Vote Data'!H215-$D$6),ABS('Precinct Vote Data'!H216-$D$7),ABS('Precinct Vote Data'!H217-$D$8))</f>
        <v>0.2592185346</v>
      </c>
      <c r="J66" s="14" t="str">
        <f>IF(AND(H66=4,I66=MIN(K13:K420)),"&lt;&lt; MAGIC PRECINCT","")</f>
        <v/>
      </c>
      <c r="K66" s="13">
        <f t="shared" si="4"/>
        <v>0.2592185346</v>
      </c>
    </row>
    <row r="67" ht="15.0" customHeight="1">
      <c r="A67" s="5" t="s">
        <v>143</v>
      </c>
      <c r="B67" s="5" t="s">
        <v>145</v>
      </c>
      <c r="C67" s="5" t="s">
        <v>55</v>
      </c>
      <c r="D67" s="5">
        <f>IF(IF('Precinct Vote Data'!H218&gt;0.5,"D","R")=$E$5,1,0)</f>
        <v>1</v>
      </c>
      <c r="E67" s="5">
        <f>IF(IF('Precinct Vote Data'!H219&gt;0.5,"D","R")=$E$6,1,0)</f>
        <v>1</v>
      </c>
      <c r="F67" s="5">
        <f>IF(IF('Precinct Vote Data'!H220&gt;0.5,"D","R")=$E$7,1,0)</f>
        <v>1</v>
      </c>
      <c r="G67" s="5">
        <f>IF(IF('Precinct Vote Data'!H221&gt;0.5,"D","R")=$E$8,1,0)</f>
        <v>1</v>
      </c>
      <c r="H67" s="5">
        <f t="shared" si="3"/>
        <v>4</v>
      </c>
      <c r="I67" s="13">
        <f>AVERAGE(ABS('Precinct Vote Data'!H218-$D$5),ABS('Precinct Vote Data'!H219-$D$6),ABS('Precinct Vote Data'!H220-$D$7),ABS('Precinct Vote Data'!H221-$D$8))</f>
        <v>0.2819335481</v>
      </c>
      <c r="J67" s="14" t="str">
        <f>IF(AND(H67=4,I67=MIN(K13:K420)),"&lt;&lt; MAGIC PRECINCT","")</f>
        <v/>
      </c>
      <c r="K67" s="13">
        <f t="shared" si="4"/>
        <v>0.2819335481</v>
      </c>
    </row>
    <row r="68" ht="15.0" customHeight="1">
      <c r="A68" s="5" t="s">
        <v>143</v>
      </c>
      <c r="B68" s="5" t="s">
        <v>145</v>
      </c>
      <c r="C68" s="5" t="s">
        <v>57</v>
      </c>
      <c r="D68" s="5">
        <f>IF(IF('Precinct Vote Data'!H222&gt;0.5,"D","R")=$E$5,1,0)</f>
        <v>1</v>
      </c>
      <c r="E68" s="5">
        <f>IF(IF('Precinct Vote Data'!H223&gt;0.5,"D","R")=$E$6,1,0)</f>
        <v>1</v>
      </c>
      <c r="F68" s="5">
        <f>IF(IF('Precinct Vote Data'!H224&gt;0.5,"D","R")=$E$7,1,0)</f>
        <v>1</v>
      </c>
      <c r="G68" s="5">
        <f>IF(IF('Precinct Vote Data'!H225&gt;0.5,"D","R")=$E$8,1,0)</f>
        <v>1</v>
      </c>
      <c r="H68" s="5">
        <f t="shared" si="3"/>
        <v>4</v>
      </c>
      <c r="I68" s="13">
        <f>AVERAGE(ABS('Precinct Vote Data'!H222-$D$5),ABS('Precinct Vote Data'!H223-$D$6),ABS('Precinct Vote Data'!H224-$D$7),ABS('Precinct Vote Data'!H225-$D$8))</f>
        <v>0.2348832589</v>
      </c>
      <c r="J68" s="14" t="str">
        <f>IF(AND(H68=4,I68=MIN(K13:K420)),"&lt;&lt; MAGIC PRECINCT","")</f>
        <v/>
      </c>
      <c r="K68" s="13">
        <f t="shared" si="4"/>
        <v>0.2348832589</v>
      </c>
    </row>
    <row r="69" ht="15.0" customHeight="1">
      <c r="A69" s="5" t="s">
        <v>143</v>
      </c>
      <c r="B69" s="5" t="s">
        <v>145</v>
      </c>
      <c r="C69" s="5" t="s">
        <v>59</v>
      </c>
      <c r="D69" s="5">
        <f>IF(IF('Precinct Vote Data'!H226&gt;0.5,"D","R")=$E$5,1,0)</f>
        <v>1</v>
      </c>
      <c r="E69" s="5">
        <f>IF(IF('Precinct Vote Data'!H227&gt;0.5,"D","R")=$E$6,1,0)</f>
        <v>1</v>
      </c>
      <c r="F69" s="5">
        <f>IF(IF('Precinct Vote Data'!H228&gt;0.5,"D","R")=$E$7,1,0)</f>
        <v>1</v>
      </c>
      <c r="G69" s="5">
        <f>IF(IF('Precinct Vote Data'!H229&gt;0.5,"D","R")=$E$8,1,0)</f>
        <v>1</v>
      </c>
      <c r="H69" s="5">
        <f t="shared" si="3"/>
        <v>4</v>
      </c>
      <c r="I69" s="13">
        <f>AVERAGE(ABS('Precinct Vote Data'!H226-$D$5),ABS('Precinct Vote Data'!H227-$D$6),ABS('Precinct Vote Data'!H228-$D$7),ABS('Precinct Vote Data'!H229-$D$8))</f>
        <v>0.2847555552</v>
      </c>
      <c r="J69" s="14" t="str">
        <f>IF(AND(H69=4,I69=MIN(K13:K420)),"&lt;&lt; MAGIC PRECINCT","")</f>
        <v/>
      </c>
      <c r="K69" s="13">
        <f t="shared" si="4"/>
        <v>0.2847555552</v>
      </c>
    </row>
    <row r="70" ht="15.0" customHeight="1">
      <c r="A70" s="5" t="s">
        <v>143</v>
      </c>
      <c r="B70" s="5" t="s">
        <v>145</v>
      </c>
      <c r="C70" s="5" t="s">
        <v>63</v>
      </c>
      <c r="D70" s="5">
        <f>IF(IF('Precinct Vote Data'!H230&gt;0.5,"D","R")=$E$5,1,0)</f>
        <v>1</v>
      </c>
      <c r="E70" s="5">
        <f>IF(IF('Precinct Vote Data'!H231&gt;0.5,"D","R")=$E$6,1,0)</f>
        <v>1</v>
      </c>
      <c r="F70" s="5">
        <f>IF(IF('Precinct Vote Data'!H232&gt;0.5,"D","R")=$E$7,1,0)</f>
        <v>1</v>
      </c>
      <c r="G70" s="5">
        <f>IF(IF('Precinct Vote Data'!H233&gt;0.5,"D","R")=$E$8,1,0)</f>
        <v>1</v>
      </c>
      <c r="H70" s="5">
        <f t="shared" si="3"/>
        <v>4</v>
      </c>
      <c r="I70" s="13">
        <f>AVERAGE(ABS('Precinct Vote Data'!H230-$D$5),ABS('Precinct Vote Data'!H231-$D$6),ABS('Precinct Vote Data'!H232-$D$7),ABS('Precinct Vote Data'!H233-$D$8))</f>
        <v>0.2249255456</v>
      </c>
      <c r="J70" s="14" t="str">
        <f>IF(AND(H70=4,I70=MIN(K13:K420)),"&lt;&lt; MAGIC PRECINCT","")</f>
        <v/>
      </c>
      <c r="K70" s="13">
        <f t="shared" si="4"/>
        <v>0.2249255456</v>
      </c>
    </row>
    <row r="71" ht="15.0" customHeight="1">
      <c r="A71" s="5" t="s">
        <v>143</v>
      </c>
      <c r="B71" s="5" t="s">
        <v>145</v>
      </c>
      <c r="C71" s="5" t="s">
        <v>73</v>
      </c>
      <c r="D71" s="5">
        <f>IF(IF('Precinct Vote Data'!H234&gt;0.5,"D","R")=$E$5,1,0)</f>
        <v>1</v>
      </c>
      <c r="E71" s="5">
        <f>IF(IF('Precinct Vote Data'!H235&gt;0.5,"D","R")=$E$6,1,0)</f>
        <v>1</v>
      </c>
      <c r="F71" s="5">
        <f>IF(IF('Precinct Vote Data'!H236&gt;0.5,"D","R")=$E$7,1,0)</f>
        <v>1</v>
      </c>
      <c r="G71" s="5">
        <f>IF(IF('Precinct Vote Data'!H237&gt;0.5,"D","R")=$E$8,1,0)</f>
        <v>1</v>
      </c>
      <c r="H71" s="5">
        <f t="shared" si="3"/>
        <v>4</v>
      </c>
      <c r="I71" s="13">
        <f>AVERAGE(ABS('Precinct Vote Data'!H234-$D$5),ABS('Precinct Vote Data'!H235-$D$6),ABS('Precinct Vote Data'!H236-$D$7),ABS('Precinct Vote Data'!H237-$D$8))</f>
        <v>0.1891222223</v>
      </c>
      <c r="J71" s="14" t="str">
        <f>IF(AND(H71=4,I71=MIN(K13:K420)),"&lt;&lt; MAGIC PRECINCT","")</f>
        <v/>
      </c>
      <c r="K71" s="13">
        <f t="shared" si="4"/>
        <v>0.1891222223</v>
      </c>
    </row>
    <row r="72" ht="15.0" customHeight="1">
      <c r="A72" s="5" t="s">
        <v>143</v>
      </c>
      <c r="B72" s="5" t="s">
        <v>145</v>
      </c>
      <c r="C72" s="5" t="s">
        <v>74</v>
      </c>
      <c r="D72" s="5">
        <f>IF(IF('Precinct Vote Data'!H238&gt;0.5,"D","R")=$E$5,1,0)</f>
        <v>1</v>
      </c>
      <c r="E72" s="5">
        <f>IF(IF('Precinct Vote Data'!H239&gt;0.5,"D","R")=$E$6,1,0)</f>
        <v>1</v>
      </c>
      <c r="F72" s="5">
        <f>IF(IF('Precinct Vote Data'!H240&gt;0.5,"D","R")=$E$7,1,0)</f>
        <v>1</v>
      </c>
      <c r="G72" s="5">
        <f>IF(IF('Precinct Vote Data'!H241&gt;0.5,"D","R")=$E$8,1,0)</f>
        <v>1</v>
      </c>
      <c r="H72" s="5">
        <f t="shared" si="3"/>
        <v>4</v>
      </c>
      <c r="I72" s="13">
        <f>AVERAGE(ABS('Precinct Vote Data'!H238-$D$5),ABS('Precinct Vote Data'!H239-$D$6),ABS('Precinct Vote Data'!H240-$D$7),ABS('Precinct Vote Data'!H241-$D$8))</f>
        <v>0.2645376968</v>
      </c>
      <c r="J72" s="14" t="str">
        <f>IF(AND(H72=4,I72=MIN(K13:K420)),"&lt;&lt; MAGIC PRECINCT","")</f>
        <v/>
      </c>
      <c r="K72" s="13">
        <f t="shared" si="4"/>
        <v>0.2645376968</v>
      </c>
    </row>
    <row r="73" ht="15.0" customHeight="1">
      <c r="A73" s="5" t="s">
        <v>143</v>
      </c>
      <c r="B73" s="5" t="s">
        <v>145</v>
      </c>
      <c r="C73" s="5" t="s">
        <v>78</v>
      </c>
      <c r="D73" s="5">
        <f>IF(IF('Precinct Vote Data'!H242&gt;0.5,"D","R")=$E$5,1,0)</f>
        <v>1</v>
      </c>
      <c r="E73" s="5">
        <f>IF(IF('Precinct Vote Data'!H243&gt;0.5,"D","R")=$E$6,1,0)</f>
        <v>1</v>
      </c>
      <c r="F73" s="5">
        <f>IF(IF('Precinct Vote Data'!H244&gt;0.5,"D","R")=$E$7,1,0)</f>
        <v>1</v>
      </c>
      <c r="G73" s="5">
        <f>IF(IF('Precinct Vote Data'!H245&gt;0.5,"D","R")=$E$8,1,0)</f>
        <v>1</v>
      </c>
      <c r="H73" s="5">
        <f t="shared" si="3"/>
        <v>4</v>
      </c>
      <c r="I73" s="13">
        <f>AVERAGE(ABS('Precinct Vote Data'!H242-$D$5),ABS('Precinct Vote Data'!H243-$D$6),ABS('Precinct Vote Data'!H244-$D$7),ABS('Precinct Vote Data'!H245-$D$8))</f>
        <v>0.2647877674</v>
      </c>
      <c r="J73" s="14" t="str">
        <f>IF(AND(H73=4,I73=MIN(K13:K420)),"&lt;&lt; MAGIC PRECINCT","")</f>
        <v/>
      </c>
      <c r="K73" s="13">
        <f t="shared" si="4"/>
        <v>0.2647877674</v>
      </c>
    </row>
    <row r="74" ht="15.0" customHeight="1">
      <c r="A74" s="5" t="s">
        <v>143</v>
      </c>
      <c r="B74" s="5" t="s">
        <v>145</v>
      </c>
      <c r="C74" s="5" t="s">
        <v>79</v>
      </c>
      <c r="D74" s="5">
        <f>IF(IF('Precinct Vote Data'!H246&gt;0.5,"D","R")=$E$5,1,0)</f>
        <v>1</v>
      </c>
      <c r="E74" s="5">
        <f>IF(IF('Precinct Vote Data'!H247&gt;0.5,"D","R")=$E$6,1,0)</f>
        <v>1</v>
      </c>
      <c r="F74" s="5">
        <f>IF(IF('Precinct Vote Data'!H248&gt;0.5,"D","R")=$E$7,1,0)</f>
        <v>1</v>
      </c>
      <c r="G74" s="5">
        <f>IF(IF('Precinct Vote Data'!H249&gt;0.5,"D","R")=$E$8,1,0)</f>
        <v>1</v>
      </c>
      <c r="H74" s="5">
        <f t="shared" si="3"/>
        <v>4</v>
      </c>
      <c r="I74" s="13">
        <f>AVERAGE(ABS('Precinct Vote Data'!H246-$D$5),ABS('Precinct Vote Data'!H247-$D$6),ABS('Precinct Vote Data'!H248-$D$7),ABS('Precinct Vote Data'!H249-$D$8))</f>
        <v>0.2860698017</v>
      </c>
      <c r="J74" s="14" t="str">
        <f>IF(AND(H74=4,I74=MIN(K13:K420)),"&lt;&lt; MAGIC PRECINCT","")</f>
        <v/>
      </c>
      <c r="K74" s="13">
        <f t="shared" si="4"/>
        <v>0.2860698017</v>
      </c>
    </row>
    <row r="75" ht="15.0" customHeight="1">
      <c r="A75" s="5" t="s">
        <v>143</v>
      </c>
      <c r="B75" s="5" t="s">
        <v>145</v>
      </c>
      <c r="C75" s="5" t="s">
        <v>87</v>
      </c>
      <c r="D75" s="5">
        <f>IF(IF('Precinct Vote Data'!H250&gt;0.5,"D","R")=$E$5,1,0)</f>
        <v>1</v>
      </c>
      <c r="E75" s="5">
        <f>IF(IF('Precinct Vote Data'!H251&gt;0.5,"D","R")=$E$6,1,0)</f>
        <v>1</v>
      </c>
      <c r="F75" s="5">
        <f>IF(IF('Precinct Vote Data'!H252&gt;0.5,"D","R")=$E$7,1,0)</f>
        <v>1</v>
      </c>
      <c r="G75" s="5">
        <f>IF(IF('Precinct Vote Data'!H253&gt;0.5,"D","R")=$E$8,1,0)</f>
        <v>1</v>
      </c>
      <c r="H75" s="5">
        <f t="shared" si="3"/>
        <v>4</v>
      </c>
      <c r="I75" s="13">
        <f>AVERAGE(ABS('Precinct Vote Data'!H250-$D$5),ABS('Precinct Vote Data'!H251-$D$6),ABS('Precinct Vote Data'!H252-$D$7),ABS('Precinct Vote Data'!H253-$D$8))</f>
        <v>0.2808474104</v>
      </c>
      <c r="J75" s="14" t="str">
        <f>IF(AND(H75=4,I75=MIN(K13:K420)),"&lt;&lt; MAGIC PRECINCT","")</f>
        <v/>
      </c>
      <c r="K75" s="13">
        <f t="shared" si="4"/>
        <v>0.2808474104</v>
      </c>
    </row>
    <row r="76" ht="15.0" customHeight="1">
      <c r="A76" s="5" t="s">
        <v>143</v>
      </c>
      <c r="B76" s="5" t="s">
        <v>145</v>
      </c>
      <c r="C76" s="5" t="s">
        <v>88</v>
      </c>
      <c r="D76" s="5">
        <f>IF(IF('Precinct Vote Data'!H254&gt;0.5,"D","R")=$E$5,1,0)</f>
        <v>1</v>
      </c>
      <c r="E76" s="5">
        <f>IF(IF('Precinct Vote Data'!H255&gt;0.5,"D","R")=$E$6,1,0)</f>
        <v>1</v>
      </c>
      <c r="F76" s="5">
        <f>IF(IF('Precinct Vote Data'!H256&gt;0.5,"D","R")=$E$7,1,0)</f>
        <v>1</v>
      </c>
      <c r="G76" s="5">
        <f>IF(IF('Precinct Vote Data'!H257&gt;0.5,"D","R")=$E$8,1,0)</f>
        <v>1</v>
      </c>
      <c r="H76" s="5">
        <f t="shared" si="3"/>
        <v>4</v>
      </c>
      <c r="I76" s="13">
        <f>AVERAGE(ABS('Precinct Vote Data'!H254-$D$5),ABS('Precinct Vote Data'!H255-$D$6),ABS('Precinct Vote Data'!H256-$D$7),ABS('Precinct Vote Data'!H257-$D$8))</f>
        <v>0.1901498745</v>
      </c>
      <c r="J76" s="14" t="str">
        <f>IF(AND(H76=4,I76=MIN(K13:K420)),"&lt;&lt; MAGIC PRECINCT","")</f>
        <v/>
      </c>
      <c r="K76" s="13">
        <f t="shared" si="4"/>
        <v>0.1901498745</v>
      </c>
    </row>
    <row r="77" ht="15.0" customHeight="1">
      <c r="A77" s="5" t="s">
        <v>143</v>
      </c>
      <c r="B77" s="5" t="s">
        <v>145</v>
      </c>
      <c r="C77" s="5" t="s">
        <v>89</v>
      </c>
      <c r="D77" s="5">
        <f>IF(IF('Precinct Vote Data'!H258&gt;0.5,"D","R")=$E$5,1,0)</f>
        <v>1</v>
      </c>
      <c r="E77" s="5">
        <f>IF(IF('Precinct Vote Data'!H259&gt;0.5,"D","R")=$E$6,1,0)</f>
        <v>1</v>
      </c>
      <c r="F77" s="5">
        <f>IF(IF('Precinct Vote Data'!H260&gt;0.5,"D","R")=$E$7,1,0)</f>
        <v>1</v>
      </c>
      <c r="G77" s="5">
        <f>IF(IF('Precinct Vote Data'!H261&gt;0.5,"D","R")=$E$8,1,0)</f>
        <v>1</v>
      </c>
      <c r="H77" s="5">
        <f t="shared" si="3"/>
        <v>4</v>
      </c>
      <c r="I77" s="13">
        <f>AVERAGE(ABS('Precinct Vote Data'!H258-$D$5),ABS('Precinct Vote Data'!H259-$D$6),ABS('Precinct Vote Data'!H260-$D$7),ABS('Precinct Vote Data'!H261-$D$8))</f>
        <v>0.2263748337</v>
      </c>
      <c r="J77" s="14" t="str">
        <f>IF(AND(H77=4,I77=MIN(K13:K420)),"&lt;&lt; MAGIC PRECINCT","")</f>
        <v/>
      </c>
      <c r="K77" s="13">
        <f t="shared" si="4"/>
        <v>0.2263748337</v>
      </c>
    </row>
    <row r="78" ht="15.0" customHeight="1">
      <c r="A78" s="5" t="s">
        <v>143</v>
      </c>
      <c r="B78" s="5" t="s">
        <v>145</v>
      </c>
      <c r="C78" s="5" t="s">
        <v>91</v>
      </c>
      <c r="D78" s="5">
        <f>IF(IF('Precinct Vote Data'!H262&gt;0.5,"D","R")=$E$5,1,0)</f>
        <v>1</v>
      </c>
      <c r="E78" s="5">
        <f>IF(IF('Precinct Vote Data'!H263&gt;0.5,"D","R")=$E$6,1,0)</f>
        <v>1</v>
      </c>
      <c r="F78" s="5">
        <f>IF(IF('Precinct Vote Data'!H264&gt;0.5,"D","R")=$E$7,1,0)</f>
        <v>1</v>
      </c>
      <c r="G78" s="5">
        <f>IF(IF('Precinct Vote Data'!H265&gt;0.5,"D","R")=$E$8,1,0)</f>
        <v>1</v>
      </c>
      <c r="H78" s="5">
        <f t="shared" si="3"/>
        <v>4</v>
      </c>
      <c r="I78" s="13">
        <f>AVERAGE(ABS('Precinct Vote Data'!H262-$D$5),ABS('Precinct Vote Data'!H263-$D$6),ABS('Precinct Vote Data'!H264-$D$7),ABS('Precinct Vote Data'!H265-$D$8))</f>
        <v>0.2527716193</v>
      </c>
      <c r="J78" s="14" t="str">
        <f>IF(AND(H78=4,I78=MIN(K13:K420)),"&lt;&lt; MAGIC PRECINCT","")</f>
        <v/>
      </c>
      <c r="K78" s="13">
        <f t="shared" si="4"/>
        <v>0.2527716193</v>
      </c>
    </row>
    <row r="79" ht="15.0" customHeight="1">
      <c r="A79" s="5" t="s">
        <v>143</v>
      </c>
      <c r="B79" s="5" t="s">
        <v>145</v>
      </c>
      <c r="C79" s="5" t="s">
        <v>92</v>
      </c>
      <c r="D79" s="5">
        <f>IF(IF('Precinct Vote Data'!H266&gt;0.5,"D","R")=$E$5,1,0)</f>
        <v>1</v>
      </c>
      <c r="E79" s="5">
        <f>IF(IF('Precinct Vote Data'!H267&gt;0.5,"D","R")=$E$6,1,0)</f>
        <v>1</v>
      </c>
      <c r="F79" s="5">
        <f>IF(IF('Precinct Vote Data'!H268&gt;0.5,"D","R")=$E$7,1,0)</f>
        <v>1</v>
      </c>
      <c r="G79" s="5">
        <f>IF(IF('Precinct Vote Data'!H269&gt;0.5,"D","R")=$E$8,1,0)</f>
        <v>1</v>
      </c>
      <c r="H79" s="5">
        <f t="shared" si="3"/>
        <v>4</v>
      </c>
      <c r="I79" s="13">
        <f>AVERAGE(ABS('Precinct Vote Data'!H266-$D$5),ABS('Precinct Vote Data'!H267-$D$6),ABS('Precinct Vote Data'!H268-$D$7),ABS('Precinct Vote Data'!H269-$D$8))</f>
        <v>0.1143356826</v>
      </c>
      <c r="J79" s="14" t="str">
        <f>IF(AND(H79=4,I79=MIN(K13:K420)),"&lt;&lt; MAGIC PRECINCT","")</f>
        <v/>
      </c>
      <c r="K79" s="13">
        <f t="shared" si="4"/>
        <v>0.1143356826</v>
      </c>
    </row>
    <row r="80" ht="15.0" customHeight="1">
      <c r="A80" s="5" t="s">
        <v>143</v>
      </c>
      <c r="B80" s="5" t="s">
        <v>145</v>
      </c>
      <c r="C80" s="5" t="s">
        <v>94</v>
      </c>
      <c r="D80" s="5">
        <f>IF(IF('Precinct Vote Data'!H270&gt;0.5,"D","R")=$E$5,1,0)</f>
        <v>1</v>
      </c>
      <c r="E80" s="5">
        <f>IF(IF('Precinct Vote Data'!H271&gt;0.5,"D","R")=$E$6,1,0)</f>
        <v>1</v>
      </c>
      <c r="F80" s="5">
        <f>IF(IF('Precinct Vote Data'!H272&gt;0.5,"D","R")=$E$7,1,0)</f>
        <v>1</v>
      </c>
      <c r="G80" s="5">
        <f>IF(IF('Precinct Vote Data'!H273&gt;0.5,"D","R")=$E$8,1,0)</f>
        <v>1</v>
      </c>
      <c r="H80" s="5">
        <f t="shared" si="3"/>
        <v>4</v>
      </c>
      <c r="I80" s="13">
        <f>AVERAGE(ABS('Precinct Vote Data'!H270-$D$5),ABS('Precinct Vote Data'!H271-$D$6),ABS('Precinct Vote Data'!H272-$D$7),ABS('Precinct Vote Data'!H273-$D$8))</f>
        <v>0.2582480871</v>
      </c>
      <c r="J80" s="14" t="str">
        <f>IF(AND(H80=4,I80=MIN(K13:K420)),"&lt;&lt; MAGIC PRECINCT","")</f>
        <v/>
      </c>
      <c r="K80" s="13">
        <f t="shared" si="4"/>
        <v>0.2582480871</v>
      </c>
    </row>
    <row r="81" ht="15.0" customHeight="1">
      <c r="A81" s="5" t="s">
        <v>143</v>
      </c>
      <c r="B81" s="5" t="s">
        <v>145</v>
      </c>
      <c r="C81" s="5" t="s">
        <v>95</v>
      </c>
      <c r="D81" s="5">
        <f>IF(IF('Precinct Vote Data'!H274&gt;0.5,"D","R")=$E$5,1,0)</f>
        <v>1</v>
      </c>
      <c r="E81" s="5">
        <f>IF(IF('Precinct Vote Data'!H275&gt;0.5,"D","R")=$E$6,1,0)</f>
        <v>1</v>
      </c>
      <c r="F81" s="5">
        <f>IF(IF('Precinct Vote Data'!H276&gt;0.5,"D","R")=$E$7,1,0)</f>
        <v>1</v>
      </c>
      <c r="G81" s="5">
        <f>IF(IF('Precinct Vote Data'!H277&gt;0.5,"D","R")=$E$8,1,0)</f>
        <v>1</v>
      </c>
      <c r="H81" s="5">
        <f t="shared" si="3"/>
        <v>4</v>
      </c>
      <c r="I81" s="13">
        <f>AVERAGE(ABS('Precinct Vote Data'!H274-$D$5),ABS('Precinct Vote Data'!H275-$D$6),ABS('Precinct Vote Data'!H276-$D$7),ABS('Precinct Vote Data'!H277-$D$8))</f>
        <v>0.2753552096</v>
      </c>
      <c r="J81" s="14" t="str">
        <f>IF(AND(H81=4,I81=MIN(K13:K420)),"&lt;&lt; MAGIC PRECINCT","")</f>
        <v/>
      </c>
      <c r="K81" s="13">
        <f t="shared" si="4"/>
        <v>0.2753552096</v>
      </c>
    </row>
    <row r="82" ht="15.0" customHeight="1">
      <c r="A82" s="5" t="s">
        <v>143</v>
      </c>
      <c r="B82" s="5" t="s">
        <v>145</v>
      </c>
      <c r="C82" s="5" t="s">
        <v>96</v>
      </c>
      <c r="D82" s="5">
        <f>IF(IF('Precinct Vote Data'!H278&gt;0.5,"D","R")=$E$5,1,0)</f>
        <v>1</v>
      </c>
      <c r="E82" s="5">
        <f>IF(IF('Precinct Vote Data'!H279&gt;0.5,"D","R")=$E$6,1,0)</f>
        <v>1</v>
      </c>
      <c r="F82" s="5">
        <f>IF(IF('Precinct Vote Data'!H280&gt;0.5,"D","R")=$E$7,1,0)</f>
        <v>1</v>
      </c>
      <c r="G82" s="5">
        <f>IF(IF('Precinct Vote Data'!H281&gt;0.5,"D","R")=$E$8,1,0)</f>
        <v>1</v>
      </c>
      <c r="H82" s="5">
        <f t="shared" si="3"/>
        <v>4</v>
      </c>
      <c r="I82" s="13">
        <f>AVERAGE(ABS('Precinct Vote Data'!H278-$D$5),ABS('Precinct Vote Data'!H279-$D$6),ABS('Precinct Vote Data'!H280-$D$7),ABS('Precinct Vote Data'!H281-$D$8))</f>
        <v>0.2083487393</v>
      </c>
      <c r="J82" s="14" t="str">
        <f>IF(AND(H82=4,I82=MIN(K13:K420)),"&lt;&lt; MAGIC PRECINCT","")</f>
        <v/>
      </c>
      <c r="K82" s="13">
        <f t="shared" si="4"/>
        <v>0.2083487393</v>
      </c>
    </row>
    <row r="83" ht="15.0" customHeight="1">
      <c r="A83" s="5" t="s">
        <v>143</v>
      </c>
      <c r="B83" s="5" t="s">
        <v>145</v>
      </c>
      <c r="C83" s="5" t="s">
        <v>98</v>
      </c>
      <c r="D83" s="5">
        <f>IF(IF('Precinct Vote Data'!H282&gt;0.5,"D","R")=$E$5,1,0)</f>
        <v>1</v>
      </c>
      <c r="E83" s="5">
        <f>IF(IF('Precinct Vote Data'!H283&gt;0.5,"D","R")=$E$6,1,0)</f>
        <v>1</v>
      </c>
      <c r="F83" s="5">
        <f>IF(IF('Precinct Vote Data'!H284&gt;0.5,"D","R")=$E$7,1,0)</f>
        <v>1</v>
      </c>
      <c r="G83" s="5">
        <f>IF(IF('Precinct Vote Data'!H285&gt;0.5,"D","R")=$E$8,1,0)</f>
        <v>1</v>
      </c>
      <c r="H83" s="5">
        <f t="shared" si="3"/>
        <v>4</v>
      </c>
      <c r="I83" s="13">
        <f>AVERAGE(ABS('Precinct Vote Data'!H282-$D$5),ABS('Precinct Vote Data'!H283-$D$6),ABS('Precinct Vote Data'!H284-$D$7),ABS('Precinct Vote Data'!H285-$D$8))</f>
        <v>0.2644976936</v>
      </c>
      <c r="J83" s="14" t="str">
        <f>IF(AND(H83=4,I83=MIN(K13:K420)),"&lt;&lt; MAGIC PRECINCT","")</f>
        <v/>
      </c>
      <c r="K83" s="13">
        <f t="shared" si="4"/>
        <v>0.2644976936</v>
      </c>
    </row>
    <row r="84" ht="15.0" customHeight="1">
      <c r="A84" s="5" t="s">
        <v>143</v>
      </c>
      <c r="B84" s="5" t="s">
        <v>145</v>
      </c>
      <c r="C84" s="5" t="s">
        <v>100</v>
      </c>
      <c r="D84" s="5">
        <f>IF(IF('Precinct Vote Data'!H286&gt;0.5,"D","R")=$E$5,1,0)</f>
        <v>1</v>
      </c>
      <c r="E84" s="5">
        <f>IF(IF('Precinct Vote Data'!H287&gt;0.5,"D","R")=$E$6,1,0)</f>
        <v>1</v>
      </c>
      <c r="F84" s="5">
        <f>IF(IF('Precinct Vote Data'!H288&gt;0.5,"D","R")=$E$7,1,0)</f>
        <v>1</v>
      </c>
      <c r="G84" s="5">
        <f>IF(IF('Precinct Vote Data'!H289&gt;0.5,"D","R")=$E$8,1,0)</f>
        <v>1</v>
      </c>
      <c r="H84" s="5">
        <f t="shared" si="3"/>
        <v>4</v>
      </c>
      <c r="I84" s="13">
        <f>AVERAGE(ABS('Precinct Vote Data'!H286-$D$5),ABS('Precinct Vote Data'!H287-$D$6),ABS('Precinct Vote Data'!H288-$D$7),ABS('Precinct Vote Data'!H289-$D$8))</f>
        <v>0.2193331882</v>
      </c>
      <c r="J84" s="14" t="str">
        <f>IF(AND(H84=4,I84=MIN(K13:K420)),"&lt;&lt; MAGIC PRECINCT","")</f>
        <v/>
      </c>
      <c r="K84" s="13">
        <f t="shared" si="4"/>
        <v>0.2193331882</v>
      </c>
    </row>
    <row r="85" ht="15.0" customHeight="1">
      <c r="A85" s="5" t="s">
        <v>143</v>
      </c>
      <c r="B85" s="5" t="s">
        <v>145</v>
      </c>
      <c r="C85" s="5" t="s">
        <v>102</v>
      </c>
      <c r="D85" s="5">
        <f>IF(IF('Precinct Vote Data'!H290&gt;0.5,"D","R")=$E$5,1,0)</f>
        <v>1</v>
      </c>
      <c r="E85" s="5">
        <f>IF(IF('Precinct Vote Data'!H291&gt;0.5,"D","R")=$E$6,1,0)</f>
        <v>1</v>
      </c>
      <c r="F85" s="5">
        <f>IF(IF('Precinct Vote Data'!H292&gt;0.5,"D","R")=$E$7,1,0)</f>
        <v>1</v>
      </c>
      <c r="G85" s="5">
        <f>IF(IF('Precinct Vote Data'!H293&gt;0.5,"D","R")=$E$8,1,0)</f>
        <v>1</v>
      </c>
      <c r="H85" s="5">
        <f t="shared" si="3"/>
        <v>4</v>
      </c>
      <c r="I85" s="13">
        <f>AVERAGE(ABS('Precinct Vote Data'!H290-$D$5),ABS('Precinct Vote Data'!H291-$D$6),ABS('Precinct Vote Data'!H292-$D$7),ABS('Precinct Vote Data'!H293-$D$8))</f>
        <v>0.2632018456</v>
      </c>
      <c r="J85" s="14" t="str">
        <f>IF(AND(H85=4,I85=MIN(K13:K420)),"&lt;&lt; MAGIC PRECINCT","")</f>
        <v/>
      </c>
      <c r="K85" s="13">
        <f t="shared" si="4"/>
        <v>0.2632018456</v>
      </c>
    </row>
    <row r="86" ht="15.0" customHeight="1">
      <c r="A86" s="5" t="s">
        <v>143</v>
      </c>
      <c r="B86" s="5" t="s">
        <v>145</v>
      </c>
      <c r="C86" s="5" t="s">
        <v>103</v>
      </c>
      <c r="D86" s="5">
        <f>IF(IF('Precinct Vote Data'!H294&gt;0.5,"D","R")=$E$5,1,0)</f>
        <v>1</v>
      </c>
      <c r="E86" s="5">
        <f>IF(IF('Precinct Vote Data'!H295&gt;0.5,"D","R")=$E$6,1,0)</f>
        <v>1</v>
      </c>
      <c r="F86" s="5">
        <f>IF(IF('Precinct Vote Data'!H296&gt;0.5,"D","R")=$E$7,1,0)</f>
        <v>1</v>
      </c>
      <c r="G86" s="5">
        <f>IF(IF('Precinct Vote Data'!H297&gt;0.5,"D","R")=$E$8,1,0)</f>
        <v>1</v>
      </c>
      <c r="H86" s="5">
        <f t="shared" si="3"/>
        <v>4</v>
      </c>
      <c r="I86" s="13">
        <f>AVERAGE(ABS('Precinct Vote Data'!H294-$D$5),ABS('Precinct Vote Data'!H295-$D$6),ABS('Precinct Vote Data'!H296-$D$7),ABS('Precinct Vote Data'!H297-$D$8))</f>
        <v>0.2193956773</v>
      </c>
      <c r="J86" s="14" t="str">
        <f>IF(AND(H86=4,I86=MIN(K13:K420)),"&lt;&lt; MAGIC PRECINCT","")</f>
        <v/>
      </c>
      <c r="K86" s="13">
        <f t="shared" si="4"/>
        <v>0.2193956773</v>
      </c>
    </row>
    <row r="87" ht="15.0" customHeight="1">
      <c r="A87" s="5" t="s">
        <v>143</v>
      </c>
      <c r="B87" s="5" t="s">
        <v>145</v>
      </c>
      <c r="C87" s="5" t="s">
        <v>104</v>
      </c>
      <c r="D87" s="5">
        <f>IF(IF('Precinct Vote Data'!H298&gt;0.5,"D","R")=$E$5,1,0)</f>
        <v>1</v>
      </c>
      <c r="E87" s="5">
        <f>IF(IF('Precinct Vote Data'!H299&gt;0.5,"D","R")=$E$6,1,0)</f>
        <v>1</v>
      </c>
      <c r="F87" s="5">
        <f>IF(IF('Precinct Vote Data'!H300&gt;0.5,"D","R")=$E$7,1,0)</f>
        <v>1</v>
      </c>
      <c r="G87" s="5">
        <f>IF(IF('Precinct Vote Data'!H301&gt;0.5,"D","R")=$E$8,1,0)</f>
        <v>1</v>
      </c>
      <c r="H87" s="5">
        <f t="shared" si="3"/>
        <v>4</v>
      </c>
      <c r="I87" s="13">
        <f>AVERAGE(ABS('Precinct Vote Data'!H298-$D$5),ABS('Precinct Vote Data'!H299-$D$6),ABS('Precinct Vote Data'!H300-$D$7),ABS('Precinct Vote Data'!H301-$D$8))</f>
        <v>0.273892538</v>
      </c>
      <c r="J87" s="14" t="str">
        <f>IF(AND(H87=4,I87=MIN(K13:K420)),"&lt;&lt; MAGIC PRECINCT","")</f>
        <v/>
      </c>
      <c r="K87" s="13">
        <f t="shared" si="4"/>
        <v>0.273892538</v>
      </c>
    </row>
    <row r="88" ht="15.0" customHeight="1">
      <c r="A88" s="5" t="s">
        <v>143</v>
      </c>
      <c r="B88" s="5" t="s">
        <v>145</v>
      </c>
      <c r="C88" s="5" t="s">
        <v>106</v>
      </c>
      <c r="D88" s="5">
        <f>IF(IF('Precinct Vote Data'!H302&gt;0.5,"D","R")=$E$5,1,0)</f>
        <v>1</v>
      </c>
      <c r="E88" s="5">
        <f>IF(IF('Precinct Vote Data'!H303&gt;0.5,"D","R")=$E$6,1,0)</f>
        <v>1</v>
      </c>
      <c r="F88" s="5">
        <f>IF(IF('Precinct Vote Data'!H304&gt;0.5,"D","R")=$E$7,1,0)</f>
        <v>1</v>
      </c>
      <c r="G88" s="5">
        <f>IF(IF('Precinct Vote Data'!H305&gt;0.5,"D","R")=$E$8,1,0)</f>
        <v>1</v>
      </c>
      <c r="H88" s="5">
        <f t="shared" si="3"/>
        <v>4</v>
      </c>
      <c r="I88" s="13">
        <f>AVERAGE(ABS('Precinct Vote Data'!H302-$D$5),ABS('Precinct Vote Data'!H303-$D$6),ABS('Precinct Vote Data'!H304-$D$7),ABS('Precinct Vote Data'!H305-$D$8))</f>
        <v>0.1614092469</v>
      </c>
      <c r="J88" s="14" t="str">
        <f>IF(AND(H88=4,I88=MIN(K13:K420)),"&lt;&lt; MAGIC PRECINCT","")</f>
        <v/>
      </c>
      <c r="K88" s="13">
        <f t="shared" si="4"/>
        <v>0.1614092469</v>
      </c>
    </row>
    <row r="89" ht="15.0" customHeight="1">
      <c r="A89" s="5" t="s">
        <v>143</v>
      </c>
      <c r="B89" s="5" t="s">
        <v>145</v>
      </c>
      <c r="C89" s="5" t="s">
        <v>109</v>
      </c>
      <c r="D89" s="5">
        <f>IF(IF('Precinct Vote Data'!H306&gt;0.5,"D","R")=$E$5,1,0)</f>
        <v>1</v>
      </c>
      <c r="E89" s="5">
        <f>IF(IF('Precinct Vote Data'!H307&gt;0.5,"D","R")=$E$6,1,0)</f>
        <v>1</v>
      </c>
      <c r="F89" s="5">
        <f>IF(IF('Precinct Vote Data'!H308&gt;0.5,"D","R")=$E$7,1,0)</f>
        <v>1</v>
      </c>
      <c r="G89" s="5">
        <f>IF(IF('Precinct Vote Data'!H309&gt;0.5,"D","R")=$E$8,1,0)</f>
        <v>1</v>
      </c>
      <c r="H89" s="5">
        <f t="shared" si="3"/>
        <v>4</v>
      </c>
      <c r="I89" s="13">
        <f>AVERAGE(ABS('Precinct Vote Data'!H306-$D$5),ABS('Precinct Vote Data'!H307-$D$6),ABS('Precinct Vote Data'!H308-$D$7),ABS('Precinct Vote Data'!H309-$D$8))</f>
        <v>0.1112843009</v>
      </c>
      <c r="J89" s="14" t="str">
        <f>IF(AND(H89=4,I89=MIN(K13:K420)),"&lt;&lt; MAGIC PRECINCT","")</f>
        <v/>
      </c>
      <c r="K89" s="13">
        <f t="shared" si="4"/>
        <v>0.1112843009</v>
      </c>
    </row>
    <row r="90" ht="15.0" customHeight="1">
      <c r="A90" s="5" t="s">
        <v>143</v>
      </c>
      <c r="B90" s="5" t="s">
        <v>145</v>
      </c>
      <c r="C90" s="5" t="s">
        <v>110</v>
      </c>
      <c r="D90" s="5">
        <f>IF(IF('Precinct Vote Data'!H310&gt;0.5,"D","R")=$E$5,1,0)</f>
        <v>1</v>
      </c>
      <c r="E90" s="5">
        <f>IF(IF('Precinct Vote Data'!H311&gt;0.5,"D","R")=$E$6,1,0)</f>
        <v>1</v>
      </c>
      <c r="F90" s="5">
        <f>IF(IF('Precinct Vote Data'!H312&gt;0.5,"D","R")=$E$7,1,0)</f>
        <v>1</v>
      </c>
      <c r="G90" s="5">
        <f>IF(IF('Precinct Vote Data'!H313&gt;0.5,"D","R")=$E$8,1,0)</f>
        <v>1</v>
      </c>
      <c r="H90" s="5">
        <f t="shared" si="3"/>
        <v>4</v>
      </c>
      <c r="I90" s="13">
        <f>AVERAGE(ABS('Precinct Vote Data'!H310-$D$5),ABS('Precinct Vote Data'!H311-$D$6),ABS('Precinct Vote Data'!H312-$D$7),ABS('Precinct Vote Data'!H313-$D$8))</f>
        <v>0.1170322078</v>
      </c>
      <c r="J90" s="14" t="str">
        <f>IF(AND(H90=4,I90=MIN(K13:K420)),"&lt;&lt; MAGIC PRECINCT","")</f>
        <v/>
      </c>
      <c r="K90" s="13">
        <f t="shared" si="4"/>
        <v>0.1170322078</v>
      </c>
    </row>
    <row r="91" ht="15.0" customHeight="1">
      <c r="A91" s="5" t="s">
        <v>143</v>
      </c>
      <c r="B91" s="5" t="s">
        <v>145</v>
      </c>
      <c r="C91" s="5" t="s">
        <v>111</v>
      </c>
      <c r="D91" s="5">
        <f>IF(IF('Precinct Vote Data'!H314&gt;0.5,"D","R")=$E$5,1,0)</f>
        <v>1</v>
      </c>
      <c r="E91" s="5">
        <f>IF(IF('Precinct Vote Data'!H315&gt;0.5,"D","R")=$E$6,1,0)</f>
        <v>1</v>
      </c>
      <c r="F91" s="5">
        <f>IF(IF('Precinct Vote Data'!H316&gt;0.5,"D","R")=$E$7,1,0)</f>
        <v>1</v>
      </c>
      <c r="G91" s="5">
        <f>IF(IF('Precinct Vote Data'!H317&gt;0.5,"D","R")=$E$8,1,0)</f>
        <v>1</v>
      </c>
      <c r="H91" s="5">
        <f t="shared" si="3"/>
        <v>4</v>
      </c>
      <c r="I91" s="13">
        <f>AVERAGE(ABS('Precinct Vote Data'!H314-$D$5),ABS('Precinct Vote Data'!H315-$D$6),ABS('Precinct Vote Data'!H316-$D$7),ABS('Precinct Vote Data'!H317-$D$8))</f>
        <v>0.2121753517</v>
      </c>
      <c r="J91" s="14" t="str">
        <f>IF(AND(H91=4,I91=MIN(K13:K420)),"&lt;&lt; MAGIC PRECINCT","")</f>
        <v/>
      </c>
      <c r="K91" s="13">
        <f t="shared" si="4"/>
        <v>0.2121753517</v>
      </c>
    </row>
    <row r="92" ht="15.0" customHeight="1">
      <c r="A92" s="5" t="s">
        <v>143</v>
      </c>
      <c r="B92" s="5" t="s">
        <v>145</v>
      </c>
      <c r="C92" s="5" t="s">
        <v>113</v>
      </c>
      <c r="D92" s="5">
        <f>IF(IF('Precinct Vote Data'!H318&gt;0.5,"D","R")=$E$5,1,0)</f>
        <v>1</v>
      </c>
      <c r="E92" s="5">
        <f>IF(IF('Precinct Vote Data'!H319&gt;0.5,"D","R")=$E$6,1,0)</f>
        <v>1</v>
      </c>
      <c r="F92" s="5">
        <f>IF(IF('Precinct Vote Data'!H320&gt;0.5,"D","R")=$E$7,1,0)</f>
        <v>1</v>
      </c>
      <c r="G92" s="5">
        <f>IF(IF('Precinct Vote Data'!H321&gt;0.5,"D","R")=$E$8,1,0)</f>
        <v>1</v>
      </c>
      <c r="H92" s="5">
        <f t="shared" si="3"/>
        <v>4</v>
      </c>
      <c r="I92" s="13">
        <f>AVERAGE(ABS('Precinct Vote Data'!H318-$D$5),ABS('Precinct Vote Data'!H319-$D$6),ABS('Precinct Vote Data'!H320-$D$7),ABS('Precinct Vote Data'!H321-$D$8))</f>
        <v>0.171235138</v>
      </c>
      <c r="J92" s="14" t="str">
        <f>IF(AND(H92=4,I92=MIN(K13:K420)),"&lt;&lt; MAGIC PRECINCT","")</f>
        <v/>
      </c>
      <c r="K92" s="13">
        <f t="shared" si="4"/>
        <v>0.171235138</v>
      </c>
    </row>
    <row r="93" ht="15.0" customHeight="1">
      <c r="A93" s="5" t="s">
        <v>143</v>
      </c>
      <c r="B93" s="5" t="s">
        <v>145</v>
      </c>
      <c r="C93" s="5" t="s">
        <v>114</v>
      </c>
      <c r="D93" s="5">
        <f>IF(IF('Precinct Vote Data'!H322&gt;0.5,"D","R")=$E$5,1,0)</f>
        <v>1</v>
      </c>
      <c r="E93" s="5">
        <f>IF(IF('Precinct Vote Data'!H323&gt;0.5,"D","R")=$E$6,1,0)</f>
        <v>1</v>
      </c>
      <c r="F93" s="5">
        <f>IF(IF('Precinct Vote Data'!H324&gt;0.5,"D","R")=$E$7,1,0)</f>
        <v>1</v>
      </c>
      <c r="G93" s="5">
        <f>IF(IF('Precinct Vote Data'!H325&gt;0.5,"D","R")=$E$8,1,0)</f>
        <v>1</v>
      </c>
      <c r="H93" s="5">
        <f t="shared" si="3"/>
        <v>4</v>
      </c>
      <c r="I93" s="13">
        <f>AVERAGE(ABS('Precinct Vote Data'!H322-$D$5),ABS('Precinct Vote Data'!H323-$D$6),ABS('Precinct Vote Data'!H324-$D$7),ABS('Precinct Vote Data'!H325-$D$8))</f>
        <v>0.1170761774</v>
      </c>
      <c r="J93" s="14" t="str">
        <f>IF(AND(H93=4,I93=MIN(K13:K420)),"&lt;&lt; MAGIC PRECINCT","")</f>
        <v/>
      </c>
      <c r="K93" s="13">
        <f t="shared" si="4"/>
        <v>0.1170761774</v>
      </c>
    </row>
    <row r="94" ht="15.0" customHeight="1">
      <c r="A94" s="5" t="s">
        <v>143</v>
      </c>
      <c r="B94" s="5" t="s">
        <v>145</v>
      </c>
      <c r="C94" s="5" t="s">
        <v>116</v>
      </c>
      <c r="D94" s="5">
        <f>IF(IF('Precinct Vote Data'!H326&gt;0.5,"D","R")=$E$5,1,0)</f>
        <v>1</v>
      </c>
      <c r="E94" s="5">
        <f>IF(IF('Precinct Vote Data'!H327&gt;0.5,"D","R")=$E$6,1,0)</f>
        <v>1</v>
      </c>
      <c r="F94" s="5">
        <f>IF(IF('Precinct Vote Data'!H328&gt;0.5,"D","R")=$E$7,1,0)</f>
        <v>1</v>
      </c>
      <c r="G94" s="5">
        <f>IF(IF('Precinct Vote Data'!H329&gt;0.5,"D","R")=$E$8,1,0)</f>
        <v>1</v>
      </c>
      <c r="H94" s="5">
        <f t="shared" si="3"/>
        <v>4</v>
      </c>
      <c r="I94" s="13">
        <f>AVERAGE(ABS('Precinct Vote Data'!H326-$D$5),ABS('Precinct Vote Data'!H327-$D$6),ABS('Precinct Vote Data'!H328-$D$7),ABS('Precinct Vote Data'!H329-$D$8))</f>
        <v>0.06843769557</v>
      </c>
      <c r="J94" s="14" t="str">
        <f>IF(AND(H94=4,I94=MIN(K13:K420)),"&lt;&lt; MAGIC PRECINCT","")</f>
        <v/>
      </c>
      <c r="K94" s="13">
        <f t="shared" si="4"/>
        <v>0.06843769557</v>
      </c>
    </row>
    <row r="95" ht="15.0" customHeight="1">
      <c r="A95" s="5" t="s">
        <v>143</v>
      </c>
      <c r="B95" s="5" t="s">
        <v>145</v>
      </c>
      <c r="C95" s="5" t="s">
        <v>118</v>
      </c>
      <c r="D95" s="5">
        <f>IF(IF('Precinct Vote Data'!H330&gt;0.5,"D","R")=$E$5,1,0)</f>
        <v>1</v>
      </c>
      <c r="E95" s="5">
        <f>IF(IF('Precinct Vote Data'!H331&gt;0.5,"D","R")=$E$6,1,0)</f>
        <v>1</v>
      </c>
      <c r="F95" s="5">
        <f>IF(IF('Precinct Vote Data'!H332&gt;0.5,"D","R")=$E$7,1,0)</f>
        <v>1</v>
      </c>
      <c r="G95" s="5">
        <f>IF(IF('Precinct Vote Data'!H333&gt;0.5,"D","R")=$E$8,1,0)</f>
        <v>1</v>
      </c>
      <c r="H95" s="5">
        <f t="shared" si="3"/>
        <v>4</v>
      </c>
      <c r="I95" s="13">
        <f>AVERAGE(ABS('Precinct Vote Data'!H330-$D$5),ABS('Precinct Vote Data'!H331-$D$6),ABS('Precinct Vote Data'!H332-$D$7),ABS('Precinct Vote Data'!H333-$D$8))</f>
        <v>0.1279584772</v>
      </c>
      <c r="J95" s="14" t="str">
        <f>IF(AND(H95=4,I95=MIN(K13:K420)),"&lt;&lt; MAGIC PRECINCT","")</f>
        <v/>
      </c>
      <c r="K95" s="13">
        <f t="shared" si="4"/>
        <v>0.1279584772</v>
      </c>
    </row>
    <row r="96" ht="15.0" customHeight="1">
      <c r="A96" s="5" t="s">
        <v>143</v>
      </c>
      <c r="B96" s="5" t="s">
        <v>145</v>
      </c>
      <c r="C96" s="5" t="s">
        <v>119</v>
      </c>
      <c r="D96" s="5">
        <f>IF(IF('Precinct Vote Data'!H334&gt;0.5,"D","R")=$E$5,1,0)</f>
        <v>1</v>
      </c>
      <c r="E96" s="5">
        <f>IF(IF('Precinct Vote Data'!H335&gt;0.5,"D","R")=$E$6,1,0)</f>
        <v>1</v>
      </c>
      <c r="F96" s="5">
        <f>IF(IF('Precinct Vote Data'!H336&gt;0.5,"D","R")=$E$7,1,0)</f>
        <v>1</v>
      </c>
      <c r="G96" s="5">
        <f>IF(IF('Precinct Vote Data'!H337&gt;0.5,"D","R")=$E$8,1,0)</f>
        <v>1</v>
      </c>
      <c r="H96" s="5">
        <f t="shared" si="3"/>
        <v>4</v>
      </c>
      <c r="I96" s="13">
        <f>AVERAGE(ABS('Precinct Vote Data'!H334-$D$5),ABS('Precinct Vote Data'!H335-$D$6),ABS('Precinct Vote Data'!H336-$D$7),ABS('Precinct Vote Data'!H337-$D$8))</f>
        <v>0.2565436595</v>
      </c>
      <c r="J96" s="14" t="str">
        <f>IF(AND(H96=4,I96=MIN(K13:K420)),"&lt;&lt; MAGIC PRECINCT","")</f>
        <v/>
      </c>
      <c r="K96" s="13">
        <f t="shared" si="4"/>
        <v>0.2565436595</v>
      </c>
    </row>
    <row r="97" ht="15.0" customHeight="1">
      <c r="A97" s="5" t="s">
        <v>143</v>
      </c>
      <c r="B97" s="5" t="s">
        <v>145</v>
      </c>
      <c r="C97" s="5" t="s">
        <v>120</v>
      </c>
      <c r="D97" s="5">
        <f>IF(IF('Precinct Vote Data'!H338&gt;0.5,"D","R")=$E$5,1,0)</f>
        <v>1</v>
      </c>
      <c r="E97" s="5">
        <f>IF(IF('Precinct Vote Data'!H339&gt;0.5,"D","R")=$E$6,1,0)</f>
        <v>1</v>
      </c>
      <c r="F97" s="5">
        <f>IF(IF('Precinct Vote Data'!H340&gt;0.5,"D","R")=$E$7,1,0)</f>
        <v>1</v>
      </c>
      <c r="G97" s="5">
        <f>IF(IF('Precinct Vote Data'!H341&gt;0.5,"D","R")=$E$8,1,0)</f>
        <v>1</v>
      </c>
      <c r="H97" s="5">
        <f t="shared" si="3"/>
        <v>4</v>
      </c>
      <c r="I97" s="13">
        <f>AVERAGE(ABS('Precinct Vote Data'!H338-$D$5),ABS('Precinct Vote Data'!H339-$D$6),ABS('Precinct Vote Data'!H340-$D$7),ABS('Precinct Vote Data'!H341-$D$8))</f>
        <v>0.1727851622</v>
      </c>
      <c r="J97" s="14" t="str">
        <f>IF(AND(H97=4,I97=MIN(K13:K420)),"&lt;&lt; MAGIC PRECINCT","")</f>
        <v/>
      </c>
      <c r="K97" s="13">
        <f t="shared" si="4"/>
        <v>0.1727851622</v>
      </c>
    </row>
    <row r="98" ht="15.0" customHeight="1">
      <c r="A98" s="5" t="s">
        <v>143</v>
      </c>
      <c r="B98" s="5" t="s">
        <v>145</v>
      </c>
      <c r="C98" s="5" t="s">
        <v>122</v>
      </c>
      <c r="D98" s="5">
        <f>IF(IF('Precinct Vote Data'!H342&gt;0.5,"D","R")=$E$5,1,0)</f>
        <v>1</v>
      </c>
      <c r="E98" s="5">
        <f>IF(IF('Precinct Vote Data'!H343&gt;0.5,"D","R")=$E$6,1,0)</f>
        <v>1</v>
      </c>
      <c r="F98" s="5">
        <f>IF(IF('Precinct Vote Data'!H344&gt;0.5,"D","R")=$E$7,1,0)</f>
        <v>1</v>
      </c>
      <c r="G98" s="5">
        <f>IF(IF('Precinct Vote Data'!H345&gt;0.5,"D","R")=$E$8,1,0)</f>
        <v>1</v>
      </c>
      <c r="H98" s="5">
        <f t="shared" si="3"/>
        <v>4</v>
      </c>
      <c r="I98" s="13">
        <f>AVERAGE(ABS('Precinct Vote Data'!H342-$D$5),ABS('Precinct Vote Data'!H343-$D$6),ABS('Precinct Vote Data'!H344-$D$7),ABS('Precinct Vote Data'!H345-$D$8))</f>
        <v>0.1753364263</v>
      </c>
      <c r="J98" s="14" t="str">
        <f>IF(AND(H98=4,I98=MIN(K13:K420)),"&lt;&lt; MAGIC PRECINCT","")</f>
        <v/>
      </c>
      <c r="K98" s="13">
        <f t="shared" si="4"/>
        <v>0.1753364263</v>
      </c>
    </row>
    <row r="99" ht="15.0" customHeight="1">
      <c r="A99" s="5" t="s">
        <v>143</v>
      </c>
      <c r="B99" s="5" t="s">
        <v>145</v>
      </c>
      <c r="C99" s="5" t="s">
        <v>124</v>
      </c>
      <c r="D99" s="5">
        <f>IF(IF('Precinct Vote Data'!H346&gt;0.5,"D","R")=$E$5,1,0)</f>
        <v>1</v>
      </c>
      <c r="E99" s="5">
        <f>IF(IF('Precinct Vote Data'!H347&gt;0.5,"D","R")=$E$6,1,0)</f>
        <v>1</v>
      </c>
      <c r="F99" s="5">
        <f>IF(IF('Precinct Vote Data'!H348&gt;0.5,"D","R")=$E$7,1,0)</f>
        <v>1</v>
      </c>
      <c r="G99" s="5">
        <f>IF(IF('Precinct Vote Data'!H349&gt;0.5,"D","R")=$E$8,1,0)</f>
        <v>1</v>
      </c>
      <c r="H99" s="5">
        <f t="shared" si="3"/>
        <v>4</v>
      </c>
      <c r="I99" s="13">
        <f>AVERAGE(ABS('Precinct Vote Data'!H346-$D$5),ABS('Precinct Vote Data'!H347-$D$6),ABS('Precinct Vote Data'!H348-$D$7),ABS('Precinct Vote Data'!H349-$D$8))</f>
        <v>0.1830091603</v>
      </c>
      <c r="J99" s="14" t="str">
        <f>IF(AND(H99=4,I99=MIN(K13:K420)),"&lt;&lt; MAGIC PRECINCT","")</f>
        <v/>
      </c>
      <c r="K99" s="13">
        <f t="shared" si="4"/>
        <v>0.1830091603</v>
      </c>
    </row>
    <row r="100" ht="15.0" customHeight="1">
      <c r="A100" s="5" t="s">
        <v>143</v>
      </c>
      <c r="B100" s="5" t="s">
        <v>145</v>
      </c>
      <c r="C100" s="5" t="s">
        <v>130</v>
      </c>
      <c r="D100" s="5">
        <f>IF(IF('Precinct Vote Data'!H350&gt;0.5,"D","R")=$E$5,1,0)</f>
        <v>1</v>
      </c>
      <c r="E100" s="5">
        <f>IF(IF('Precinct Vote Data'!H351&gt;0.5,"D","R")=$E$6,1,0)</f>
        <v>1</v>
      </c>
      <c r="F100" s="5">
        <f>IF(IF('Precinct Vote Data'!H352&gt;0.5,"D","R")=$E$7,1,0)</f>
        <v>1</v>
      </c>
      <c r="G100" s="5">
        <f>IF(IF('Precinct Vote Data'!H353&gt;0.5,"D","R")=$E$8,1,0)</f>
        <v>1</v>
      </c>
      <c r="H100" s="5">
        <f t="shared" si="3"/>
        <v>4</v>
      </c>
      <c r="I100" s="13">
        <f>AVERAGE(ABS('Precinct Vote Data'!H350-$D$5),ABS('Precinct Vote Data'!H351-$D$6),ABS('Precinct Vote Data'!H352-$D$7),ABS('Precinct Vote Data'!H353-$D$8))</f>
        <v>0.1547398441</v>
      </c>
      <c r="J100" s="14" t="str">
        <f>IF(AND(H100=4,I100=MIN(K13:K420)),"&lt;&lt; MAGIC PRECINCT","")</f>
        <v/>
      </c>
      <c r="K100" s="13">
        <f t="shared" si="4"/>
        <v>0.1547398441</v>
      </c>
    </row>
    <row r="101" ht="15.0" customHeight="1">
      <c r="A101" s="5" t="s">
        <v>143</v>
      </c>
      <c r="B101" s="5" t="s">
        <v>145</v>
      </c>
      <c r="C101" s="5" t="s">
        <v>131</v>
      </c>
      <c r="D101" s="5">
        <f>IF(IF('Precinct Vote Data'!H354&gt;0.5,"D","R")=$E$5,1,0)</f>
        <v>1</v>
      </c>
      <c r="E101" s="5">
        <f>IF(IF('Precinct Vote Data'!H355&gt;0.5,"D","R")=$E$6,1,0)</f>
        <v>1</v>
      </c>
      <c r="F101" s="5">
        <f>IF(IF('Precinct Vote Data'!H356&gt;0.5,"D","R")=$E$7,1,0)</f>
        <v>1</v>
      </c>
      <c r="G101" s="5">
        <f>IF(IF('Precinct Vote Data'!H357&gt;0.5,"D","R")=$E$8,1,0)</f>
        <v>1</v>
      </c>
      <c r="H101" s="5">
        <f t="shared" si="3"/>
        <v>4</v>
      </c>
      <c r="I101" s="13">
        <f>AVERAGE(ABS('Precinct Vote Data'!H354-$D$5),ABS('Precinct Vote Data'!H355-$D$6),ABS('Precinct Vote Data'!H356-$D$7),ABS('Precinct Vote Data'!H357-$D$8))</f>
        <v>0.196691026</v>
      </c>
      <c r="J101" s="14" t="str">
        <f>IF(AND(H101=4,I101=MIN(K13:K420)),"&lt;&lt; MAGIC PRECINCT","")</f>
        <v/>
      </c>
      <c r="K101" s="13">
        <f t="shared" si="4"/>
        <v>0.196691026</v>
      </c>
    </row>
    <row r="102" ht="15.0" customHeight="1">
      <c r="A102" s="5" t="s">
        <v>143</v>
      </c>
      <c r="B102" s="5" t="s">
        <v>145</v>
      </c>
      <c r="C102" s="5" t="s">
        <v>132</v>
      </c>
      <c r="D102" s="5">
        <f>IF(IF('Precinct Vote Data'!H358&gt;0.5,"D","R")=$E$5,1,0)</f>
        <v>1</v>
      </c>
      <c r="E102" s="5">
        <f>IF(IF('Precinct Vote Data'!H359&gt;0.5,"D","R")=$E$6,1,0)</f>
        <v>1</v>
      </c>
      <c r="F102" s="5">
        <f>IF(IF('Precinct Vote Data'!H360&gt;0.5,"D","R")=$E$7,1,0)</f>
        <v>1</v>
      </c>
      <c r="G102" s="5">
        <f>IF(IF('Precinct Vote Data'!H361&gt;0.5,"D","R")=$E$8,1,0)</f>
        <v>1</v>
      </c>
      <c r="H102" s="5">
        <f t="shared" si="3"/>
        <v>4</v>
      </c>
      <c r="I102" s="13">
        <f>AVERAGE(ABS('Precinct Vote Data'!H358-$D$5),ABS('Precinct Vote Data'!H359-$D$6),ABS('Precinct Vote Data'!H360-$D$7),ABS('Precinct Vote Data'!H361-$D$8))</f>
        <v>0.08976737166</v>
      </c>
      <c r="J102" s="14" t="str">
        <f>IF(AND(H102=4,I102=MIN(K13:K420)),"&lt;&lt; MAGIC PRECINCT","")</f>
        <v/>
      </c>
      <c r="K102" s="13">
        <f t="shared" si="4"/>
        <v>0.08976737166</v>
      </c>
    </row>
    <row r="103" ht="15.0" customHeight="1">
      <c r="A103" s="5" t="s">
        <v>143</v>
      </c>
      <c r="B103" s="5" t="s">
        <v>145</v>
      </c>
      <c r="C103" s="5" t="s">
        <v>133</v>
      </c>
      <c r="D103" s="5">
        <f>IF(IF('Precinct Vote Data'!H362&gt;0.5,"D","R")=$E$5,1,0)</f>
        <v>1</v>
      </c>
      <c r="E103" s="5">
        <f>IF(IF('Precinct Vote Data'!H363&gt;0.5,"D","R")=$E$6,1,0)</f>
        <v>1</v>
      </c>
      <c r="F103" s="5">
        <f>IF(IF('Precinct Vote Data'!H364&gt;0.5,"D","R")=$E$7,1,0)</f>
        <v>1</v>
      </c>
      <c r="G103" s="5">
        <f>IF(IF('Precinct Vote Data'!H365&gt;0.5,"D","R")=$E$8,1,0)</f>
        <v>1</v>
      </c>
      <c r="H103" s="5">
        <f t="shared" si="3"/>
        <v>4</v>
      </c>
      <c r="I103" s="13">
        <f>AVERAGE(ABS('Precinct Vote Data'!H362-$D$5),ABS('Precinct Vote Data'!H363-$D$6),ABS('Precinct Vote Data'!H364-$D$7),ABS('Precinct Vote Data'!H365-$D$8))</f>
        <v>0.1313922656</v>
      </c>
      <c r="J103" s="14" t="str">
        <f>IF(AND(H103=4,I103=MIN(K13:K420)),"&lt;&lt; MAGIC PRECINCT","")</f>
        <v/>
      </c>
      <c r="K103" s="13">
        <f t="shared" si="4"/>
        <v>0.1313922656</v>
      </c>
    </row>
    <row r="104" ht="15.0" customHeight="1">
      <c r="A104" s="5" t="s">
        <v>143</v>
      </c>
      <c r="B104" s="5" t="s">
        <v>145</v>
      </c>
      <c r="C104" s="5" t="s">
        <v>135</v>
      </c>
      <c r="D104" s="5">
        <f>IF(IF('Precinct Vote Data'!H366&gt;0.5,"D","R")=$E$5,1,0)</f>
        <v>1</v>
      </c>
      <c r="E104" s="5">
        <f>IF(IF('Precinct Vote Data'!H367&gt;0.5,"D","R")=$E$6,1,0)</f>
        <v>1</v>
      </c>
      <c r="F104" s="5">
        <f>IF(IF('Precinct Vote Data'!H368&gt;0.5,"D","R")=$E$7,1,0)</f>
        <v>1</v>
      </c>
      <c r="G104" s="5">
        <f>IF(IF('Precinct Vote Data'!H369&gt;0.5,"D","R")=$E$8,1,0)</f>
        <v>1</v>
      </c>
      <c r="H104" s="5">
        <f t="shared" si="3"/>
        <v>4</v>
      </c>
      <c r="I104" s="13">
        <f>AVERAGE(ABS('Precinct Vote Data'!H366-$D$5),ABS('Precinct Vote Data'!H367-$D$6),ABS('Precinct Vote Data'!H368-$D$7),ABS('Precinct Vote Data'!H369-$D$8))</f>
        <v>0.1265822757</v>
      </c>
      <c r="J104" s="14" t="str">
        <f>IF(AND(H104=4,I104=MIN(K13:K420)),"&lt;&lt; MAGIC PRECINCT","")</f>
        <v/>
      </c>
      <c r="K104" s="13">
        <f t="shared" si="4"/>
        <v>0.1265822757</v>
      </c>
    </row>
    <row r="105" ht="15.0" customHeight="1">
      <c r="A105" s="5" t="s">
        <v>143</v>
      </c>
      <c r="B105" s="5" t="s">
        <v>145</v>
      </c>
      <c r="C105" s="5" t="s">
        <v>136</v>
      </c>
      <c r="D105" s="5">
        <f>IF(IF('Precinct Vote Data'!H370&gt;0.5,"D","R")=$E$5,1,0)</f>
        <v>1</v>
      </c>
      <c r="E105" s="5">
        <f>IF(IF('Precinct Vote Data'!H371&gt;0.5,"D","R")=$E$6,1,0)</f>
        <v>1</v>
      </c>
      <c r="F105" s="5">
        <f>IF(IF('Precinct Vote Data'!H372&gt;0.5,"D","R")=$E$7,1,0)</f>
        <v>1</v>
      </c>
      <c r="G105" s="5">
        <f>IF(IF('Precinct Vote Data'!H373&gt;0.5,"D","R")=$E$8,1,0)</f>
        <v>1</v>
      </c>
      <c r="H105" s="5">
        <f t="shared" si="3"/>
        <v>4</v>
      </c>
      <c r="I105" s="13">
        <f>AVERAGE(ABS('Precinct Vote Data'!H370-$D$5),ABS('Precinct Vote Data'!H371-$D$6),ABS('Precinct Vote Data'!H372-$D$7),ABS('Precinct Vote Data'!H373-$D$8))</f>
        <v>0.1265631332</v>
      </c>
      <c r="J105" s="14" t="str">
        <f>IF(AND(H105=4,I105=MIN(K13:K420)),"&lt;&lt; MAGIC PRECINCT","")</f>
        <v/>
      </c>
      <c r="K105" s="13">
        <f t="shared" si="4"/>
        <v>0.1265631332</v>
      </c>
    </row>
    <row r="106" ht="15.0" customHeight="1">
      <c r="A106" s="5" t="s">
        <v>143</v>
      </c>
      <c r="B106" s="5" t="s">
        <v>145</v>
      </c>
      <c r="C106" s="5" t="s">
        <v>139</v>
      </c>
      <c r="D106" s="5">
        <f>IF(IF('Precinct Vote Data'!H374&gt;0.5,"D","R")=$E$5,1,0)</f>
        <v>1</v>
      </c>
      <c r="E106" s="5">
        <f>IF(IF('Precinct Vote Data'!H375&gt;0.5,"D","R")=$E$6,1,0)</f>
        <v>1</v>
      </c>
      <c r="F106" s="5">
        <f>IF(IF('Precinct Vote Data'!H376&gt;0.5,"D","R")=$E$7,1,0)</f>
        <v>1</v>
      </c>
      <c r="G106" s="5">
        <f>IF(IF('Precinct Vote Data'!H377&gt;0.5,"D","R")=$E$8,1,0)</f>
        <v>1</v>
      </c>
      <c r="H106" s="5">
        <f t="shared" si="3"/>
        <v>4</v>
      </c>
      <c r="I106" s="13">
        <f>AVERAGE(ABS('Precinct Vote Data'!H374-$D$5),ABS('Precinct Vote Data'!H375-$D$6),ABS('Precinct Vote Data'!H376-$D$7),ABS('Precinct Vote Data'!H377-$D$8))</f>
        <v>0.1488277243</v>
      </c>
      <c r="J106" s="14" t="str">
        <f>IF(AND(H106=4,I106=MIN(K13:K420)),"&lt;&lt; MAGIC PRECINCT","")</f>
        <v/>
      </c>
      <c r="K106" s="13">
        <f t="shared" si="4"/>
        <v>0.1488277243</v>
      </c>
    </row>
    <row r="107" ht="15.0" customHeight="1">
      <c r="A107" s="5" t="s">
        <v>143</v>
      </c>
      <c r="B107" s="5" t="s">
        <v>145</v>
      </c>
      <c r="C107" s="5" t="s">
        <v>140</v>
      </c>
      <c r="D107" s="5">
        <f>IF(IF('Precinct Vote Data'!H378&gt;0.5,"D","R")=$E$5,1,0)</f>
        <v>1</v>
      </c>
      <c r="E107" s="5">
        <f>IF(IF('Precinct Vote Data'!H379&gt;0.5,"D","R")=$E$6,1,0)</f>
        <v>1</v>
      </c>
      <c r="F107" s="5">
        <f>IF(IF('Precinct Vote Data'!H380&gt;0.5,"D","R")=$E$7,1,0)</f>
        <v>1</v>
      </c>
      <c r="G107" s="5">
        <f>IF(IF('Precinct Vote Data'!H381&gt;0.5,"D","R")=$E$8,1,0)</f>
        <v>1</v>
      </c>
      <c r="H107" s="5">
        <f t="shared" si="3"/>
        <v>4</v>
      </c>
      <c r="I107" s="13">
        <f>AVERAGE(ABS('Precinct Vote Data'!H378-$D$5),ABS('Precinct Vote Data'!H379-$D$6),ABS('Precinct Vote Data'!H380-$D$7),ABS('Precinct Vote Data'!H381-$D$8))</f>
        <v>0.1086536124</v>
      </c>
      <c r="J107" s="14" t="str">
        <f>IF(AND(H107=4,I107=MIN(K13:K420)),"&lt;&lt; MAGIC PRECINCT","")</f>
        <v/>
      </c>
      <c r="K107" s="13">
        <f t="shared" si="4"/>
        <v>0.1086536124</v>
      </c>
    </row>
    <row r="108" ht="15.0" customHeight="1">
      <c r="A108" s="5" t="s">
        <v>143</v>
      </c>
      <c r="B108" s="5" t="s">
        <v>145</v>
      </c>
      <c r="C108" s="5" t="s">
        <v>142</v>
      </c>
      <c r="D108" s="5">
        <f>IF(IF('Precinct Vote Data'!H382&gt;0.5,"D","R")=$E$5,1,0)</f>
        <v>1</v>
      </c>
      <c r="E108" s="5">
        <f>IF(IF('Precinct Vote Data'!H383&gt;0.5,"D","R")=$E$6,1,0)</f>
        <v>1</v>
      </c>
      <c r="F108" s="5">
        <f>IF(IF('Precinct Vote Data'!H384&gt;0.5,"D","R")=$E$7,1,0)</f>
        <v>1</v>
      </c>
      <c r="G108" s="5">
        <f>IF(IF('Precinct Vote Data'!H385&gt;0.5,"D","R")=$E$8,1,0)</f>
        <v>1</v>
      </c>
      <c r="H108" s="5">
        <f t="shared" si="3"/>
        <v>4</v>
      </c>
      <c r="I108" s="13">
        <f>AVERAGE(ABS('Precinct Vote Data'!H382-$D$5),ABS('Precinct Vote Data'!H383-$D$6),ABS('Precinct Vote Data'!H384-$D$7),ABS('Precinct Vote Data'!H385-$D$8))</f>
        <v>0.1624989574</v>
      </c>
      <c r="J108" s="14" t="str">
        <f>IF(AND(H108=4,I108=MIN(K13:K420)),"&lt;&lt; MAGIC PRECINCT","")</f>
        <v/>
      </c>
      <c r="K108" s="13">
        <f t="shared" si="4"/>
        <v>0.1624989574</v>
      </c>
    </row>
    <row r="109" ht="15.0" customHeight="1">
      <c r="A109" s="5" t="s">
        <v>143</v>
      </c>
      <c r="B109" s="5" t="s">
        <v>145</v>
      </c>
      <c r="C109" s="5" t="s">
        <v>148</v>
      </c>
      <c r="D109" s="5">
        <f>IF(IF('Precinct Vote Data'!H386&gt;0.5,"D","R")=$E$5,1,0)</f>
        <v>1</v>
      </c>
      <c r="E109" s="5">
        <f>IF(IF('Precinct Vote Data'!H387&gt;0.5,"D","R")=$E$6,1,0)</f>
        <v>1</v>
      </c>
      <c r="F109" s="5">
        <f>IF(IF('Precinct Vote Data'!H388&gt;0.5,"D","R")=$E$7,1,0)</f>
        <v>1</v>
      </c>
      <c r="G109" s="5">
        <f>IF(IF('Precinct Vote Data'!H389&gt;0.5,"D","R")=$E$8,1,0)</f>
        <v>1</v>
      </c>
      <c r="H109" s="5">
        <f t="shared" si="3"/>
        <v>4</v>
      </c>
      <c r="I109" s="13">
        <f>AVERAGE(ABS('Precinct Vote Data'!H386-$D$5),ABS('Precinct Vote Data'!H387-$D$6),ABS('Precinct Vote Data'!H388-$D$7),ABS('Precinct Vote Data'!H389-$D$8))</f>
        <v>0.1271528041</v>
      </c>
      <c r="J109" s="14" t="str">
        <f>IF(AND(H109=4,I109=MIN(K13:K420)),"&lt;&lt; MAGIC PRECINCT","")</f>
        <v/>
      </c>
      <c r="K109" s="13">
        <f t="shared" si="4"/>
        <v>0.1271528041</v>
      </c>
    </row>
    <row r="110" ht="15.0" customHeight="1">
      <c r="A110" s="5" t="s">
        <v>143</v>
      </c>
      <c r="B110" s="5" t="s">
        <v>145</v>
      </c>
      <c r="C110" s="5" t="s">
        <v>149</v>
      </c>
      <c r="D110" s="5">
        <f>IF(IF('Precinct Vote Data'!H390&gt;0.5,"D","R")=$E$5,1,0)</f>
        <v>1</v>
      </c>
      <c r="E110" s="5">
        <f>IF(IF('Precinct Vote Data'!H391&gt;0.5,"D","R")=$E$6,1,0)</f>
        <v>1</v>
      </c>
      <c r="F110" s="5">
        <f>IF(IF('Precinct Vote Data'!H392&gt;0.5,"D","R")=$E$7,1,0)</f>
        <v>1</v>
      </c>
      <c r="G110" s="5">
        <f>IF(IF('Precinct Vote Data'!H393&gt;0.5,"D","R")=$E$8,1,0)</f>
        <v>1</v>
      </c>
      <c r="H110" s="5">
        <f t="shared" si="3"/>
        <v>4</v>
      </c>
      <c r="I110" s="13">
        <f>AVERAGE(ABS('Precinct Vote Data'!H390-$D$5),ABS('Precinct Vote Data'!H391-$D$6),ABS('Precinct Vote Data'!H392-$D$7),ABS('Precinct Vote Data'!H393-$D$8))</f>
        <v>0.1216096497</v>
      </c>
      <c r="J110" s="14" t="str">
        <f>IF(AND(H110=4,I110=MIN(K13:K420)),"&lt;&lt; MAGIC PRECINCT","")</f>
        <v/>
      </c>
      <c r="K110" s="13">
        <f t="shared" si="4"/>
        <v>0.1216096497</v>
      </c>
    </row>
    <row r="111" ht="15.0" customHeight="1">
      <c r="A111" s="5" t="s">
        <v>143</v>
      </c>
      <c r="B111" s="5" t="s">
        <v>145</v>
      </c>
      <c r="C111" s="5" t="s">
        <v>150</v>
      </c>
      <c r="D111" s="5">
        <f>IF(IF('Precinct Vote Data'!H394&gt;0.5,"D","R")=$E$5,1,0)</f>
        <v>1</v>
      </c>
      <c r="E111" s="5">
        <f>IF(IF('Precinct Vote Data'!H395&gt;0.5,"D","R")=$E$6,1,0)</f>
        <v>1</v>
      </c>
      <c r="F111" s="5">
        <f>IF(IF('Precinct Vote Data'!H396&gt;0.5,"D","R")=$E$7,1,0)</f>
        <v>1</v>
      </c>
      <c r="G111" s="5">
        <f>IF(IF('Precinct Vote Data'!H397&gt;0.5,"D","R")=$E$8,1,0)</f>
        <v>1</v>
      </c>
      <c r="H111" s="5">
        <f t="shared" si="3"/>
        <v>4</v>
      </c>
      <c r="I111" s="13">
        <f>AVERAGE(ABS('Precinct Vote Data'!H394-$D$5),ABS('Precinct Vote Data'!H395-$D$6),ABS('Precinct Vote Data'!H396-$D$7),ABS('Precinct Vote Data'!H397-$D$8))</f>
        <v>0.1722186063</v>
      </c>
      <c r="J111" s="14" t="str">
        <f>IF(AND(H111=4,I111=MIN(K13:K420)),"&lt;&lt; MAGIC PRECINCT","")</f>
        <v/>
      </c>
      <c r="K111" s="13">
        <f t="shared" si="4"/>
        <v>0.1722186063</v>
      </c>
    </row>
    <row r="112" ht="15.0" customHeight="1">
      <c r="A112" s="5" t="s">
        <v>143</v>
      </c>
      <c r="B112" s="5" t="s">
        <v>145</v>
      </c>
      <c r="C112" s="5" t="s">
        <v>151</v>
      </c>
      <c r="D112" s="5">
        <f>IF(IF('Precinct Vote Data'!H398&gt;0.5,"D","R")=$E$5,1,0)</f>
        <v>1</v>
      </c>
      <c r="E112" s="5">
        <f>IF(IF('Precinct Vote Data'!H399&gt;0.5,"D","R")=$E$6,1,0)</f>
        <v>1</v>
      </c>
      <c r="F112" s="5">
        <f>IF(IF('Precinct Vote Data'!H400&gt;0.5,"D","R")=$E$7,1,0)</f>
        <v>1</v>
      </c>
      <c r="G112" s="5">
        <f>IF(IF('Precinct Vote Data'!H401&gt;0.5,"D","R")=$E$8,1,0)</f>
        <v>1</v>
      </c>
      <c r="H112" s="5">
        <f t="shared" si="3"/>
        <v>4</v>
      </c>
      <c r="I112" s="13">
        <f>AVERAGE(ABS('Precinct Vote Data'!H398-$D$5),ABS('Precinct Vote Data'!H399-$D$6),ABS('Precinct Vote Data'!H400-$D$7),ABS('Precinct Vote Data'!H401-$D$8))</f>
        <v>0.09271118389</v>
      </c>
      <c r="J112" s="14" t="str">
        <f>IF(AND(H112=4,I112=MIN(K13:K420)),"&lt;&lt; MAGIC PRECINCT","")</f>
        <v/>
      </c>
      <c r="K112" s="13">
        <f t="shared" si="4"/>
        <v>0.09271118389</v>
      </c>
    </row>
    <row r="113" ht="15.0" customHeight="1">
      <c r="A113" s="5" t="s">
        <v>143</v>
      </c>
      <c r="B113" s="5" t="s">
        <v>145</v>
      </c>
      <c r="C113" s="5" t="s">
        <v>152</v>
      </c>
      <c r="D113" s="5">
        <f>IF(IF('Precinct Vote Data'!H402&gt;0.5,"D","R")=$E$5,1,0)</f>
        <v>1</v>
      </c>
      <c r="E113" s="5">
        <f>IF(IF('Precinct Vote Data'!H403&gt;0.5,"D","R")=$E$6,1,0)</f>
        <v>1</v>
      </c>
      <c r="F113" s="5">
        <f>IF(IF('Precinct Vote Data'!H404&gt;0.5,"D","R")=$E$7,1,0)</f>
        <v>1</v>
      </c>
      <c r="G113" s="5">
        <f>IF(IF('Precinct Vote Data'!H405&gt;0.5,"D","R")=$E$8,1,0)</f>
        <v>1</v>
      </c>
      <c r="H113" s="5">
        <f t="shared" si="3"/>
        <v>4</v>
      </c>
      <c r="I113" s="13">
        <f>AVERAGE(ABS('Precinct Vote Data'!H402-$D$5),ABS('Precinct Vote Data'!H403-$D$6),ABS('Precinct Vote Data'!H404-$D$7),ABS('Precinct Vote Data'!H405-$D$8))</f>
        <v>0.1830326725</v>
      </c>
      <c r="J113" s="14" t="str">
        <f>IF(AND(H113=4,I113=MIN(K13:K420)),"&lt;&lt; MAGIC PRECINCT","")</f>
        <v/>
      </c>
      <c r="K113" s="13">
        <f t="shared" si="4"/>
        <v>0.1830326725</v>
      </c>
    </row>
    <row r="114" ht="15.0" customHeight="1">
      <c r="A114" s="5" t="s">
        <v>143</v>
      </c>
      <c r="B114" s="5" t="s">
        <v>145</v>
      </c>
      <c r="C114" s="5" t="s">
        <v>153</v>
      </c>
      <c r="D114" s="5">
        <f>IF(IF('Precinct Vote Data'!H406&gt;0.5,"D","R")=$E$5,1,0)</f>
        <v>1</v>
      </c>
      <c r="E114" s="5">
        <f>IF(IF('Precinct Vote Data'!H407&gt;0.5,"D","R")=$E$6,1,0)</f>
        <v>1</v>
      </c>
      <c r="F114" s="5">
        <f>IF(IF('Precinct Vote Data'!H408&gt;0.5,"D","R")=$E$7,1,0)</f>
        <v>1</v>
      </c>
      <c r="G114" s="5">
        <f>IF(IF('Precinct Vote Data'!H409&gt;0.5,"D","R")=$E$8,1,0)</f>
        <v>1</v>
      </c>
      <c r="H114" s="5">
        <f t="shared" si="3"/>
        <v>4</v>
      </c>
      <c r="I114" s="13">
        <f>AVERAGE(ABS('Precinct Vote Data'!H406-$D$5),ABS('Precinct Vote Data'!H407-$D$6),ABS('Precinct Vote Data'!H408-$D$7),ABS('Precinct Vote Data'!H409-$D$8))</f>
        <v>0.08466256715</v>
      </c>
      <c r="J114" s="14" t="str">
        <f>IF(AND(H114=4,I114=MIN(K13:K420)),"&lt;&lt; MAGIC PRECINCT","")</f>
        <v/>
      </c>
      <c r="K114" s="13">
        <f t="shared" si="4"/>
        <v>0.08466256715</v>
      </c>
    </row>
    <row r="115" ht="15.0" customHeight="1">
      <c r="A115" s="5" t="s">
        <v>143</v>
      </c>
      <c r="B115" s="5" t="s">
        <v>145</v>
      </c>
      <c r="C115" s="5" t="s">
        <v>154</v>
      </c>
      <c r="D115" s="5">
        <f>IF(IF('Precinct Vote Data'!H410&gt;0.5,"D","R")=$E$5,1,0)</f>
        <v>1</v>
      </c>
      <c r="E115" s="5">
        <f>IF(IF('Precinct Vote Data'!H411&gt;0.5,"D","R")=$E$6,1,0)</f>
        <v>1</v>
      </c>
      <c r="F115" s="5">
        <f>IF(IF('Precinct Vote Data'!H412&gt;0.5,"D","R")=$E$7,1,0)</f>
        <v>1</v>
      </c>
      <c r="G115" s="5">
        <f>IF(IF('Precinct Vote Data'!H413&gt;0.5,"D","R")=$E$8,1,0)</f>
        <v>1</v>
      </c>
      <c r="H115" s="5">
        <f t="shared" si="3"/>
        <v>4</v>
      </c>
      <c r="I115" s="13">
        <f>AVERAGE(ABS('Precinct Vote Data'!H410-$D$5),ABS('Precinct Vote Data'!H411-$D$6),ABS('Precinct Vote Data'!H412-$D$7),ABS('Precinct Vote Data'!H413-$D$8))</f>
        <v>0.165210723</v>
      </c>
      <c r="J115" s="14" t="str">
        <f>IF(AND(H115=4,I115=MIN(K13:K420)),"&lt;&lt; MAGIC PRECINCT","")</f>
        <v/>
      </c>
      <c r="K115" s="13">
        <f t="shared" si="4"/>
        <v>0.165210723</v>
      </c>
    </row>
    <row r="116" ht="15.0" customHeight="1">
      <c r="A116" s="5" t="s">
        <v>143</v>
      </c>
      <c r="B116" s="5" t="s">
        <v>145</v>
      </c>
      <c r="C116" s="5" t="s">
        <v>155</v>
      </c>
      <c r="D116" s="5">
        <f>IF(IF('Precinct Vote Data'!H414&gt;0.5,"D","R")=$E$5,1,0)</f>
        <v>1</v>
      </c>
      <c r="E116" s="5">
        <f>IF(IF('Precinct Vote Data'!H415&gt;0.5,"D","R")=$E$6,1,0)</f>
        <v>1</v>
      </c>
      <c r="F116" s="5">
        <f>IF(IF('Precinct Vote Data'!H416&gt;0.5,"D","R")=$E$7,1,0)</f>
        <v>1</v>
      </c>
      <c r="G116" s="5">
        <f>IF(IF('Precinct Vote Data'!H417&gt;0.5,"D","R")=$E$8,1,0)</f>
        <v>1</v>
      </c>
      <c r="H116" s="5">
        <f t="shared" si="3"/>
        <v>4</v>
      </c>
      <c r="I116" s="13">
        <f>AVERAGE(ABS('Precinct Vote Data'!H414-$D$5),ABS('Precinct Vote Data'!H415-$D$6),ABS('Precinct Vote Data'!H416-$D$7),ABS('Precinct Vote Data'!H417-$D$8))</f>
        <v>0.07266701459</v>
      </c>
      <c r="J116" s="14" t="str">
        <f>IF(AND(H116=4,I116=MIN(K13:K420)),"&lt;&lt; MAGIC PRECINCT","")</f>
        <v/>
      </c>
      <c r="K116" s="13">
        <f t="shared" si="4"/>
        <v>0.07266701459</v>
      </c>
    </row>
    <row r="117" ht="15.0" customHeight="1">
      <c r="A117" s="5" t="s">
        <v>143</v>
      </c>
      <c r="B117" s="5" t="s">
        <v>145</v>
      </c>
      <c r="C117" s="5" t="s">
        <v>156</v>
      </c>
      <c r="D117" s="5">
        <f>IF(IF('Precinct Vote Data'!H418&gt;0.5,"D","R")=$E$5,1,0)</f>
        <v>1</v>
      </c>
      <c r="E117" s="5">
        <f>IF(IF('Precinct Vote Data'!H419&gt;0.5,"D","R")=$E$6,1,0)</f>
        <v>1</v>
      </c>
      <c r="F117" s="5">
        <f>IF(IF('Precinct Vote Data'!H420&gt;0.5,"D","R")=$E$7,1,0)</f>
        <v>1</v>
      </c>
      <c r="G117" s="5">
        <f>IF(IF('Precinct Vote Data'!H421&gt;0.5,"D","R")=$E$8,1,0)</f>
        <v>1</v>
      </c>
      <c r="H117" s="5">
        <f t="shared" si="3"/>
        <v>4</v>
      </c>
      <c r="I117" s="13">
        <f>AVERAGE(ABS('Precinct Vote Data'!H418-$D$5),ABS('Precinct Vote Data'!H419-$D$6),ABS('Precinct Vote Data'!H420-$D$7),ABS('Precinct Vote Data'!H421-$D$8))</f>
        <v>0.1476049247</v>
      </c>
      <c r="J117" s="14" t="str">
        <f>IF(AND(H117=4,I117=MIN(K13:K420)),"&lt;&lt; MAGIC PRECINCT","")</f>
        <v/>
      </c>
      <c r="K117" s="13">
        <f t="shared" si="4"/>
        <v>0.1476049247</v>
      </c>
    </row>
    <row r="118" ht="15.0" customHeight="1">
      <c r="A118" s="5" t="s">
        <v>143</v>
      </c>
      <c r="B118" s="5" t="s">
        <v>157</v>
      </c>
      <c r="C118" s="5" t="s">
        <v>158</v>
      </c>
      <c r="D118" s="5">
        <f>IF(IF('Precinct Vote Data'!H422&gt;0.5,"D","R")=$E$5,1,0)</f>
        <v>1</v>
      </c>
      <c r="E118" s="5">
        <f>IF(IF('Precinct Vote Data'!H423&gt;0.5,"D","R")=$E$6,1,0)</f>
        <v>1</v>
      </c>
      <c r="F118" s="5">
        <f>IF(IF('Precinct Vote Data'!H424&gt;0.5,"D","R")=$E$7,1,0)</f>
        <v>1</v>
      </c>
      <c r="G118" s="5">
        <f>IF(IF('Precinct Vote Data'!H425&gt;0.5,"D","R")=$E$8,1,0)</f>
        <v>1</v>
      </c>
      <c r="H118" s="5">
        <f t="shared" si="3"/>
        <v>4</v>
      </c>
      <c r="I118" s="13">
        <f>AVERAGE(ABS('Precinct Vote Data'!H422-$D$5),ABS('Precinct Vote Data'!H423-$D$6),ABS('Precinct Vote Data'!H424-$D$7),ABS('Precinct Vote Data'!H425-$D$8))</f>
        <v>0.2146759702</v>
      </c>
      <c r="J118" s="14" t="str">
        <f>IF(AND(H118=4,I118=MIN(K13:K420)),"&lt;&lt; MAGIC PRECINCT","")</f>
        <v/>
      </c>
      <c r="K118" s="13">
        <f t="shared" si="4"/>
        <v>0.2146759702</v>
      </c>
    </row>
    <row r="119" ht="15.0" customHeight="1">
      <c r="A119" s="5" t="s">
        <v>143</v>
      </c>
      <c r="B119" s="5" t="s">
        <v>157</v>
      </c>
      <c r="C119" s="5" t="s">
        <v>159</v>
      </c>
      <c r="D119" s="5">
        <f>IF(IF('Precinct Vote Data'!H426&gt;0.5,"D","R")=$E$5,1,0)</f>
        <v>1</v>
      </c>
      <c r="E119" s="5">
        <f>IF(IF('Precinct Vote Data'!H427&gt;0.5,"D","R")=$E$6,1,0)</f>
        <v>1</v>
      </c>
      <c r="F119" s="5">
        <f>IF(IF('Precinct Vote Data'!H428&gt;0.5,"D","R")=$E$7,1,0)</f>
        <v>1</v>
      </c>
      <c r="G119" s="5">
        <f>IF(IF('Precinct Vote Data'!H429&gt;0.5,"D","R")=$E$8,1,0)</f>
        <v>1</v>
      </c>
      <c r="H119" s="5">
        <f t="shared" si="3"/>
        <v>4</v>
      </c>
      <c r="I119" s="13">
        <f>AVERAGE(ABS('Precinct Vote Data'!H426-$D$5),ABS('Precinct Vote Data'!H427-$D$6),ABS('Precinct Vote Data'!H428-$D$7),ABS('Precinct Vote Data'!H429-$D$8))</f>
        <v>0.1775118644</v>
      </c>
      <c r="J119" s="14" t="str">
        <f>IF(AND(H119=4,I119=MIN(K13:K420)),"&lt;&lt; MAGIC PRECINCT","")</f>
        <v/>
      </c>
      <c r="K119" s="13">
        <f t="shared" si="4"/>
        <v>0.1775118644</v>
      </c>
    </row>
    <row r="120" ht="15.0" customHeight="1">
      <c r="A120" s="5" t="s">
        <v>143</v>
      </c>
      <c r="B120" s="5" t="s">
        <v>157</v>
      </c>
      <c r="C120" s="5" t="s">
        <v>160</v>
      </c>
      <c r="D120" s="5">
        <f>IF(IF('Precinct Vote Data'!H430&gt;0.5,"D","R")=$E$5,1,0)</f>
        <v>1</v>
      </c>
      <c r="E120" s="5">
        <f>IF(IF('Precinct Vote Data'!H431&gt;0.5,"D","R")=$E$6,1,0)</f>
        <v>1</v>
      </c>
      <c r="F120" s="5">
        <f>IF(IF('Precinct Vote Data'!H432&gt;0.5,"D","R")=$E$7,1,0)</f>
        <v>1</v>
      </c>
      <c r="G120" s="5">
        <f>IF(IF('Precinct Vote Data'!H433&gt;0.5,"D","R")=$E$8,1,0)</f>
        <v>1</v>
      </c>
      <c r="H120" s="5">
        <f t="shared" si="3"/>
        <v>4</v>
      </c>
      <c r="I120" s="13">
        <f>AVERAGE(ABS('Precinct Vote Data'!H430-$D$5),ABS('Precinct Vote Data'!H431-$D$6),ABS('Precinct Vote Data'!H432-$D$7),ABS('Precinct Vote Data'!H433-$D$8))</f>
        <v>0.2122626059</v>
      </c>
      <c r="J120" s="14" t="str">
        <f>IF(AND(H120=4,I120=MIN(K13:K420)),"&lt;&lt; MAGIC PRECINCT","")</f>
        <v/>
      </c>
      <c r="K120" s="13">
        <f t="shared" si="4"/>
        <v>0.2122626059</v>
      </c>
    </row>
    <row r="121" ht="15.0" customHeight="1">
      <c r="A121" s="5" t="s">
        <v>143</v>
      </c>
      <c r="B121" s="5" t="s">
        <v>157</v>
      </c>
      <c r="C121" s="5" t="s">
        <v>161</v>
      </c>
      <c r="D121" s="5">
        <f>IF(IF('Precinct Vote Data'!H434&gt;0.5,"D","R")=$E$5,1,0)</f>
        <v>1</v>
      </c>
      <c r="E121" s="5">
        <f>IF(IF('Precinct Vote Data'!H435&gt;0.5,"D","R")=$E$6,1,0)</f>
        <v>1</v>
      </c>
      <c r="F121" s="5">
        <f>IF(IF('Precinct Vote Data'!H436&gt;0.5,"D","R")=$E$7,1,0)</f>
        <v>1</v>
      </c>
      <c r="G121" s="5">
        <f>IF(IF('Precinct Vote Data'!H437&gt;0.5,"D","R")=$E$8,1,0)</f>
        <v>1</v>
      </c>
      <c r="H121" s="5">
        <f t="shared" si="3"/>
        <v>4</v>
      </c>
      <c r="I121" s="13">
        <f>AVERAGE(ABS('Precinct Vote Data'!H434-$D$5),ABS('Precinct Vote Data'!H435-$D$6),ABS('Precinct Vote Data'!H436-$D$7),ABS('Precinct Vote Data'!H437-$D$8))</f>
        <v>0.1869047874</v>
      </c>
      <c r="J121" s="14" t="str">
        <f>IF(AND(H121=4,I121=MIN(K13:K420)),"&lt;&lt; MAGIC PRECINCT","")</f>
        <v/>
      </c>
      <c r="K121" s="13">
        <f t="shared" si="4"/>
        <v>0.1869047874</v>
      </c>
    </row>
    <row r="122" ht="15.0" customHeight="1">
      <c r="A122" s="5" t="s">
        <v>143</v>
      </c>
      <c r="B122" s="5" t="s">
        <v>157</v>
      </c>
      <c r="C122" s="5" t="s">
        <v>162</v>
      </c>
      <c r="D122" s="5">
        <f>IF(IF('Precinct Vote Data'!H438&gt;0.5,"D","R")=$E$5,1,0)</f>
        <v>1</v>
      </c>
      <c r="E122" s="5">
        <f>IF(IF('Precinct Vote Data'!H439&gt;0.5,"D","R")=$E$6,1,0)</f>
        <v>1</v>
      </c>
      <c r="F122" s="5">
        <f>IF(IF('Precinct Vote Data'!H440&gt;0.5,"D","R")=$E$7,1,0)</f>
        <v>1</v>
      </c>
      <c r="G122" s="5">
        <f>IF(IF('Precinct Vote Data'!H441&gt;0.5,"D","R")=$E$8,1,0)</f>
        <v>1</v>
      </c>
      <c r="H122" s="5">
        <f t="shared" si="3"/>
        <v>4</v>
      </c>
      <c r="I122" s="13">
        <f>AVERAGE(ABS('Precinct Vote Data'!H438-$D$5),ABS('Precinct Vote Data'!H439-$D$6),ABS('Precinct Vote Data'!H440-$D$7),ABS('Precinct Vote Data'!H441-$D$8))</f>
        <v>0.150913031</v>
      </c>
      <c r="J122" s="14" t="str">
        <f>IF(AND(H122=4,I122=MIN(K13:K420)),"&lt;&lt; MAGIC PRECINCT","")</f>
        <v/>
      </c>
      <c r="K122" s="13">
        <f t="shared" si="4"/>
        <v>0.150913031</v>
      </c>
    </row>
    <row r="123" ht="15.0" customHeight="1">
      <c r="A123" s="5" t="s">
        <v>143</v>
      </c>
      <c r="B123" s="5" t="s">
        <v>157</v>
      </c>
      <c r="C123" s="5" t="s">
        <v>163</v>
      </c>
      <c r="D123" s="5">
        <f>IF(IF('Precinct Vote Data'!H442&gt;0.5,"D","R")=$E$5,1,0)</f>
        <v>1</v>
      </c>
      <c r="E123" s="5">
        <f>IF(IF('Precinct Vote Data'!H443&gt;0.5,"D","R")=$E$6,1,0)</f>
        <v>1</v>
      </c>
      <c r="F123" s="5">
        <f>IF(IF('Precinct Vote Data'!H444&gt;0.5,"D","R")=$E$7,1,0)</f>
        <v>1</v>
      </c>
      <c r="G123" s="5">
        <f>IF(IF('Precinct Vote Data'!H445&gt;0.5,"D","R")=$E$8,1,0)</f>
        <v>1</v>
      </c>
      <c r="H123" s="5">
        <f t="shared" si="3"/>
        <v>4</v>
      </c>
      <c r="I123" s="13">
        <f>AVERAGE(ABS('Precinct Vote Data'!H442-$D$5),ABS('Precinct Vote Data'!H443-$D$6),ABS('Precinct Vote Data'!H444-$D$7),ABS('Precinct Vote Data'!H445-$D$8))</f>
        <v>0.1181690059</v>
      </c>
      <c r="J123" s="14" t="str">
        <f>IF(AND(H123=4,I123=MIN(K13:K420)),"&lt;&lt; MAGIC PRECINCT","")</f>
        <v/>
      </c>
      <c r="K123" s="13">
        <f t="shared" si="4"/>
        <v>0.1181690059</v>
      </c>
    </row>
    <row r="124" ht="15.0" customHeight="1">
      <c r="A124" s="5" t="s">
        <v>143</v>
      </c>
      <c r="B124" s="5" t="s">
        <v>157</v>
      </c>
      <c r="C124" s="5" t="s">
        <v>164</v>
      </c>
      <c r="D124" s="5">
        <f>IF(IF('Precinct Vote Data'!H446&gt;0.5,"D","R")=$E$5,1,0)</f>
        <v>1</v>
      </c>
      <c r="E124" s="5">
        <f>IF(IF('Precinct Vote Data'!H447&gt;0.5,"D","R")=$E$6,1,0)</f>
        <v>1</v>
      </c>
      <c r="F124" s="5">
        <f>IF(IF('Precinct Vote Data'!H448&gt;0.5,"D","R")=$E$7,1,0)</f>
        <v>1</v>
      </c>
      <c r="G124" s="5">
        <f>IF(IF('Precinct Vote Data'!H449&gt;0.5,"D","R")=$E$8,1,0)</f>
        <v>1</v>
      </c>
      <c r="H124" s="5">
        <f t="shared" si="3"/>
        <v>4</v>
      </c>
      <c r="I124" s="13">
        <f>AVERAGE(ABS('Precinct Vote Data'!H446-$D$5),ABS('Precinct Vote Data'!H447-$D$6),ABS('Precinct Vote Data'!H448-$D$7),ABS('Precinct Vote Data'!H449-$D$8))</f>
        <v>0.08342459814</v>
      </c>
      <c r="J124" s="14" t="str">
        <f>IF(AND(H124=4,I124=MIN(K13:K420)),"&lt;&lt; MAGIC PRECINCT","")</f>
        <v/>
      </c>
      <c r="K124" s="13">
        <f t="shared" si="4"/>
        <v>0.08342459814</v>
      </c>
    </row>
    <row r="125" ht="15.0" customHeight="1">
      <c r="A125" s="5" t="s">
        <v>143</v>
      </c>
      <c r="B125" s="5" t="s">
        <v>157</v>
      </c>
      <c r="C125" s="5" t="s">
        <v>165</v>
      </c>
      <c r="D125" s="5">
        <f>IF(IF('Precinct Vote Data'!H450&gt;0.5,"D","R")=$E$5,1,0)</f>
        <v>1</v>
      </c>
      <c r="E125" s="5">
        <f>IF(IF('Precinct Vote Data'!H451&gt;0.5,"D","R")=$E$6,1,0)</f>
        <v>1</v>
      </c>
      <c r="F125" s="5">
        <f>IF(IF('Precinct Vote Data'!H452&gt;0.5,"D","R")=$E$7,1,0)</f>
        <v>1</v>
      </c>
      <c r="G125" s="5">
        <f>IF(IF('Precinct Vote Data'!H453&gt;0.5,"D","R")=$E$8,1,0)</f>
        <v>1</v>
      </c>
      <c r="H125" s="5">
        <f t="shared" si="3"/>
        <v>4</v>
      </c>
      <c r="I125" s="13">
        <f>AVERAGE(ABS('Precinct Vote Data'!H450-$D$5),ABS('Precinct Vote Data'!H451-$D$6),ABS('Precinct Vote Data'!H452-$D$7),ABS('Precinct Vote Data'!H453-$D$8))</f>
        <v>0.09627233992</v>
      </c>
      <c r="J125" s="14" t="str">
        <f>IF(AND(H125=4,I125=MIN(K13:K420)),"&lt;&lt; MAGIC PRECINCT","")</f>
        <v/>
      </c>
      <c r="K125" s="13">
        <f t="shared" si="4"/>
        <v>0.09627233992</v>
      </c>
    </row>
    <row r="126" ht="15.0" customHeight="1">
      <c r="A126" s="5" t="s">
        <v>143</v>
      </c>
      <c r="B126" s="5" t="s">
        <v>157</v>
      </c>
      <c r="C126" s="5" t="s">
        <v>166</v>
      </c>
      <c r="D126" s="5">
        <f>IF(IF('Precinct Vote Data'!H454&gt;0.5,"D","R")=$E$5,1,0)</f>
        <v>1</v>
      </c>
      <c r="E126" s="5">
        <f>IF(IF('Precinct Vote Data'!H455&gt;0.5,"D","R")=$E$6,1,0)</f>
        <v>1</v>
      </c>
      <c r="F126" s="5">
        <f>IF(IF('Precinct Vote Data'!H456&gt;0.5,"D","R")=$E$7,1,0)</f>
        <v>1</v>
      </c>
      <c r="G126" s="5">
        <f>IF(IF('Precinct Vote Data'!H457&gt;0.5,"D","R")=$E$8,1,0)</f>
        <v>1</v>
      </c>
      <c r="H126" s="5">
        <f t="shared" si="3"/>
        <v>4</v>
      </c>
      <c r="I126" s="13">
        <f>AVERAGE(ABS('Precinct Vote Data'!H454-$D$5),ABS('Precinct Vote Data'!H455-$D$6),ABS('Precinct Vote Data'!H456-$D$7),ABS('Precinct Vote Data'!H457-$D$8))</f>
        <v>0.1249207642</v>
      </c>
      <c r="J126" s="14" t="str">
        <f>IF(AND(H126=4,I126=MIN(K13:K420)),"&lt;&lt; MAGIC PRECINCT","")</f>
        <v/>
      </c>
      <c r="K126" s="13">
        <f t="shared" si="4"/>
        <v>0.1249207642</v>
      </c>
    </row>
    <row r="127" ht="15.0" customHeight="1">
      <c r="A127" s="5" t="s">
        <v>143</v>
      </c>
      <c r="B127" s="5" t="s">
        <v>157</v>
      </c>
      <c r="C127" s="5" t="s">
        <v>167</v>
      </c>
      <c r="D127" s="5">
        <f>IF(IF('Precinct Vote Data'!H458&gt;0.5,"D","R")=$E$5,1,0)</f>
        <v>1</v>
      </c>
      <c r="E127" s="5">
        <f>IF(IF('Precinct Vote Data'!H459&gt;0.5,"D","R")=$E$6,1,0)</f>
        <v>1</v>
      </c>
      <c r="F127" s="5">
        <f>IF(IF('Precinct Vote Data'!H460&gt;0.5,"D","R")=$E$7,1,0)</f>
        <v>1</v>
      </c>
      <c r="G127" s="5">
        <f>IF(IF('Precinct Vote Data'!H461&gt;0.5,"D","R")=$E$8,1,0)</f>
        <v>1</v>
      </c>
      <c r="H127" s="5">
        <f t="shared" si="3"/>
        <v>4</v>
      </c>
      <c r="I127" s="13">
        <f>AVERAGE(ABS('Precinct Vote Data'!H458-$D$5),ABS('Precinct Vote Data'!H459-$D$6),ABS('Precinct Vote Data'!H460-$D$7),ABS('Precinct Vote Data'!H461-$D$8))</f>
        <v>0.05272839822</v>
      </c>
      <c r="J127" s="14" t="str">
        <f>IF(AND(H127=4,I127=MIN(K13:K420)),"&lt;&lt; MAGIC PRECINCT","")</f>
        <v/>
      </c>
      <c r="K127" s="13">
        <f t="shared" si="4"/>
        <v>0.05272839822</v>
      </c>
    </row>
    <row r="128" ht="15.0" customHeight="1">
      <c r="A128" s="5" t="s">
        <v>143</v>
      </c>
      <c r="B128" s="5" t="s">
        <v>157</v>
      </c>
      <c r="C128" s="5" t="s">
        <v>168</v>
      </c>
      <c r="D128" s="5">
        <f>IF(IF('Precinct Vote Data'!H462&gt;0.5,"D","R")=$E$5,1,0)</f>
        <v>1</v>
      </c>
      <c r="E128" s="5">
        <f>IF(IF('Precinct Vote Data'!H463&gt;0.5,"D","R")=$E$6,1,0)</f>
        <v>1</v>
      </c>
      <c r="F128" s="5">
        <f>IF(IF('Precinct Vote Data'!H464&gt;0.5,"D","R")=$E$7,1,0)</f>
        <v>1</v>
      </c>
      <c r="G128" s="5">
        <f>IF(IF('Precinct Vote Data'!H465&gt;0.5,"D","R")=$E$8,1,0)</f>
        <v>1</v>
      </c>
      <c r="H128" s="5">
        <f t="shared" si="3"/>
        <v>4</v>
      </c>
      <c r="I128" s="13">
        <f>AVERAGE(ABS('Precinct Vote Data'!H462-$D$5),ABS('Precinct Vote Data'!H463-$D$6),ABS('Precinct Vote Data'!H464-$D$7),ABS('Precinct Vote Data'!H465-$D$8))</f>
        <v>0.1289201133</v>
      </c>
      <c r="J128" s="14" t="str">
        <f>IF(AND(H128=4,I128=MIN(K13:K420)),"&lt;&lt; MAGIC PRECINCT","")</f>
        <v/>
      </c>
      <c r="K128" s="13">
        <f t="shared" si="4"/>
        <v>0.1289201133</v>
      </c>
    </row>
    <row r="129" ht="15.0" customHeight="1">
      <c r="A129" s="5" t="s">
        <v>143</v>
      </c>
      <c r="B129" s="5" t="s">
        <v>157</v>
      </c>
      <c r="C129" s="5" t="s">
        <v>169</v>
      </c>
      <c r="D129" s="5">
        <f>IF(IF('Precinct Vote Data'!H466&gt;0.5,"D","R")=$E$5,1,0)</f>
        <v>1</v>
      </c>
      <c r="E129" s="5">
        <f>IF(IF('Precinct Vote Data'!H467&gt;0.5,"D","R")=$E$6,1,0)</f>
        <v>1</v>
      </c>
      <c r="F129" s="5">
        <f>IF(IF('Precinct Vote Data'!H468&gt;0.5,"D","R")=$E$7,1,0)</f>
        <v>1</v>
      </c>
      <c r="G129" s="5">
        <f>IF(IF('Precinct Vote Data'!H469&gt;0.5,"D","R")=$E$8,1,0)</f>
        <v>1</v>
      </c>
      <c r="H129" s="5">
        <f t="shared" si="3"/>
        <v>4</v>
      </c>
      <c r="I129" s="13">
        <f>AVERAGE(ABS('Precinct Vote Data'!H466-$D$5),ABS('Precinct Vote Data'!H467-$D$6),ABS('Precinct Vote Data'!H468-$D$7),ABS('Precinct Vote Data'!H469-$D$8))</f>
        <v>0.08627918012</v>
      </c>
      <c r="J129" s="14" t="str">
        <f>IF(AND(H129=4,I129=MIN(K13:K420)),"&lt;&lt; MAGIC PRECINCT","")</f>
        <v/>
      </c>
      <c r="K129" s="13">
        <f t="shared" si="4"/>
        <v>0.08627918012</v>
      </c>
    </row>
    <row r="130" ht="15.0" customHeight="1">
      <c r="A130" s="5" t="s">
        <v>143</v>
      </c>
      <c r="B130" s="5" t="s">
        <v>170</v>
      </c>
      <c r="C130" s="5" t="s">
        <v>171</v>
      </c>
      <c r="D130" s="5">
        <f>IF(IF('Precinct Vote Data'!H470&gt;0.5,"D","R")=$E$5,1,0)</f>
        <v>1</v>
      </c>
      <c r="E130" s="5">
        <f>IF(IF('Precinct Vote Data'!H471&gt;0.5,"D","R")=$E$6,1,0)</f>
        <v>1</v>
      </c>
      <c r="F130" s="5">
        <f>IF(IF('Precinct Vote Data'!H472&gt;0.5,"D","R")=$E$7,1,0)</f>
        <v>1</v>
      </c>
      <c r="G130" s="5">
        <f>IF(IF('Precinct Vote Data'!H473&gt;0.5,"D","R")=$E$8,1,0)</f>
        <v>1</v>
      </c>
      <c r="H130" s="5">
        <f t="shared" si="3"/>
        <v>4</v>
      </c>
      <c r="I130" s="13">
        <f>AVERAGE(ABS('Precinct Vote Data'!H470-$D$5),ABS('Precinct Vote Data'!H471-$D$6),ABS('Precinct Vote Data'!H472-$D$7),ABS('Precinct Vote Data'!H473-$D$8))</f>
        <v>0.07036139185</v>
      </c>
      <c r="J130" s="14" t="str">
        <f>IF(AND(H130=4,I130=MIN(K13:K420)),"&lt;&lt; MAGIC PRECINCT","")</f>
        <v/>
      </c>
      <c r="K130" s="13">
        <f t="shared" si="4"/>
        <v>0.07036139185</v>
      </c>
    </row>
    <row r="131" ht="15.0" customHeight="1">
      <c r="A131" s="5" t="s">
        <v>143</v>
      </c>
      <c r="B131" s="5" t="s">
        <v>170</v>
      </c>
      <c r="C131" s="5" t="s">
        <v>172</v>
      </c>
      <c r="D131" s="5">
        <f>IF(IF('Precinct Vote Data'!H474&gt;0.5,"D","R")=$E$5,1,0)</f>
        <v>1</v>
      </c>
      <c r="E131" s="5">
        <f>IF(IF('Precinct Vote Data'!H475&gt;0.5,"D","R")=$E$6,1,0)</f>
        <v>0</v>
      </c>
      <c r="F131" s="5">
        <f>IF(IF('Precinct Vote Data'!H476&gt;0.5,"D","R")=$E$7,1,0)</f>
        <v>1</v>
      </c>
      <c r="G131" s="5">
        <f>IF(IF('Precinct Vote Data'!H477&gt;0.5,"D","R")=$E$8,1,0)</f>
        <v>0</v>
      </c>
      <c r="H131" s="5">
        <f t="shared" si="3"/>
        <v>2</v>
      </c>
      <c r="I131" s="13">
        <f>AVERAGE(ABS('Precinct Vote Data'!H474-$D$5),ABS('Precinct Vote Data'!H475-$D$6),ABS('Precinct Vote Data'!H476-$D$7),ABS('Precinct Vote Data'!H477-$D$8))</f>
        <v>0.02466006943</v>
      </c>
      <c r="J131" s="14" t="str">
        <f>IF(AND(H131=4,I131=MIN(K13:K420)),"&lt;&lt; MAGIC PRECINCT","")</f>
        <v/>
      </c>
      <c r="K131" s="5" t="str">
        <f t="shared" si="4"/>
        <v/>
      </c>
    </row>
    <row r="132" ht="15.0" customHeight="1">
      <c r="A132" s="5" t="s">
        <v>143</v>
      </c>
      <c r="B132" s="5" t="s">
        <v>170</v>
      </c>
      <c r="C132" s="5" t="s">
        <v>173</v>
      </c>
      <c r="D132" s="5">
        <f>IF(IF('Precinct Vote Data'!H478&gt;0.5,"D","R")=$E$5,1,0)</f>
        <v>1</v>
      </c>
      <c r="E132" s="5">
        <f>IF(IF('Precinct Vote Data'!H479&gt;0.5,"D","R")=$E$6,1,0)</f>
        <v>0</v>
      </c>
      <c r="F132" s="5">
        <f>IF(IF('Precinct Vote Data'!H480&gt;0.5,"D","R")=$E$7,1,0)</f>
        <v>1</v>
      </c>
      <c r="G132" s="5">
        <f>IF(IF('Precinct Vote Data'!H481&gt;0.5,"D","R")=$E$8,1,0)</f>
        <v>1</v>
      </c>
      <c r="H132" s="5">
        <f t="shared" si="3"/>
        <v>3</v>
      </c>
      <c r="I132" s="13">
        <f>AVERAGE(ABS('Precinct Vote Data'!H478-$D$5),ABS('Precinct Vote Data'!H479-$D$6),ABS('Precinct Vote Data'!H480-$D$7),ABS('Precinct Vote Data'!H481-$D$8))</f>
        <v>0.01901798731</v>
      </c>
      <c r="J132" s="14" t="str">
        <f>IF(AND(H132=4,I132=MIN(K13:K420)),"&lt;&lt; MAGIC PRECINCT","")</f>
        <v/>
      </c>
      <c r="K132" s="5" t="str">
        <f t="shared" si="4"/>
        <v/>
      </c>
    </row>
    <row r="133" ht="15.0" customHeight="1">
      <c r="A133" s="5" t="s">
        <v>143</v>
      </c>
      <c r="B133" s="5" t="s">
        <v>174</v>
      </c>
      <c r="C133" s="5" t="s">
        <v>175</v>
      </c>
      <c r="D133" s="5">
        <f>IF(IF('Precinct Vote Data'!H482&gt;0.5,"D","R")=$E$5,1,0)</f>
        <v>1</v>
      </c>
      <c r="E133" s="5">
        <f>IF(IF('Precinct Vote Data'!H483&gt;0.5,"D","R")=$E$6,1,0)</f>
        <v>0</v>
      </c>
      <c r="F133" s="5">
        <f>IF(IF('Precinct Vote Data'!H484&gt;0.5,"D","R")=$E$7,1,0)</f>
        <v>1</v>
      </c>
      <c r="G133" s="5">
        <f>IF(IF('Precinct Vote Data'!H485&gt;0.5,"D","R")=$E$8,1,0)</f>
        <v>0</v>
      </c>
      <c r="H133" s="5">
        <f t="shared" si="3"/>
        <v>2</v>
      </c>
      <c r="I133" s="13">
        <f>AVERAGE(ABS('Precinct Vote Data'!H482-$D$5),ABS('Precinct Vote Data'!H483-$D$6),ABS('Precinct Vote Data'!H484-$D$7),ABS('Precinct Vote Data'!H485-$D$8))</f>
        <v>0.01801573855</v>
      </c>
      <c r="J133" s="14" t="str">
        <f>IF(AND(H133=4,I133=MIN(K13:K420)),"&lt;&lt; MAGIC PRECINCT","")</f>
        <v/>
      </c>
      <c r="K133" s="5" t="str">
        <f t="shared" si="4"/>
        <v/>
      </c>
    </row>
    <row r="134" ht="15.0" customHeight="1">
      <c r="A134" s="5" t="s">
        <v>143</v>
      </c>
      <c r="B134" s="5" t="s">
        <v>176</v>
      </c>
      <c r="C134" s="5" t="s">
        <v>177</v>
      </c>
      <c r="D134" s="5">
        <f>IF(IF('Precinct Vote Data'!H486&gt;0.5,"D","R")=$E$5,1,0)</f>
        <v>1</v>
      </c>
      <c r="E134" s="5">
        <f>IF(IF('Precinct Vote Data'!H487&gt;0.5,"D","R")=$E$6,1,0)</f>
        <v>0</v>
      </c>
      <c r="F134" s="5">
        <f>IF(IF('Precinct Vote Data'!H488&gt;0.5,"D","R")=$E$7,1,0)</f>
        <v>1</v>
      </c>
      <c r="G134" s="5">
        <f>IF(IF('Precinct Vote Data'!H489&gt;0.5,"D","R")=$E$8,1,0)</f>
        <v>0</v>
      </c>
      <c r="H134" s="5">
        <f t="shared" si="3"/>
        <v>2</v>
      </c>
      <c r="I134" s="13">
        <f>AVERAGE(ABS('Precinct Vote Data'!H486-$D$5),ABS('Precinct Vote Data'!H487-$D$6),ABS('Precinct Vote Data'!H488-$D$7),ABS('Precinct Vote Data'!H489-$D$8))</f>
        <v>0.01497092883</v>
      </c>
      <c r="J134" s="14" t="str">
        <f>IF(AND(H134=4,I134=MIN(K13:K420)),"&lt;&lt; MAGIC PRECINCT","")</f>
        <v/>
      </c>
      <c r="K134" s="5" t="str">
        <f t="shared" si="4"/>
        <v/>
      </c>
    </row>
    <row r="135" ht="15.0" customHeight="1">
      <c r="A135" s="5" t="s">
        <v>143</v>
      </c>
      <c r="B135" s="5" t="s">
        <v>176</v>
      </c>
      <c r="C135" s="5" t="s">
        <v>178</v>
      </c>
      <c r="D135" s="5">
        <f>IF(IF('Precinct Vote Data'!H490&gt;0.5,"D","R")=$E$5,1,0)</f>
        <v>1</v>
      </c>
      <c r="E135" s="5">
        <f>IF(IF('Precinct Vote Data'!H491&gt;0.5,"D","R")=$E$6,1,0)</f>
        <v>1</v>
      </c>
      <c r="F135" s="5">
        <f>IF(IF('Precinct Vote Data'!H492&gt;0.5,"D","R")=$E$7,1,0)</f>
        <v>1</v>
      </c>
      <c r="G135" s="5">
        <f>IF(IF('Precinct Vote Data'!H493&gt;0.5,"D","R")=$E$8,1,0)</f>
        <v>1</v>
      </c>
      <c r="H135" s="5">
        <f t="shared" si="3"/>
        <v>4</v>
      </c>
      <c r="I135" s="13">
        <f>AVERAGE(ABS('Precinct Vote Data'!H490-$D$5),ABS('Precinct Vote Data'!H491-$D$6),ABS('Precinct Vote Data'!H492-$D$7),ABS('Precinct Vote Data'!H493-$D$8))</f>
        <v>0.01118168962</v>
      </c>
      <c r="J135" s="14" t="str">
        <f>IF(AND(H135=4,I135=MIN(K13:K420)),"&lt;&lt; MAGIC PRECINCT","")</f>
        <v/>
      </c>
      <c r="K135" s="13">
        <f t="shared" si="4"/>
        <v>0.01118168962</v>
      </c>
    </row>
    <row r="136" ht="15.0" customHeight="1">
      <c r="A136" s="5" t="s">
        <v>143</v>
      </c>
      <c r="B136" s="5" t="s">
        <v>179</v>
      </c>
      <c r="C136" s="5" t="s">
        <v>180</v>
      </c>
      <c r="D136" s="5">
        <f>IF(IF('Precinct Vote Data'!H494&gt;0.5,"D","R")=$E$5,1,0)</f>
        <v>1</v>
      </c>
      <c r="E136" s="5">
        <f>IF(IF('Precinct Vote Data'!H495&gt;0.5,"D","R")=$E$6,1,0)</f>
        <v>1</v>
      </c>
      <c r="F136" s="5">
        <f>IF(IF('Precinct Vote Data'!H496&gt;0.5,"D","R")=$E$7,1,0)</f>
        <v>1</v>
      </c>
      <c r="G136" s="5">
        <f>IF(IF('Precinct Vote Data'!H497&gt;0.5,"D","R")=$E$8,1,0)</f>
        <v>1</v>
      </c>
      <c r="H136" s="5">
        <f t="shared" si="3"/>
        <v>4</v>
      </c>
      <c r="I136" s="13">
        <f>AVERAGE(ABS('Precinct Vote Data'!H494-$D$5),ABS('Precinct Vote Data'!H495-$D$6),ABS('Precinct Vote Data'!H496-$D$7),ABS('Precinct Vote Data'!H497-$D$8))</f>
        <v>0.03678656358</v>
      </c>
      <c r="J136" s="14" t="str">
        <f>IF(AND(H136=4,I136=MIN(K13:K420)),"&lt;&lt; MAGIC PRECINCT","")</f>
        <v/>
      </c>
      <c r="K136" s="13">
        <f t="shared" si="4"/>
        <v>0.03678656358</v>
      </c>
    </row>
    <row r="137" ht="15.0" customHeight="1">
      <c r="A137" s="5" t="s">
        <v>143</v>
      </c>
      <c r="B137" s="5" t="s">
        <v>179</v>
      </c>
      <c r="C137" s="5" t="s">
        <v>181</v>
      </c>
      <c r="D137" s="5">
        <f>IF(IF('Precinct Vote Data'!H498&gt;0.5,"D","R")=$E$5,1,0)</f>
        <v>1</v>
      </c>
      <c r="E137" s="5">
        <f>IF(IF('Precinct Vote Data'!H499&gt;0.5,"D","R")=$E$6,1,0)</f>
        <v>1</v>
      </c>
      <c r="F137" s="5">
        <f>IF(IF('Precinct Vote Data'!H500&gt;0.5,"D","R")=$E$7,1,0)</f>
        <v>1</v>
      </c>
      <c r="G137" s="5">
        <f>IF(IF('Precinct Vote Data'!H501&gt;0.5,"D","R")=$E$8,1,0)</f>
        <v>1</v>
      </c>
      <c r="H137" s="5">
        <f t="shared" si="3"/>
        <v>4</v>
      </c>
      <c r="I137" s="13">
        <f>AVERAGE(ABS('Precinct Vote Data'!H498-$D$5),ABS('Precinct Vote Data'!H499-$D$6),ABS('Precinct Vote Data'!H500-$D$7),ABS('Precinct Vote Data'!H501-$D$8))</f>
        <v>0.02215997287</v>
      </c>
      <c r="J137" s="14" t="str">
        <f>IF(AND(H137=4,I137=MIN(K13:K420)),"&lt;&lt; MAGIC PRECINCT","")</f>
        <v/>
      </c>
      <c r="K137" s="13">
        <f t="shared" si="4"/>
        <v>0.02215997287</v>
      </c>
    </row>
    <row r="138" ht="15.0" customHeight="1">
      <c r="A138" s="5" t="s">
        <v>143</v>
      </c>
      <c r="B138" s="5" t="s">
        <v>179</v>
      </c>
      <c r="C138" s="5" t="s">
        <v>182</v>
      </c>
      <c r="D138" s="5">
        <f>IF(IF('Precinct Vote Data'!H502&gt;0.5,"D","R")=$E$5,1,0)</f>
        <v>1</v>
      </c>
      <c r="E138" s="5">
        <f>IF(IF('Precinct Vote Data'!H503&gt;0.5,"D","R")=$E$6,1,0)</f>
        <v>0</v>
      </c>
      <c r="F138" s="5">
        <f>IF(IF('Precinct Vote Data'!H504&gt;0.5,"D","R")=$E$7,1,0)</f>
        <v>1</v>
      </c>
      <c r="G138" s="5">
        <f>IF(IF('Precinct Vote Data'!H505&gt;0.5,"D","R")=$E$8,1,0)</f>
        <v>1</v>
      </c>
      <c r="H138" s="5">
        <f t="shared" si="3"/>
        <v>3</v>
      </c>
      <c r="I138" s="13">
        <f>AVERAGE(ABS('Precinct Vote Data'!H502-$D$5),ABS('Precinct Vote Data'!H503-$D$6),ABS('Precinct Vote Data'!H504-$D$7),ABS('Precinct Vote Data'!H505-$D$8))</f>
        <v>0.01828193247</v>
      </c>
      <c r="J138" s="14" t="str">
        <f>IF(AND(H138=4,I138=MIN(K13:K420)),"&lt;&lt; MAGIC PRECINCT","")</f>
        <v/>
      </c>
      <c r="K138" s="5" t="str">
        <f t="shared" si="4"/>
        <v/>
      </c>
    </row>
    <row r="139" ht="15.0" customHeight="1">
      <c r="A139" s="5" t="s">
        <v>143</v>
      </c>
      <c r="B139" s="5" t="s">
        <v>179</v>
      </c>
      <c r="C139" s="5" t="s">
        <v>183</v>
      </c>
      <c r="D139" s="5">
        <f>IF(IF('Precinct Vote Data'!H506&gt;0.5,"D","R")=$E$5,1,0)</f>
        <v>1</v>
      </c>
      <c r="E139" s="5">
        <f>IF(IF('Precinct Vote Data'!H507&gt;0.5,"D","R")=$E$6,1,0)</f>
        <v>1</v>
      </c>
      <c r="F139" s="5">
        <f>IF(IF('Precinct Vote Data'!H508&gt;0.5,"D","R")=$E$7,1,0)</f>
        <v>1</v>
      </c>
      <c r="G139" s="5">
        <f>IF(IF('Precinct Vote Data'!H509&gt;0.5,"D","R")=$E$8,1,0)</f>
        <v>1</v>
      </c>
      <c r="H139" s="5">
        <f t="shared" si="3"/>
        <v>4</v>
      </c>
      <c r="I139" s="13">
        <f>AVERAGE(ABS('Precinct Vote Data'!H506-$D$5),ABS('Precinct Vote Data'!H507-$D$6),ABS('Precinct Vote Data'!H508-$D$7),ABS('Precinct Vote Data'!H509-$D$8))</f>
        <v>0.05377773761</v>
      </c>
      <c r="J139" s="14" t="str">
        <f>IF(AND(H139=4,I139=MIN(K13:K420)),"&lt;&lt; MAGIC PRECINCT","")</f>
        <v/>
      </c>
      <c r="K139" s="13">
        <f t="shared" si="4"/>
        <v>0.05377773761</v>
      </c>
    </row>
    <row r="140" ht="15.0" customHeight="1">
      <c r="A140" s="5" t="s">
        <v>143</v>
      </c>
      <c r="B140" s="5" t="s">
        <v>179</v>
      </c>
      <c r="C140" s="5" t="s">
        <v>184</v>
      </c>
      <c r="D140" s="5">
        <f>IF(IF('Precinct Vote Data'!H510&gt;0.5,"D","R")=$E$5,1,0)</f>
        <v>1</v>
      </c>
      <c r="E140" s="5">
        <f>IF(IF('Precinct Vote Data'!H511&gt;0.5,"D","R")=$E$6,1,0)</f>
        <v>0</v>
      </c>
      <c r="F140" s="5">
        <f>IF(IF('Precinct Vote Data'!H512&gt;0.5,"D","R")=$E$7,1,0)</f>
        <v>1</v>
      </c>
      <c r="G140" s="5">
        <f>IF(IF('Precinct Vote Data'!H513&gt;0.5,"D","R")=$E$8,1,0)</f>
        <v>0</v>
      </c>
      <c r="H140" s="5">
        <f t="shared" si="3"/>
        <v>2</v>
      </c>
      <c r="I140" s="13">
        <f>AVERAGE(ABS('Precinct Vote Data'!H510-$D$5),ABS('Precinct Vote Data'!H511-$D$6),ABS('Precinct Vote Data'!H512-$D$7),ABS('Precinct Vote Data'!H513-$D$8))</f>
        <v>0.01215452523</v>
      </c>
      <c r="J140" s="14" t="str">
        <f>IF(AND(H140=4,I140=MIN(K13:K420)),"&lt;&lt; MAGIC PRECINCT","")</f>
        <v/>
      </c>
      <c r="K140" s="5" t="str">
        <f t="shared" si="4"/>
        <v/>
      </c>
    </row>
    <row r="141" ht="15.0" customHeight="1">
      <c r="A141" s="5" t="s">
        <v>143</v>
      </c>
      <c r="B141" s="5" t="s">
        <v>179</v>
      </c>
      <c r="C141" s="5" t="s">
        <v>185</v>
      </c>
      <c r="D141" s="5">
        <f>IF(IF('Precinct Vote Data'!H514&gt;0.5,"D","R")=$E$5,1,0)</f>
        <v>1</v>
      </c>
      <c r="E141" s="5">
        <f>IF(IF('Precinct Vote Data'!H515&gt;0.5,"D","R")=$E$6,1,0)</f>
        <v>1</v>
      </c>
      <c r="F141" s="5">
        <f>IF(IF('Precinct Vote Data'!H516&gt;0.5,"D","R")=$E$7,1,0)</f>
        <v>1</v>
      </c>
      <c r="G141" s="5">
        <f>IF(IF('Precinct Vote Data'!H517&gt;0.5,"D","R")=$E$8,1,0)</f>
        <v>1</v>
      </c>
      <c r="H141" s="5">
        <f t="shared" si="3"/>
        <v>4</v>
      </c>
      <c r="I141" s="13">
        <f>AVERAGE(ABS('Precinct Vote Data'!H514-$D$5),ABS('Precinct Vote Data'!H515-$D$6),ABS('Precinct Vote Data'!H516-$D$7),ABS('Precinct Vote Data'!H517-$D$8))</f>
        <v>0.05386867709</v>
      </c>
      <c r="J141" s="14" t="str">
        <f>IF(AND(H141=4,I141=MIN(K13:K420)),"&lt;&lt; MAGIC PRECINCT","")</f>
        <v/>
      </c>
      <c r="K141" s="13">
        <f t="shared" si="4"/>
        <v>0.05386867709</v>
      </c>
    </row>
    <row r="142" ht="15.0" customHeight="1">
      <c r="A142" s="5" t="s">
        <v>143</v>
      </c>
      <c r="B142" s="5" t="s">
        <v>186</v>
      </c>
      <c r="C142" s="5" t="s">
        <v>187</v>
      </c>
      <c r="D142" s="5">
        <f>IF(IF('Precinct Vote Data'!H518&gt;0.5,"D","R")=$E$5,1,0)</f>
        <v>1</v>
      </c>
      <c r="E142" s="5">
        <f>IF(IF('Precinct Vote Data'!H519&gt;0.5,"D","R")=$E$6,1,0)</f>
        <v>1</v>
      </c>
      <c r="F142" s="5">
        <f>IF(IF('Precinct Vote Data'!H520&gt;0.5,"D","R")=$E$7,1,0)</f>
        <v>1</v>
      </c>
      <c r="G142" s="5">
        <f>IF(IF('Precinct Vote Data'!H521&gt;0.5,"D","R")=$E$8,1,0)</f>
        <v>1</v>
      </c>
      <c r="H142" s="5">
        <f t="shared" si="3"/>
        <v>4</v>
      </c>
      <c r="I142" s="13">
        <f>AVERAGE(ABS('Precinct Vote Data'!H518-$D$5),ABS('Precinct Vote Data'!H519-$D$6),ABS('Precinct Vote Data'!H520-$D$7),ABS('Precinct Vote Data'!H521-$D$8))</f>
        <v>0.1886625559</v>
      </c>
      <c r="J142" s="14" t="str">
        <f>IF(AND(H142=4,I142=MIN(K13:K420)),"&lt;&lt; MAGIC PRECINCT","")</f>
        <v/>
      </c>
      <c r="K142" s="13">
        <f t="shared" si="4"/>
        <v>0.1886625559</v>
      </c>
    </row>
    <row r="143" ht="15.0" customHeight="1">
      <c r="A143" s="5" t="s">
        <v>143</v>
      </c>
      <c r="B143" s="5" t="s">
        <v>186</v>
      </c>
      <c r="C143" s="5" t="s">
        <v>188</v>
      </c>
      <c r="D143" s="5">
        <f>IF(IF('Precinct Vote Data'!H522&gt;0.5,"D","R")=$E$5,1,0)</f>
        <v>1</v>
      </c>
      <c r="E143" s="5">
        <f>IF(IF('Precinct Vote Data'!H523&gt;0.5,"D","R")=$E$6,1,0)</f>
        <v>1</v>
      </c>
      <c r="F143" s="5">
        <f>IF(IF('Precinct Vote Data'!H524&gt;0.5,"D","R")=$E$7,1,0)</f>
        <v>1</v>
      </c>
      <c r="G143" s="5">
        <f>IF(IF('Precinct Vote Data'!H525&gt;0.5,"D","R")=$E$8,1,0)</f>
        <v>1</v>
      </c>
      <c r="H143" s="5">
        <f t="shared" si="3"/>
        <v>4</v>
      </c>
      <c r="I143" s="13">
        <f>AVERAGE(ABS('Precinct Vote Data'!H522-$D$5),ABS('Precinct Vote Data'!H523-$D$6),ABS('Precinct Vote Data'!H524-$D$7),ABS('Precinct Vote Data'!H525-$D$8))</f>
        <v>0.1315084544</v>
      </c>
      <c r="J143" s="14" t="str">
        <f>IF(AND(H143=4,I143=MIN(K13:K420)),"&lt;&lt; MAGIC PRECINCT","")</f>
        <v/>
      </c>
      <c r="K143" s="13">
        <f t="shared" si="4"/>
        <v>0.1315084544</v>
      </c>
    </row>
    <row r="144" ht="15.0" customHeight="1">
      <c r="A144" s="5" t="s">
        <v>143</v>
      </c>
      <c r="B144" s="5" t="s">
        <v>186</v>
      </c>
      <c r="C144" s="5" t="s">
        <v>189</v>
      </c>
      <c r="D144" s="5">
        <f>IF(IF('Precinct Vote Data'!H526&gt;0.5,"D","R")=$E$5,1,0)</f>
        <v>1</v>
      </c>
      <c r="E144" s="5">
        <f>IF(IF('Precinct Vote Data'!H527&gt;0.5,"D","R")=$E$6,1,0)</f>
        <v>1</v>
      </c>
      <c r="F144" s="5">
        <f>IF(IF('Precinct Vote Data'!H528&gt;0.5,"D","R")=$E$7,1,0)</f>
        <v>1</v>
      </c>
      <c r="G144" s="5">
        <f>IF(IF('Precinct Vote Data'!H529&gt;0.5,"D","R")=$E$8,1,0)</f>
        <v>1</v>
      </c>
      <c r="H144" s="5">
        <f t="shared" si="3"/>
        <v>4</v>
      </c>
      <c r="I144" s="13">
        <f>AVERAGE(ABS('Precinct Vote Data'!H526-$D$5),ABS('Precinct Vote Data'!H527-$D$6),ABS('Precinct Vote Data'!H528-$D$7),ABS('Precinct Vote Data'!H529-$D$8))</f>
        <v>0.1504080984</v>
      </c>
      <c r="J144" s="14" t="str">
        <f>IF(AND(H144=4,I144=MIN(K13:K420)),"&lt;&lt; MAGIC PRECINCT","")</f>
        <v/>
      </c>
      <c r="K144" s="13">
        <f t="shared" si="4"/>
        <v>0.1504080984</v>
      </c>
    </row>
    <row r="145" ht="15.0" customHeight="1">
      <c r="A145" s="5" t="s">
        <v>143</v>
      </c>
      <c r="B145" s="5" t="s">
        <v>190</v>
      </c>
      <c r="C145" s="5" t="s">
        <v>191</v>
      </c>
      <c r="D145" s="5">
        <f>IF(IF('Precinct Vote Data'!H530&gt;0.5,"D","R")=$E$5,1,0)</f>
        <v>1</v>
      </c>
      <c r="E145" s="5">
        <f>IF(IF('Precinct Vote Data'!H531&gt;0.5,"D","R")=$E$6,1,0)</f>
        <v>1</v>
      </c>
      <c r="F145" s="5">
        <f>IF(IF('Precinct Vote Data'!H532&gt;0.5,"D","R")=$E$7,1,0)</f>
        <v>1</v>
      </c>
      <c r="G145" s="5">
        <f>IF(IF('Precinct Vote Data'!H533&gt;0.5,"D","R")=$E$8,1,0)</f>
        <v>1</v>
      </c>
      <c r="H145" s="5">
        <f t="shared" si="3"/>
        <v>4</v>
      </c>
      <c r="I145" s="13">
        <f>AVERAGE(ABS('Precinct Vote Data'!H530-$D$5),ABS('Precinct Vote Data'!H531-$D$6),ABS('Precinct Vote Data'!H532-$D$7),ABS('Precinct Vote Data'!H533-$D$8))</f>
        <v>0.04986415299</v>
      </c>
      <c r="J145" s="14" t="str">
        <f>IF(AND(H145=4,I145=MIN(K13:K420)),"&lt;&lt; MAGIC PRECINCT","")</f>
        <v/>
      </c>
      <c r="K145" s="13">
        <f t="shared" si="4"/>
        <v>0.04986415299</v>
      </c>
    </row>
    <row r="146" ht="15.0" customHeight="1">
      <c r="A146" s="5" t="s">
        <v>143</v>
      </c>
      <c r="B146" s="5" t="s">
        <v>192</v>
      </c>
      <c r="C146" s="5" t="s">
        <v>193</v>
      </c>
      <c r="D146" s="5">
        <f>IF(IF('Precinct Vote Data'!H534&gt;0.5,"D","R")=$E$5,1,0)</f>
        <v>0</v>
      </c>
      <c r="E146" s="5">
        <f>IF(IF('Precinct Vote Data'!H535&gt;0.5,"D","R")=$E$6,1,0)</f>
        <v>0</v>
      </c>
      <c r="F146" s="5">
        <f>IF(IF('Precinct Vote Data'!H536&gt;0.5,"D","R")=$E$7,1,0)</f>
        <v>0</v>
      </c>
      <c r="G146" s="5">
        <f>IF(IF('Precinct Vote Data'!H537&gt;0.5,"D","R")=$E$8,1,0)</f>
        <v>0</v>
      </c>
      <c r="H146" s="5">
        <f t="shared" si="3"/>
        <v>0</v>
      </c>
      <c r="I146" s="13">
        <f>AVERAGE(ABS('Precinct Vote Data'!H534-$D$5),ABS('Precinct Vote Data'!H535-$D$6),ABS('Precinct Vote Data'!H536-$D$7),ABS('Precinct Vote Data'!H537-$D$8))</f>
        <v>0.1868375082</v>
      </c>
      <c r="J146" s="14" t="str">
        <f>IF(AND(H146=4,I146=MIN(K13:K420)),"&lt;&lt; MAGIC PRECINCT","")</f>
        <v/>
      </c>
      <c r="K146" s="5" t="str">
        <f t="shared" si="4"/>
        <v/>
      </c>
    </row>
    <row r="147" ht="15.0" customHeight="1">
      <c r="A147" s="5" t="s">
        <v>143</v>
      </c>
      <c r="B147" s="5" t="s">
        <v>194</v>
      </c>
      <c r="C147" s="5" t="s">
        <v>195</v>
      </c>
      <c r="D147" s="5">
        <f>IF(IF('Precinct Vote Data'!H538&gt;0.5,"D","R")=$E$5,1,0)</f>
        <v>1</v>
      </c>
      <c r="E147" s="5">
        <f>IF(IF('Precinct Vote Data'!H539&gt;0.5,"D","R")=$E$6,1,0)</f>
        <v>0</v>
      </c>
      <c r="F147" s="5">
        <f>IF(IF('Precinct Vote Data'!H540&gt;0.5,"D","R")=$E$7,1,0)</f>
        <v>1</v>
      </c>
      <c r="G147" s="5">
        <f>IF(IF('Precinct Vote Data'!H541&gt;0.5,"D","R")=$E$8,1,0)</f>
        <v>0</v>
      </c>
      <c r="H147" s="5">
        <f t="shared" si="3"/>
        <v>2</v>
      </c>
      <c r="I147" s="13">
        <f>AVERAGE(ABS('Precinct Vote Data'!H538-$D$5),ABS('Precinct Vote Data'!H539-$D$6),ABS('Precinct Vote Data'!H540-$D$7),ABS('Precinct Vote Data'!H541-$D$8))</f>
        <v>0.01526827275</v>
      </c>
      <c r="J147" s="14" t="str">
        <f>IF(AND(H147=4,I147=MIN(K13:K420)),"&lt;&lt; MAGIC PRECINCT","")</f>
        <v/>
      </c>
      <c r="K147" s="5" t="str">
        <f t="shared" si="4"/>
        <v/>
      </c>
    </row>
    <row r="148" ht="15.0" customHeight="1">
      <c r="A148" s="5" t="s">
        <v>143</v>
      </c>
      <c r="B148" s="5" t="s">
        <v>194</v>
      </c>
      <c r="C148" s="5" t="s">
        <v>196</v>
      </c>
      <c r="D148" s="5">
        <f>IF(IF('Precinct Vote Data'!H542&gt;0.5,"D","R")=$E$5,1,0)</f>
        <v>1</v>
      </c>
      <c r="E148" s="5">
        <f>IF(IF('Precinct Vote Data'!H543&gt;0.5,"D","R")=$E$6,1,0)</f>
        <v>0</v>
      </c>
      <c r="F148" s="5">
        <f>IF(IF('Precinct Vote Data'!H544&gt;0.5,"D","R")=$E$7,1,0)</f>
        <v>1</v>
      </c>
      <c r="G148" s="5">
        <f>IF(IF('Precinct Vote Data'!H545&gt;0.5,"D","R")=$E$8,1,0)</f>
        <v>0</v>
      </c>
      <c r="H148" s="5">
        <f t="shared" si="3"/>
        <v>2</v>
      </c>
      <c r="I148" s="13">
        <f>AVERAGE(ABS('Precinct Vote Data'!H542-$D$5),ABS('Precinct Vote Data'!H543-$D$6),ABS('Precinct Vote Data'!H544-$D$7),ABS('Precinct Vote Data'!H545-$D$8))</f>
        <v>0.01233926463</v>
      </c>
      <c r="J148" s="14" t="str">
        <f>IF(AND(H148=4,I148=MIN(K13:K420)),"&lt;&lt; MAGIC PRECINCT","")</f>
        <v/>
      </c>
      <c r="K148" s="5" t="str">
        <f t="shared" si="4"/>
        <v/>
      </c>
    </row>
    <row r="149" ht="15.0" customHeight="1">
      <c r="A149" s="5" t="s">
        <v>143</v>
      </c>
      <c r="B149" s="5" t="s">
        <v>194</v>
      </c>
      <c r="C149" s="5" t="s">
        <v>197</v>
      </c>
      <c r="D149" s="5">
        <f>IF(IF('Precinct Vote Data'!H546&gt;0.5,"D","R")=$E$5,1,0)</f>
        <v>1</v>
      </c>
      <c r="E149" s="5">
        <f>IF(IF('Precinct Vote Data'!H547&gt;0.5,"D","R")=$E$6,1,0)</f>
        <v>0</v>
      </c>
      <c r="F149" s="5">
        <f>IF(IF('Precinct Vote Data'!H548&gt;0.5,"D","R")=$E$7,1,0)</f>
        <v>1</v>
      </c>
      <c r="G149" s="5">
        <f>IF(IF('Precinct Vote Data'!H549&gt;0.5,"D","R")=$E$8,1,0)</f>
        <v>0</v>
      </c>
      <c r="H149" s="5">
        <f t="shared" si="3"/>
        <v>2</v>
      </c>
      <c r="I149" s="13">
        <f>AVERAGE(ABS('Precinct Vote Data'!H546-$D$5),ABS('Precinct Vote Data'!H547-$D$6),ABS('Precinct Vote Data'!H548-$D$7),ABS('Precinct Vote Data'!H549-$D$8))</f>
        <v>0.02293590063</v>
      </c>
      <c r="J149" s="14" t="str">
        <f>IF(AND(H149=4,I149=MIN(K13:K420)),"&lt;&lt; MAGIC PRECINCT","")</f>
        <v/>
      </c>
      <c r="K149" s="5" t="str">
        <f t="shared" si="4"/>
        <v/>
      </c>
    </row>
    <row r="150" ht="15.0" customHeight="1">
      <c r="A150" s="5" t="s">
        <v>143</v>
      </c>
      <c r="B150" s="5" t="s">
        <v>194</v>
      </c>
      <c r="C150" s="5" t="s">
        <v>198</v>
      </c>
      <c r="D150" s="5">
        <f>IF(IF('Precinct Vote Data'!H550&gt;0.5,"D","R")=$E$5,1,0)</f>
        <v>1</v>
      </c>
      <c r="E150" s="5">
        <f>IF(IF('Precinct Vote Data'!H551&gt;0.5,"D","R")=$E$6,1,0)</f>
        <v>0</v>
      </c>
      <c r="F150" s="5">
        <f>IF(IF('Precinct Vote Data'!H552&gt;0.5,"D","R")=$E$7,1,0)</f>
        <v>1</v>
      </c>
      <c r="G150" s="5">
        <f>IF(IF('Precinct Vote Data'!H553&gt;0.5,"D","R")=$E$8,1,0)</f>
        <v>0</v>
      </c>
      <c r="H150" s="5">
        <f t="shared" si="3"/>
        <v>2</v>
      </c>
      <c r="I150" s="13">
        <f>AVERAGE(ABS('Precinct Vote Data'!H550-$D$5),ABS('Precinct Vote Data'!H551-$D$6),ABS('Precinct Vote Data'!H552-$D$7),ABS('Precinct Vote Data'!H553-$D$8))</f>
        <v>0.02171645398</v>
      </c>
      <c r="J150" s="14" t="str">
        <f>IF(AND(H150=4,I150=MIN(K13:K420)),"&lt;&lt; MAGIC PRECINCT","")</f>
        <v/>
      </c>
      <c r="K150" s="5" t="str">
        <f t="shared" si="4"/>
        <v/>
      </c>
    </row>
    <row r="151" ht="15.0" customHeight="1">
      <c r="A151" s="5" t="s">
        <v>143</v>
      </c>
      <c r="B151" s="5" t="s">
        <v>194</v>
      </c>
      <c r="C151" s="5" t="s">
        <v>199</v>
      </c>
      <c r="D151" s="5">
        <f>IF(IF('Precinct Vote Data'!H554&gt;0.5,"D","R")=$E$5,1,0)</f>
        <v>0</v>
      </c>
      <c r="E151" s="5">
        <f>IF(IF('Precinct Vote Data'!H555&gt;0.5,"D","R")=$E$6,1,0)</f>
        <v>0</v>
      </c>
      <c r="F151" s="5">
        <f>IF(IF('Precinct Vote Data'!H556&gt;0.5,"D","R")=$E$7,1,0)</f>
        <v>1</v>
      </c>
      <c r="G151" s="5">
        <f>IF(IF('Precinct Vote Data'!H557&gt;0.5,"D","R")=$E$8,1,0)</f>
        <v>1</v>
      </c>
      <c r="H151" s="5">
        <f t="shared" si="3"/>
        <v>2</v>
      </c>
      <c r="I151" s="13">
        <f>AVERAGE(ABS('Precinct Vote Data'!H554-$D$5),ABS('Precinct Vote Data'!H555-$D$6),ABS('Precinct Vote Data'!H556-$D$7),ABS('Precinct Vote Data'!H557-$D$8))</f>
        <v>0.02114208666</v>
      </c>
      <c r="J151" s="14" t="str">
        <f>IF(AND(H151=4,I151=MIN(K13:K420)),"&lt;&lt; MAGIC PRECINCT","")</f>
        <v/>
      </c>
      <c r="K151" s="5" t="str">
        <f t="shared" si="4"/>
        <v/>
      </c>
    </row>
    <row r="152" ht="15.0" customHeight="1">
      <c r="A152" s="5" t="s">
        <v>143</v>
      </c>
      <c r="B152" s="5" t="s">
        <v>194</v>
      </c>
      <c r="C152" s="5" t="s">
        <v>200</v>
      </c>
      <c r="D152" s="5">
        <f>IF(IF('Precinct Vote Data'!H558&gt;0.5,"D","R")=$E$5,1,0)</f>
        <v>1</v>
      </c>
      <c r="E152" s="5">
        <f>IF(IF('Precinct Vote Data'!H559&gt;0.5,"D","R")=$E$6,1,0)</f>
        <v>1</v>
      </c>
      <c r="F152" s="5">
        <f>IF(IF('Precinct Vote Data'!H560&gt;0.5,"D","R")=$E$7,1,0)</f>
        <v>1</v>
      </c>
      <c r="G152" s="5">
        <f>IF(IF('Precinct Vote Data'!H561&gt;0.5,"D","R")=$E$8,1,0)</f>
        <v>0</v>
      </c>
      <c r="H152" s="5">
        <f t="shared" si="3"/>
        <v>3</v>
      </c>
      <c r="I152" s="13">
        <f>AVERAGE(ABS('Precinct Vote Data'!H558-$D$5),ABS('Precinct Vote Data'!H559-$D$6),ABS('Precinct Vote Data'!H560-$D$7),ABS('Precinct Vote Data'!H561-$D$8))</f>
        <v>0.01511751875</v>
      </c>
      <c r="J152" s="14" t="str">
        <f>IF(AND(H152=4,I152=MIN(K13:K420)),"&lt;&lt; MAGIC PRECINCT","")</f>
        <v/>
      </c>
      <c r="K152" s="5" t="str">
        <f t="shared" si="4"/>
        <v/>
      </c>
    </row>
    <row r="153" ht="15.0" customHeight="1">
      <c r="A153" s="5" t="s">
        <v>143</v>
      </c>
      <c r="B153" s="5" t="s">
        <v>194</v>
      </c>
      <c r="C153" s="5" t="s">
        <v>201</v>
      </c>
      <c r="D153" s="5">
        <f>IF(IF('Precinct Vote Data'!H562&gt;0.5,"D","R")=$E$5,1,0)</f>
        <v>1</v>
      </c>
      <c r="E153" s="5">
        <f>IF(IF('Precinct Vote Data'!H563&gt;0.5,"D","R")=$E$6,1,0)</f>
        <v>1</v>
      </c>
      <c r="F153" s="5">
        <f>IF(IF('Precinct Vote Data'!H564&gt;0.5,"D","R")=$E$7,1,0)</f>
        <v>1</v>
      </c>
      <c r="G153" s="5">
        <f>IF(IF('Precinct Vote Data'!H565&gt;0.5,"D","R")=$E$8,1,0)</f>
        <v>1</v>
      </c>
      <c r="H153" s="5">
        <f t="shared" si="3"/>
        <v>4</v>
      </c>
      <c r="I153" s="13">
        <f>AVERAGE(ABS('Precinct Vote Data'!H562-$D$5),ABS('Precinct Vote Data'!H563-$D$6),ABS('Precinct Vote Data'!H564-$D$7),ABS('Precinct Vote Data'!H565-$D$8))</f>
        <v>0.02417549411</v>
      </c>
      <c r="J153" s="14" t="str">
        <f>IF(AND(H153=4,I153=MIN(K13:K420)),"&lt;&lt; MAGIC PRECINCT","")</f>
        <v/>
      </c>
      <c r="K153" s="13">
        <f t="shared" si="4"/>
        <v>0.02417549411</v>
      </c>
    </row>
    <row r="154" ht="15.0" customHeight="1">
      <c r="A154" s="5" t="s">
        <v>143</v>
      </c>
      <c r="B154" s="5" t="s">
        <v>194</v>
      </c>
      <c r="C154" s="5" t="s">
        <v>202</v>
      </c>
      <c r="D154" s="5">
        <f>IF(IF('Precinct Vote Data'!H566&gt;0.5,"D","R")=$E$5,1,0)</f>
        <v>0</v>
      </c>
      <c r="E154" s="5">
        <f>IF(IF('Precinct Vote Data'!H567&gt;0.5,"D","R")=$E$6,1,0)</f>
        <v>0</v>
      </c>
      <c r="F154" s="5">
        <f>IF(IF('Precinct Vote Data'!H568&gt;0.5,"D","R")=$E$7,1,0)</f>
        <v>1</v>
      </c>
      <c r="G154" s="5">
        <f>IF(IF('Precinct Vote Data'!H569&gt;0.5,"D","R")=$E$8,1,0)</f>
        <v>1</v>
      </c>
      <c r="H154" s="5">
        <f t="shared" si="3"/>
        <v>2</v>
      </c>
      <c r="I154" s="13">
        <f>AVERAGE(ABS('Precinct Vote Data'!H566-$D$5),ABS('Precinct Vote Data'!H567-$D$6),ABS('Precinct Vote Data'!H568-$D$7),ABS('Precinct Vote Data'!H569-$D$8))</f>
        <v>0.02055497975</v>
      </c>
      <c r="J154" s="14" t="str">
        <f>IF(AND(H154=4,I154=MIN(K13:K420)),"&lt;&lt; MAGIC PRECINCT","")</f>
        <v/>
      </c>
      <c r="K154" s="5" t="str">
        <f t="shared" si="4"/>
        <v/>
      </c>
    </row>
    <row r="155" ht="15.0" customHeight="1">
      <c r="A155" s="5" t="s">
        <v>143</v>
      </c>
      <c r="B155" s="5" t="s">
        <v>194</v>
      </c>
      <c r="C155" s="5" t="s">
        <v>203</v>
      </c>
      <c r="D155" s="5">
        <f>IF(IF('Precinct Vote Data'!H570&gt;0.5,"D","R")=$E$5,1,0)</f>
        <v>1</v>
      </c>
      <c r="E155" s="5">
        <f>IF(IF('Precinct Vote Data'!H571&gt;0.5,"D","R")=$E$6,1,0)</f>
        <v>0</v>
      </c>
      <c r="F155" s="5">
        <f>IF(IF('Precinct Vote Data'!H572&gt;0.5,"D","R")=$E$7,1,0)</f>
        <v>1</v>
      </c>
      <c r="G155" s="5">
        <f>IF(IF('Precinct Vote Data'!H573&gt;0.5,"D","R")=$E$8,1,0)</f>
        <v>0</v>
      </c>
      <c r="H155" s="5">
        <f t="shared" si="3"/>
        <v>2</v>
      </c>
      <c r="I155" s="13">
        <f>AVERAGE(ABS('Precinct Vote Data'!H570-$D$5),ABS('Precinct Vote Data'!H571-$D$6),ABS('Precinct Vote Data'!H572-$D$7),ABS('Precinct Vote Data'!H573-$D$8))</f>
        <v>0.0191331959</v>
      </c>
      <c r="J155" s="14" t="str">
        <f>IF(AND(H155=4,I155=MIN(K13:K420)),"&lt;&lt; MAGIC PRECINCT","")</f>
        <v/>
      </c>
      <c r="K155" s="5" t="str">
        <f t="shared" si="4"/>
        <v/>
      </c>
    </row>
    <row r="156" ht="15.0" customHeight="1">
      <c r="A156" s="5" t="s">
        <v>143</v>
      </c>
      <c r="B156" s="5" t="s">
        <v>194</v>
      </c>
      <c r="C156" s="5" t="s">
        <v>204</v>
      </c>
      <c r="D156" s="5">
        <f>IF(IF('Precinct Vote Data'!H574&gt;0.5,"D","R")=$E$5,1,0)</f>
        <v>1</v>
      </c>
      <c r="E156" s="5">
        <f>IF(IF('Precinct Vote Data'!H575&gt;0.5,"D","R")=$E$6,1,0)</f>
        <v>0</v>
      </c>
      <c r="F156" s="5">
        <f>IF(IF('Precinct Vote Data'!H576&gt;0.5,"D","R")=$E$7,1,0)</f>
        <v>1</v>
      </c>
      <c r="G156" s="5">
        <f>IF(IF('Precinct Vote Data'!H577&gt;0.5,"D","R")=$E$8,1,0)</f>
        <v>0</v>
      </c>
      <c r="H156" s="5">
        <f t="shared" si="3"/>
        <v>2</v>
      </c>
      <c r="I156" s="13">
        <f>AVERAGE(ABS('Precinct Vote Data'!H574-$D$5),ABS('Precinct Vote Data'!H575-$D$6),ABS('Precinct Vote Data'!H576-$D$7),ABS('Precinct Vote Data'!H577-$D$8))</f>
        <v>0.0213026073</v>
      </c>
      <c r="J156" s="14" t="str">
        <f>IF(AND(H156=4,I156=MIN(K13:K420)),"&lt;&lt; MAGIC PRECINCT","")</f>
        <v/>
      </c>
      <c r="K156" s="5" t="str">
        <f t="shared" si="4"/>
        <v/>
      </c>
    </row>
    <row r="157" ht="15.0" customHeight="1">
      <c r="A157" s="5" t="s">
        <v>143</v>
      </c>
      <c r="B157" s="5" t="s">
        <v>205</v>
      </c>
      <c r="C157" s="5" t="s">
        <v>206</v>
      </c>
      <c r="D157" s="5">
        <f>IF(IF('Precinct Vote Data'!H578&gt;0.5,"D","R")=$E$5,1,0)</f>
        <v>0</v>
      </c>
      <c r="E157" s="5">
        <f>IF(IF('Precinct Vote Data'!H579&gt;0.5,"D","R")=$E$6,1,0)</f>
        <v>0</v>
      </c>
      <c r="F157" s="5">
        <f>IF(IF('Precinct Vote Data'!H580&gt;0.5,"D","R")=$E$7,1,0)</f>
        <v>0</v>
      </c>
      <c r="G157" s="5">
        <f>IF(IF('Precinct Vote Data'!H581&gt;0.5,"D","R")=$E$8,1,0)</f>
        <v>0</v>
      </c>
      <c r="H157" s="5">
        <f t="shared" si="3"/>
        <v>0</v>
      </c>
      <c r="I157" s="13">
        <f>AVERAGE(ABS('Precinct Vote Data'!H578-$D$5),ABS('Precinct Vote Data'!H579-$D$6),ABS('Precinct Vote Data'!H580-$D$7),ABS('Precinct Vote Data'!H581-$D$8))</f>
        <v>0.131077817</v>
      </c>
      <c r="J157" s="14" t="str">
        <f>IF(AND(H157=4,I157=MIN(K13:K420)),"&lt;&lt; MAGIC PRECINCT","")</f>
        <v/>
      </c>
      <c r="K157" s="5" t="str">
        <f t="shared" si="4"/>
        <v/>
      </c>
    </row>
    <row r="158" ht="15.0" customHeight="1">
      <c r="A158" s="5" t="s">
        <v>143</v>
      </c>
      <c r="B158" s="5" t="s">
        <v>207</v>
      </c>
      <c r="C158" s="5" t="s">
        <v>208</v>
      </c>
      <c r="D158" s="5">
        <f>IF(IF('Precinct Vote Data'!H582&gt;0.5,"D","R")=$E$5,1,0)</f>
        <v>0</v>
      </c>
      <c r="E158" s="5">
        <f>IF(IF('Precinct Vote Data'!H583&gt;0.5,"D","R")=$E$6,1,0)</f>
        <v>0</v>
      </c>
      <c r="F158" s="5">
        <f>IF(IF('Precinct Vote Data'!H584&gt;0.5,"D","R")=$E$7,1,0)</f>
        <v>0</v>
      </c>
      <c r="G158" s="5">
        <f>IF(IF('Precinct Vote Data'!H585&gt;0.5,"D","R")=$E$8,1,0)</f>
        <v>0</v>
      </c>
      <c r="H158" s="5">
        <f t="shared" si="3"/>
        <v>0</v>
      </c>
      <c r="I158" s="13">
        <f>AVERAGE(ABS('Precinct Vote Data'!H582-$D$5),ABS('Precinct Vote Data'!H583-$D$6),ABS('Precinct Vote Data'!H584-$D$7),ABS('Precinct Vote Data'!H585-$D$8))</f>
        <v>0.1500691169</v>
      </c>
      <c r="J158" s="14" t="str">
        <f>IF(AND(H158=4,I158=MIN(K13:K420)),"&lt;&lt; MAGIC PRECINCT","")</f>
        <v/>
      </c>
      <c r="K158" s="5" t="str">
        <f t="shared" si="4"/>
        <v/>
      </c>
    </row>
    <row r="159" ht="15.0" customHeight="1">
      <c r="A159" s="5" t="s">
        <v>143</v>
      </c>
      <c r="B159" s="5" t="s">
        <v>209</v>
      </c>
      <c r="C159" s="5" t="s">
        <v>210</v>
      </c>
      <c r="D159" s="5">
        <f>IF(IF('Precinct Vote Data'!H586&gt;0.5,"D","R")=$E$5,1,0)</f>
        <v>0</v>
      </c>
      <c r="E159" s="5">
        <f>IF(IF('Precinct Vote Data'!H587&gt;0.5,"D","R")=$E$6,1,0)</f>
        <v>0</v>
      </c>
      <c r="F159" s="5">
        <f>IF(IF('Precinct Vote Data'!H588&gt;0.5,"D","R")=$E$7,1,0)</f>
        <v>0</v>
      </c>
      <c r="G159" s="5">
        <f>IF(IF('Precinct Vote Data'!H589&gt;0.5,"D","R")=$E$8,1,0)</f>
        <v>0</v>
      </c>
      <c r="H159" s="5">
        <f t="shared" si="3"/>
        <v>0</v>
      </c>
      <c r="I159" s="13">
        <f>AVERAGE(ABS('Precinct Vote Data'!H586-$D$5),ABS('Precinct Vote Data'!H587-$D$6),ABS('Precinct Vote Data'!H588-$D$7),ABS('Precinct Vote Data'!H589-$D$8))</f>
        <v>0.2339237495</v>
      </c>
      <c r="J159" s="14" t="str">
        <f>IF(AND(H159=4,I159=MIN(K13:K420)),"&lt;&lt; MAGIC PRECINCT","")</f>
        <v/>
      </c>
      <c r="K159" s="5" t="str">
        <f t="shared" si="4"/>
        <v/>
      </c>
    </row>
    <row r="160" ht="15.0" customHeight="1">
      <c r="A160" s="5" t="s">
        <v>143</v>
      </c>
      <c r="B160" s="5" t="s">
        <v>209</v>
      </c>
      <c r="C160" s="5" t="s">
        <v>211</v>
      </c>
      <c r="D160" s="5">
        <f>IF(IF('Precinct Vote Data'!H590&gt;0.5,"D","R")=$E$5,1,0)</f>
        <v>0</v>
      </c>
      <c r="E160" s="5">
        <f>IF(IF('Precinct Vote Data'!H591&gt;0.5,"D","R")=$E$6,1,0)</f>
        <v>0</v>
      </c>
      <c r="F160" s="5">
        <f>IF(IF('Precinct Vote Data'!H592&gt;0.5,"D","R")=$E$7,1,0)</f>
        <v>0</v>
      </c>
      <c r="G160" s="5">
        <f>IF(IF('Precinct Vote Data'!H593&gt;0.5,"D","R")=$E$8,1,0)</f>
        <v>0</v>
      </c>
      <c r="H160" s="5">
        <f t="shared" si="3"/>
        <v>0</v>
      </c>
      <c r="I160" s="13">
        <f>AVERAGE(ABS('Precinct Vote Data'!H590-$D$5),ABS('Precinct Vote Data'!H591-$D$6),ABS('Precinct Vote Data'!H592-$D$7),ABS('Precinct Vote Data'!H593-$D$8))</f>
        <v>0.1976302253</v>
      </c>
      <c r="J160" s="14" t="str">
        <f>IF(AND(H160=4,I160=MIN(K13:K420)),"&lt;&lt; MAGIC PRECINCT","")</f>
        <v/>
      </c>
      <c r="K160" s="5" t="str">
        <f t="shared" si="4"/>
        <v/>
      </c>
    </row>
    <row r="161" ht="15.0" customHeight="1">
      <c r="A161" s="5" t="s">
        <v>143</v>
      </c>
      <c r="B161" s="5" t="s">
        <v>209</v>
      </c>
      <c r="C161" s="5" t="s">
        <v>212</v>
      </c>
      <c r="D161" s="5">
        <f>IF(IF('Precinct Vote Data'!H594&gt;0.5,"D","R")=$E$5,1,0)</f>
        <v>0</v>
      </c>
      <c r="E161" s="5">
        <f>IF(IF('Precinct Vote Data'!H595&gt;0.5,"D","R")=$E$6,1,0)</f>
        <v>0</v>
      </c>
      <c r="F161" s="5">
        <f>IF(IF('Precinct Vote Data'!H596&gt;0.5,"D","R")=$E$7,1,0)</f>
        <v>0</v>
      </c>
      <c r="G161" s="5">
        <f>IF(IF('Precinct Vote Data'!H597&gt;0.5,"D","R")=$E$8,1,0)</f>
        <v>0</v>
      </c>
      <c r="H161" s="5">
        <f t="shared" si="3"/>
        <v>0</v>
      </c>
      <c r="I161" s="13">
        <f>AVERAGE(ABS('Precinct Vote Data'!H594-$D$5),ABS('Precinct Vote Data'!H595-$D$6),ABS('Precinct Vote Data'!H596-$D$7),ABS('Precinct Vote Data'!H597-$D$8))</f>
        <v>0.1694886951</v>
      </c>
      <c r="J161" s="14" t="str">
        <f>IF(AND(H161=4,I161=MIN(K13:K420)),"&lt;&lt; MAGIC PRECINCT","")</f>
        <v/>
      </c>
      <c r="K161" s="5" t="str">
        <f t="shared" si="4"/>
        <v/>
      </c>
    </row>
    <row r="162" ht="15.0" customHeight="1">
      <c r="A162" s="5" t="s">
        <v>143</v>
      </c>
      <c r="B162" s="5" t="s">
        <v>213</v>
      </c>
      <c r="C162" s="5" t="s">
        <v>214</v>
      </c>
      <c r="D162" s="5">
        <f>IF(IF('Precinct Vote Data'!H598&gt;0.5,"D","R")=$E$5,1,0)</f>
        <v>1</v>
      </c>
      <c r="E162" s="5">
        <f>IF(IF('Precinct Vote Data'!H599&gt;0.5,"D","R")=$E$6,1,0)</f>
        <v>1</v>
      </c>
      <c r="F162" s="5">
        <f>IF(IF('Precinct Vote Data'!H600&gt;0.5,"D","R")=$E$7,1,0)</f>
        <v>1</v>
      </c>
      <c r="G162" s="5">
        <f>IF(IF('Precinct Vote Data'!H601&gt;0.5,"D","R")=$E$8,1,0)</f>
        <v>1</v>
      </c>
      <c r="H162" s="5">
        <f t="shared" si="3"/>
        <v>4</v>
      </c>
      <c r="I162" s="13">
        <f>AVERAGE(ABS('Precinct Vote Data'!H598-$D$5),ABS('Precinct Vote Data'!H599-$D$6),ABS('Precinct Vote Data'!H600-$D$7),ABS('Precinct Vote Data'!H601-$D$8))</f>
        <v>0.02489702154</v>
      </c>
      <c r="J162" s="14" t="str">
        <f>IF(AND(H162=4,I162=MIN(K13:K420)),"&lt;&lt; MAGIC PRECINCT","")</f>
        <v/>
      </c>
      <c r="K162" s="13">
        <f t="shared" si="4"/>
        <v>0.02489702154</v>
      </c>
    </row>
    <row r="163" ht="15.0" customHeight="1">
      <c r="A163" s="5" t="s">
        <v>143</v>
      </c>
      <c r="B163" s="5" t="s">
        <v>215</v>
      </c>
      <c r="C163" s="5" t="s">
        <v>216</v>
      </c>
      <c r="D163" s="5">
        <f>IF(IF('Precinct Vote Data'!H602&gt;0.5,"D","R")=$E$5,1,0)</f>
        <v>0</v>
      </c>
      <c r="E163" s="5">
        <f>IF(IF('Precinct Vote Data'!H603&gt;0.5,"D","R")=$E$6,1,0)</f>
        <v>0</v>
      </c>
      <c r="F163" s="5">
        <f>IF(IF('Precinct Vote Data'!H604&gt;0.5,"D","R")=$E$7,1,0)</f>
        <v>0</v>
      </c>
      <c r="G163" s="5">
        <f>IF(IF('Precinct Vote Data'!H605&gt;0.5,"D","R")=$E$8,1,0)</f>
        <v>0</v>
      </c>
      <c r="H163" s="5">
        <f t="shared" si="3"/>
        <v>0</v>
      </c>
      <c r="I163" s="13">
        <f>AVERAGE(ABS('Precinct Vote Data'!H602-$D$5),ABS('Precinct Vote Data'!H603-$D$6),ABS('Precinct Vote Data'!H604-$D$7),ABS('Precinct Vote Data'!H605-$D$8))</f>
        <v>0.08649711312</v>
      </c>
      <c r="J163" s="14" t="str">
        <f>IF(AND(H163=4,I163=MIN(K13:K420)),"&lt;&lt; MAGIC PRECINCT","")</f>
        <v/>
      </c>
      <c r="K163" s="5" t="str">
        <f t="shared" si="4"/>
        <v/>
      </c>
    </row>
    <row r="164" ht="15.0" customHeight="1">
      <c r="A164" s="5" t="s">
        <v>143</v>
      </c>
      <c r="B164" s="5" t="s">
        <v>215</v>
      </c>
      <c r="C164" s="5" t="s">
        <v>217</v>
      </c>
      <c r="D164" s="5">
        <f>IF(IF('Precinct Vote Data'!H606&gt;0.5,"D","R")=$E$5,1,0)</f>
        <v>0</v>
      </c>
      <c r="E164" s="5">
        <f>IF(IF('Precinct Vote Data'!H607&gt;0.5,"D","R")=$E$6,1,0)</f>
        <v>0</v>
      </c>
      <c r="F164" s="5">
        <f>IF(IF('Precinct Vote Data'!H608&gt;0.5,"D","R")=$E$7,1,0)</f>
        <v>0</v>
      </c>
      <c r="G164" s="5">
        <f>IF(IF('Precinct Vote Data'!H609&gt;0.5,"D","R")=$E$8,1,0)</f>
        <v>0</v>
      </c>
      <c r="H164" s="5">
        <f t="shared" si="3"/>
        <v>0</v>
      </c>
      <c r="I164" s="13">
        <f>AVERAGE(ABS('Precinct Vote Data'!H606-$D$5),ABS('Precinct Vote Data'!H607-$D$6),ABS('Precinct Vote Data'!H608-$D$7),ABS('Precinct Vote Data'!H609-$D$8))</f>
        <v>0.1103149565</v>
      </c>
      <c r="J164" s="14" t="str">
        <f>IF(AND(H164=4,I164=MIN(K13:K420)),"&lt;&lt; MAGIC PRECINCT","")</f>
        <v/>
      </c>
      <c r="K164" s="5" t="str">
        <f t="shared" si="4"/>
        <v/>
      </c>
    </row>
    <row r="165" ht="15.0" customHeight="1">
      <c r="A165" s="5" t="s">
        <v>143</v>
      </c>
      <c r="B165" s="5" t="s">
        <v>215</v>
      </c>
      <c r="C165" s="5" t="s">
        <v>218</v>
      </c>
      <c r="D165" s="5">
        <f>IF(IF('Precinct Vote Data'!H610&gt;0.5,"D","R")=$E$5,1,0)</f>
        <v>0</v>
      </c>
      <c r="E165" s="5">
        <f>IF(IF('Precinct Vote Data'!H611&gt;0.5,"D","R")=$E$6,1,0)</f>
        <v>0</v>
      </c>
      <c r="F165" s="5">
        <f>IF(IF('Precinct Vote Data'!H612&gt;0.5,"D","R")=$E$7,1,0)</f>
        <v>0</v>
      </c>
      <c r="G165" s="5">
        <f>IF(IF('Precinct Vote Data'!H613&gt;0.5,"D","R")=$E$8,1,0)</f>
        <v>0</v>
      </c>
      <c r="H165" s="5">
        <f t="shared" si="3"/>
        <v>0</v>
      </c>
      <c r="I165" s="13">
        <f>AVERAGE(ABS('Precinct Vote Data'!H610-$D$5),ABS('Precinct Vote Data'!H611-$D$6),ABS('Precinct Vote Data'!H612-$D$7),ABS('Precinct Vote Data'!H613-$D$8))</f>
        <v>0.1158637736</v>
      </c>
      <c r="J165" s="14" t="str">
        <f>IF(AND(H165=4,I165=MIN(K13:K420)),"&lt;&lt; MAGIC PRECINCT","")</f>
        <v/>
      </c>
      <c r="K165" s="5" t="str">
        <f t="shared" si="4"/>
        <v/>
      </c>
    </row>
    <row r="166" ht="15.0" customHeight="1">
      <c r="A166" s="5" t="s">
        <v>143</v>
      </c>
      <c r="B166" s="5" t="s">
        <v>215</v>
      </c>
      <c r="C166" s="5" t="s">
        <v>219</v>
      </c>
      <c r="D166" s="5">
        <f>IF(IF('Precinct Vote Data'!H614&gt;0.5,"D","R")=$E$5,1,0)</f>
        <v>0</v>
      </c>
      <c r="E166" s="5">
        <f>IF(IF('Precinct Vote Data'!H615&gt;0.5,"D","R")=$E$6,1,0)</f>
        <v>0</v>
      </c>
      <c r="F166" s="5">
        <f>IF(IF('Precinct Vote Data'!H616&gt;0.5,"D","R")=$E$7,1,0)</f>
        <v>0</v>
      </c>
      <c r="G166" s="5">
        <f>IF(IF('Precinct Vote Data'!H617&gt;0.5,"D","R")=$E$8,1,0)</f>
        <v>0</v>
      </c>
      <c r="H166" s="5">
        <f t="shared" si="3"/>
        <v>0</v>
      </c>
      <c r="I166" s="13">
        <f>AVERAGE(ABS('Precinct Vote Data'!H614-$D$5),ABS('Precinct Vote Data'!H615-$D$6),ABS('Precinct Vote Data'!H616-$D$7),ABS('Precinct Vote Data'!H617-$D$8))</f>
        <v>0.1172880856</v>
      </c>
      <c r="J166" s="14" t="str">
        <f>IF(AND(H166=4,I166=MIN(K13:K420)),"&lt;&lt; MAGIC PRECINCT","")</f>
        <v/>
      </c>
      <c r="K166" s="5" t="str">
        <f t="shared" si="4"/>
        <v/>
      </c>
    </row>
    <row r="167" ht="15.0" customHeight="1">
      <c r="A167" s="5" t="s">
        <v>143</v>
      </c>
      <c r="B167" s="5" t="s">
        <v>215</v>
      </c>
      <c r="C167" s="5" t="s">
        <v>220</v>
      </c>
      <c r="D167" s="5">
        <f>IF(IF('Precinct Vote Data'!H618&gt;0.5,"D","R")=$E$5,1,0)</f>
        <v>0</v>
      </c>
      <c r="E167" s="5">
        <f>IF(IF('Precinct Vote Data'!H619&gt;0.5,"D","R")=$E$6,1,0)</f>
        <v>0</v>
      </c>
      <c r="F167" s="5">
        <f>IF(IF('Precinct Vote Data'!H620&gt;0.5,"D","R")=$E$7,1,0)</f>
        <v>0</v>
      </c>
      <c r="G167" s="5">
        <f>IF(IF('Precinct Vote Data'!H621&gt;0.5,"D","R")=$E$8,1,0)</f>
        <v>0</v>
      </c>
      <c r="H167" s="5">
        <f t="shared" si="3"/>
        <v>0</v>
      </c>
      <c r="I167" s="13">
        <f>AVERAGE(ABS('Precinct Vote Data'!H618-$D$5),ABS('Precinct Vote Data'!H619-$D$6),ABS('Precinct Vote Data'!H620-$D$7),ABS('Precinct Vote Data'!H621-$D$8))</f>
        <v>0.1289252569</v>
      </c>
      <c r="J167" s="14" t="str">
        <f>IF(AND(H167=4,I167=MIN(K13:K420)),"&lt;&lt; MAGIC PRECINCT","")</f>
        <v/>
      </c>
      <c r="K167" s="5" t="str">
        <f t="shared" si="4"/>
        <v/>
      </c>
    </row>
    <row r="168" ht="15.0" customHeight="1">
      <c r="A168" s="5" t="s">
        <v>143</v>
      </c>
      <c r="B168" s="5" t="s">
        <v>215</v>
      </c>
      <c r="C168" s="5" t="s">
        <v>221</v>
      </c>
      <c r="D168" s="5">
        <f>IF(IF('Precinct Vote Data'!H622&gt;0.5,"D","R")=$E$5,1,0)</f>
        <v>0</v>
      </c>
      <c r="E168" s="5">
        <f>IF(IF('Precinct Vote Data'!H623&gt;0.5,"D","R")=$E$6,1,0)</f>
        <v>0</v>
      </c>
      <c r="F168" s="5">
        <f>IF(IF('Precinct Vote Data'!H624&gt;0.5,"D","R")=$E$7,1,0)</f>
        <v>0</v>
      </c>
      <c r="G168" s="5">
        <f>IF(IF('Precinct Vote Data'!H625&gt;0.5,"D","R")=$E$8,1,0)</f>
        <v>0</v>
      </c>
      <c r="H168" s="5">
        <f t="shared" si="3"/>
        <v>0</v>
      </c>
      <c r="I168" s="13">
        <f>AVERAGE(ABS('Precinct Vote Data'!H622-$D$5),ABS('Precinct Vote Data'!H623-$D$6),ABS('Precinct Vote Data'!H624-$D$7),ABS('Precinct Vote Data'!H625-$D$8))</f>
        <v>0.07217372191</v>
      </c>
      <c r="J168" s="14" t="str">
        <f>IF(AND(H168=4,I168=MIN(K13:K420)),"&lt;&lt; MAGIC PRECINCT","")</f>
        <v/>
      </c>
      <c r="K168" s="5" t="str">
        <f t="shared" si="4"/>
        <v/>
      </c>
    </row>
    <row r="169" ht="15.0" customHeight="1">
      <c r="A169" s="5" t="s">
        <v>143</v>
      </c>
      <c r="B169" s="5" t="s">
        <v>222</v>
      </c>
      <c r="C169" s="5" t="s">
        <v>223</v>
      </c>
      <c r="D169" s="5">
        <f>IF(IF('Precinct Vote Data'!H626&gt;0.5,"D","R")=$E$5,1,0)</f>
        <v>1</v>
      </c>
      <c r="E169" s="5">
        <f>IF(IF('Precinct Vote Data'!H627&gt;0.5,"D","R")=$E$6,1,0)</f>
        <v>1</v>
      </c>
      <c r="F169" s="5">
        <f>IF(IF('Precinct Vote Data'!H628&gt;0.5,"D","R")=$E$7,1,0)</f>
        <v>1</v>
      </c>
      <c r="G169" s="5">
        <f>IF(IF('Precinct Vote Data'!H629&gt;0.5,"D","R")=$E$8,1,0)</f>
        <v>0</v>
      </c>
      <c r="H169" s="5">
        <f t="shared" si="3"/>
        <v>3</v>
      </c>
      <c r="I169" s="13">
        <f>AVERAGE(ABS('Precinct Vote Data'!H626-$D$5),ABS('Precinct Vote Data'!H627-$D$6),ABS('Precinct Vote Data'!H628-$D$7),ABS('Precinct Vote Data'!H629-$D$8))</f>
        <v>0.008060577448</v>
      </c>
      <c r="J169" s="14" t="str">
        <f>IF(AND(H169=4,I169=MIN(K13:K420)),"&lt;&lt; MAGIC PRECINCT","")</f>
        <v/>
      </c>
      <c r="K169" s="5" t="str">
        <f t="shared" si="4"/>
        <v/>
      </c>
    </row>
    <row r="170" ht="15.0" customHeight="1">
      <c r="A170" s="5" t="s">
        <v>143</v>
      </c>
      <c r="B170" s="5" t="s">
        <v>222</v>
      </c>
      <c r="C170" s="5" t="s">
        <v>224</v>
      </c>
      <c r="D170" s="5">
        <f>IF(IF('Precinct Vote Data'!H630&gt;0.5,"D","R")=$E$5,1,0)</f>
        <v>1</v>
      </c>
      <c r="E170" s="5">
        <f>IF(IF('Precinct Vote Data'!H631&gt;0.5,"D","R")=$E$6,1,0)</f>
        <v>1</v>
      </c>
      <c r="F170" s="5">
        <f>IF(IF('Precinct Vote Data'!H632&gt;0.5,"D","R")=$E$7,1,0)</f>
        <v>1</v>
      </c>
      <c r="G170" s="5">
        <f>IF(IF('Precinct Vote Data'!H633&gt;0.5,"D","R")=$E$8,1,0)</f>
        <v>0</v>
      </c>
      <c r="H170" s="5">
        <f t="shared" si="3"/>
        <v>3</v>
      </c>
      <c r="I170" s="13">
        <f>AVERAGE(ABS('Precinct Vote Data'!H630-$D$5),ABS('Precinct Vote Data'!H631-$D$6),ABS('Precinct Vote Data'!H632-$D$7),ABS('Precinct Vote Data'!H633-$D$8))</f>
        <v>0.005044250477</v>
      </c>
      <c r="J170" s="14" t="str">
        <f>IF(AND(H170=4,I170=MIN(K13:K420)),"&lt;&lt; MAGIC PRECINCT","")</f>
        <v/>
      </c>
      <c r="K170" s="5" t="str">
        <f t="shared" si="4"/>
        <v/>
      </c>
    </row>
    <row r="171" ht="15.0" customHeight="1">
      <c r="A171" s="5" t="s">
        <v>143</v>
      </c>
      <c r="B171" s="5" t="s">
        <v>222</v>
      </c>
      <c r="C171" s="5" t="s">
        <v>225</v>
      </c>
      <c r="D171" s="5">
        <f>IF(IF('Precinct Vote Data'!H634&gt;0.5,"D","R")=$E$5,1,0)</f>
        <v>1</v>
      </c>
      <c r="E171" s="5">
        <f>IF(IF('Precinct Vote Data'!H635&gt;0.5,"D","R")=$E$6,1,0)</f>
        <v>0</v>
      </c>
      <c r="F171" s="5">
        <f>IF(IF('Precinct Vote Data'!H636&gt;0.5,"D","R")=$E$7,1,0)</f>
        <v>1</v>
      </c>
      <c r="G171" s="5">
        <f>IF(IF('Precinct Vote Data'!H637&gt;0.5,"D","R")=$E$8,1,0)</f>
        <v>0</v>
      </c>
      <c r="H171" s="5">
        <f t="shared" si="3"/>
        <v>2</v>
      </c>
      <c r="I171" s="13">
        <f>AVERAGE(ABS('Precinct Vote Data'!H634-$D$5),ABS('Precinct Vote Data'!H635-$D$6),ABS('Precinct Vote Data'!H636-$D$7),ABS('Precinct Vote Data'!H637-$D$8))</f>
        <v>0.01465922839</v>
      </c>
      <c r="J171" s="14" t="str">
        <f>IF(AND(H171=4,I171=MIN(K13:K420)),"&lt;&lt; MAGIC PRECINCT","")</f>
        <v/>
      </c>
      <c r="K171" s="5" t="str">
        <f t="shared" si="4"/>
        <v/>
      </c>
    </row>
    <row r="172" ht="15.0" customHeight="1">
      <c r="A172" s="5" t="s">
        <v>143</v>
      </c>
      <c r="B172" s="5" t="s">
        <v>222</v>
      </c>
      <c r="C172" s="5" t="s">
        <v>226</v>
      </c>
      <c r="D172" s="5">
        <f>IF(IF('Precinct Vote Data'!H638&gt;0.5,"D","R")=$E$5,1,0)</f>
        <v>1</v>
      </c>
      <c r="E172" s="5">
        <f>IF(IF('Precinct Vote Data'!H639&gt;0.5,"D","R")=$E$6,1,0)</f>
        <v>1</v>
      </c>
      <c r="F172" s="5">
        <f>IF(IF('Precinct Vote Data'!H640&gt;0.5,"D","R")=$E$7,1,0)</f>
        <v>1</v>
      </c>
      <c r="G172" s="5">
        <f>IF(IF('Precinct Vote Data'!H641&gt;0.5,"D","R")=$E$8,1,0)</f>
        <v>0</v>
      </c>
      <c r="H172" s="5">
        <f t="shared" si="3"/>
        <v>3</v>
      </c>
      <c r="I172" s="13">
        <f>AVERAGE(ABS('Precinct Vote Data'!H638-$D$5),ABS('Precinct Vote Data'!H639-$D$6),ABS('Precinct Vote Data'!H640-$D$7),ABS('Precinct Vote Data'!H641-$D$8))</f>
        <v>0.009515961903</v>
      </c>
      <c r="J172" s="14" t="str">
        <f>IF(AND(H172=4,I172=MIN(K13:K420)),"&lt;&lt; MAGIC PRECINCT","")</f>
        <v/>
      </c>
      <c r="K172" s="5" t="str">
        <f t="shared" si="4"/>
        <v/>
      </c>
    </row>
    <row r="173" ht="15.0" customHeight="1">
      <c r="A173" s="5" t="s">
        <v>143</v>
      </c>
      <c r="B173" s="5" t="s">
        <v>222</v>
      </c>
      <c r="C173" s="5" t="s">
        <v>227</v>
      </c>
      <c r="D173" s="5">
        <f>IF(IF('Precinct Vote Data'!H642&gt;0.5,"D","R")=$E$5,1,0)</f>
        <v>0</v>
      </c>
      <c r="E173" s="5">
        <f>IF(IF('Precinct Vote Data'!H643&gt;0.5,"D","R")=$E$6,1,0)</f>
        <v>0</v>
      </c>
      <c r="F173" s="5">
        <f>IF(IF('Precinct Vote Data'!H644&gt;0.5,"D","R")=$E$7,1,0)</f>
        <v>0</v>
      </c>
      <c r="G173" s="5">
        <f>IF(IF('Precinct Vote Data'!H645&gt;0.5,"D","R")=$E$8,1,0)</f>
        <v>0</v>
      </c>
      <c r="H173" s="5">
        <f t="shared" si="3"/>
        <v>0</v>
      </c>
      <c r="I173" s="13">
        <f>AVERAGE(ABS('Precinct Vote Data'!H642-$D$5),ABS('Precinct Vote Data'!H643-$D$6),ABS('Precinct Vote Data'!H644-$D$7),ABS('Precinct Vote Data'!H645-$D$8))</f>
        <v>0.0352498424</v>
      </c>
      <c r="J173" s="14" t="str">
        <f>IF(AND(H173=4,I173=MIN(K13:K420)),"&lt;&lt; MAGIC PRECINCT","")</f>
        <v/>
      </c>
      <c r="K173" s="5" t="str">
        <f t="shared" si="4"/>
        <v/>
      </c>
    </row>
    <row r="174" ht="15.0" customHeight="1">
      <c r="A174" s="5" t="s">
        <v>143</v>
      </c>
      <c r="B174" s="5" t="s">
        <v>222</v>
      </c>
      <c r="C174" s="5" t="s">
        <v>228</v>
      </c>
      <c r="D174" s="5">
        <f>IF(IF('Precinct Vote Data'!H646&gt;0.5,"D","R")=$E$5,1,0)</f>
        <v>0</v>
      </c>
      <c r="E174" s="5">
        <f>IF(IF('Precinct Vote Data'!H647&gt;0.5,"D","R")=$E$6,1,0)</f>
        <v>0</v>
      </c>
      <c r="F174" s="5">
        <f>IF(IF('Precinct Vote Data'!H648&gt;0.5,"D","R")=$E$7,1,0)</f>
        <v>0</v>
      </c>
      <c r="G174" s="5">
        <f>IF(IF('Precinct Vote Data'!H649&gt;0.5,"D","R")=$E$8,1,0)</f>
        <v>0</v>
      </c>
      <c r="H174" s="5">
        <f t="shared" si="3"/>
        <v>0</v>
      </c>
      <c r="I174" s="13">
        <f>AVERAGE(ABS('Precinct Vote Data'!H646-$D$5),ABS('Precinct Vote Data'!H647-$D$6),ABS('Precinct Vote Data'!H648-$D$7),ABS('Precinct Vote Data'!H649-$D$8))</f>
        <v>0.04035458634</v>
      </c>
      <c r="J174" s="14" t="str">
        <f>IF(AND(H174=4,I174=MIN(K13:K420)),"&lt;&lt; MAGIC PRECINCT","")</f>
        <v/>
      </c>
      <c r="K174" s="5" t="str">
        <f t="shared" si="4"/>
        <v/>
      </c>
    </row>
    <row r="175" ht="15.0" customHeight="1">
      <c r="A175" s="5" t="s">
        <v>143</v>
      </c>
      <c r="B175" s="5" t="s">
        <v>222</v>
      </c>
      <c r="C175" s="5" t="s">
        <v>229</v>
      </c>
      <c r="D175" s="5">
        <f>IF(IF('Precinct Vote Data'!H650&gt;0.5,"D","R")=$E$5,1,0)</f>
        <v>0</v>
      </c>
      <c r="E175" s="5">
        <f>IF(IF('Precinct Vote Data'!H651&gt;0.5,"D","R")=$E$6,1,0)</f>
        <v>0</v>
      </c>
      <c r="F175" s="5">
        <f>IF(IF('Precinct Vote Data'!H652&gt;0.5,"D","R")=$E$7,1,0)</f>
        <v>1</v>
      </c>
      <c r="G175" s="5">
        <f>IF(IF('Precinct Vote Data'!H653&gt;0.5,"D","R")=$E$8,1,0)</f>
        <v>1</v>
      </c>
      <c r="H175" s="5">
        <f t="shared" si="3"/>
        <v>2</v>
      </c>
      <c r="I175" s="13">
        <f>AVERAGE(ABS('Precinct Vote Data'!H650-$D$5),ABS('Precinct Vote Data'!H651-$D$6),ABS('Precinct Vote Data'!H652-$D$7),ABS('Precinct Vote Data'!H653-$D$8))</f>
        <v>0.03436419283</v>
      </c>
      <c r="J175" s="14" t="str">
        <f>IF(AND(H175=4,I175=MIN(K13:K420)),"&lt;&lt; MAGIC PRECINCT","")</f>
        <v/>
      </c>
      <c r="K175" s="5" t="str">
        <f t="shared" si="4"/>
        <v/>
      </c>
    </row>
    <row r="176" ht="15.0" customHeight="1">
      <c r="A176" s="5" t="s">
        <v>143</v>
      </c>
      <c r="B176" s="5" t="s">
        <v>222</v>
      </c>
      <c r="C176" s="5" t="s">
        <v>230</v>
      </c>
      <c r="D176" s="5">
        <f>IF(IF('Precinct Vote Data'!H654&gt;0.5,"D","R")=$E$5,1,0)</f>
        <v>0</v>
      </c>
      <c r="E176" s="5">
        <f>IF(IF('Precinct Vote Data'!H655&gt;0.5,"D","R")=$E$6,1,0)</f>
        <v>0</v>
      </c>
      <c r="F176" s="5">
        <f>IF(IF('Precinct Vote Data'!H656&gt;0.5,"D","R")=$E$7,1,0)</f>
        <v>1</v>
      </c>
      <c r="G176" s="5">
        <f>IF(IF('Precinct Vote Data'!H657&gt;0.5,"D","R")=$E$8,1,0)</f>
        <v>0</v>
      </c>
      <c r="H176" s="5">
        <f t="shared" si="3"/>
        <v>1</v>
      </c>
      <c r="I176" s="13">
        <f>AVERAGE(ABS('Precinct Vote Data'!H654-$D$5),ABS('Precinct Vote Data'!H655-$D$6),ABS('Precinct Vote Data'!H656-$D$7),ABS('Precinct Vote Data'!H657-$D$8))</f>
        <v>0.02012235602</v>
      </c>
      <c r="J176" s="14" t="str">
        <f>IF(AND(H176=4,I176=MIN(K13:K420)),"&lt;&lt; MAGIC PRECINCT","")</f>
        <v/>
      </c>
      <c r="K176" s="5" t="str">
        <f t="shared" si="4"/>
        <v/>
      </c>
    </row>
    <row r="177" ht="15.0" customHeight="1">
      <c r="A177" s="5" t="s">
        <v>143</v>
      </c>
      <c r="B177" s="5" t="s">
        <v>231</v>
      </c>
      <c r="C177" s="5" t="s">
        <v>232</v>
      </c>
      <c r="D177" s="5">
        <f>IF(IF('Precinct Vote Data'!H658&gt;0.5,"D","R")=$E$5,1,0)</f>
        <v>0</v>
      </c>
      <c r="E177" s="5">
        <f>IF(IF('Precinct Vote Data'!H659&gt;0.5,"D","R")=$E$6,1,0)</f>
        <v>0</v>
      </c>
      <c r="F177" s="5">
        <f>IF(IF('Precinct Vote Data'!H660&gt;0.5,"D","R")=$E$7,1,0)</f>
        <v>0</v>
      </c>
      <c r="G177" s="5">
        <f>IF(IF('Precinct Vote Data'!H661&gt;0.5,"D","R")=$E$8,1,0)</f>
        <v>0</v>
      </c>
      <c r="H177" s="5">
        <f t="shared" si="3"/>
        <v>0</v>
      </c>
      <c r="I177" s="13">
        <f>AVERAGE(ABS('Precinct Vote Data'!H658-$D$5),ABS('Precinct Vote Data'!H659-$D$6),ABS('Precinct Vote Data'!H660-$D$7),ABS('Precinct Vote Data'!H661-$D$8))</f>
        <v>0.07555998386</v>
      </c>
      <c r="J177" s="14" t="str">
        <f>IF(AND(H177=4,I177=MIN(K13:K420)),"&lt;&lt; MAGIC PRECINCT","")</f>
        <v/>
      </c>
      <c r="K177" s="5" t="str">
        <f t="shared" si="4"/>
        <v/>
      </c>
    </row>
    <row r="178" ht="15.0" customHeight="1">
      <c r="A178" s="5" t="s">
        <v>143</v>
      </c>
      <c r="B178" s="5" t="s">
        <v>231</v>
      </c>
      <c r="C178" s="5" t="s">
        <v>233</v>
      </c>
      <c r="D178" s="5">
        <f>IF(IF('Precinct Vote Data'!H662&gt;0.5,"D","R")=$E$5,1,0)</f>
        <v>0</v>
      </c>
      <c r="E178" s="5">
        <f>IF(IF('Precinct Vote Data'!H663&gt;0.5,"D","R")=$E$6,1,0)</f>
        <v>0</v>
      </c>
      <c r="F178" s="5">
        <f>IF(IF('Precinct Vote Data'!H664&gt;0.5,"D","R")=$E$7,1,0)</f>
        <v>0</v>
      </c>
      <c r="G178" s="5">
        <f>IF(IF('Precinct Vote Data'!H665&gt;0.5,"D","R")=$E$8,1,0)</f>
        <v>0</v>
      </c>
      <c r="H178" s="5">
        <f t="shared" si="3"/>
        <v>0</v>
      </c>
      <c r="I178" s="13">
        <f>AVERAGE(ABS('Precinct Vote Data'!H662-$D$5),ABS('Precinct Vote Data'!H663-$D$6),ABS('Precinct Vote Data'!H664-$D$7),ABS('Precinct Vote Data'!H665-$D$8))</f>
        <v>0.0931572541</v>
      </c>
      <c r="J178" s="14" t="str">
        <f>IF(AND(H178=4,I178=MIN(K13:K420)),"&lt;&lt; MAGIC PRECINCT","")</f>
        <v/>
      </c>
      <c r="K178" s="5" t="str">
        <f t="shared" si="4"/>
        <v/>
      </c>
    </row>
    <row r="179" ht="15.0" customHeight="1">
      <c r="A179" s="5" t="s">
        <v>143</v>
      </c>
      <c r="B179" s="5" t="s">
        <v>231</v>
      </c>
      <c r="C179" s="5" t="s">
        <v>234</v>
      </c>
      <c r="D179" s="5">
        <f>IF(IF('Precinct Vote Data'!H666&gt;0.5,"D","R")=$E$5,1,0)</f>
        <v>0</v>
      </c>
      <c r="E179" s="5">
        <f>IF(IF('Precinct Vote Data'!H667&gt;0.5,"D","R")=$E$6,1,0)</f>
        <v>0</v>
      </c>
      <c r="F179" s="5">
        <f>IF(IF('Precinct Vote Data'!H668&gt;0.5,"D","R")=$E$7,1,0)</f>
        <v>0</v>
      </c>
      <c r="G179" s="5">
        <f>IF(IF('Precinct Vote Data'!H669&gt;0.5,"D","R")=$E$8,1,0)</f>
        <v>0</v>
      </c>
      <c r="H179" s="5">
        <f t="shared" si="3"/>
        <v>0</v>
      </c>
      <c r="I179" s="13">
        <f>AVERAGE(ABS('Precinct Vote Data'!H666-$D$5),ABS('Precinct Vote Data'!H667-$D$6),ABS('Precinct Vote Data'!H668-$D$7),ABS('Precinct Vote Data'!H669-$D$8))</f>
        <v>0.09047254747</v>
      </c>
      <c r="J179" s="14" t="str">
        <f>IF(AND(H179=4,I179=MIN(K13:K420)),"&lt;&lt; MAGIC PRECINCT","")</f>
        <v/>
      </c>
      <c r="K179" s="5" t="str">
        <f t="shared" si="4"/>
        <v/>
      </c>
    </row>
    <row r="180" ht="15.0" customHeight="1">
      <c r="A180" s="5" t="s">
        <v>143</v>
      </c>
      <c r="B180" s="5" t="s">
        <v>235</v>
      </c>
      <c r="C180" s="5" t="s">
        <v>236</v>
      </c>
      <c r="D180" s="5">
        <f>IF(IF('Precinct Vote Data'!H670&gt;0.5,"D","R")=$E$5,1,0)</f>
        <v>1</v>
      </c>
      <c r="E180" s="5">
        <f>IF(IF('Precinct Vote Data'!H671&gt;0.5,"D","R")=$E$6,1,0)</f>
        <v>0</v>
      </c>
      <c r="F180" s="5">
        <f>IF(IF('Precinct Vote Data'!H672&gt;0.5,"D","R")=$E$7,1,0)</f>
        <v>1</v>
      </c>
      <c r="G180" s="5">
        <f>IF(IF('Precinct Vote Data'!H673&gt;0.5,"D","R")=$E$8,1,0)</f>
        <v>0</v>
      </c>
      <c r="H180" s="5">
        <f t="shared" si="3"/>
        <v>2</v>
      </c>
      <c r="I180" s="13">
        <f>AVERAGE(ABS('Precinct Vote Data'!H670-$D$5),ABS('Precinct Vote Data'!H671-$D$6),ABS('Precinct Vote Data'!H672-$D$7),ABS('Precinct Vote Data'!H673-$D$8))</f>
        <v>0.01301015074</v>
      </c>
      <c r="J180" s="14" t="str">
        <f>IF(AND(H180=4,I180=MIN(K13:K420)),"&lt;&lt; MAGIC PRECINCT","")</f>
        <v/>
      </c>
      <c r="K180" s="5" t="str">
        <f t="shared" si="4"/>
        <v/>
      </c>
    </row>
    <row r="181" ht="15.0" customHeight="1">
      <c r="A181" s="5" t="s">
        <v>143</v>
      </c>
      <c r="B181" s="5" t="s">
        <v>235</v>
      </c>
      <c r="C181" s="5" t="s">
        <v>237</v>
      </c>
      <c r="D181" s="5">
        <f>IF(IF('Precinct Vote Data'!H674&gt;0.5,"D","R")=$E$5,1,0)</f>
        <v>1</v>
      </c>
      <c r="E181" s="5">
        <f>IF(IF('Precinct Vote Data'!H675&gt;0.5,"D","R")=$E$6,1,0)</f>
        <v>1</v>
      </c>
      <c r="F181" s="5">
        <f>IF(IF('Precinct Vote Data'!H676&gt;0.5,"D","R")=$E$7,1,0)</f>
        <v>1</v>
      </c>
      <c r="G181" s="5">
        <f>IF(IF('Precinct Vote Data'!H677&gt;0.5,"D","R")=$E$8,1,0)</f>
        <v>1</v>
      </c>
      <c r="H181" s="5">
        <f t="shared" si="3"/>
        <v>4</v>
      </c>
      <c r="I181" s="13">
        <f>AVERAGE(ABS('Precinct Vote Data'!H674-$D$5),ABS('Precinct Vote Data'!H675-$D$6),ABS('Precinct Vote Data'!H676-$D$7),ABS('Precinct Vote Data'!H677-$D$8))</f>
        <v>0.01756071452</v>
      </c>
      <c r="J181" s="14" t="str">
        <f>IF(AND(H181=4,I181=MIN(K13:K420)),"&lt;&lt; MAGIC PRECINCT","")</f>
        <v/>
      </c>
      <c r="K181" s="13">
        <f t="shared" si="4"/>
        <v>0.01756071452</v>
      </c>
    </row>
    <row r="182" ht="15.0" customHeight="1">
      <c r="A182" s="5" t="s">
        <v>143</v>
      </c>
      <c r="B182" s="5" t="s">
        <v>235</v>
      </c>
      <c r="C182" s="5" t="s">
        <v>238</v>
      </c>
      <c r="D182" s="5">
        <f>IF(IF('Precinct Vote Data'!H678&gt;0.5,"D","R")=$E$5,1,0)</f>
        <v>1</v>
      </c>
      <c r="E182" s="5">
        <f>IF(IF('Precinct Vote Data'!H679&gt;0.5,"D","R")=$E$6,1,0)</f>
        <v>1</v>
      </c>
      <c r="F182" s="5">
        <f>IF(IF('Precinct Vote Data'!H680&gt;0.5,"D","R")=$E$7,1,0)</f>
        <v>1</v>
      </c>
      <c r="G182" s="5">
        <f>IF(IF('Precinct Vote Data'!H681&gt;0.5,"D","R")=$E$8,1,0)</f>
        <v>1</v>
      </c>
      <c r="H182" s="5">
        <f t="shared" si="3"/>
        <v>4</v>
      </c>
      <c r="I182" s="13">
        <f>AVERAGE(ABS('Precinct Vote Data'!H678-$D$5),ABS('Precinct Vote Data'!H679-$D$6),ABS('Precinct Vote Data'!H680-$D$7),ABS('Precinct Vote Data'!H681-$D$8))</f>
        <v>0.05617182099</v>
      </c>
      <c r="J182" s="14" t="str">
        <f>IF(AND(H182=4,I182=MIN(K13:K420)),"&lt;&lt; MAGIC PRECINCT","")</f>
        <v/>
      </c>
      <c r="K182" s="13">
        <f t="shared" si="4"/>
        <v>0.05617182099</v>
      </c>
    </row>
    <row r="183" ht="15.0" customHeight="1">
      <c r="A183" s="5" t="s">
        <v>143</v>
      </c>
      <c r="B183" s="5" t="s">
        <v>235</v>
      </c>
      <c r="C183" s="5" t="s">
        <v>239</v>
      </c>
      <c r="D183" s="5">
        <f>IF(IF('Precinct Vote Data'!H682&gt;0.5,"D","R")=$E$5,1,0)</f>
        <v>1</v>
      </c>
      <c r="E183" s="5">
        <f>IF(IF('Precinct Vote Data'!H683&gt;0.5,"D","R")=$E$6,1,0)</f>
        <v>0</v>
      </c>
      <c r="F183" s="5">
        <f>IF(IF('Precinct Vote Data'!H684&gt;0.5,"D","R")=$E$7,1,0)</f>
        <v>0</v>
      </c>
      <c r="G183" s="5">
        <f>IF(IF('Precinct Vote Data'!H685&gt;0.5,"D","R")=$E$8,1,0)</f>
        <v>0</v>
      </c>
      <c r="H183" s="5">
        <f t="shared" si="3"/>
        <v>1</v>
      </c>
      <c r="I183" s="13">
        <f>AVERAGE(ABS('Precinct Vote Data'!H682-$D$5),ABS('Precinct Vote Data'!H683-$D$6),ABS('Precinct Vote Data'!H684-$D$7),ABS('Precinct Vote Data'!H685-$D$8))</f>
        <v>0.02341188791</v>
      </c>
      <c r="J183" s="14" t="str">
        <f>IF(AND(H183=4,I183=MIN(K13:K420)),"&lt;&lt; MAGIC PRECINCT","")</f>
        <v/>
      </c>
      <c r="K183" s="5" t="str">
        <f t="shared" si="4"/>
        <v/>
      </c>
    </row>
    <row r="184" ht="15.0" customHeight="1">
      <c r="A184" s="5" t="s">
        <v>143</v>
      </c>
      <c r="B184" s="5" t="s">
        <v>235</v>
      </c>
      <c r="C184" s="5" t="s">
        <v>240</v>
      </c>
      <c r="D184" s="5">
        <f>IF(IF('Precinct Vote Data'!H686&gt;0.5,"D","R")=$E$5,1,0)</f>
        <v>1</v>
      </c>
      <c r="E184" s="5">
        <f>IF(IF('Precinct Vote Data'!H687&gt;0.5,"D","R")=$E$6,1,0)</f>
        <v>1</v>
      </c>
      <c r="F184" s="5">
        <f>IF(IF('Precinct Vote Data'!H688&gt;0.5,"D","R")=$E$7,1,0)</f>
        <v>1</v>
      </c>
      <c r="G184" s="5">
        <f>IF(IF('Precinct Vote Data'!H689&gt;0.5,"D","R")=$E$8,1,0)</f>
        <v>1</v>
      </c>
      <c r="H184" s="5">
        <f t="shared" si="3"/>
        <v>4</v>
      </c>
      <c r="I184" s="13">
        <f>AVERAGE(ABS('Precinct Vote Data'!H686-$D$5),ABS('Precinct Vote Data'!H687-$D$6),ABS('Precinct Vote Data'!H688-$D$7),ABS('Precinct Vote Data'!H689-$D$8))</f>
        <v>0.08852510226</v>
      </c>
      <c r="J184" s="14" t="str">
        <f>IF(AND(H184=4,I184=MIN(K13:K420)),"&lt;&lt; MAGIC PRECINCT","")</f>
        <v/>
      </c>
      <c r="K184" s="13">
        <f t="shared" si="4"/>
        <v>0.08852510226</v>
      </c>
    </row>
    <row r="185" ht="15.0" customHeight="1">
      <c r="A185" s="5" t="s">
        <v>143</v>
      </c>
      <c r="B185" s="5" t="s">
        <v>235</v>
      </c>
      <c r="C185" s="5" t="s">
        <v>241</v>
      </c>
      <c r="D185" s="5">
        <f>IF(IF('Precinct Vote Data'!H690&gt;0.5,"D","R")=$E$5,1,0)</f>
        <v>1</v>
      </c>
      <c r="E185" s="5">
        <f>IF(IF('Precinct Vote Data'!H691&gt;0.5,"D","R")=$E$6,1,0)</f>
        <v>1</v>
      </c>
      <c r="F185" s="5">
        <f>IF(IF('Precinct Vote Data'!H692&gt;0.5,"D","R")=$E$7,1,0)</f>
        <v>1</v>
      </c>
      <c r="G185" s="5">
        <f>IF(IF('Precinct Vote Data'!H693&gt;0.5,"D","R")=$E$8,1,0)</f>
        <v>1</v>
      </c>
      <c r="H185" s="5">
        <f t="shared" si="3"/>
        <v>4</v>
      </c>
      <c r="I185" s="13">
        <f>AVERAGE(ABS('Precinct Vote Data'!H690-$D$5),ABS('Precinct Vote Data'!H691-$D$6),ABS('Precinct Vote Data'!H692-$D$7),ABS('Precinct Vote Data'!H693-$D$8))</f>
        <v>0.09362008522</v>
      </c>
      <c r="J185" s="14" t="str">
        <f>IF(AND(H185=4,I185=MIN(K13:K420)),"&lt;&lt; MAGIC PRECINCT","")</f>
        <v/>
      </c>
      <c r="K185" s="13">
        <f t="shared" si="4"/>
        <v>0.09362008522</v>
      </c>
    </row>
    <row r="186" ht="15.0" customHeight="1">
      <c r="A186" s="5" t="s">
        <v>143</v>
      </c>
      <c r="B186" s="5" t="s">
        <v>235</v>
      </c>
      <c r="C186" s="5" t="s">
        <v>242</v>
      </c>
      <c r="D186" s="5">
        <f>IF(IF('Precinct Vote Data'!H694&gt;0.5,"D","R")=$E$5,1,0)</f>
        <v>1</v>
      </c>
      <c r="E186" s="5">
        <f>IF(IF('Precinct Vote Data'!H695&gt;0.5,"D","R")=$E$6,1,0)</f>
        <v>1</v>
      </c>
      <c r="F186" s="5">
        <f>IF(IF('Precinct Vote Data'!H696&gt;0.5,"D","R")=$E$7,1,0)</f>
        <v>1</v>
      </c>
      <c r="G186" s="5">
        <f>IF(IF('Precinct Vote Data'!H697&gt;0.5,"D","R")=$E$8,1,0)</f>
        <v>1</v>
      </c>
      <c r="H186" s="5">
        <f t="shared" si="3"/>
        <v>4</v>
      </c>
      <c r="I186" s="13">
        <f>AVERAGE(ABS('Precinct Vote Data'!H694-$D$5),ABS('Precinct Vote Data'!H695-$D$6),ABS('Precinct Vote Data'!H696-$D$7),ABS('Precinct Vote Data'!H697-$D$8))</f>
        <v>0.01571487674</v>
      </c>
      <c r="J186" s="14" t="str">
        <f>IF(AND(H186=4,I186=MIN(K13:K420)),"&lt;&lt; MAGIC PRECINCT","")</f>
        <v/>
      </c>
      <c r="K186" s="13">
        <f t="shared" si="4"/>
        <v>0.01571487674</v>
      </c>
    </row>
    <row r="187" ht="15.0" customHeight="1">
      <c r="A187" s="5" t="s">
        <v>143</v>
      </c>
      <c r="B187" s="5" t="s">
        <v>235</v>
      </c>
      <c r="C187" s="5" t="s">
        <v>243</v>
      </c>
      <c r="D187" s="5">
        <f>IF(IF('Precinct Vote Data'!H698&gt;0.5,"D","R")=$E$5,1,0)</f>
        <v>1</v>
      </c>
      <c r="E187" s="5">
        <f>IF(IF('Precinct Vote Data'!H699&gt;0.5,"D","R")=$E$6,1,0)</f>
        <v>0</v>
      </c>
      <c r="F187" s="5">
        <f>IF(IF('Precinct Vote Data'!H700&gt;0.5,"D","R")=$E$7,1,0)</f>
        <v>1</v>
      </c>
      <c r="G187" s="5">
        <f>IF(IF('Precinct Vote Data'!H701&gt;0.5,"D","R")=$E$8,1,0)</f>
        <v>1</v>
      </c>
      <c r="H187" s="5">
        <f t="shared" si="3"/>
        <v>3</v>
      </c>
      <c r="I187" s="13">
        <f>AVERAGE(ABS('Precinct Vote Data'!H698-$D$5),ABS('Precinct Vote Data'!H699-$D$6),ABS('Precinct Vote Data'!H700-$D$7),ABS('Precinct Vote Data'!H701-$D$8))</f>
        <v>0.009528377829</v>
      </c>
      <c r="J187" s="14" t="str">
        <f>IF(AND(H187=4,I187=MIN(K13:K420)),"&lt;&lt; MAGIC PRECINCT","")</f>
        <v/>
      </c>
      <c r="K187" s="5" t="str">
        <f t="shared" si="4"/>
        <v/>
      </c>
    </row>
    <row r="188" ht="15.0" customHeight="1">
      <c r="A188" s="5" t="s">
        <v>143</v>
      </c>
      <c r="B188" s="5" t="s">
        <v>244</v>
      </c>
      <c r="C188" s="5" t="s">
        <v>245</v>
      </c>
      <c r="D188" s="5">
        <f>IF(IF('Precinct Vote Data'!H702&gt;0.5,"D","R")=$E$5,1,0)</f>
        <v>1</v>
      </c>
      <c r="E188" s="5">
        <f>IF(IF('Precinct Vote Data'!H703&gt;0.5,"D","R")=$E$6,1,0)</f>
        <v>1</v>
      </c>
      <c r="F188" s="5">
        <f>IF(IF('Precinct Vote Data'!H704&gt;0.5,"D","R")=$E$7,1,0)</f>
        <v>1</v>
      </c>
      <c r="G188" s="5">
        <f>IF(IF('Precinct Vote Data'!H705&gt;0.5,"D","R")=$E$8,1,0)</f>
        <v>1</v>
      </c>
      <c r="H188" s="5">
        <f t="shared" si="3"/>
        <v>4</v>
      </c>
      <c r="I188" s="13">
        <f>AVERAGE(ABS('Precinct Vote Data'!H702-$D$5),ABS('Precinct Vote Data'!H703-$D$6),ABS('Precinct Vote Data'!H704-$D$7),ABS('Precinct Vote Data'!H705-$D$8))</f>
        <v>0.01124675</v>
      </c>
      <c r="J188" s="14" t="str">
        <f>IF(AND(H188=4,I188=MIN(K13:K420)),"&lt;&lt; MAGIC PRECINCT","")</f>
        <v/>
      </c>
      <c r="K188" s="13">
        <f t="shared" si="4"/>
        <v>0.01124675</v>
      </c>
    </row>
    <row r="189" ht="15.0" customHeight="1">
      <c r="A189" s="5" t="s">
        <v>143</v>
      </c>
      <c r="B189" s="5" t="s">
        <v>244</v>
      </c>
      <c r="C189" s="5" t="s">
        <v>246</v>
      </c>
      <c r="D189" s="5">
        <f>IF(IF('Precinct Vote Data'!H706&gt;0.5,"D","R")=$E$5,1,0)</f>
        <v>1</v>
      </c>
      <c r="E189" s="5">
        <f>IF(IF('Precinct Vote Data'!H707&gt;0.5,"D","R")=$E$6,1,0)</f>
        <v>0</v>
      </c>
      <c r="F189" s="5">
        <f>IF(IF('Precinct Vote Data'!H708&gt;0.5,"D","R")=$E$7,1,0)</f>
        <v>1</v>
      </c>
      <c r="G189" s="5">
        <f>IF(IF('Precinct Vote Data'!H709&gt;0.5,"D","R")=$E$8,1,0)</f>
        <v>1</v>
      </c>
      <c r="H189" s="5">
        <f t="shared" si="3"/>
        <v>3</v>
      </c>
      <c r="I189" s="13">
        <f>AVERAGE(ABS('Precinct Vote Data'!H706-$D$5),ABS('Precinct Vote Data'!H707-$D$6),ABS('Precinct Vote Data'!H708-$D$7),ABS('Precinct Vote Data'!H709-$D$8))</f>
        <v>0.01219038654</v>
      </c>
      <c r="J189" s="14" t="str">
        <f>IF(AND(H189=4,I189=MIN(K13:K420)),"&lt;&lt; MAGIC PRECINCT","")</f>
        <v/>
      </c>
      <c r="K189" s="5" t="str">
        <f t="shared" si="4"/>
        <v/>
      </c>
    </row>
    <row r="190" ht="15.0" customHeight="1">
      <c r="A190" s="5" t="s">
        <v>143</v>
      </c>
      <c r="B190" s="5" t="s">
        <v>244</v>
      </c>
      <c r="C190" s="5" t="s">
        <v>247</v>
      </c>
      <c r="D190" s="5">
        <f>IF(IF('Precinct Vote Data'!H710&gt;0.5,"D","R")=$E$5,1,0)</f>
        <v>0</v>
      </c>
      <c r="E190" s="5">
        <f>IF(IF('Precinct Vote Data'!H711&gt;0.5,"D","R")=$E$6,1,0)</f>
        <v>0</v>
      </c>
      <c r="F190" s="5">
        <f>IF(IF('Precinct Vote Data'!H712&gt;0.5,"D","R")=$E$7,1,0)</f>
        <v>0</v>
      </c>
      <c r="G190" s="5">
        <f>IF(IF('Precinct Vote Data'!H713&gt;0.5,"D","R")=$E$8,1,0)</f>
        <v>0</v>
      </c>
      <c r="H190" s="5">
        <f t="shared" si="3"/>
        <v>0</v>
      </c>
      <c r="I190" s="13">
        <f>AVERAGE(ABS('Precinct Vote Data'!H710-$D$5),ABS('Precinct Vote Data'!H711-$D$6),ABS('Precinct Vote Data'!H712-$D$7),ABS('Precinct Vote Data'!H713-$D$8))</f>
        <v>0.03948015608</v>
      </c>
      <c r="J190" s="14" t="str">
        <f>IF(AND(H190=4,I190=MIN(K13:K420)),"&lt;&lt; MAGIC PRECINCT","")</f>
        <v/>
      </c>
      <c r="K190" s="5" t="str">
        <f t="shared" si="4"/>
        <v/>
      </c>
    </row>
    <row r="191" ht="15.0" customHeight="1">
      <c r="A191" s="5" t="s">
        <v>143</v>
      </c>
      <c r="B191" s="5" t="s">
        <v>244</v>
      </c>
      <c r="C191" s="5" t="s">
        <v>248</v>
      </c>
      <c r="D191" s="5">
        <f>IF(IF('Precinct Vote Data'!H714&gt;0.5,"D","R")=$E$5,1,0)</f>
        <v>1</v>
      </c>
      <c r="E191" s="5">
        <f>IF(IF('Precinct Vote Data'!H715&gt;0.5,"D","R")=$E$6,1,0)</f>
        <v>1</v>
      </c>
      <c r="F191" s="5">
        <f>IF(IF('Precinct Vote Data'!H716&gt;0.5,"D","R")=$E$7,1,0)</f>
        <v>1</v>
      </c>
      <c r="G191" s="5">
        <f>IF(IF('Precinct Vote Data'!H717&gt;0.5,"D","R")=$E$8,1,0)</f>
        <v>1</v>
      </c>
      <c r="H191" s="5">
        <f t="shared" si="3"/>
        <v>4</v>
      </c>
      <c r="I191" s="13">
        <f>AVERAGE(ABS('Precinct Vote Data'!H714-$D$5),ABS('Precinct Vote Data'!H715-$D$6),ABS('Precinct Vote Data'!H716-$D$7),ABS('Precinct Vote Data'!H717-$D$8))</f>
        <v>0.05716782152</v>
      </c>
      <c r="J191" s="14" t="str">
        <f>IF(AND(H191=4,I191=MIN(K13:K420)),"&lt;&lt; MAGIC PRECINCT","")</f>
        <v/>
      </c>
      <c r="K191" s="13">
        <f t="shared" si="4"/>
        <v>0.05716782152</v>
      </c>
    </row>
    <row r="192" ht="15.0" customHeight="1">
      <c r="A192" s="5" t="s">
        <v>143</v>
      </c>
      <c r="B192" s="5" t="s">
        <v>244</v>
      </c>
      <c r="C192" s="5" t="s">
        <v>249</v>
      </c>
      <c r="D192" s="5">
        <f>IF(IF('Precinct Vote Data'!H718&gt;0.5,"D","R")=$E$5,1,0)</f>
        <v>1</v>
      </c>
      <c r="E192" s="5">
        <f>IF(IF('Precinct Vote Data'!H719&gt;0.5,"D","R")=$E$6,1,0)</f>
        <v>1</v>
      </c>
      <c r="F192" s="5">
        <f>IF(IF('Precinct Vote Data'!H720&gt;0.5,"D","R")=$E$7,1,0)</f>
        <v>1</v>
      </c>
      <c r="G192" s="5">
        <f>IF(IF('Precinct Vote Data'!H721&gt;0.5,"D","R")=$E$8,1,0)</f>
        <v>1</v>
      </c>
      <c r="H192" s="5">
        <f t="shared" si="3"/>
        <v>4</v>
      </c>
      <c r="I192" s="13">
        <f>AVERAGE(ABS('Precinct Vote Data'!H718-$D$5),ABS('Precinct Vote Data'!H719-$D$6),ABS('Precinct Vote Data'!H720-$D$7),ABS('Precinct Vote Data'!H721-$D$8))</f>
        <v>0.02569335755</v>
      </c>
      <c r="J192" s="14" t="str">
        <f>IF(AND(H192=4,I192=MIN(K13:K420)),"&lt;&lt; MAGIC PRECINCT","")</f>
        <v/>
      </c>
      <c r="K192" s="13">
        <f t="shared" si="4"/>
        <v>0.02569335755</v>
      </c>
    </row>
    <row r="193" ht="15.0" customHeight="1">
      <c r="A193" s="5" t="s">
        <v>143</v>
      </c>
      <c r="B193" s="5" t="s">
        <v>244</v>
      </c>
      <c r="C193" s="5" t="s">
        <v>250</v>
      </c>
      <c r="D193" s="5">
        <f>IF(IF('Precinct Vote Data'!H722&gt;0.5,"D","R")=$E$5,1,0)</f>
        <v>1</v>
      </c>
      <c r="E193" s="5">
        <f>IF(IF('Precinct Vote Data'!H723&gt;0.5,"D","R")=$E$6,1,0)</f>
        <v>1</v>
      </c>
      <c r="F193" s="5">
        <f>IF(IF('Precinct Vote Data'!H724&gt;0.5,"D","R")=$E$7,1,0)</f>
        <v>1</v>
      </c>
      <c r="G193" s="5">
        <f>IF(IF('Precinct Vote Data'!H725&gt;0.5,"D","R")=$E$8,1,0)</f>
        <v>1</v>
      </c>
      <c r="H193" s="5">
        <f t="shared" si="3"/>
        <v>4</v>
      </c>
      <c r="I193" s="13">
        <f>AVERAGE(ABS('Precinct Vote Data'!H722-$D$5),ABS('Precinct Vote Data'!H723-$D$6),ABS('Precinct Vote Data'!H724-$D$7),ABS('Precinct Vote Data'!H725-$D$8))</f>
        <v>0.0311055141</v>
      </c>
      <c r="J193" s="14" t="str">
        <f>IF(AND(H193=4,I193=MIN(K13:K420)),"&lt;&lt; MAGIC PRECINCT","")</f>
        <v/>
      </c>
      <c r="K193" s="13">
        <f t="shared" si="4"/>
        <v>0.0311055141</v>
      </c>
    </row>
    <row r="194" ht="15.0" customHeight="1">
      <c r="A194" s="5" t="s">
        <v>143</v>
      </c>
      <c r="B194" s="5" t="s">
        <v>244</v>
      </c>
      <c r="C194" s="5" t="s">
        <v>251</v>
      </c>
      <c r="D194" s="5">
        <f>IF(IF('Precinct Vote Data'!H726&gt;0.5,"D","R")=$E$5,1,0)</f>
        <v>1</v>
      </c>
      <c r="E194" s="5">
        <f>IF(IF('Precinct Vote Data'!H727&gt;0.5,"D","R")=$E$6,1,0)</f>
        <v>1</v>
      </c>
      <c r="F194" s="5">
        <f>IF(IF('Precinct Vote Data'!H728&gt;0.5,"D","R")=$E$7,1,0)</f>
        <v>1</v>
      </c>
      <c r="G194" s="5">
        <f>IF(IF('Precinct Vote Data'!H729&gt;0.5,"D","R")=$E$8,1,0)</f>
        <v>1</v>
      </c>
      <c r="H194" s="5">
        <f t="shared" si="3"/>
        <v>4</v>
      </c>
      <c r="I194" s="13">
        <f>AVERAGE(ABS('Precinct Vote Data'!H726-$D$5),ABS('Precinct Vote Data'!H727-$D$6),ABS('Precinct Vote Data'!H728-$D$7),ABS('Precinct Vote Data'!H729-$D$8))</f>
        <v>0.02244838879</v>
      </c>
      <c r="J194" s="14" t="str">
        <f>IF(AND(H194=4,I194=MIN(K13:K420)),"&lt;&lt; MAGIC PRECINCT","")</f>
        <v/>
      </c>
      <c r="K194" s="13">
        <f t="shared" si="4"/>
        <v>0.02244838879</v>
      </c>
    </row>
    <row r="195" ht="15.0" customHeight="1">
      <c r="A195" s="5" t="s">
        <v>143</v>
      </c>
      <c r="B195" s="5" t="s">
        <v>244</v>
      </c>
      <c r="C195" s="5" t="s">
        <v>252</v>
      </c>
      <c r="D195" s="5">
        <f>IF(IF('Precinct Vote Data'!H730&gt;0.5,"D","R")=$E$5,1,0)</f>
        <v>1</v>
      </c>
      <c r="E195" s="5">
        <f>IF(IF('Precinct Vote Data'!H731&gt;0.5,"D","R")=$E$6,1,0)</f>
        <v>1</v>
      </c>
      <c r="F195" s="5">
        <f>IF(IF('Precinct Vote Data'!H732&gt;0.5,"D","R")=$E$7,1,0)</f>
        <v>1</v>
      </c>
      <c r="G195" s="5">
        <f>IF(IF('Precinct Vote Data'!H733&gt;0.5,"D","R")=$E$8,1,0)</f>
        <v>1</v>
      </c>
      <c r="H195" s="5">
        <f t="shared" si="3"/>
        <v>4</v>
      </c>
      <c r="I195" s="13">
        <f>AVERAGE(ABS('Precinct Vote Data'!H730-$D$5),ABS('Precinct Vote Data'!H731-$D$6),ABS('Precinct Vote Data'!H732-$D$7),ABS('Precinct Vote Data'!H733-$D$8))</f>
        <v>0.01010884299</v>
      </c>
      <c r="J195" s="14" t="str">
        <f>IF(AND(H195=4,I195=MIN(K13:K420)),"&lt;&lt; MAGIC PRECINCT","")</f>
        <v/>
      </c>
      <c r="K195" s="13">
        <f t="shared" si="4"/>
        <v>0.01010884299</v>
      </c>
    </row>
    <row r="196" ht="15.0" customHeight="1">
      <c r="A196" s="5" t="s">
        <v>143</v>
      </c>
      <c r="B196" s="5" t="s">
        <v>253</v>
      </c>
      <c r="C196" s="5" t="s">
        <v>254</v>
      </c>
      <c r="D196" s="5">
        <f>IF(IF('Precinct Vote Data'!H734&gt;0.5,"D","R")=$E$5,1,0)</f>
        <v>0</v>
      </c>
      <c r="E196" s="5">
        <f>IF(IF('Precinct Vote Data'!H735&gt;0.5,"D","R")=$E$6,1,0)</f>
        <v>0</v>
      </c>
      <c r="F196" s="5">
        <f>IF(IF('Precinct Vote Data'!H736&gt;0.5,"D","R")=$E$7,1,0)</f>
        <v>0</v>
      </c>
      <c r="G196" s="5">
        <f>IF(IF('Precinct Vote Data'!H737&gt;0.5,"D","R")=$E$8,1,0)</f>
        <v>0</v>
      </c>
      <c r="H196" s="5">
        <f t="shared" si="3"/>
        <v>0</v>
      </c>
      <c r="I196" s="13">
        <f>AVERAGE(ABS('Precinct Vote Data'!H734-$D$5),ABS('Precinct Vote Data'!H735-$D$6),ABS('Precinct Vote Data'!H736-$D$7),ABS('Precinct Vote Data'!H737-$D$8))</f>
        <v>0.04108501307</v>
      </c>
      <c r="J196" s="14" t="str">
        <f>IF(AND(H196=4,I196=MIN(K13:K420)),"&lt;&lt; MAGIC PRECINCT","")</f>
        <v/>
      </c>
      <c r="K196" s="5" t="str">
        <f t="shared" si="4"/>
        <v/>
      </c>
    </row>
    <row r="197" ht="15.0" customHeight="1">
      <c r="A197" s="5" t="s">
        <v>143</v>
      </c>
      <c r="B197" s="5" t="s">
        <v>253</v>
      </c>
      <c r="C197" s="5" t="s">
        <v>255</v>
      </c>
      <c r="D197" s="5">
        <f>IF(IF('Precinct Vote Data'!H738&gt;0.5,"D","R")=$E$5,1,0)</f>
        <v>0</v>
      </c>
      <c r="E197" s="5">
        <f>IF(IF('Precinct Vote Data'!H739&gt;0.5,"D","R")=$E$6,1,0)</f>
        <v>0</v>
      </c>
      <c r="F197" s="5">
        <f>IF(IF('Precinct Vote Data'!H740&gt;0.5,"D","R")=$E$7,1,0)</f>
        <v>0</v>
      </c>
      <c r="G197" s="5">
        <f>IF(IF('Precinct Vote Data'!H741&gt;0.5,"D","R")=$E$8,1,0)</f>
        <v>0</v>
      </c>
      <c r="H197" s="5">
        <f t="shared" si="3"/>
        <v>0</v>
      </c>
      <c r="I197" s="13">
        <f>AVERAGE(ABS('Precinct Vote Data'!H738-$D$5),ABS('Precinct Vote Data'!H739-$D$6),ABS('Precinct Vote Data'!H740-$D$7),ABS('Precinct Vote Data'!H741-$D$8))</f>
        <v>0.1131950455</v>
      </c>
      <c r="J197" s="14" t="str">
        <f>IF(AND(H197=4,I197=MIN(K13:K420)),"&lt;&lt; MAGIC PRECINCT","")</f>
        <v/>
      </c>
      <c r="K197" s="5" t="str">
        <f t="shared" si="4"/>
        <v/>
      </c>
    </row>
    <row r="198" ht="15.0" customHeight="1">
      <c r="A198" s="5" t="s">
        <v>143</v>
      </c>
      <c r="B198" s="5" t="s">
        <v>256</v>
      </c>
      <c r="C198" s="5" t="s">
        <v>257</v>
      </c>
      <c r="D198" s="5">
        <f>IF(IF('Precinct Vote Data'!H742&gt;0.5,"D","R")=$E$5,1,0)</f>
        <v>0</v>
      </c>
      <c r="E198" s="5">
        <f>IF(IF('Precinct Vote Data'!H743&gt;0.5,"D","R")=$E$6,1,0)</f>
        <v>0</v>
      </c>
      <c r="F198" s="5">
        <f>IF(IF('Precinct Vote Data'!H744&gt;0.5,"D","R")=$E$7,1,0)</f>
        <v>1</v>
      </c>
      <c r="G198" s="5">
        <f>IF(IF('Precinct Vote Data'!H745&gt;0.5,"D","R")=$E$8,1,0)</f>
        <v>0</v>
      </c>
      <c r="H198" s="5">
        <f t="shared" si="3"/>
        <v>1</v>
      </c>
      <c r="I198" s="13">
        <f>AVERAGE(ABS('Precinct Vote Data'!H742-$D$5),ABS('Precinct Vote Data'!H743-$D$6),ABS('Precinct Vote Data'!H744-$D$7),ABS('Precinct Vote Data'!H745-$D$8))</f>
        <v>0.02783480915</v>
      </c>
      <c r="J198" s="14" t="str">
        <f>IF(AND(H198=4,I198=MIN(K13:K420)),"&lt;&lt; MAGIC PRECINCT","")</f>
        <v/>
      </c>
      <c r="K198" s="5" t="str">
        <f t="shared" si="4"/>
        <v/>
      </c>
    </row>
    <row r="199" ht="15.0" customHeight="1">
      <c r="A199" s="5" t="s">
        <v>143</v>
      </c>
      <c r="B199" s="5" t="s">
        <v>256</v>
      </c>
      <c r="C199" s="5" t="s">
        <v>258</v>
      </c>
      <c r="D199" s="5">
        <f>IF(IF('Precinct Vote Data'!H746&gt;0.5,"D","R")=$E$5,1,0)</f>
        <v>0</v>
      </c>
      <c r="E199" s="5">
        <f>IF(IF('Precinct Vote Data'!H747&gt;0.5,"D","R")=$E$6,1,0)</f>
        <v>0</v>
      </c>
      <c r="F199" s="5">
        <f>IF(IF('Precinct Vote Data'!H748&gt;0.5,"D","R")=$E$7,1,0)</f>
        <v>0</v>
      </c>
      <c r="G199" s="5">
        <f>IF(IF('Precinct Vote Data'!H749&gt;0.5,"D","R")=$E$8,1,0)</f>
        <v>0</v>
      </c>
      <c r="H199" s="5">
        <f t="shared" si="3"/>
        <v>0</v>
      </c>
      <c r="I199" s="13">
        <f>AVERAGE(ABS('Precinct Vote Data'!H746-$D$5),ABS('Precinct Vote Data'!H747-$D$6),ABS('Precinct Vote Data'!H748-$D$7),ABS('Precinct Vote Data'!H749-$D$8))</f>
        <v>0.0526813844</v>
      </c>
      <c r="J199" s="14" t="str">
        <f>IF(AND(H199=4,I199=MIN(K13:K420)),"&lt;&lt; MAGIC PRECINCT","")</f>
        <v/>
      </c>
      <c r="K199" s="5" t="str">
        <f t="shared" si="4"/>
        <v/>
      </c>
    </row>
    <row r="200" ht="15.0" customHeight="1">
      <c r="A200" s="5" t="s">
        <v>143</v>
      </c>
      <c r="B200" s="5" t="s">
        <v>256</v>
      </c>
      <c r="C200" s="5" t="s">
        <v>259</v>
      </c>
      <c r="D200" s="5">
        <f>IF(IF('Precinct Vote Data'!H750&gt;0.5,"D","R")=$E$5,1,0)</f>
        <v>0</v>
      </c>
      <c r="E200" s="5">
        <f>IF(IF('Precinct Vote Data'!H751&gt;0.5,"D","R")=$E$6,1,0)</f>
        <v>0</v>
      </c>
      <c r="F200" s="5">
        <f>IF(IF('Precinct Vote Data'!H752&gt;0.5,"D","R")=$E$7,1,0)</f>
        <v>0</v>
      </c>
      <c r="G200" s="5">
        <f>IF(IF('Precinct Vote Data'!H753&gt;0.5,"D","R")=$E$8,1,0)</f>
        <v>0</v>
      </c>
      <c r="H200" s="5">
        <f t="shared" si="3"/>
        <v>0</v>
      </c>
      <c r="I200" s="13">
        <f>AVERAGE(ABS('Precinct Vote Data'!H750-$D$5),ABS('Precinct Vote Data'!H751-$D$6),ABS('Precinct Vote Data'!H752-$D$7),ABS('Precinct Vote Data'!H753-$D$8))</f>
        <v>0.03357120674</v>
      </c>
      <c r="J200" s="14" t="str">
        <f>IF(AND(H200=4,I200=MIN(K13:K420)),"&lt;&lt; MAGIC PRECINCT","")</f>
        <v/>
      </c>
      <c r="K200" s="5" t="str">
        <f t="shared" si="4"/>
        <v/>
      </c>
    </row>
    <row r="201" ht="15.0" customHeight="1">
      <c r="A201" s="5" t="s">
        <v>143</v>
      </c>
      <c r="B201" s="5" t="s">
        <v>256</v>
      </c>
      <c r="C201" s="5" t="s">
        <v>260</v>
      </c>
      <c r="D201" s="5">
        <f>IF(IF('Precinct Vote Data'!H754&gt;0.5,"D","R")=$E$5,1,0)</f>
        <v>0</v>
      </c>
      <c r="E201" s="5">
        <f>IF(IF('Precinct Vote Data'!H755&gt;0.5,"D","R")=$E$6,1,0)</f>
        <v>0</v>
      </c>
      <c r="F201" s="5">
        <f>IF(IF('Precinct Vote Data'!H756&gt;0.5,"D","R")=$E$7,1,0)</f>
        <v>0</v>
      </c>
      <c r="G201" s="5">
        <f>IF(IF('Precinct Vote Data'!H757&gt;0.5,"D","R")=$E$8,1,0)</f>
        <v>0</v>
      </c>
      <c r="H201" s="5">
        <f t="shared" si="3"/>
        <v>0</v>
      </c>
      <c r="I201" s="13">
        <f>AVERAGE(ABS('Precinct Vote Data'!H754-$D$5),ABS('Precinct Vote Data'!H755-$D$6),ABS('Precinct Vote Data'!H756-$D$7),ABS('Precinct Vote Data'!H757-$D$8))</f>
        <v>0.03957090574</v>
      </c>
      <c r="J201" s="14" t="str">
        <f>IF(AND(H201=4,I201=MIN(K13:K420)),"&lt;&lt; MAGIC PRECINCT","")</f>
        <v/>
      </c>
      <c r="K201" s="5" t="str">
        <f t="shared" si="4"/>
        <v/>
      </c>
    </row>
    <row r="202" ht="15.0" customHeight="1">
      <c r="A202" s="5" t="s">
        <v>143</v>
      </c>
      <c r="B202" s="5" t="s">
        <v>256</v>
      </c>
      <c r="C202" s="5" t="s">
        <v>261</v>
      </c>
      <c r="D202" s="5">
        <f>IF(IF('Precinct Vote Data'!H758&gt;0.5,"D","R")=$E$5,1,0)</f>
        <v>0</v>
      </c>
      <c r="E202" s="5">
        <f>IF(IF('Precinct Vote Data'!H759&gt;0.5,"D","R")=$E$6,1,0)</f>
        <v>0</v>
      </c>
      <c r="F202" s="5">
        <f>IF(IF('Precinct Vote Data'!H760&gt;0.5,"D","R")=$E$7,1,0)</f>
        <v>1</v>
      </c>
      <c r="G202" s="5">
        <f>IF(IF('Precinct Vote Data'!H761&gt;0.5,"D","R")=$E$8,1,0)</f>
        <v>1</v>
      </c>
      <c r="H202" s="5">
        <f t="shared" si="3"/>
        <v>2</v>
      </c>
      <c r="I202" s="13">
        <f>AVERAGE(ABS('Precinct Vote Data'!H758-$D$5),ABS('Precinct Vote Data'!H759-$D$6),ABS('Precinct Vote Data'!H760-$D$7),ABS('Precinct Vote Data'!H761-$D$8))</f>
        <v>0.02339868424</v>
      </c>
      <c r="J202" s="14" t="str">
        <f>IF(AND(H202=4,I202=MIN(K13:K420)),"&lt;&lt; MAGIC PRECINCT","")</f>
        <v/>
      </c>
      <c r="K202" s="5" t="str">
        <f t="shared" si="4"/>
        <v/>
      </c>
    </row>
    <row r="203" ht="15.0" customHeight="1">
      <c r="A203" s="5" t="s">
        <v>143</v>
      </c>
      <c r="B203" s="5" t="s">
        <v>256</v>
      </c>
      <c r="C203" s="5" t="s">
        <v>262</v>
      </c>
      <c r="D203" s="5">
        <f>IF(IF('Precinct Vote Data'!H762&gt;0.5,"D","R")=$E$5,1,0)</f>
        <v>1</v>
      </c>
      <c r="E203" s="5">
        <f>IF(IF('Precinct Vote Data'!H763&gt;0.5,"D","R")=$E$6,1,0)</f>
        <v>1</v>
      </c>
      <c r="F203" s="5">
        <f>IF(IF('Precinct Vote Data'!H764&gt;0.5,"D","R")=$E$7,1,0)</f>
        <v>1</v>
      </c>
      <c r="G203" s="5">
        <f>IF(IF('Precinct Vote Data'!H765&gt;0.5,"D","R")=$E$8,1,0)</f>
        <v>1</v>
      </c>
      <c r="H203" s="5">
        <f t="shared" si="3"/>
        <v>4</v>
      </c>
      <c r="I203" s="13">
        <f>AVERAGE(ABS('Precinct Vote Data'!H762-$D$5),ABS('Precinct Vote Data'!H763-$D$6),ABS('Precinct Vote Data'!H764-$D$7),ABS('Precinct Vote Data'!H765-$D$8))</f>
        <v>0.01893950361</v>
      </c>
      <c r="J203" s="14" t="str">
        <f>IF(AND(H203=4,I203=MIN(K13:K420)),"&lt;&lt; MAGIC PRECINCT","")</f>
        <v/>
      </c>
      <c r="K203" s="13">
        <f t="shared" si="4"/>
        <v>0.01893950361</v>
      </c>
    </row>
    <row r="204" ht="15.0" customHeight="1">
      <c r="A204" s="5" t="s">
        <v>143</v>
      </c>
      <c r="B204" s="5" t="s">
        <v>263</v>
      </c>
      <c r="C204" s="5" t="s">
        <v>264</v>
      </c>
      <c r="D204" s="5">
        <f>IF(IF('Precinct Vote Data'!H766&gt;0.5,"D","R")=$E$5,1,0)</f>
        <v>0</v>
      </c>
      <c r="E204" s="5">
        <f>IF(IF('Precinct Vote Data'!H767&gt;0.5,"D","R")=$E$6,1,0)</f>
        <v>0</v>
      </c>
      <c r="F204" s="5">
        <f>IF(IF('Precinct Vote Data'!H768&gt;0.5,"D","R")=$E$7,1,0)</f>
        <v>0</v>
      </c>
      <c r="G204" s="5">
        <f>IF(IF('Precinct Vote Data'!H769&gt;0.5,"D","R")=$E$8,1,0)</f>
        <v>0</v>
      </c>
      <c r="H204" s="5">
        <f t="shared" si="3"/>
        <v>0</v>
      </c>
      <c r="I204" s="13">
        <f>AVERAGE(ABS('Precinct Vote Data'!H766-$D$5),ABS('Precinct Vote Data'!H767-$D$6),ABS('Precinct Vote Data'!H768-$D$7),ABS('Precinct Vote Data'!H769-$D$8))</f>
        <v>0.2017998197</v>
      </c>
      <c r="J204" s="14" t="str">
        <f>IF(AND(H204=4,I204=MIN(K13:K420)),"&lt;&lt; MAGIC PRECINCT","")</f>
        <v/>
      </c>
      <c r="K204" s="5" t="str">
        <f t="shared" si="4"/>
        <v/>
      </c>
    </row>
    <row r="205" ht="15.0" customHeight="1">
      <c r="A205" s="5" t="s">
        <v>143</v>
      </c>
      <c r="B205" s="5" t="s">
        <v>263</v>
      </c>
      <c r="C205" s="5" t="s">
        <v>265</v>
      </c>
      <c r="D205" s="5">
        <f>IF(IF('Precinct Vote Data'!H770&gt;0.5,"D","R")=$E$5,1,0)</f>
        <v>0</v>
      </c>
      <c r="E205" s="5">
        <f>IF(IF('Precinct Vote Data'!H771&gt;0.5,"D","R")=$E$6,1,0)</f>
        <v>0</v>
      </c>
      <c r="F205" s="5">
        <f>IF(IF('Precinct Vote Data'!H772&gt;0.5,"D","R")=$E$7,1,0)</f>
        <v>0</v>
      </c>
      <c r="G205" s="5">
        <f>IF(IF('Precinct Vote Data'!H773&gt;0.5,"D","R")=$E$8,1,0)</f>
        <v>0</v>
      </c>
      <c r="H205" s="5">
        <f t="shared" si="3"/>
        <v>0</v>
      </c>
      <c r="I205" s="13">
        <f>AVERAGE(ABS('Precinct Vote Data'!H770-$D$5),ABS('Precinct Vote Data'!H771-$D$6),ABS('Precinct Vote Data'!H772-$D$7),ABS('Precinct Vote Data'!H773-$D$8))</f>
        <v>0.1663127359</v>
      </c>
      <c r="J205" s="14" t="str">
        <f>IF(AND(H205=4,I205=MIN(K13:K420)),"&lt;&lt; MAGIC PRECINCT","")</f>
        <v/>
      </c>
      <c r="K205" s="5" t="str">
        <f t="shared" si="4"/>
        <v/>
      </c>
    </row>
    <row r="206" ht="15.0" customHeight="1">
      <c r="A206" s="5" t="s">
        <v>143</v>
      </c>
      <c r="B206" s="5" t="s">
        <v>263</v>
      </c>
      <c r="C206" s="5" t="s">
        <v>266</v>
      </c>
      <c r="D206" s="5">
        <f>IF(IF('Precinct Vote Data'!H774&gt;0.5,"D","R")=$E$5,1,0)</f>
        <v>0</v>
      </c>
      <c r="E206" s="5">
        <f>IF(IF('Precinct Vote Data'!H775&gt;0.5,"D","R")=$E$6,1,0)</f>
        <v>0</v>
      </c>
      <c r="F206" s="5">
        <f>IF(IF('Precinct Vote Data'!H776&gt;0.5,"D","R")=$E$7,1,0)</f>
        <v>0</v>
      </c>
      <c r="G206" s="5">
        <f>IF(IF('Precinct Vote Data'!H777&gt;0.5,"D","R")=$E$8,1,0)</f>
        <v>0</v>
      </c>
      <c r="H206" s="5">
        <f t="shared" si="3"/>
        <v>0</v>
      </c>
      <c r="I206" s="13">
        <f>AVERAGE(ABS('Precinct Vote Data'!H774-$D$5),ABS('Precinct Vote Data'!H775-$D$6),ABS('Precinct Vote Data'!H776-$D$7),ABS('Precinct Vote Data'!H777-$D$8))</f>
        <v>0.1993328926</v>
      </c>
      <c r="J206" s="14" t="str">
        <f>IF(AND(H206=4,I206=MIN(K13:K420)),"&lt;&lt; MAGIC PRECINCT","")</f>
        <v/>
      </c>
      <c r="K206" s="5" t="str">
        <f t="shared" si="4"/>
        <v/>
      </c>
    </row>
    <row r="207" ht="15.0" customHeight="1">
      <c r="A207" s="5" t="s">
        <v>143</v>
      </c>
      <c r="B207" s="5" t="s">
        <v>267</v>
      </c>
      <c r="C207" s="5" t="s">
        <v>268</v>
      </c>
      <c r="D207" s="5">
        <f>IF(IF('Precinct Vote Data'!H778&gt;0.5,"D","R")=$E$5,1,0)</f>
        <v>0</v>
      </c>
      <c r="E207" s="5">
        <f>IF(IF('Precinct Vote Data'!H779&gt;0.5,"D","R")=$E$6,1,0)</f>
        <v>0</v>
      </c>
      <c r="F207" s="5">
        <f>IF(IF('Precinct Vote Data'!H780&gt;0.5,"D","R")=$E$7,1,0)</f>
        <v>0</v>
      </c>
      <c r="G207" s="5">
        <f>IF(IF('Precinct Vote Data'!H781&gt;0.5,"D","R")=$E$8,1,0)</f>
        <v>0</v>
      </c>
      <c r="H207" s="5">
        <f t="shared" si="3"/>
        <v>0</v>
      </c>
      <c r="I207" s="13">
        <f>AVERAGE(ABS('Precinct Vote Data'!H778-$D$5),ABS('Precinct Vote Data'!H779-$D$6),ABS('Precinct Vote Data'!H780-$D$7),ABS('Precinct Vote Data'!H781-$D$8))</f>
        <v>0.1674009341</v>
      </c>
      <c r="J207" s="14" t="str">
        <f>IF(AND(H207=4,I207=MIN(K13:K420)),"&lt;&lt; MAGIC PRECINCT","")</f>
        <v/>
      </c>
      <c r="K207" s="5" t="str">
        <f t="shared" si="4"/>
        <v/>
      </c>
    </row>
    <row r="208" ht="15.0" customHeight="1">
      <c r="A208" s="5" t="s">
        <v>143</v>
      </c>
      <c r="B208" s="5" t="s">
        <v>269</v>
      </c>
      <c r="C208" s="5" t="s">
        <v>270</v>
      </c>
      <c r="D208" s="5">
        <f>IF(IF('Precinct Vote Data'!H782&gt;0.5,"D","R")=$E$5,1,0)</f>
        <v>1</v>
      </c>
      <c r="E208" s="5">
        <f>IF(IF('Precinct Vote Data'!H783&gt;0.5,"D","R")=$E$6,1,0)</f>
        <v>1</v>
      </c>
      <c r="F208" s="5">
        <f>IF(IF('Precinct Vote Data'!H784&gt;0.5,"D","R")=$E$7,1,0)</f>
        <v>1</v>
      </c>
      <c r="G208" s="5">
        <f>IF(IF('Precinct Vote Data'!H785&gt;0.5,"D","R")=$E$8,1,0)</f>
        <v>1</v>
      </c>
      <c r="H208" s="5">
        <f t="shared" si="3"/>
        <v>4</v>
      </c>
      <c r="I208" s="13">
        <f>AVERAGE(ABS('Precinct Vote Data'!H782-$D$5),ABS('Precinct Vote Data'!H783-$D$6),ABS('Precinct Vote Data'!H784-$D$7),ABS('Precinct Vote Data'!H785-$D$8))</f>
        <v>0.1074654972</v>
      </c>
      <c r="J208" s="14" t="str">
        <f>IF(AND(H208=4,I208=MIN(K13:K420)),"&lt;&lt; MAGIC PRECINCT","")</f>
        <v/>
      </c>
      <c r="K208" s="13">
        <f t="shared" si="4"/>
        <v>0.1074654972</v>
      </c>
    </row>
    <row r="209" ht="15.0" customHeight="1">
      <c r="A209" s="5" t="s">
        <v>143</v>
      </c>
      <c r="B209" s="5" t="s">
        <v>269</v>
      </c>
      <c r="C209" s="5" t="s">
        <v>271</v>
      </c>
      <c r="D209" s="5">
        <f>IF(IF('Precinct Vote Data'!H786&gt;0.5,"D","R")=$E$5,1,0)</f>
        <v>1</v>
      </c>
      <c r="E209" s="5">
        <f>IF(IF('Precinct Vote Data'!H787&gt;0.5,"D","R")=$E$6,1,0)</f>
        <v>1</v>
      </c>
      <c r="F209" s="5">
        <f>IF(IF('Precinct Vote Data'!H788&gt;0.5,"D","R")=$E$7,1,0)</f>
        <v>1</v>
      </c>
      <c r="G209" s="5">
        <f>IF(IF('Precinct Vote Data'!H789&gt;0.5,"D","R")=$E$8,1,0)</f>
        <v>1</v>
      </c>
      <c r="H209" s="5">
        <f t="shared" si="3"/>
        <v>4</v>
      </c>
      <c r="I209" s="13">
        <f>AVERAGE(ABS('Precinct Vote Data'!H786-$D$5),ABS('Precinct Vote Data'!H787-$D$6),ABS('Precinct Vote Data'!H788-$D$7),ABS('Precinct Vote Data'!H789-$D$8))</f>
        <v>0.04490746125</v>
      </c>
      <c r="J209" s="14" t="str">
        <f>IF(AND(H209=4,I209=MIN(K13:K420)),"&lt;&lt; MAGIC PRECINCT","")</f>
        <v/>
      </c>
      <c r="K209" s="13">
        <f t="shared" si="4"/>
        <v>0.04490746125</v>
      </c>
    </row>
    <row r="210" ht="15.0" customHeight="1">
      <c r="A210" s="5" t="s">
        <v>143</v>
      </c>
      <c r="B210" s="5" t="s">
        <v>269</v>
      </c>
      <c r="C210" s="5" t="s">
        <v>272</v>
      </c>
      <c r="D210" s="5">
        <f>IF(IF('Precinct Vote Data'!H790&gt;0.5,"D","R")=$E$5,1,0)</f>
        <v>1</v>
      </c>
      <c r="E210" s="5">
        <f>IF(IF('Precinct Vote Data'!H791&gt;0.5,"D","R")=$E$6,1,0)</f>
        <v>1</v>
      </c>
      <c r="F210" s="5">
        <f>IF(IF('Precinct Vote Data'!H792&gt;0.5,"D","R")=$E$7,1,0)</f>
        <v>1</v>
      </c>
      <c r="G210" s="5">
        <f>IF(IF('Precinct Vote Data'!H793&gt;0.5,"D","R")=$E$8,1,0)</f>
        <v>1</v>
      </c>
      <c r="H210" s="5">
        <f t="shared" si="3"/>
        <v>4</v>
      </c>
      <c r="I210" s="13">
        <f>AVERAGE(ABS('Precinct Vote Data'!H790-$D$5),ABS('Precinct Vote Data'!H791-$D$6),ABS('Precinct Vote Data'!H792-$D$7),ABS('Precinct Vote Data'!H793-$D$8))</f>
        <v>0.1532020523</v>
      </c>
      <c r="J210" s="14" t="str">
        <f>IF(AND(H210=4,I210=MIN(K13:K420)),"&lt;&lt; MAGIC PRECINCT","")</f>
        <v/>
      </c>
      <c r="K210" s="13">
        <f t="shared" si="4"/>
        <v>0.1532020523</v>
      </c>
    </row>
    <row r="211" ht="15.0" customHeight="1">
      <c r="A211" s="5" t="s">
        <v>143</v>
      </c>
      <c r="B211" s="5" t="s">
        <v>269</v>
      </c>
      <c r="C211" s="5" t="s">
        <v>273</v>
      </c>
      <c r="D211" s="5">
        <f>IF(IF('Precinct Vote Data'!H794&gt;0.5,"D","R")=$E$5,1,0)</f>
        <v>1</v>
      </c>
      <c r="E211" s="5">
        <f>IF(IF('Precinct Vote Data'!H795&gt;0.5,"D","R")=$E$6,1,0)</f>
        <v>1</v>
      </c>
      <c r="F211" s="5">
        <f>IF(IF('Precinct Vote Data'!H796&gt;0.5,"D","R")=$E$7,1,0)</f>
        <v>1</v>
      </c>
      <c r="G211" s="5">
        <f>IF(IF('Precinct Vote Data'!H797&gt;0.5,"D","R")=$E$8,1,0)</f>
        <v>1</v>
      </c>
      <c r="H211" s="5">
        <f t="shared" si="3"/>
        <v>4</v>
      </c>
      <c r="I211" s="13">
        <f>AVERAGE(ABS('Precinct Vote Data'!H794-$D$5),ABS('Precinct Vote Data'!H795-$D$6),ABS('Precinct Vote Data'!H796-$D$7),ABS('Precinct Vote Data'!H797-$D$8))</f>
        <v>0.04484077575</v>
      </c>
      <c r="J211" s="14" t="str">
        <f>IF(AND(H211=4,I211=MIN(K13:K420)),"&lt;&lt; MAGIC PRECINCT","")</f>
        <v/>
      </c>
      <c r="K211" s="13">
        <f t="shared" si="4"/>
        <v>0.04484077575</v>
      </c>
    </row>
    <row r="212" ht="15.0" customHeight="1">
      <c r="A212" s="5" t="s">
        <v>143</v>
      </c>
      <c r="B212" s="5" t="s">
        <v>269</v>
      </c>
      <c r="C212" s="5" t="s">
        <v>274</v>
      </c>
      <c r="D212" s="5">
        <f>IF(IF('Precinct Vote Data'!H798&gt;0.5,"D","R")=$E$5,1,0)</f>
        <v>1</v>
      </c>
      <c r="E212" s="5">
        <f>IF(IF('Precinct Vote Data'!H799&gt;0.5,"D","R")=$E$6,1,0)</f>
        <v>0</v>
      </c>
      <c r="F212" s="5">
        <f>IF(IF('Precinct Vote Data'!H800&gt;0.5,"D","R")=$E$7,1,0)</f>
        <v>0</v>
      </c>
      <c r="G212" s="5">
        <f>IF(IF('Precinct Vote Data'!H801&gt;0.5,"D","R")=$E$8,1,0)</f>
        <v>0</v>
      </c>
      <c r="H212" s="5">
        <f t="shared" si="3"/>
        <v>1</v>
      </c>
      <c r="I212" s="13">
        <f>AVERAGE(ABS('Precinct Vote Data'!H798-$D$5),ABS('Precinct Vote Data'!H799-$D$6),ABS('Precinct Vote Data'!H800-$D$7),ABS('Precinct Vote Data'!H801-$D$8))</f>
        <v>0.02732169934</v>
      </c>
      <c r="J212" s="14" t="str">
        <f>IF(AND(H212=4,I212=MIN(K13:K420)),"&lt;&lt; MAGIC PRECINCT","")</f>
        <v/>
      </c>
      <c r="K212" s="5" t="str">
        <f t="shared" si="4"/>
        <v/>
      </c>
    </row>
    <row r="213" ht="15.0" customHeight="1">
      <c r="A213" s="5" t="s">
        <v>143</v>
      </c>
      <c r="B213" s="5" t="s">
        <v>269</v>
      </c>
      <c r="C213" s="5" t="s">
        <v>275</v>
      </c>
      <c r="D213" s="5">
        <f>IF(IF('Precinct Vote Data'!H802&gt;0.5,"D","R")=$E$5,1,0)</f>
        <v>1</v>
      </c>
      <c r="E213" s="5">
        <f>IF(IF('Precinct Vote Data'!H803&gt;0.5,"D","R")=$E$6,1,0)</f>
        <v>1</v>
      </c>
      <c r="F213" s="5">
        <f>IF(IF('Precinct Vote Data'!H804&gt;0.5,"D","R")=$E$7,1,0)</f>
        <v>1</v>
      </c>
      <c r="G213" s="5">
        <f>IF(IF('Precinct Vote Data'!H805&gt;0.5,"D","R")=$E$8,1,0)</f>
        <v>1</v>
      </c>
      <c r="H213" s="5">
        <f t="shared" si="3"/>
        <v>4</v>
      </c>
      <c r="I213" s="13">
        <f>AVERAGE(ABS('Precinct Vote Data'!H802-$D$5),ABS('Precinct Vote Data'!H803-$D$6),ABS('Precinct Vote Data'!H804-$D$7),ABS('Precinct Vote Data'!H805-$D$8))</f>
        <v>0.03065454741</v>
      </c>
      <c r="J213" s="14" t="str">
        <f>IF(AND(H213=4,I213=MIN(K13:K420)),"&lt;&lt; MAGIC PRECINCT","")</f>
        <v/>
      </c>
      <c r="K213" s="13">
        <f t="shared" si="4"/>
        <v>0.03065454741</v>
      </c>
    </row>
    <row r="214" ht="15.0" customHeight="1">
      <c r="A214" s="5" t="s">
        <v>143</v>
      </c>
      <c r="B214" s="5" t="s">
        <v>269</v>
      </c>
      <c r="C214" s="5" t="s">
        <v>276</v>
      </c>
      <c r="D214" s="5">
        <f>IF(IF('Precinct Vote Data'!H806&gt;0.5,"D","R")=$E$5,1,0)</f>
        <v>0</v>
      </c>
      <c r="E214" s="5">
        <f>IF(IF('Precinct Vote Data'!H807&gt;0.5,"D","R")=$E$6,1,0)</f>
        <v>0</v>
      </c>
      <c r="F214" s="5">
        <f>IF(IF('Precinct Vote Data'!H808&gt;0.5,"D","R")=$E$7,1,0)</f>
        <v>0</v>
      </c>
      <c r="G214" s="5">
        <f>IF(IF('Precinct Vote Data'!H809&gt;0.5,"D","R")=$E$8,1,0)</f>
        <v>0</v>
      </c>
      <c r="H214" s="5">
        <f t="shared" si="3"/>
        <v>0</v>
      </c>
      <c r="I214" s="13">
        <f>AVERAGE(ABS('Precinct Vote Data'!H806-$D$5),ABS('Precinct Vote Data'!H807-$D$6),ABS('Precinct Vote Data'!H808-$D$7),ABS('Precinct Vote Data'!H809-$D$8))</f>
        <v>0.040418582</v>
      </c>
      <c r="J214" s="14" t="str">
        <f>IF(AND(H214=4,I214=MIN(K13:K420)),"&lt;&lt; MAGIC PRECINCT","")</f>
        <v/>
      </c>
      <c r="K214" s="5" t="str">
        <f t="shared" si="4"/>
        <v/>
      </c>
    </row>
    <row r="215" ht="15.0" customHeight="1">
      <c r="A215" s="5" t="s">
        <v>143</v>
      </c>
      <c r="B215" s="5" t="s">
        <v>269</v>
      </c>
      <c r="C215" s="5" t="s">
        <v>277</v>
      </c>
      <c r="D215" s="5">
        <f>IF(IF('Precinct Vote Data'!H810&gt;0.5,"D","R")=$E$5,1,0)</f>
        <v>1</v>
      </c>
      <c r="E215" s="5">
        <f>IF(IF('Precinct Vote Data'!H811&gt;0.5,"D","R")=$E$6,1,0)</f>
        <v>0</v>
      </c>
      <c r="F215" s="5">
        <f>IF(IF('Precinct Vote Data'!H812&gt;0.5,"D","R")=$E$7,1,0)</f>
        <v>1</v>
      </c>
      <c r="G215" s="5">
        <f>IF(IF('Precinct Vote Data'!H813&gt;0.5,"D","R")=$E$8,1,0)</f>
        <v>0</v>
      </c>
      <c r="H215" s="5">
        <f t="shared" si="3"/>
        <v>2</v>
      </c>
      <c r="I215" s="13">
        <f>AVERAGE(ABS('Precinct Vote Data'!H810-$D$5),ABS('Precinct Vote Data'!H811-$D$6),ABS('Precinct Vote Data'!H812-$D$7),ABS('Precinct Vote Data'!H813-$D$8))</f>
        <v>0.0237837179</v>
      </c>
      <c r="J215" s="14" t="str">
        <f>IF(AND(H215=4,I215=MIN(K13:K420)),"&lt;&lt; MAGIC PRECINCT","")</f>
        <v/>
      </c>
      <c r="K215" s="5" t="str">
        <f t="shared" si="4"/>
        <v/>
      </c>
    </row>
    <row r="216" ht="15.0" customHeight="1">
      <c r="A216" s="5" t="s">
        <v>143</v>
      </c>
      <c r="B216" s="5" t="s">
        <v>269</v>
      </c>
      <c r="C216" s="5" t="s">
        <v>278</v>
      </c>
      <c r="D216" s="5">
        <f>IF(IF('Precinct Vote Data'!H814&gt;0.5,"D","R")=$E$5,1,0)</f>
        <v>1</v>
      </c>
      <c r="E216" s="5">
        <f>IF(IF('Precinct Vote Data'!H815&gt;0.5,"D","R")=$E$6,1,0)</f>
        <v>1</v>
      </c>
      <c r="F216" s="5">
        <f>IF(IF('Precinct Vote Data'!H816&gt;0.5,"D","R")=$E$7,1,0)</f>
        <v>1</v>
      </c>
      <c r="G216" s="5">
        <f>IF(IF('Precinct Vote Data'!H817&gt;0.5,"D","R")=$E$8,1,0)</f>
        <v>1</v>
      </c>
      <c r="H216" s="5">
        <f t="shared" si="3"/>
        <v>4</v>
      </c>
      <c r="I216" s="13">
        <f>AVERAGE(ABS('Precinct Vote Data'!H814-$D$5),ABS('Precinct Vote Data'!H815-$D$6),ABS('Precinct Vote Data'!H816-$D$7),ABS('Precinct Vote Data'!H817-$D$8))</f>
        <v>0.01681385787</v>
      </c>
      <c r="J216" s="14" t="str">
        <f>IF(AND(H216=4,I216=MIN(K13:K420)),"&lt;&lt; MAGIC PRECINCT","")</f>
        <v/>
      </c>
      <c r="K216" s="13">
        <f t="shared" si="4"/>
        <v>0.01681385787</v>
      </c>
    </row>
    <row r="217" ht="15.0" customHeight="1">
      <c r="A217" s="5" t="s">
        <v>143</v>
      </c>
      <c r="B217" s="5" t="s">
        <v>269</v>
      </c>
      <c r="C217" s="5" t="s">
        <v>279</v>
      </c>
      <c r="D217" s="5">
        <f>IF(IF('Precinct Vote Data'!H818&gt;0.5,"D","R")=$E$5,1,0)</f>
        <v>0</v>
      </c>
      <c r="E217" s="5">
        <f>IF(IF('Precinct Vote Data'!H819&gt;0.5,"D","R")=$E$6,1,0)</f>
        <v>0</v>
      </c>
      <c r="F217" s="5">
        <f>IF(IF('Precinct Vote Data'!H820&gt;0.5,"D","R")=$E$7,1,0)</f>
        <v>0</v>
      </c>
      <c r="G217" s="5">
        <f>IF(IF('Precinct Vote Data'!H821&gt;0.5,"D","R")=$E$8,1,0)</f>
        <v>0</v>
      </c>
      <c r="H217" s="5">
        <f t="shared" si="3"/>
        <v>0</v>
      </c>
      <c r="I217" s="13">
        <f>AVERAGE(ABS('Precinct Vote Data'!H818-$D$5),ABS('Precinct Vote Data'!H819-$D$6),ABS('Precinct Vote Data'!H820-$D$7),ABS('Precinct Vote Data'!H821-$D$8))</f>
        <v>0.0550076976</v>
      </c>
      <c r="J217" s="14" t="str">
        <f>IF(AND(H217=4,I217=MIN(K13:K420)),"&lt;&lt; MAGIC PRECINCT","")</f>
        <v/>
      </c>
      <c r="K217" s="5" t="str">
        <f t="shared" si="4"/>
        <v/>
      </c>
    </row>
    <row r="218" ht="15.0" customHeight="1">
      <c r="A218" s="5" t="s">
        <v>143</v>
      </c>
      <c r="B218" s="5" t="s">
        <v>269</v>
      </c>
      <c r="C218" s="5" t="s">
        <v>280</v>
      </c>
      <c r="D218" s="5">
        <f>IF(IF('Precinct Vote Data'!H822&gt;0.5,"D","R")=$E$5,1,0)</f>
        <v>1</v>
      </c>
      <c r="E218" s="5">
        <f>IF(IF('Precinct Vote Data'!H823&gt;0.5,"D","R")=$E$6,1,0)</f>
        <v>0</v>
      </c>
      <c r="F218" s="5">
        <f>IF(IF('Precinct Vote Data'!H824&gt;0.5,"D","R")=$E$7,1,0)</f>
        <v>0</v>
      </c>
      <c r="G218" s="5">
        <f>IF(IF('Precinct Vote Data'!H825&gt;0.5,"D","R")=$E$8,1,0)</f>
        <v>0</v>
      </c>
      <c r="H218" s="5">
        <f t="shared" si="3"/>
        <v>1</v>
      </c>
      <c r="I218" s="13">
        <f>AVERAGE(ABS('Precinct Vote Data'!H822-$D$5),ABS('Precinct Vote Data'!H823-$D$6),ABS('Precinct Vote Data'!H824-$D$7),ABS('Precinct Vote Data'!H825-$D$8))</f>
        <v>0.03433245525</v>
      </c>
      <c r="J218" s="14" t="str">
        <f>IF(AND(H218=4,I218=MIN(K13:K420)),"&lt;&lt; MAGIC PRECINCT","")</f>
        <v/>
      </c>
      <c r="K218" s="5" t="str">
        <f t="shared" si="4"/>
        <v/>
      </c>
    </row>
    <row r="219" ht="15.0" customHeight="1">
      <c r="A219" s="5" t="s">
        <v>143</v>
      </c>
      <c r="B219" s="5" t="s">
        <v>269</v>
      </c>
      <c r="C219" s="5" t="s">
        <v>281</v>
      </c>
      <c r="D219" s="5">
        <f>IF(IF('Precinct Vote Data'!H826&gt;0.5,"D","R")=$E$5,1,0)</f>
        <v>1</v>
      </c>
      <c r="E219" s="5">
        <f>IF(IF('Precinct Vote Data'!H827&gt;0.5,"D","R")=$E$6,1,0)</f>
        <v>1</v>
      </c>
      <c r="F219" s="5">
        <f>IF(IF('Precinct Vote Data'!H828&gt;0.5,"D","R")=$E$7,1,0)</f>
        <v>1</v>
      </c>
      <c r="G219" s="5">
        <f>IF(IF('Precinct Vote Data'!H829&gt;0.5,"D","R")=$E$8,1,0)</f>
        <v>1</v>
      </c>
      <c r="H219" s="5">
        <f t="shared" si="3"/>
        <v>4</v>
      </c>
      <c r="I219" s="13">
        <f>AVERAGE(ABS('Precinct Vote Data'!H826-$D$5),ABS('Precinct Vote Data'!H827-$D$6),ABS('Precinct Vote Data'!H828-$D$7),ABS('Precinct Vote Data'!H829-$D$8))</f>
        <v>0.07577146041</v>
      </c>
      <c r="J219" s="14" t="str">
        <f>IF(AND(H219=4,I219=MIN(K13:K420)),"&lt;&lt; MAGIC PRECINCT","")</f>
        <v/>
      </c>
      <c r="K219" s="13">
        <f t="shared" si="4"/>
        <v>0.07577146041</v>
      </c>
    </row>
    <row r="220" ht="15.0" customHeight="1">
      <c r="A220" s="5" t="s">
        <v>282</v>
      </c>
      <c r="B220" s="5" t="s">
        <v>283</v>
      </c>
      <c r="C220" s="5" t="s">
        <v>284</v>
      </c>
      <c r="D220" s="5">
        <f>IF(IF('Precinct Vote Data'!H830&gt;0.5,"D","R")=$E$5,1,0)</f>
        <v>0</v>
      </c>
      <c r="E220" s="5">
        <f>IF(IF('Precinct Vote Data'!H831&gt;0.5,"D","R")=$E$6,1,0)</f>
        <v>0</v>
      </c>
      <c r="F220" s="5">
        <f>IF(IF('Precinct Vote Data'!H832&gt;0.5,"D","R")=$E$7,1,0)</f>
        <v>0</v>
      </c>
      <c r="G220" s="5">
        <f>IF(IF('Precinct Vote Data'!H833&gt;0.5,"D","R")=$E$8,1,0)</f>
        <v>0</v>
      </c>
      <c r="H220" s="5">
        <f t="shared" si="3"/>
        <v>0</v>
      </c>
      <c r="I220" s="13">
        <f>AVERAGE(ABS('Precinct Vote Data'!H830-$D$5),ABS('Precinct Vote Data'!H831-$D$6),ABS('Precinct Vote Data'!H832-$D$7),ABS('Precinct Vote Data'!H833-$D$8))</f>
        <v>0.03820704297</v>
      </c>
      <c r="J220" s="14" t="str">
        <f>IF(AND(H220=4,I220=MIN(K13:K420)),"&lt;&lt; MAGIC PRECINCT","")</f>
        <v/>
      </c>
      <c r="K220" s="5" t="str">
        <f t="shared" si="4"/>
        <v/>
      </c>
    </row>
    <row r="221" ht="15.0" customHeight="1">
      <c r="A221" s="5" t="s">
        <v>282</v>
      </c>
      <c r="B221" s="5" t="s">
        <v>283</v>
      </c>
      <c r="C221" s="5" t="s">
        <v>285</v>
      </c>
      <c r="D221" s="5">
        <f>IF(IF('Precinct Vote Data'!H834&gt;0.5,"D","R")=$E$5,1,0)</f>
        <v>0</v>
      </c>
      <c r="E221" s="5">
        <f>IF(IF('Precinct Vote Data'!H835&gt;0.5,"D","R")=$E$6,1,0)</f>
        <v>0</v>
      </c>
      <c r="F221" s="5">
        <f>IF(IF('Precinct Vote Data'!H836&gt;0.5,"D","R")=$E$7,1,0)</f>
        <v>0</v>
      </c>
      <c r="G221" s="5">
        <f>IF(IF('Precinct Vote Data'!H837&gt;0.5,"D","R")=$E$8,1,0)</f>
        <v>0</v>
      </c>
      <c r="H221" s="5">
        <f t="shared" si="3"/>
        <v>0</v>
      </c>
      <c r="I221" s="13">
        <f>AVERAGE(ABS('Precinct Vote Data'!H834-$D$5),ABS('Precinct Vote Data'!H835-$D$6),ABS('Precinct Vote Data'!H836-$D$7),ABS('Precinct Vote Data'!H837-$D$8))</f>
        <v>0.03896666566</v>
      </c>
      <c r="J221" s="14" t="str">
        <f>IF(AND(H221=4,I221=MIN(K13:K420)),"&lt;&lt; MAGIC PRECINCT","")</f>
        <v/>
      </c>
      <c r="K221" s="5" t="str">
        <f t="shared" si="4"/>
        <v/>
      </c>
    </row>
    <row r="222" ht="15.0" customHeight="1">
      <c r="A222" s="5" t="s">
        <v>282</v>
      </c>
      <c r="B222" s="5" t="s">
        <v>286</v>
      </c>
      <c r="C222" s="5" t="s">
        <v>287</v>
      </c>
      <c r="D222" s="5">
        <f>IF(IF('Precinct Vote Data'!H838&gt;0.5,"D","R")=$E$5,1,0)</f>
        <v>0</v>
      </c>
      <c r="E222" s="5">
        <f>IF(IF('Precinct Vote Data'!H839&gt;0.5,"D","R")=$E$6,1,0)</f>
        <v>0</v>
      </c>
      <c r="F222" s="5">
        <f>IF(IF('Precinct Vote Data'!H840&gt;0.5,"D","R")=$E$7,1,0)</f>
        <v>0</v>
      </c>
      <c r="G222" s="5">
        <f>IF(IF('Precinct Vote Data'!H841&gt;0.5,"D","R")=$E$8,1,0)</f>
        <v>0</v>
      </c>
      <c r="H222" s="5">
        <f t="shared" si="3"/>
        <v>0</v>
      </c>
      <c r="I222" s="13">
        <f>AVERAGE(ABS('Precinct Vote Data'!H838-$D$5),ABS('Precinct Vote Data'!H839-$D$6),ABS('Precinct Vote Data'!H840-$D$7),ABS('Precinct Vote Data'!H841-$D$8))</f>
        <v>0.04693629816</v>
      </c>
      <c r="J222" s="14" t="str">
        <f>IF(AND(H222=4,I222=MIN(K13:K420)),"&lt;&lt; MAGIC PRECINCT","")</f>
        <v/>
      </c>
      <c r="K222" s="5" t="str">
        <f t="shared" si="4"/>
        <v/>
      </c>
    </row>
    <row r="223" ht="15.0" customHeight="1">
      <c r="A223" s="5" t="s">
        <v>282</v>
      </c>
      <c r="B223" s="5" t="s">
        <v>286</v>
      </c>
      <c r="C223" s="5" t="s">
        <v>288</v>
      </c>
      <c r="D223" s="5">
        <f>IF(IF('Precinct Vote Data'!H842&gt;0.5,"D","R")=$E$5,1,0)</f>
        <v>0</v>
      </c>
      <c r="E223" s="5">
        <f>IF(IF('Precinct Vote Data'!H843&gt;0.5,"D","R")=$E$6,1,0)</f>
        <v>0</v>
      </c>
      <c r="F223" s="5">
        <f>IF(IF('Precinct Vote Data'!H844&gt;0.5,"D","R")=$E$7,1,0)</f>
        <v>0</v>
      </c>
      <c r="G223" s="5">
        <f>IF(IF('Precinct Vote Data'!H845&gt;0.5,"D","R")=$E$8,1,0)</f>
        <v>0</v>
      </c>
      <c r="H223" s="5">
        <f t="shared" si="3"/>
        <v>0</v>
      </c>
      <c r="I223" s="13">
        <f>AVERAGE(ABS('Precinct Vote Data'!H842-$D$5),ABS('Precinct Vote Data'!H843-$D$6),ABS('Precinct Vote Data'!H844-$D$7),ABS('Precinct Vote Data'!H845-$D$8))</f>
        <v>0.06354271136</v>
      </c>
      <c r="J223" s="14" t="str">
        <f>IF(AND(H223=4,I223=MIN(K13:K420)),"&lt;&lt; MAGIC PRECINCT","")</f>
        <v/>
      </c>
      <c r="K223" s="5" t="str">
        <f t="shared" si="4"/>
        <v/>
      </c>
    </row>
    <row r="224" ht="15.0" customHeight="1">
      <c r="A224" s="5" t="s">
        <v>282</v>
      </c>
      <c r="B224" s="5" t="s">
        <v>286</v>
      </c>
      <c r="C224" s="5" t="s">
        <v>289</v>
      </c>
      <c r="D224" s="5">
        <f>IF(IF('Precinct Vote Data'!H846&gt;0.5,"D","R")=$E$5,1,0)</f>
        <v>1</v>
      </c>
      <c r="E224" s="5">
        <f>IF(IF('Precinct Vote Data'!H847&gt;0.5,"D","R")=$E$6,1,0)</f>
        <v>0</v>
      </c>
      <c r="F224" s="5">
        <f>IF(IF('Precinct Vote Data'!H848&gt;0.5,"D","R")=$E$7,1,0)</f>
        <v>0</v>
      </c>
      <c r="G224" s="5">
        <f>IF(IF('Precinct Vote Data'!H849&gt;0.5,"D","R")=$E$8,1,0)</f>
        <v>0</v>
      </c>
      <c r="H224" s="5">
        <f t="shared" si="3"/>
        <v>1</v>
      </c>
      <c r="I224" s="13">
        <f>AVERAGE(ABS('Precinct Vote Data'!H846-$D$5),ABS('Precinct Vote Data'!H847-$D$6),ABS('Precinct Vote Data'!H848-$D$7),ABS('Precinct Vote Data'!H849-$D$8))</f>
        <v>0.03936076486</v>
      </c>
      <c r="J224" s="14" t="str">
        <f>IF(AND(H224=4,I224=MIN(K13:K420)),"&lt;&lt; MAGIC PRECINCT","")</f>
        <v/>
      </c>
      <c r="K224" s="5" t="str">
        <f t="shared" si="4"/>
        <v/>
      </c>
    </row>
    <row r="225" ht="15.0" customHeight="1">
      <c r="A225" s="5" t="s">
        <v>282</v>
      </c>
      <c r="B225" s="5" t="s">
        <v>286</v>
      </c>
      <c r="C225" s="5" t="s">
        <v>290</v>
      </c>
      <c r="D225" s="5">
        <f>IF(IF('Precinct Vote Data'!H850&gt;0.5,"D","R")=$E$5,1,0)</f>
        <v>0</v>
      </c>
      <c r="E225" s="5">
        <f>IF(IF('Precinct Vote Data'!H851&gt;0.5,"D","R")=$E$6,1,0)</f>
        <v>0</v>
      </c>
      <c r="F225" s="5">
        <f>IF(IF('Precinct Vote Data'!H852&gt;0.5,"D","R")=$E$7,1,0)</f>
        <v>0</v>
      </c>
      <c r="G225" s="5">
        <f>IF(IF('Precinct Vote Data'!H853&gt;0.5,"D","R")=$E$8,1,0)</f>
        <v>0</v>
      </c>
      <c r="H225" s="5">
        <f t="shared" si="3"/>
        <v>0</v>
      </c>
      <c r="I225" s="13">
        <f>AVERAGE(ABS('Precinct Vote Data'!H850-$D$5),ABS('Precinct Vote Data'!H851-$D$6),ABS('Precinct Vote Data'!H852-$D$7),ABS('Precinct Vote Data'!H853-$D$8))</f>
        <v>0.1221295617</v>
      </c>
      <c r="J225" s="14" t="str">
        <f>IF(AND(H225=4,I225=MIN(K13:K420)),"&lt;&lt; MAGIC PRECINCT","")</f>
        <v/>
      </c>
      <c r="K225" s="5" t="str">
        <f t="shared" si="4"/>
        <v/>
      </c>
    </row>
    <row r="226" ht="15.0" customHeight="1">
      <c r="A226" s="5" t="s">
        <v>282</v>
      </c>
      <c r="B226" s="5" t="s">
        <v>291</v>
      </c>
      <c r="C226" s="5" t="s">
        <v>292</v>
      </c>
      <c r="D226" s="5">
        <f>IF(IF('Precinct Vote Data'!H854&gt;0.5,"D","R")=$E$5,1,0)</f>
        <v>1</v>
      </c>
      <c r="E226" s="5">
        <f>IF(IF('Precinct Vote Data'!H855&gt;0.5,"D","R")=$E$6,1,0)</f>
        <v>1</v>
      </c>
      <c r="F226" s="5">
        <f>IF(IF('Precinct Vote Data'!H856&gt;0.5,"D","R")=$E$7,1,0)</f>
        <v>1</v>
      </c>
      <c r="G226" s="5">
        <f>IF(IF('Precinct Vote Data'!H857&gt;0.5,"D","R")=$E$8,1,0)</f>
        <v>1</v>
      </c>
      <c r="H226" s="5">
        <f t="shared" si="3"/>
        <v>4</v>
      </c>
      <c r="I226" s="13">
        <f>AVERAGE(ABS('Precinct Vote Data'!H854-$D$5),ABS('Precinct Vote Data'!H855-$D$6),ABS('Precinct Vote Data'!H856-$D$7),ABS('Precinct Vote Data'!H857-$D$8))</f>
        <v>0.01818935086</v>
      </c>
      <c r="J226" s="14" t="str">
        <f>IF(AND(H226=4,I226=MIN(K13:K420)),"&lt;&lt; MAGIC PRECINCT","")</f>
        <v/>
      </c>
      <c r="K226" s="13">
        <f t="shared" si="4"/>
        <v>0.01818935086</v>
      </c>
    </row>
    <row r="227" ht="15.0" customHeight="1">
      <c r="A227" s="5" t="s">
        <v>282</v>
      </c>
      <c r="B227" s="5" t="s">
        <v>291</v>
      </c>
      <c r="C227" s="5" t="s">
        <v>293</v>
      </c>
      <c r="D227" s="5">
        <f>IF(IF('Precinct Vote Data'!H858&gt;0.5,"D","R")=$E$5,1,0)</f>
        <v>1</v>
      </c>
      <c r="E227" s="5">
        <f>IF(IF('Precinct Vote Data'!H859&gt;0.5,"D","R")=$E$6,1,0)</f>
        <v>1</v>
      </c>
      <c r="F227" s="5">
        <f>IF(IF('Precinct Vote Data'!H860&gt;0.5,"D","R")=$E$7,1,0)</f>
        <v>1</v>
      </c>
      <c r="G227" s="5">
        <f>IF(IF('Precinct Vote Data'!H861&gt;0.5,"D","R")=$E$8,1,0)</f>
        <v>1</v>
      </c>
      <c r="H227" s="5">
        <f t="shared" si="3"/>
        <v>4</v>
      </c>
      <c r="I227" s="13">
        <f>AVERAGE(ABS('Precinct Vote Data'!H858-$D$5),ABS('Precinct Vote Data'!H859-$D$6),ABS('Precinct Vote Data'!H860-$D$7),ABS('Precinct Vote Data'!H861-$D$8))</f>
        <v>0.08978620805</v>
      </c>
      <c r="J227" s="14" t="str">
        <f>IF(AND(H227=4,I227=MIN(K13:K420)),"&lt;&lt; MAGIC PRECINCT","")</f>
        <v/>
      </c>
      <c r="K227" s="13">
        <f t="shared" si="4"/>
        <v>0.08978620805</v>
      </c>
    </row>
    <row r="228" ht="15.0" customHeight="1">
      <c r="A228" s="5" t="s">
        <v>282</v>
      </c>
      <c r="B228" s="5" t="s">
        <v>291</v>
      </c>
      <c r="C228" s="5" t="s">
        <v>294</v>
      </c>
      <c r="D228" s="5">
        <f>IF(IF('Precinct Vote Data'!H862&gt;0.5,"D","R")=$E$5,1,0)</f>
        <v>1</v>
      </c>
      <c r="E228" s="5">
        <f>IF(IF('Precinct Vote Data'!H863&gt;0.5,"D","R")=$E$6,1,0)</f>
        <v>1</v>
      </c>
      <c r="F228" s="5">
        <f>IF(IF('Precinct Vote Data'!H864&gt;0.5,"D","R")=$E$7,1,0)</f>
        <v>1</v>
      </c>
      <c r="G228" s="5">
        <f>IF(IF('Precinct Vote Data'!H865&gt;0.5,"D","R")=$E$8,1,0)</f>
        <v>1</v>
      </c>
      <c r="H228" s="5">
        <f t="shared" si="3"/>
        <v>4</v>
      </c>
      <c r="I228" s="13">
        <f>AVERAGE(ABS('Precinct Vote Data'!H862-$D$5),ABS('Precinct Vote Data'!H863-$D$6),ABS('Precinct Vote Data'!H864-$D$7),ABS('Precinct Vote Data'!H865-$D$8))</f>
        <v>0.2315547187</v>
      </c>
      <c r="J228" s="14" t="str">
        <f>IF(AND(H228=4,I228=MIN(K13:K420)),"&lt;&lt; MAGIC PRECINCT","")</f>
        <v/>
      </c>
      <c r="K228" s="13">
        <f t="shared" si="4"/>
        <v>0.2315547187</v>
      </c>
    </row>
    <row r="229" ht="15.0" customHeight="1">
      <c r="A229" s="5" t="s">
        <v>282</v>
      </c>
      <c r="B229" s="5" t="s">
        <v>291</v>
      </c>
      <c r="C229" s="5" t="s">
        <v>295</v>
      </c>
      <c r="D229" s="5">
        <f>IF(IF('Precinct Vote Data'!H866&gt;0.5,"D","R")=$E$5,1,0)</f>
        <v>1</v>
      </c>
      <c r="E229" s="5">
        <f>IF(IF('Precinct Vote Data'!H867&gt;0.5,"D","R")=$E$6,1,0)</f>
        <v>1</v>
      </c>
      <c r="F229" s="5">
        <f>IF(IF('Precinct Vote Data'!H868&gt;0.5,"D","R")=$E$7,1,0)</f>
        <v>1</v>
      </c>
      <c r="G229" s="5">
        <f>IF(IF('Precinct Vote Data'!H869&gt;0.5,"D","R")=$E$8,1,0)</f>
        <v>1</v>
      </c>
      <c r="H229" s="5">
        <f t="shared" si="3"/>
        <v>4</v>
      </c>
      <c r="I229" s="13">
        <f>AVERAGE(ABS('Precinct Vote Data'!H866-$D$5),ABS('Precinct Vote Data'!H867-$D$6),ABS('Precinct Vote Data'!H868-$D$7),ABS('Precinct Vote Data'!H869-$D$8))</f>
        <v>0.1687474852</v>
      </c>
      <c r="J229" s="14" t="str">
        <f>IF(AND(H229=4,I229=MIN(K13:K420)),"&lt;&lt; MAGIC PRECINCT","")</f>
        <v/>
      </c>
      <c r="K229" s="13">
        <f t="shared" si="4"/>
        <v>0.1687474852</v>
      </c>
    </row>
    <row r="230" ht="15.0" customHeight="1">
      <c r="A230" s="5" t="s">
        <v>282</v>
      </c>
      <c r="B230" s="5" t="s">
        <v>296</v>
      </c>
      <c r="C230" s="5" t="s">
        <v>59</v>
      </c>
      <c r="D230" s="5">
        <f>IF(IF('Precinct Vote Data'!H870&gt;0.5,"D","R")=$E$5,1,0)</f>
        <v>1</v>
      </c>
      <c r="E230" s="5">
        <f>IF(IF('Precinct Vote Data'!H871&gt;0.5,"D","R")=$E$6,1,0)</f>
        <v>1</v>
      </c>
      <c r="F230" s="5">
        <f>IF(IF('Precinct Vote Data'!H872&gt;0.5,"D","R")=$E$7,1,0)</f>
        <v>1</v>
      </c>
      <c r="G230" s="5">
        <f>IF(IF('Precinct Vote Data'!H873&gt;0.5,"D","R")=$E$8,1,0)</f>
        <v>1</v>
      </c>
      <c r="H230" s="5">
        <f t="shared" si="3"/>
        <v>4</v>
      </c>
      <c r="I230" s="13">
        <f>AVERAGE(ABS('Precinct Vote Data'!H870-$D$5),ABS('Precinct Vote Data'!H871-$D$6),ABS('Precinct Vote Data'!H872-$D$7),ABS('Precinct Vote Data'!H873-$D$8))</f>
        <v>0.1178751832</v>
      </c>
      <c r="J230" s="14" t="str">
        <f>IF(AND(H230=4,I230=MIN(K13:K420)),"&lt;&lt; MAGIC PRECINCT","")</f>
        <v/>
      </c>
      <c r="K230" s="13">
        <f t="shared" si="4"/>
        <v>0.1178751832</v>
      </c>
    </row>
    <row r="231" ht="15.0" customHeight="1">
      <c r="A231" s="5" t="s">
        <v>282</v>
      </c>
      <c r="B231" s="5" t="s">
        <v>297</v>
      </c>
      <c r="C231" s="5" t="s">
        <v>63</v>
      </c>
      <c r="D231" s="5">
        <f>IF(IF('Precinct Vote Data'!H874&gt;0.5,"D","R")=$E$5,1,0)</f>
        <v>1</v>
      </c>
      <c r="E231" s="5">
        <f>IF(IF('Precinct Vote Data'!H875&gt;0.5,"D","R")=$E$6,1,0)</f>
        <v>1</v>
      </c>
      <c r="F231" s="5">
        <f>IF(IF('Precinct Vote Data'!H876&gt;0.5,"D","R")=$E$7,1,0)</f>
        <v>1</v>
      </c>
      <c r="G231" s="5">
        <f>IF(IF('Precinct Vote Data'!H877&gt;0.5,"D","R")=$E$8,1,0)</f>
        <v>1</v>
      </c>
      <c r="H231" s="5">
        <f t="shared" si="3"/>
        <v>4</v>
      </c>
      <c r="I231" s="13">
        <f>AVERAGE(ABS('Precinct Vote Data'!H874-$D$5),ABS('Precinct Vote Data'!H875-$D$6),ABS('Precinct Vote Data'!H876-$D$7),ABS('Precinct Vote Data'!H877-$D$8))</f>
        <v>0.1803529356</v>
      </c>
      <c r="J231" s="14" t="str">
        <f>IF(AND(H231=4,I231=MIN(K13:K420)),"&lt;&lt; MAGIC PRECINCT","")</f>
        <v/>
      </c>
      <c r="K231" s="13">
        <f t="shared" si="4"/>
        <v>0.1803529356</v>
      </c>
    </row>
    <row r="232" ht="15.0" customHeight="1">
      <c r="A232" s="5" t="s">
        <v>282</v>
      </c>
      <c r="B232" s="5" t="s">
        <v>297</v>
      </c>
      <c r="C232" s="5" t="s">
        <v>73</v>
      </c>
      <c r="D232" s="5">
        <f>IF(IF('Precinct Vote Data'!H878&gt;0.5,"D","R")=$E$5,1,0)</f>
        <v>1</v>
      </c>
      <c r="E232" s="5">
        <f>IF(IF('Precinct Vote Data'!H879&gt;0.5,"D","R")=$E$6,1,0)</f>
        <v>1</v>
      </c>
      <c r="F232" s="5">
        <f>IF(IF('Precinct Vote Data'!H880&gt;0.5,"D","R")=$E$7,1,0)</f>
        <v>1</v>
      </c>
      <c r="G232" s="5">
        <f>IF(IF('Precinct Vote Data'!H881&gt;0.5,"D","R")=$E$8,1,0)</f>
        <v>1</v>
      </c>
      <c r="H232" s="5">
        <f t="shared" si="3"/>
        <v>4</v>
      </c>
      <c r="I232" s="13">
        <f>AVERAGE(ABS('Precinct Vote Data'!H878-$D$5),ABS('Precinct Vote Data'!H879-$D$6),ABS('Precinct Vote Data'!H880-$D$7),ABS('Precinct Vote Data'!H881-$D$8))</f>
        <v>0.2263907325</v>
      </c>
      <c r="J232" s="14" t="str">
        <f>IF(AND(H232=4,I232=MIN(K13:K420)),"&lt;&lt; MAGIC PRECINCT","")</f>
        <v/>
      </c>
      <c r="K232" s="13">
        <f t="shared" si="4"/>
        <v>0.2263907325</v>
      </c>
    </row>
    <row r="233" ht="15.0" customHeight="1">
      <c r="A233" s="5" t="s">
        <v>282</v>
      </c>
      <c r="B233" s="5" t="s">
        <v>297</v>
      </c>
      <c r="C233" s="5" t="s">
        <v>74</v>
      </c>
      <c r="D233" s="5">
        <f>IF(IF('Precinct Vote Data'!H882&gt;0.5,"D","R")=$E$5,1,0)</f>
        <v>1</v>
      </c>
      <c r="E233" s="5">
        <f>IF(IF('Precinct Vote Data'!H883&gt;0.5,"D","R")=$E$6,1,0)</f>
        <v>1</v>
      </c>
      <c r="F233" s="5">
        <f>IF(IF('Precinct Vote Data'!H884&gt;0.5,"D","R")=$E$7,1,0)</f>
        <v>1</v>
      </c>
      <c r="G233" s="5">
        <f>IF(IF('Precinct Vote Data'!H885&gt;0.5,"D","R")=$E$8,1,0)</f>
        <v>1</v>
      </c>
      <c r="H233" s="5">
        <f t="shared" si="3"/>
        <v>4</v>
      </c>
      <c r="I233" s="13">
        <f>AVERAGE(ABS('Precinct Vote Data'!H882-$D$5),ABS('Precinct Vote Data'!H883-$D$6),ABS('Precinct Vote Data'!H884-$D$7),ABS('Precinct Vote Data'!H885-$D$8))</f>
        <v>0.1081227854</v>
      </c>
      <c r="J233" s="14" t="str">
        <f>IF(AND(H233=4,I233=MIN(K13:K420)),"&lt;&lt; MAGIC PRECINCT","")</f>
        <v/>
      </c>
      <c r="K233" s="13">
        <f t="shared" si="4"/>
        <v>0.1081227854</v>
      </c>
    </row>
    <row r="234" ht="15.0" customHeight="1">
      <c r="A234" s="5" t="s">
        <v>282</v>
      </c>
      <c r="B234" s="5" t="s">
        <v>297</v>
      </c>
      <c r="C234" s="5" t="s">
        <v>76</v>
      </c>
      <c r="D234" s="5">
        <f>IF(IF('Precinct Vote Data'!H886&gt;0.5,"D","R")=$E$5,1,0)</f>
        <v>1</v>
      </c>
      <c r="E234" s="5">
        <f>IF(IF('Precinct Vote Data'!H887&gt;0.5,"D","R")=$E$6,1,0)</f>
        <v>1</v>
      </c>
      <c r="F234" s="5">
        <f>IF(IF('Precinct Vote Data'!H888&gt;0.5,"D","R")=$E$7,1,0)</f>
        <v>1</v>
      </c>
      <c r="G234" s="5">
        <f>IF(IF('Precinct Vote Data'!H889&gt;0.5,"D","R")=$E$8,1,0)</f>
        <v>1</v>
      </c>
      <c r="H234" s="5">
        <f t="shared" si="3"/>
        <v>4</v>
      </c>
      <c r="I234" s="13">
        <f>AVERAGE(ABS('Precinct Vote Data'!H886-$D$5),ABS('Precinct Vote Data'!H887-$D$6),ABS('Precinct Vote Data'!H888-$D$7),ABS('Precinct Vote Data'!H889-$D$8))</f>
        <v>0.08496300781</v>
      </c>
      <c r="J234" s="14" t="str">
        <f>IF(AND(H234=4,I234=MIN(K13:K420)),"&lt;&lt; MAGIC PRECINCT","")</f>
        <v/>
      </c>
      <c r="K234" s="13">
        <f t="shared" si="4"/>
        <v>0.08496300781</v>
      </c>
    </row>
    <row r="235" ht="15.0" customHeight="1">
      <c r="A235" s="5" t="s">
        <v>282</v>
      </c>
      <c r="B235" s="5" t="s">
        <v>297</v>
      </c>
      <c r="C235" s="5" t="s">
        <v>78</v>
      </c>
      <c r="D235" s="5">
        <f>IF(IF('Precinct Vote Data'!H890&gt;0.5,"D","R")=$E$5,1,0)</f>
        <v>1</v>
      </c>
      <c r="E235" s="5">
        <f>IF(IF('Precinct Vote Data'!H891&gt;0.5,"D","R")=$E$6,1,0)</f>
        <v>1</v>
      </c>
      <c r="F235" s="5">
        <f>IF(IF('Precinct Vote Data'!H892&gt;0.5,"D","R")=$E$7,1,0)</f>
        <v>1</v>
      </c>
      <c r="G235" s="5">
        <f>IF(IF('Precinct Vote Data'!H893&gt;0.5,"D","R")=$E$8,1,0)</f>
        <v>1</v>
      </c>
      <c r="H235" s="5">
        <f t="shared" si="3"/>
        <v>4</v>
      </c>
      <c r="I235" s="13">
        <f>AVERAGE(ABS('Precinct Vote Data'!H890-$D$5),ABS('Precinct Vote Data'!H891-$D$6),ABS('Precinct Vote Data'!H892-$D$7),ABS('Precinct Vote Data'!H893-$D$8))</f>
        <v>0.08914583425</v>
      </c>
      <c r="J235" s="14" t="str">
        <f>IF(AND(H235=4,I235=MIN(K13:K420)),"&lt;&lt; MAGIC PRECINCT","")</f>
        <v/>
      </c>
      <c r="K235" s="13">
        <f t="shared" si="4"/>
        <v>0.08914583425</v>
      </c>
    </row>
    <row r="236" ht="15.0" customHeight="1">
      <c r="A236" s="5" t="s">
        <v>282</v>
      </c>
      <c r="B236" s="5" t="s">
        <v>297</v>
      </c>
      <c r="C236" s="5" t="s">
        <v>79</v>
      </c>
      <c r="D236" s="5">
        <f>IF(IF('Precinct Vote Data'!H894&gt;0.5,"D","R")=$E$5,1,0)</f>
        <v>1</v>
      </c>
      <c r="E236" s="5">
        <f>IF(IF('Precinct Vote Data'!H895&gt;0.5,"D","R")=$E$6,1,0)</f>
        <v>1</v>
      </c>
      <c r="F236" s="5">
        <f>IF(IF('Precinct Vote Data'!H896&gt;0.5,"D","R")=$E$7,1,0)</f>
        <v>1</v>
      </c>
      <c r="G236" s="5">
        <f>IF(IF('Precinct Vote Data'!H897&gt;0.5,"D","R")=$E$8,1,0)</f>
        <v>1</v>
      </c>
      <c r="H236" s="5">
        <f t="shared" si="3"/>
        <v>4</v>
      </c>
      <c r="I236" s="13">
        <f>AVERAGE(ABS('Precinct Vote Data'!H894-$D$5),ABS('Precinct Vote Data'!H895-$D$6),ABS('Precinct Vote Data'!H896-$D$7),ABS('Precinct Vote Data'!H897-$D$8))</f>
        <v>0.09536086615</v>
      </c>
      <c r="J236" s="14" t="str">
        <f>IF(AND(H236=4,I236=MIN(K13:K420)),"&lt;&lt; MAGIC PRECINCT","")</f>
        <v/>
      </c>
      <c r="K236" s="13">
        <f t="shared" si="4"/>
        <v>0.09536086615</v>
      </c>
    </row>
    <row r="237" ht="15.0" customHeight="1">
      <c r="A237" s="5" t="s">
        <v>282</v>
      </c>
      <c r="B237" s="5" t="s">
        <v>298</v>
      </c>
      <c r="C237" s="5" t="s">
        <v>87</v>
      </c>
      <c r="D237" s="5">
        <f>IF(IF('Precinct Vote Data'!H898&gt;0.5,"D","R")=$E$5,1,0)</f>
        <v>0</v>
      </c>
      <c r="E237" s="5">
        <f>IF(IF('Precinct Vote Data'!H899&gt;0.5,"D","R")=$E$6,1,0)</f>
        <v>0</v>
      </c>
      <c r="F237" s="5">
        <f>IF(IF('Precinct Vote Data'!H900&gt;0.5,"D","R")=$E$7,1,0)</f>
        <v>0</v>
      </c>
      <c r="G237" s="5">
        <f>IF(IF('Precinct Vote Data'!H901&gt;0.5,"D","R")=$E$8,1,0)</f>
        <v>0</v>
      </c>
      <c r="H237" s="5">
        <f t="shared" si="3"/>
        <v>0</v>
      </c>
      <c r="I237" s="13">
        <f>AVERAGE(ABS('Precinct Vote Data'!H898-$D$5),ABS('Precinct Vote Data'!H899-$D$6),ABS('Precinct Vote Data'!H900-$D$7),ABS('Precinct Vote Data'!H901-$D$8))</f>
        <v>0.1984565328</v>
      </c>
      <c r="J237" s="14" t="str">
        <f>IF(AND(H237=4,I237=MIN(K13:K420)),"&lt;&lt; MAGIC PRECINCT","")</f>
        <v/>
      </c>
      <c r="K237" s="5" t="str">
        <f t="shared" si="4"/>
        <v/>
      </c>
    </row>
    <row r="238" ht="15.0" customHeight="1">
      <c r="A238" s="5" t="s">
        <v>282</v>
      </c>
      <c r="B238" s="5" t="s">
        <v>299</v>
      </c>
      <c r="C238" s="5" t="s">
        <v>88</v>
      </c>
      <c r="D238" s="5">
        <f>IF(IF('Precinct Vote Data'!H902&gt;0.5,"D","R")=$E$5,1,0)</f>
        <v>0</v>
      </c>
      <c r="E238" s="5">
        <f>IF(IF('Precinct Vote Data'!H903&gt;0.5,"D","R")=$E$6,1,0)</f>
        <v>0</v>
      </c>
      <c r="F238" s="5">
        <f>IF(IF('Precinct Vote Data'!H904&gt;0.5,"D","R")=$E$7,1,0)</f>
        <v>0</v>
      </c>
      <c r="G238" s="5">
        <f>IF(IF('Precinct Vote Data'!H905&gt;0.5,"D","R")=$E$8,1,0)</f>
        <v>0</v>
      </c>
      <c r="H238" s="5">
        <f t="shared" si="3"/>
        <v>0</v>
      </c>
      <c r="I238" s="13">
        <f>AVERAGE(ABS('Precinct Vote Data'!H902-$D$5),ABS('Precinct Vote Data'!H903-$D$6),ABS('Precinct Vote Data'!H904-$D$7),ABS('Precinct Vote Data'!H905-$D$8))</f>
        <v>0.05126179589</v>
      </c>
      <c r="J238" s="14" t="str">
        <f>IF(AND(H238=4,I238=MIN(K13:K420)),"&lt;&lt; MAGIC PRECINCT","")</f>
        <v/>
      </c>
      <c r="K238" s="5" t="str">
        <f t="shared" si="4"/>
        <v/>
      </c>
    </row>
    <row r="239" ht="15.0" customHeight="1">
      <c r="A239" s="5" t="s">
        <v>282</v>
      </c>
      <c r="B239" s="5" t="s">
        <v>299</v>
      </c>
      <c r="C239" s="5" t="s">
        <v>89</v>
      </c>
      <c r="D239" s="5">
        <f>IF(IF('Precinct Vote Data'!H906&gt;0.5,"D","R")=$E$5,1,0)</f>
        <v>0</v>
      </c>
      <c r="E239" s="5">
        <f>IF(IF('Precinct Vote Data'!H907&gt;0.5,"D","R")=$E$6,1,0)</f>
        <v>0</v>
      </c>
      <c r="F239" s="5">
        <f>IF(IF('Precinct Vote Data'!H908&gt;0.5,"D","R")=$E$7,1,0)</f>
        <v>0</v>
      </c>
      <c r="G239" s="5">
        <f>IF(IF('Precinct Vote Data'!H909&gt;0.5,"D","R")=$E$8,1,0)</f>
        <v>0</v>
      </c>
      <c r="H239" s="5">
        <f t="shared" si="3"/>
        <v>0</v>
      </c>
      <c r="I239" s="13">
        <f>AVERAGE(ABS('Precinct Vote Data'!H906-$D$5),ABS('Precinct Vote Data'!H907-$D$6),ABS('Precinct Vote Data'!H908-$D$7),ABS('Precinct Vote Data'!H909-$D$8))</f>
        <v>0.07124093648</v>
      </c>
      <c r="J239" s="14" t="str">
        <f>IF(AND(H239=4,I239=MIN(K13:K420)),"&lt;&lt; MAGIC PRECINCT","")</f>
        <v/>
      </c>
      <c r="K239" s="5" t="str">
        <f t="shared" si="4"/>
        <v/>
      </c>
    </row>
    <row r="240" ht="15.0" customHeight="1">
      <c r="A240" s="5" t="s">
        <v>282</v>
      </c>
      <c r="B240" s="5" t="s">
        <v>300</v>
      </c>
      <c r="C240" s="5" t="s">
        <v>91</v>
      </c>
      <c r="D240" s="5">
        <f>IF(IF('Precinct Vote Data'!H910&gt;0.5,"D","R")=$E$5,1,0)</f>
        <v>1</v>
      </c>
      <c r="E240" s="5">
        <f>IF(IF('Precinct Vote Data'!H911&gt;0.5,"D","R")=$E$6,1,0)</f>
        <v>1</v>
      </c>
      <c r="F240" s="5">
        <f>IF(IF('Precinct Vote Data'!H912&gt;0.5,"D","R")=$E$7,1,0)</f>
        <v>0</v>
      </c>
      <c r="G240" s="5">
        <f>IF(IF('Precinct Vote Data'!H913&gt;0.5,"D","R")=$E$8,1,0)</f>
        <v>0</v>
      </c>
      <c r="H240" s="5">
        <f t="shared" si="3"/>
        <v>2</v>
      </c>
      <c r="I240" s="13">
        <f>AVERAGE(ABS('Precinct Vote Data'!H910-$D$5),ABS('Precinct Vote Data'!H911-$D$6),ABS('Precinct Vote Data'!H912-$D$7),ABS('Precinct Vote Data'!H913-$D$8))</f>
        <v>0.02386411918</v>
      </c>
      <c r="J240" s="14" t="str">
        <f>IF(AND(H240=4,I240=MIN(K13:K420)),"&lt;&lt; MAGIC PRECINCT","")</f>
        <v/>
      </c>
      <c r="K240" s="5" t="str">
        <f t="shared" si="4"/>
        <v/>
      </c>
    </row>
    <row r="241" ht="15.0" customHeight="1">
      <c r="A241" s="5" t="s">
        <v>282</v>
      </c>
      <c r="B241" s="5" t="s">
        <v>301</v>
      </c>
      <c r="C241" s="5" t="s">
        <v>302</v>
      </c>
      <c r="D241" s="5">
        <f>IF(IF('Precinct Vote Data'!H914&gt;0.5,"D","R")=$E$5,1,0)</f>
        <v>1</v>
      </c>
      <c r="E241" s="5">
        <f>IF(IF('Precinct Vote Data'!H915&gt;0.5,"D","R")=$E$6,1,0)</f>
        <v>1</v>
      </c>
      <c r="F241" s="5">
        <f>IF(IF('Precinct Vote Data'!H916&gt;0.5,"D","R")=$E$7,1,0)</f>
        <v>1</v>
      </c>
      <c r="G241" s="5">
        <f>IF(IF('Precinct Vote Data'!H917&gt;0.5,"D","R")=$E$8,1,0)</f>
        <v>1</v>
      </c>
      <c r="H241" s="5">
        <f t="shared" si="3"/>
        <v>4</v>
      </c>
      <c r="I241" s="13">
        <f>AVERAGE(ABS('Precinct Vote Data'!H914-$D$5),ABS('Precinct Vote Data'!H915-$D$6),ABS('Precinct Vote Data'!H916-$D$7),ABS('Precinct Vote Data'!H917-$D$8))</f>
        <v>0.09873982046</v>
      </c>
      <c r="J241" s="14" t="str">
        <f>IF(AND(H241=4,I241=MIN(K13:K420)),"&lt;&lt; MAGIC PRECINCT","")</f>
        <v/>
      </c>
      <c r="K241" s="13">
        <f t="shared" si="4"/>
        <v>0.09873982046</v>
      </c>
    </row>
    <row r="242" ht="15.0" customHeight="1">
      <c r="A242" s="5" t="s">
        <v>282</v>
      </c>
      <c r="B242" s="5" t="s">
        <v>303</v>
      </c>
      <c r="C242" s="5" t="s">
        <v>94</v>
      </c>
      <c r="D242" s="5">
        <f>IF(IF('Precinct Vote Data'!H918&gt;0.5,"D","R")=$E$5,1,0)</f>
        <v>1</v>
      </c>
      <c r="E242" s="5">
        <f>IF(IF('Precinct Vote Data'!H919&gt;0.5,"D","R")=$E$6,1,0)</f>
        <v>1</v>
      </c>
      <c r="F242" s="5">
        <f>IF(IF('Precinct Vote Data'!H920&gt;0.5,"D","R")=$E$7,1,0)</f>
        <v>1</v>
      </c>
      <c r="G242" s="5">
        <f>IF(IF('Precinct Vote Data'!H921&gt;0.5,"D","R")=$E$8,1,0)</f>
        <v>1</v>
      </c>
      <c r="H242" s="5">
        <f t="shared" si="3"/>
        <v>4</v>
      </c>
      <c r="I242" s="13">
        <f>AVERAGE(ABS('Precinct Vote Data'!H918-$D$5),ABS('Precinct Vote Data'!H919-$D$6),ABS('Precinct Vote Data'!H920-$D$7),ABS('Precinct Vote Data'!H921-$D$8))</f>
        <v>0.1016642961</v>
      </c>
      <c r="J242" s="14" t="str">
        <f>IF(AND(H242=4,I242=MIN(K13:K420)),"&lt;&lt; MAGIC PRECINCT","")</f>
        <v/>
      </c>
      <c r="K242" s="13">
        <f t="shared" si="4"/>
        <v>0.1016642961</v>
      </c>
    </row>
    <row r="243" ht="15.0" customHeight="1">
      <c r="A243" s="5" t="s">
        <v>282</v>
      </c>
      <c r="B243" s="5" t="s">
        <v>304</v>
      </c>
      <c r="C243" s="5" t="s">
        <v>95</v>
      </c>
      <c r="D243" s="5">
        <f>IF(IF('Precinct Vote Data'!H922&gt;0.5,"D","R")=$E$5,1,0)</f>
        <v>0</v>
      </c>
      <c r="E243" s="5">
        <f>IF(IF('Precinct Vote Data'!H923&gt;0.5,"D","R")=$E$6,1,0)</f>
        <v>0</v>
      </c>
      <c r="F243" s="5">
        <f>IF(IF('Precinct Vote Data'!H924&gt;0.5,"D","R")=$E$7,1,0)</f>
        <v>0</v>
      </c>
      <c r="G243" s="5">
        <f>IF(IF('Precinct Vote Data'!H925&gt;0.5,"D","R")=$E$8,1,0)</f>
        <v>0</v>
      </c>
      <c r="H243" s="5">
        <f t="shared" si="3"/>
        <v>0</v>
      </c>
      <c r="I243" s="13">
        <f>AVERAGE(ABS('Precinct Vote Data'!H922-$D$5),ABS('Precinct Vote Data'!H923-$D$6),ABS('Precinct Vote Data'!H924-$D$7),ABS('Precinct Vote Data'!H925-$D$8))</f>
        <v>0.04173886091</v>
      </c>
      <c r="J243" s="14" t="str">
        <f>IF(AND(H243=4,I243=MIN(K13:K420)),"&lt;&lt; MAGIC PRECINCT","")</f>
        <v/>
      </c>
      <c r="K243" s="5" t="str">
        <f t="shared" si="4"/>
        <v/>
      </c>
    </row>
    <row r="244" ht="15.0" customHeight="1">
      <c r="A244" s="5" t="s">
        <v>282</v>
      </c>
      <c r="B244" s="5" t="s">
        <v>305</v>
      </c>
      <c r="C244" s="5" t="s">
        <v>306</v>
      </c>
      <c r="D244" s="5">
        <f>IF(IF('Precinct Vote Data'!H926&gt;0.5,"D","R")=$E$5,1,0)</f>
        <v>1</v>
      </c>
      <c r="E244" s="5">
        <f>IF(IF('Precinct Vote Data'!H927&gt;0.5,"D","R")=$E$6,1,0)</f>
        <v>1</v>
      </c>
      <c r="F244" s="5">
        <f>IF(IF('Precinct Vote Data'!H928&gt;0.5,"D","R")=$E$7,1,0)</f>
        <v>1</v>
      </c>
      <c r="G244" s="5">
        <f>IF(IF('Precinct Vote Data'!H929&gt;0.5,"D","R")=$E$8,1,0)</f>
        <v>1</v>
      </c>
      <c r="H244" s="5">
        <f t="shared" si="3"/>
        <v>4</v>
      </c>
      <c r="I244" s="13">
        <f>AVERAGE(ABS('Precinct Vote Data'!H926-$D$5),ABS('Precinct Vote Data'!H927-$D$6),ABS('Precinct Vote Data'!H928-$D$7),ABS('Precinct Vote Data'!H929-$D$8))</f>
        <v>0.01260133601</v>
      </c>
      <c r="J244" s="14" t="str">
        <f>IF(AND(H244=4,I244=MIN(K13:K420)),"&lt;&lt; MAGIC PRECINCT","")</f>
        <v/>
      </c>
      <c r="K244" s="13">
        <f t="shared" si="4"/>
        <v>0.01260133601</v>
      </c>
    </row>
    <row r="245" ht="15.0" customHeight="1">
      <c r="A245" s="5" t="s">
        <v>282</v>
      </c>
      <c r="B245" s="5" t="s">
        <v>305</v>
      </c>
      <c r="C245" s="5" t="s">
        <v>307</v>
      </c>
      <c r="D245" s="5">
        <f>IF(IF('Precinct Vote Data'!H930&gt;0.5,"D","R")=$E$5,1,0)</f>
        <v>1</v>
      </c>
      <c r="E245" s="5">
        <f>IF(IF('Precinct Vote Data'!H931&gt;0.5,"D","R")=$E$6,1,0)</f>
        <v>1</v>
      </c>
      <c r="F245" s="5">
        <f>IF(IF('Precinct Vote Data'!H932&gt;0.5,"D","R")=$E$7,1,0)</f>
        <v>1</v>
      </c>
      <c r="G245" s="5">
        <f>IF(IF('Precinct Vote Data'!H933&gt;0.5,"D","R")=$E$8,1,0)</f>
        <v>1</v>
      </c>
      <c r="H245" s="5">
        <f t="shared" si="3"/>
        <v>4</v>
      </c>
      <c r="I245" s="13">
        <f>AVERAGE(ABS('Precinct Vote Data'!H930-$D$5),ABS('Precinct Vote Data'!H931-$D$6),ABS('Precinct Vote Data'!H932-$D$7),ABS('Precinct Vote Data'!H933-$D$8))</f>
        <v>0.02499499305</v>
      </c>
      <c r="J245" s="14" t="str">
        <f>IF(AND(H245=4,I245=MIN(K13:K420)),"&lt;&lt; MAGIC PRECINCT","")</f>
        <v/>
      </c>
      <c r="K245" s="13">
        <f t="shared" si="4"/>
        <v>0.02499499305</v>
      </c>
    </row>
    <row r="246" ht="15.0" customHeight="1">
      <c r="A246" s="5" t="s">
        <v>282</v>
      </c>
      <c r="B246" s="5" t="s">
        <v>305</v>
      </c>
      <c r="C246" s="5" t="s">
        <v>308</v>
      </c>
      <c r="D246" s="5">
        <f>IF(IF('Precinct Vote Data'!H934&gt;0.5,"D","R")=$E$5,1,0)</f>
        <v>1</v>
      </c>
      <c r="E246" s="5">
        <f>IF(IF('Precinct Vote Data'!H935&gt;0.5,"D","R")=$E$6,1,0)</f>
        <v>1</v>
      </c>
      <c r="F246" s="5">
        <f>IF(IF('Precinct Vote Data'!H936&gt;0.5,"D","R")=$E$7,1,0)</f>
        <v>1</v>
      </c>
      <c r="G246" s="5">
        <f>IF(IF('Precinct Vote Data'!H937&gt;0.5,"D","R")=$E$8,1,0)</f>
        <v>1</v>
      </c>
      <c r="H246" s="5">
        <f t="shared" si="3"/>
        <v>4</v>
      </c>
      <c r="I246" s="13">
        <f>AVERAGE(ABS('Precinct Vote Data'!H934-$D$5),ABS('Precinct Vote Data'!H935-$D$6),ABS('Precinct Vote Data'!H936-$D$7),ABS('Precinct Vote Data'!H937-$D$8))</f>
        <v>0.01632954198</v>
      </c>
      <c r="J246" s="14" t="str">
        <f>IF(AND(H246=4,I246=MIN(K13:K420)),"&lt;&lt; MAGIC PRECINCT","")</f>
        <v/>
      </c>
      <c r="K246" s="13">
        <f t="shared" si="4"/>
        <v>0.01632954198</v>
      </c>
    </row>
    <row r="247" ht="15.0" customHeight="1">
      <c r="A247" s="5" t="s">
        <v>282</v>
      </c>
      <c r="B247" s="5" t="s">
        <v>305</v>
      </c>
      <c r="C247" s="5" t="s">
        <v>309</v>
      </c>
      <c r="D247" s="5">
        <f>IF(IF('Precinct Vote Data'!H938&gt;0.5,"D","R")=$E$5,1,0)</f>
        <v>1</v>
      </c>
      <c r="E247" s="5">
        <f>IF(IF('Precinct Vote Data'!H939&gt;0.5,"D","R")=$E$6,1,0)</f>
        <v>1</v>
      </c>
      <c r="F247" s="5">
        <f>IF(IF('Precinct Vote Data'!H940&gt;0.5,"D","R")=$E$7,1,0)</f>
        <v>1</v>
      </c>
      <c r="G247" s="5">
        <f>IF(IF('Precinct Vote Data'!H941&gt;0.5,"D","R")=$E$8,1,0)</f>
        <v>1</v>
      </c>
      <c r="H247" s="5">
        <f t="shared" si="3"/>
        <v>4</v>
      </c>
      <c r="I247" s="13">
        <f>AVERAGE(ABS('Precinct Vote Data'!H938-$D$5),ABS('Precinct Vote Data'!H939-$D$6),ABS('Precinct Vote Data'!H940-$D$7),ABS('Precinct Vote Data'!H941-$D$8))</f>
        <v>0.02762866742</v>
      </c>
      <c r="J247" s="14" t="str">
        <f>IF(AND(H247=4,I247=MIN(K13:K420)),"&lt;&lt; MAGIC PRECINCT","")</f>
        <v/>
      </c>
      <c r="K247" s="13">
        <f t="shared" si="4"/>
        <v>0.02762866742</v>
      </c>
    </row>
    <row r="248" ht="15.0" customHeight="1">
      <c r="A248" s="5" t="s">
        <v>282</v>
      </c>
      <c r="B248" s="5" t="s">
        <v>310</v>
      </c>
      <c r="C248" s="5" t="s">
        <v>100</v>
      </c>
      <c r="D248" s="5">
        <f>IF(IF('Precinct Vote Data'!H942&gt;0.5,"D","R")=$E$5,1,0)</f>
        <v>0</v>
      </c>
      <c r="E248" s="5">
        <f>IF(IF('Precinct Vote Data'!H943&gt;0.5,"D","R")=$E$6,1,0)</f>
        <v>0</v>
      </c>
      <c r="F248" s="5">
        <f>IF(IF('Precinct Vote Data'!H944&gt;0.5,"D","R")=$E$7,1,0)</f>
        <v>0</v>
      </c>
      <c r="G248" s="5">
        <f>IF(IF('Precinct Vote Data'!H945&gt;0.5,"D","R")=$E$8,1,0)</f>
        <v>0</v>
      </c>
      <c r="H248" s="5">
        <f t="shared" si="3"/>
        <v>0</v>
      </c>
      <c r="I248" s="13">
        <f>AVERAGE(ABS('Precinct Vote Data'!H942-$D$5),ABS('Precinct Vote Data'!H943-$D$6),ABS('Precinct Vote Data'!H944-$D$7),ABS('Precinct Vote Data'!H945-$D$8))</f>
        <v>0.1565437046</v>
      </c>
      <c r="J248" s="14" t="str">
        <f>IF(AND(H248=4,I248=MIN(K13:K420)),"&lt;&lt; MAGIC PRECINCT","")</f>
        <v/>
      </c>
      <c r="K248" s="5" t="str">
        <f t="shared" si="4"/>
        <v/>
      </c>
    </row>
    <row r="249" ht="15.0" customHeight="1">
      <c r="A249" s="5" t="s">
        <v>282</v>
      </c>
      <c r="B249" s="5" t="s">
        <v>311</v>
      </c>
      <c r="C249" s="5" t="s">
        <v>102</v>
      </c>
      <c r="D249" s="5">
        <f>IF(IF('Precinct Vote Data'!H946&gt;0.5,"D","R")=$E$5,1,0)</f>
        <v>1</v>
      </c>
      <c r="E249" s="5">
        <f>IF(IF('Precinct Vote Data'!H947&gt;0.5,"D","R")=$E$6,1,0)</f>
        <v>1</v>
      </c>
      <c r="F249" s="5">
        <f>IF(IF('Precinct Vote Data'!H948&gt;0.5,"D","R")=$E$7,1,0)</f>
        <v>1</v>
      </c>
      <c r="G249" s="5">
        <f>IF(IF('Precinct Vote Data'!H949&gt;0.5,"D","R")=$E$8,1,0)</f>
        <v>1</v>
      </c>
      <c r="H249" s="5">
        <f t="shared" si="3"/>
        <v>4</v>
      </c>
      <c r="I249" s="13">
        <f>AVERAGE(ABS('Precinct Vote Data'!H946-$D$5),ABS('Precinct Vote Data'!H947-$D$6),ABS('Precinct Vote Data'!H948-$D$7),ABS('Precinct Vote Data'!H949-$D$8))</f>
        <v>0.02796484922</v>
      </c>
      <c r="J249" s="14" t="str">
        <f>IF(AND(H249=4,I249=MIN(K13:K420)),"&lt;&lt; MAGIC PRECINCT","")</f>
        <v/>
      </c>
      <c r="K249" s="13">
        <f t="shared" si="4"/>
        <v>0.02796484922</v>
      </c>
    </row>
    <row r="250" ht="15.0" customHeight="1">
      <c r="A250" s="5" t="s">
        <v>282</v>
      </c>
      <c r="B250" s="5" t="s">
        <v>312</v>
      </c>
      <c r="C250" s="5" t="s">
        <v>313</v>
      </c>
      <c r="D250" s="5">
        <f>IF(IF('Precinct Vote Data'!H950&gt;0.5,"D","R")=$E$5,1,0)</f>
        <v>1</v>
      </c>
      <c r="E250" s="5">
        <f>IF(IF('Precinct Vote Data'!H951&gt;0.5,"D","R")=$E$6,1,0)</f>
        <v>1</v>
      </c>
      <c r="F250" s="5">
        <f>IF(IF('Precinct Vote Data'!H952&gt;0.5,"D","R")=$E$7,1,0)</f>
        <v>1</v>
      </c>
      <c r="G250" s="5">
        <f>IF(IF('Precinct Vote Data'!H953&gt;0.5,"D","R")=$E$8,1,0)</f>
        <v>1</v>
      </c>
      <c r="H250" s="5">
        <f t="shared" si="3"/>
        <v>4</v>
      </c>
      <c r="I250" s="13">
        <f>AVERAGE(ABS('Precinct Vote Data'!H950-$D$5),ABS('Precinct Vote Data'!H951-$D$6),ABS('Precinct Vote Data'!H952-$D$7),ABS('Precinct Vote Data'!H953-$D$8))</f>
        <v>0.07835954965</v>
      </c>
      <c r="J250" s="14" t="str">
        <f>IF(AND(H250=4,I250=MIN(K13:K420)),"&lt;&lt; MAGIC PRECINCT","")</f>
        <v/>
      </c>
      <c r="K250" s="13">
        <f t="shared" si="4"/>
        <v>0.07835954965</v>
      </c>
    </row>
    <row r="251" ht="15.0" customHeight="1">
      <c r="A251" s="5" t="s">
        <v>282</v>
      </c>
      <c r="B251" s="5" t="s">
        <v>312</v>
      </c>
      <c r="C251" s="5" t="s">
        <v>314</v>
      </c>
      <c r="D251" s="5">
        <f>IF(IF('Precinct Vote Data'!H954&gt;0.5,"D","R")=$E$5,1,0)</f>
        <v>1</v>
      </c>
      <c r="E251" s="5">
        <f>IF(IF('Precinct Vote Data'!H955&gt;0.5,"D","R")=$E$6,1,0)</f>
        <v>1</v>
      </c>
      <c r="F251" s="5">
        <f>IF(IF('Precinct Vote Data'!H956&gt;0.5,"D","R")=$E$7,1,0)</f>
        <v>1</v>
      </c>
      <c r="G251" s="5">
        <f>IF(IF('Precinct Vote Data'!H957&gt;0.5,"D","R")=$E$8,1,0)</f>
        <v>1</v>
      </c>
      <c r="H251" s="5">
        <f t="shared" si="3"/>
        <v>4</v>
      </c>
      <c r="I251" s="13">
        <f>AVERAGE(ABS('Precinct Vote Data'!H954-$D$5),ABS('Precinct Vote Data'!H955-$D$6),ABS('Precinct Vote Data'!H956-$D$7),ABS('Precinct Vote Data'!H957-$D$8))</f>
        <v>0.0633115147</v>
      </c>
      <c r="J251" s="14" t="str">
        <f>IF(AND(H251=4,I251=MIN(K13:K420)),"&lt;&lt; MAGIC PRECINCT","")</f>
        <v/>
      </c>
      <c r="K251" s="13">
        <f t="shared" si="4"/>
        <v>0.0633115147</v>
      </c>
    </row>
    <row r="252" ht="15.0" customHeight="1">
      <c r="A252" s="5" t="s">
        <v>282</v>
      </c>
      <c r="B252" s="5" t="s">
        <v>312</v>
      </c>
      <c r="C252" s="5" t="s">
        <v>315</v>
      </c>
      <c r="D252" s="5">
        <f>IF(IF('Precinct Vote Data'!H958&gt;0.5,"D","R")=$E$5,1,0)</f>
        <v>1</v>
      </c>
      <c r="E252" s="5">
        <f>IF(IF('Precinct Vote Data'!H959&gt;0.5,"D","R")=$E$6,1,0)</f>
        <v>1</v>
      </c>
      <c r="F252" s="5">
        <f>IF(IF('Precinct Vote Data'!H960&gt;0.5,"D","R")=$E$7,1,0)</f>
        <v>1</v>
      </c>
      <c r="G252" s="5">
        <f>IF(IF('Precinct Vote Data'!H961&gt;0.5,"D","R")=$E$8,1,0)</f>
        <v>1</v>
      </c>
      <c r="H252" s="5">
        <f t="shared" si="3"/>
        <v>4</v>
      </c>
      <c r="I252" s="13">
        <f>AVERAGE(ABS('Precinct Vote Data'!H958-$D$5),ABS('Precinct Vote Data'!H959-$D$6),ABS('Precinct Vote Data'!H960-$D$7),ABS('Precinct Vote Data'!H961-$D$8))</f>
        <v>0.08854627359</v>
      </c>
      <c r="J252" s="14" t="str">
        <f>IF(AND(H252=4,I252=MIN(K13:K420)),"&lt;&lt; MAGIC PRECINCT","")</f>
        <v/>
      </c>
      <c r="K252" s="13">
        <f t="shared" si="4"/>
        <v>0.08854627359</v>
      </c>
    </row>
    <row r="253" ht="15.0" customHeight="1">
      <c r="A253" s="5" t="s">
        <v>282</v>
      </c>
      <c r="B253" s="5" t="s">
        <v>316</v>
      </c>
      <c r="C253" s="5" t="s">
        <v>317</v>
      </c>
      <c r="D253" s="5">
        <f>IF(IF('Precinct Vote Data'!H962&gt;0.5,"D","R")=$E$5,1,0)</f>
        <v>1</v>
      </c>
      <c r="E253" s="5">
        <f>IF(IF('Precinct Vote Data'!H963&gt;0.5,"D","R")=$E$6,1,0)</f>
        <v>1</v>
      </c>
      <c r="F253" s="5">
        <f>IF(IF('Precinct Vote Data'!H964&gt;0.5,"D","R")=$E$7,1,0)</f>
        <v>1</v>
      </c>
      <c r="G253" s="5">
        <f>IF(IF('Precinct Vote Data'!H965&gt;0.5,"D","R")=$E$8,1,0)</f>
        <v>1</v>
      </c>
      <c r="H253" s="5">
        <f t="shared" si="3"/>
        <v>4</v>
      </c>
      <c r="I253" s="13">
        <f>AVERAGE(ABS('Precinct Vote Data'!H962-$D$5),ABS('Precinct Vote Data'!H963-$D$6),ABS('Precinct Vote Data'!H964-$D$7),ABS('Precinct Vote Data'!H965-$D$8))</f>
        <v>0.1425200886</v>
      </c>
      <c r="J253" s="14" t="str">
        <f>IF(AND(H253=4,I253=MIN(K13:K420)),"&lt;&lt; MAGIC PRECINCT","")</f>
        <v/>
      </c>
      <c r="K253" s="13">
        <f t="shared" si="4"/>
        <v>0.1425200886</v>
      </c>
    </row>
    <row r="254" ht="15.0" customHeight="1">
      <c r="A254" s="5" t="s">
        <v>282</v>
      </c>
      <c r="B254" s="5" t="s">
        <v>316</v>
      </c>
      <c r="C254" s="5" t="s">
        <v>318</v>
      </c>
      <c r="D254" s="5">
        <f>IF(IF('Precinct Vote Data'!H966&gt;0.5,"D","R")=$E$5,1,0)</f>
        <v>1</v>
      </c>
      <c r="E254" s="5">
        <f>IF(IF('Precinct Vote Data'!H967&gt;0.5,"D","R")=$E$6,1,0)</f>
        <v>1</v>
      </c>
      <c r="F254" s="5">
        <f>IF(IF('Precinct Vote Data'!H968&gt;0.5,"D","R")=$E$7,1,0)</f>
        <v>1</v>
      </c>
      <c r="G254" s="5">
        <f>IF(IF('Precinct Vote Data'!H969&gt;0.5,"D","R")=$E$8,1,0)</f>
        <v>1</v>
      </c>
      <c r="H254" s="5">
        <f t="shared" si="3"/>
        <v>4</v>
      </c>
      <c r="I254" s="13">
        <f>AVERAGE(ABS('Precinct Vote Data'!H966-$D$5),ABS('Precinct Vote Data'!H967-$D$6),ABS('Precinct Vote Data'!H968-$D$7),ABS('Precinct Vote Data'!H969-$D$8))</f>
        <v>0.1761699617</v>
      </c>
      <c r="J254" s="14" t="str">
        <f>IF(AND(H254=4,I254=MIN(K13:K420)),"&lt;&lt; MAGIC PRECINCT","")</f>
        <v/>
      </c>
      <c r="K254" s="13">
        <f t="shared" si="4"/>
        <v>0.1761699617</v>
      </c>
    </row>
    <row r="255" ht="15.0" customHeight="1">
      <c r="A255" s="5" t="s">
        <v>282</v>
      </c>
      <c r="B255" s="5" t="s">
        <v>316</v>
      </c>
      <c r="C255" s="5" t="s">
        <v>319</v>
      </c>
      <c r="D255" s="5">
        <f>IF(IF('Precinct Vote Data'!H970&gt;0.5,"D","R")=$E$5,1,0)</f>
        <v>1</v>
      </c>
      <c r="E255" s="5">
        <f>IF(IF('Precinct Vote Data'!H971&gt;0.5,"D","R")=$E$6,1,0)</f>
        <v>1</v>
      </c>
      <c r="F255" s="5">
        <f>IF(IF('Precinct Vote Data'!H972&gt;0.5,"D","R")=$E$7,1,0)</f>
        <v>1</v>
      </c>
      <c r="G255" s="5">
        <f>IF(IF('Precinct Vote Data'!H973&gt;0.5,"D","R")=$E$8,1,0)</f>
        <v>1</v>
      </c>
      <c r="H255" s="5">
        <f t="shared" si="3"/>
        <v>4</v>
      </c>
      <c r="I255" s="13">
        <f>AVERAGE(ABS('Precinct Vote Data'!H970-$D$5),ABS('Precinct Vote Data'!H971-$D$6),ABS('Precinct Vote Data'!H972-$D$7),ABS('Precinct Vote Data'!H973-$D$8))</f>
        <v>0.0953456553</v>
      </c>
      <c r="J255" s="14" t="str">
        <f>IF(AND(H255=4,I255=MIN(K13:K420)),"&lt;&lt; MAGIC PRECINCT","")</f>
        <v/>
      </c>
      <c r="K255" s="13">
        <f t="shared" si="4"/>
        <v>0.0953456553</v>
      </c>
    </row>
    <row r="256" ht="15.0" customHeight="1">
      <c r="A256" s="5" t="s">
        <v>282</v>
      </c>
      <c r="B256" s="5" t="s">
        <v>316</v>
      </c>
      <c r="C256" s="5" t="s">
        <v>320</v>
      </c>
      <c r="D256" s="5">
        <f>IF(IF('Precinct Vote Data'!H974&gt;0.5,"D","R")=$E$5,1,0)</f>
        <v>1</v>
      </c>
      <c r="E256" s="5">
        <f>IF(IF('Precinct Vote Data'!H975&gt;0.5,"D","R")=$E$6,1,0)</f>
        <v>1</v>
      </c>
      <c r="F256" s="5">
        <f>IF(IF('Precinct Vote Data'!H976&gt;0.5,"D","R")=$E$7,1,0)</f>
        <v>1</v>
      </c>
      <c r="G256" s="5">
        <f>IF(IF('Precinct Vote Data'!H977&gt;0.5,"D","R")=$E$8,1,0)</f>
        <v>1</v>
      </c>
      <c r="H256" s="5">
        <f t="shared" si="3"/>
        <v>4</v>
      </c>
      <c r="I256" s="13">
        <f>AVERAGE(ABS('Precinct Vote Data'!H974-$D$5),ABS('Precinct Vote Data'!H975-$D$6),ABS('Precinct Vote Data'!H976-$D$7),ABS('Precinct Vote Data'!H977-$D$8))</f>
        <v>0.02430093333</v>
      </c>
      <c r="J256" s="14" t="str">
        <f>IF(AND(H256=4,I256=MIN(K13:K420)),"&lt;&lt; MAGIC PRECINCT","")</f>
        <v/>
      </c>
      <c r="K256" s="13">
        <f t="shared" si="4"/>
        <v>0.02430093333</v>
      </c>
    </row>
    <row r="257" ht="15.0" customHeight="1">
      <c r="A257" s="5" t="s">
        <v>282</v>
      </c>
      <c r="B257" s="5" t="s">
        <v>316</v>
      </c>
      <c r="C257" s="5" t="s">
        <v>321</v>
      </c>
      <c r="D257" s="5">
        <f>IF(IF('Precinct Vote Data'!H978&gt;0.5,"D","R")=$E$5,1,0)</f>
        <v>1</v>
      </c>
      <c r="E257" s="5">
        <f>IF(IF('Precinct Vote Data'!H979&gt;0.5,"D","R")=$E$6,1,0)</f>
        <v>1</v>
      </c>
      <c r="F257" s="5">
        <f>IF(IF('Precinct Vote Data'!H980&gt;0.5,"D","R")=$E$7,1,0)</f>
        <v>1</v>
      </c>
      <c r="G257" s="5">
        <f>IF(IF('Precinct Vote Data'!H981&gt;0.5,"D","R")=$E$8,1,0)</f>
        <v>1</v>
      </c>
      <c r="H257" s="5">
        <f t="shared" si="3"/>
        <v>4</v>
      </c>
      <c r="I257" s="13">
        <f>AVERAGE(ABS('Precinct Vote Data'!H978-$D$5),ABS('Precinct Vote Data'!H979-$D$6),ABS('Precinct Vote Data'!H980-$D$7),ABS('Precinct Vote Data'!H981-$D$8))</f>
        <v>0.06742190946</v>
      </c>
      <c r="J257" s="14" t="str">
        <f>IF(AND(H257=4,I257=MIN(K13:K420)),"&lt;&lt; MAGIC PRECINCT","")</f>
        <v/>
      </c>
      <c r="K257" s="13">
        <f t="shared" si="4"/>
        <v>0.06742190946</v>
      </c>
    </row>
    <row r="258" ht="15.0" customHeight="1">
      <c r="A258" s="5" t="s">
        <v>282</v>
      </c>
      <c r="B258" s="5" t="s">
        <v>316</v>
      </c>
      <c r="C258" s="5" t="s">
        <v>322</v>
      </c>
      <c r="D258" s="5">
        <f>IF(IF('Precinct Vote Data'!H982&gt;0.5,"D","R")=$E$5,1,0)</f>
        <v>1</v>
      </c>
      <c r="E258" s="5">
        <f>IF(IF('Precinct Vote Data'!H983&gt;0.5,"D","R")=$E$6,1,0)</f>
        <v>1</v>
      </c>
      <c r="F258" s="5">
        <f>IF(IF('Precinct Vote Data'!H984&gt;0.5,"D","R")=$E$7,1,0)</f>
        <v>1</v>
      </c>
      <c r="G258" s="5">
        <f>IF(IF('Precinct Vote Data'!H985&gt;0.5,"D","R")=$E$8,1,0)</f>
        <v>1</v>
      </c>
      <c r="H258" s="5">
        <f t="shared" si="3"/>
        <v>4</v>
      </c>
      <c r="I258" s="13">
        <f>AVERAGE(ABS('Precinct Vote Data'!H982-$D$5),ABS('Precinct Vote Data'!H983-$D$6),ABS('Precinct Vote Data'!H984-$D$7),ABS('Precinct Vote Data'!H985-$D$8))</f>
        <v>0.03413867078</v>
      </c>
      <c r="J258" s="14" t="str">
        <f>IF(AND(H258=4,I258=MIN(K13:K420)),"&lt;&lt; MAGIC PRECINCT","")</f>
        <v/>
      </c>
      <c r="K258" s="13">
        <f t="shared" si="4"/>
        <v>0.03413867078</v>
      </c>
    </row>
    <row r="259" ht="15.0" customHeight="1">
      <c r="A259" s="5" t="s">
        <v>282</v>
      </c>
      <c r="B259" s="5" t="s">
        <v>316</v>
      </c>
      <c r="C259" s="5" t="s">
        <v>323</v>
      </c>
      <c r="D259" s="5">
        <f>IF(IF('Precinct Vote Data'!H986&gt;0.5,"D","R")=$E$5,1,0)</f>
        <v>1</v>
      </c>
      <c r="E259" s="5">
        <f>IF(IF('Precinct Vote Data'!H987&gt;0.5,"D","R")=$E$6,1,0)</f>
        <v>0</v>
      </c>
      <c r="F259" s="5">
        <f>IF(IF('Precinct Vote Data'!H988&gt;0.5,"D","R")=$E$7,1,0)</f>
        <v>1</v>
      </c>
      <c r="G259" s="5">
        <f>IF(IF('Precinct Vote Data'!H989&gt;0.5,"D","R")=$E$8,1,0)</f>
        <v>0</v>
      </c>
      <c r="H259" s="5">
        <f t="shared" si="3"/>
        <v>2</v>
      </c>
      <c r="I259" s="13">
        <f>AVERAGE(ABS('Precinct Vote Data'!H986-$D$5),ABS('Precinct Vote Data'!H987-$D$6),ABS('Precinct Vote Data'!H988-$D$7),ABS('Precinct Vote Data'!H989-$D$8))</f>
        <v>0.01350207263</v>
      </c>
      <c r="J259" s="14" t="str">
        <f>IF(AND(H259=4,I259=MIN(K13:K420)),"&lt;&lt; MAGIC PRECINCT","")</f>
        <v/>
      </c>
      <c r="K259" s="5" t="str">
        <f t="shared" si="4"/>
        <v/>
      </c>
    </row>
    <row r="260" ht="15.0" customHeight="1">
      <c r="A260" s="5" t="s">
        <v>282</v>
      </c>
      <c r="B260" s="5" t="s">
        <v>324</v>
      </c>
      <c r="C260" s="5" t="s">
        <v>113</v>
      </c>
      <c r="D260" s="5">
        <f>IF(IF('Precinct Vote Data'!H990&gt;0.5,"D","R")=$E$5,1,0)</f>
        <v>1</v>
      </c>
      <c r="E260" s="5">
        <f>IF(IF('Precinct Vote Data'!H991&gt;0.5,"D","R")=$E$6,1,0)</f>
        <v>1</v>
      </c>
      <c r="F260" s="5">
        <f>IF(IF('Precinct Vote Data'!H992&gt;0.5,"D","R")=$E$7,1,0)</f>
        <v>1</v>
      </c>
      <c r="G260" s="5">
        <f>IF(IF('Precinct Vote Data'!H993&gt;0.5,"D","R")=$E$8,1,0)</f>
        <v>1</v>
      </c>
      <c r="H260" s="5">
        <f t="shared" si="3"/>
        <v>4</v>
      </c>
      <c r="I260" s="13">
        <f>AVERAGE(ABS('Precinct Vote Data'!H990-$D$5),ABS('Precinct Vote Data'!H991-$D$6),ABS('Precinct Vote Data'!H992-$D$7),ABS('Precinct Vote Data'!H993-$D$8))</f>
        <v>0.2570361119</v>
      </c>
      <c r="J260" s="14" t="str">
        <f>IF(AND(H260=4,I260=MIN(K13:K420)),"&lt;&lt; MAGIC PRECINCT","")</f>
        <v/>
      </c>
      <c r="K260" s="13">
        <f t="shared" si="4"/>
        <v>0.2570361119</v>
      </c>
    </row>
    <row r="261" ht="15.0" customHeight="1">
      <c r="A261" s="5" t="s">
        <v>282</v>
      </c>
      <c r="B261" s="5" t="s">
        <v>324</v>
      </c>
      <c r="C261" s="5" t="s">
        <v>114</v>
      </c>
      <c r="D261" s="5">
        <f>IF(IF('Precinct Vote Data'!H994&gt;0.5,"D","R")=$E$5,1,0)</f>
        <v>1</v>
      </c>
      <c r="E261" s="5">
        <f>IF(IF('Precinct Vote Data'!H995&gt;0.5,"D","R")=$E$6,1,0)</f>
        <v>1</v>
      </c>
      <c r="F261" s="5">
        <f>IF(IF('Precinct Vote Data'!H996&gt;0.5,"D","R")=$E$7,1,0)</f>
        <v>1</v>
      </c>
      <c r="G261" s="5">
        <f>IF(IF('Precinct Vote Data'!H997&gt;0.5,"D","R")=$E$8,1,0)</f>
        <v>1</v>
      </c>
      <c r="H261" s="5">
        <f t="shared" si="3"/>
        <v>4</v>
      </c>
      <c r="I261" s="13">
        <f>AVERAGE(ABS('Precinct Vote Data'!H994-$D$5),ABS('Precinct Vote Data'!H995-$D$6),ABS('Precinct Vote Data'!H996-$D$7),ABS('Precinct Vote Data'!H997-$D$8))</f>
        <v>0.1990193301</v>
      </c>
      <c r="J261" s="14" t="str">
        <f>IF(AND(H261=4,I261=MIN(K13:K420)),"&lt;&lt; MAGIC PRECINCT","")</f>
        <v/>
      </c>
      <c r="K261" s="13">
        <f t="shared" si="4"/>
        <v>0.1990193301</v>
      </c>
    </row>
    <row r="262" ht="15.0" customHeight="1">
      <c r="A262" s="5" t="s">
        <v>282</v>
      </c>
      <c r="B262" s="5" t="s">
        <v>324</v>
      </c>
      <c r="C262" s="5" t="s">
        <v>116</v>
      </c>
      <c r="D262" s="5">
        <f>IF(IF('Precinct Vote Data'!H998&gt;0.5,"D","R")=$E$5,1,0)</f>
        <v>1</v>
      </c>
      <c r="E262" s="5">
        <f>IF(IF('Precinct Vote Data'!H999&gt;0.5,"D","R")=$E$6,1,0)</f>
        <v>1</v>
      </c>
      <c r="F262" s="5">
        <f>IF(IF('Precinct Vote Data'!H1000&gt;0.5,"D","R")=$E$7,1,0)</f>
        <v>1</v>
      </c>
      <c r="G262" s="5">
        <f>IF(IF('Precinct Vote Data'!H1001&gt;0.5,"D","R")=$E$8,1,0)</f>
        <v>1</v>
      </c>
      <c r="H262" s="5">
        <f t="shared" si="3"/>
        <v>4</v>
      </c>
      <c r="I262" s="13">
        <f>AVERAGE(ABS('Precinct Vote Data'!H998-$D$5),ABS('Precinct Vote Data'!H999-$D$6),ABS('Precinct Vote Data'!H1000-$D$7),ABS('Precinct Vote Data'!H1001-$D$8))</f>
        <v>0.1212586337</v>
      </c>
      <c r="J262" s="14" t="str">
        <f>IF(AND(H262=4,I262=MIN(K13:K420)),"&lt;&lt; MAGIC PRECINCT","")</f>
        <v/>
      </c>
      <c r="K262" s="13">
        <f t="shared" si="4"/>
        <v>0.1212586337</v>
      </c>
    </row>
    <row r="263" ht="15.0" customHeight="1">
      <c r="A263" s="5" t="s">
        <v>282</v>
      </c>
      <c r="B263" s="5" t="s">
        <v>324</v>
      </c>
      <c r="C263" s="5" t="s">
        <v>118</v>
      </c>
      <c r="D263" s="5">
        <f>IF(IF('Precinct Vote Data'!H1002&gt;0.5,"D","R")=$E$5,1,0)</f>
        <v>1</v>
      </c>
      <c r="E263" s="5">
        <f>IF(IF('Precinct Vote Data'!H1003&gt;0.5,"D","R")=$E$6,1,0)</f>
        <v>1</v>
      </c>
      <c r="F263" s="5">
        <f>IF(IF('Precinct Vote Data'!H1004&gt;0.5,"D","R")=$E$7,1,0)</f>
        <v>1</v>
      </c>
      <c r="G263" s="5">
        <f>IF(IF('Precinct Vote Data'!H1005&gt;0.5,"D","R")=$E$8,1,0)</f>
        <v>1</v>
      </c>
      <c r="H263" s="5">
        <f t="shared" si="3"/>
        <v>4</v>
      </c>
      <c r="I263" s="13">
        <f>AVERAGE(ABS('Precinct Vote Data'!H1002-$D$5),ABS('Precinct Vote Data'!H1003-$D$6),ABS('Precinct Vote Data'!H1004-$D$7),ABS('Precinct Vote Data'!H1005-$D$8))</f>
        <v>0.1932660951</v>
      </c>
      <c r="J263" s="14" t="str">
        <f>IF(AND(H263=4,I263=MIN(K13:K420)),"&lt;&lt; MAGIC PRECINCT","")</f>
        <v/>
      </c>
      <c r="K263" s="13">
        <f t="shared" si="4"/>
        <v>0.1932660951</v>
      </c>
    </row>
    <row r="264" ht="15.0" customHeight="1">
      <c r="A264" s="5" t="s">
        <v>282</v>
      </c>
      <c r="B264" s="5" t="s">
        <v>324</v>
      </c>
      <c r="C264" s="5" t="s">
        <v>119</v>
      </c>
      <c r="D264" s="5">
        <f>IF(IF('Precinct Vote Data'!H1006&gt;0.5,"D","R")=$E$5,1,0)</f>
        <v>1</v>
      </c>
      <c r="E264" s="5">
        <f>IF(IF('Precinct Vote Data'!H1007&gt;0.5,"D","R")=$E$6,1,0)</f>
        <v>1</v>
      </c>
      <c r="F264" s="5">
        <f>IF(IF('Precinct Vote Data'!H1008&gt;0.5,"D","R")=$E$7,1,0)</f>
        <v>1</v>
      </c>
      <c r="G264" s="5">
        <f>IF(IF('Precinct Vote Data'!H1009&gt;0.5,"D","R")=$E$8,1,0)</f>
        <v>1</v>
      </c>
      <c r="H264" s="5">
        <f t="shared" si="3"/>
        <v>4</v>
      </c>
      <c r="I264" s="13">
        <f>AVERAGE(ABS('Precinct Vote Data'!H1006-$D$5),ABS('Precinct Vote Data'!H1007-$D$6),ABS('Precinct Vote Data'!H1008-$D$7),ABS('Precinct Vote Data'!H1009-$D$8))</f>
        <v>0.122370894</v>
      </c>
      <c r="J264" s="14" t="str">
        <f>IF(AND(H264=4,I264=MIN(K13:K420)),"&lt;&lt; MAGIC PRECINCT","")</f>
        <v/>
      </c>
      <c r="K264" s="13">
        <f t="shared" si="4"/>
        <v>0.122370894</v>
      </c>
    </row>
    <row r="265" ht="15.0" customHeight="1">
      <c r="A265" s="5" t="s">
        <v>282</v>
      </c>
      <c r="B265" s="5" t="s">
        <v>325</v>
      </c>
      <c r="C265" s="5" t="s">
        <v>120</v>
      </c>
      <c r="D265" s="5">
        <f>IF(IF('Precinct Vote Data'!H1010&gt;0.5,"D","R")=$E$5,1,0)</f>
        <v>1</v>
      </c>
      <c r="E265" s="5">
        <f>IF(IF('Precinct Vote Data'!H1011&gt;0.5,"D","R")=$E$6,1,0)</f>
        <v>1</v>
      </c>
      <c r="F265" s="5">
        <f>IF(IF('Precinct Vote Data'!H1012&gt;0.5,"D","R")=$E$7,1,0)</f>
        <v>1</v>
      </c>
      <c r="G265" s="5">
        <f>IF(IF('Precinct Vote Data'!H1013&gt;0.5,"D","R")=$E$8,1,0)</f>
        <v>1</v>
      </c>
      <c r="H265" s="5">
        <f t="shared" si="3"/>
        <v>4</v>
      </c>
      <c r="I265" s="13">
        <f>AVERAGE(ABS('Precinct Vote Data'!H1010-$D$5),ABS('Precinct Vote Data'!H1011-$D$6),ABS('Precinct Vote Data'!H1012-$D$7),ABS('Precinct Vote Data'!H1013-$D$8))</f>
        <v>0.0613126812</v>
      </c>
      <c r="J265" s="14" t="str">
        <f>IF(AND(H265=4,I265=MIN(K13:K420)),"&lt;&lt; MAGIC PRECINCT","")</f>
        <v/>
      </c>
      <c r="K265" s="13">
        <f t="shared" si="4"/>
        <v>0.0613126812</v>
      </c>
    </row>
    <row r="266" ht="15.0" customHeight="1">
      <c r="A266" s="5" t="s">
        <v>282</v>
      </c>
      <c r="B266" s="5" t="s">
        <v>325</v>
      </c>
      <c r="C266" s="5" t="s">
        <v>122</v>
      </c>
      <c r="D266" s="5">
        <f>IF(IF('Precinct Vote Data'!H1014&gt;0.5,"D","R")=$E$5,1,0)</f>
        <v>0</v>
      </c>
      <c r="E266" s="5">
        <f>IF(IF('Precinct Vote Data'!H1015&gt;0.5,"D","R")=$E$6,1,0)</f>
        <v>0</v>
      </c>
      <c r="F266" s="5">
        <f>IF(IF('Precinct Vote Data'!H1016&gt;0.5,"D","R")=$E$7,1,0)</f>
        <v>0</v>
      </c>
      <c r="G266" s="5">
        <f>IF(IF('Precinct Vote Data'!H1017&gt;0.5,"D","R")=$E$8,1,0)</f>
        <v>0</v>
      </c>
      <c r="H266" s="5">
        <f t="shared" si="3"/>
        <v>0</v>
      </c>
      <c r="I266" s="13">
        <f>AVERAGE(ABS('Precinct Vote Data'!H1014-$D$5),ABS('Precinct Vote Data'!H1015-$D$6),ABS('Precinct Vote Data'!H1016-$D$7),ABS('Precinct Vote Data'!H1017-$D$8))</f>
        <v>0.0680985999</v>
      </c>
      <c r="J266" s="14" t="str">
        <f>IF(AND(H266=4,I266=MIN(K13:K420)),"&lt;&lt; MAGIC PRECINCT","")</f>
        <v/>
      </c>
      <c r="K266" s="5" t="str">
        <f t="shared" si="4"/>
        <v/>
      </c>
    </row>
    <row r="267" ht="15.0" customHeight="1">
      <c r="A267" s="5" t="s">
        <v>282</v>
      </c>
      <c r="B267" s="5" t="s">
        <v>326</v>
      </c>
      <c r="C267" s="5" t="s">
        <v>124</v>
      </c>
      <c r="D267" s="5">
        <f>IF(IF('Precinct Vote Data'!H1018&gt;0.5,"D","R")=$E$5,1,0)</f>
        <v>1</v>
      </c>
      <c r="E267" s="5">
        <f>IF(IF('Precinct Vote Data'!H1019&gt;0.5,"D","R")=$E$6,1,0)</f>
        <v>1</v>
      </c>
      <c r="F267" s="5">
        <f>IF(IF('Precinct Vote Data'!H1020&gt;0.5,"D","R")=$E$7,1,0)</f>
        <v>1</v>
      </c>
      <c r="G267" s="5">
        <f>IF(IF('Precinct Vote Data'!H1021&gt;0.5,"D","R")=$E$8,1,0)</f>
        <v>1</v>
      </c>
      <c r="H267" s="5">
        <f t="shared" si="3"/>
        <v>4</v>
      </c>
      <c r="I267" s="13">
        <f>AVERAGE(ABS('Precinct Vote Data'!H1018-$D$5),ABS('Precinct Vote Data'!H1019-$D$6),ABS('Precinct Vote Data'!H1020-$D$7),ABS('Precinct Vote Data'!H1021-$D$8))</f>
        <v>0.01753781866</v>
      </c>
      <c r="J267" s="14" t="str">
        <f>IF(AND(H267=4,I267=MIN(K13:K420)),"&lt;&lt; MAGIC PRECINCT","")</f>
        <v/>
      </c>
      <c r="K267" s="13">
        <f t="shared" si="4"/>
        <v>0.01753781866</v>
      </c>
    </row>
    <row r="268" ht="15.0" customHeight="1">
      <c r="A268" s="5" t="s">
        <v>327</v>
      </c>
      <c r="B268" s="5" t="s">
        <v>328</v>
      </c>
      <c r="C268" s="5" t="s">
        <v>18</v>
      </c>
      <c r="D268" s="5">
        <f>IF(IF('Precinct Vote Data'!H1022&gt;0.5,"D","R")=$E$5,1,0)</f>
        <v>0</v>
      </c>
      <c r="E268" s="5">
        <f>IF(IF('Precinct Vote Data'!H1023&gt;0.5,"D","R")=$E$6,1,0)</f>
        <v>0</v>
      </c>
      <c r="F268" s="5">
        <f>IF(IF('Precinct Vote Data'!H1024&gt;0.5,"D","R")=$E$7,1,0)</f>
        <v>0</v>
      </c>
      <c r="G268" s="5">
        <f>IF(IF('Precinct Vote Data'!H1025&gt;0.5,"D","R")=$E$8,1,0)</f>
        <v>0</v>
      </c>
      <c r="H268" s="5">
        <f t="shared" si="3"/>
        <v>0</v>
      </c>
      <c r="I268" s="13">
        <f>AVERAGE(ABS('Precinct Vote Data'!H1022-$D$5),ABS('Precinct Vote Data'!H1023-$D$6),ABS('Precinct Vote Data'!H1024-$D$7),ABS('Precinct Vote Data'!H1025-$D$8))</f>
        <v>0.1073717888</v>
      </c>
      <c r="J268" s="14" t="str">
        <f>IF(AND(H268=4,I268=MIN(K13:K420)),"&lt;&lt; MAGIC PRECINCT","")</f>
        <v/>
      </c>
      <c r="K268" s="5" t="str">
        <f t="shared" si="4"/>
        <v/>
      </c>
    </row>
    <row r="269" ht="15.0" customHeight="1">
      <c r="A269" s="5" t="s">
        <v>327</v>
      </c>
      <c r="B269" s="5" t="s">
        <v>329</v>
      </c>
      <c r="C269" s="5" t="s">
        <v>146</v>
      </c>
      <c r="D269" s="5">
        <f>IF(IF('Precinct Vote Data'!H1026&gt;0.5,"D","R")=$E$5,1,0)</f>
        <v>0</v>
      </c>
      <c r="E269" s="5">
        <f>IF(IF('Precinct Vote Data'!H1027&gt;0.5,"D","R")=$E$6,1,0)</f>
        <v>0</v>
      </c>
      <c r="F269" s="5">
        <f>IF(IF('Precinct Vote Data'!H1028&gt;0.5,"D","R")=$E$7,1,0)</f>
        <v>0</v>
      </c>
      <c r="G269" s="5">
        <f>IF(IF('Precinct Vote Data'!H1029&gt;0.5,"D","R")=$E$8,1,0)</f>
        <v>0</v>
      </c>
      <c r="H269" s="5">
        <f t="shared" si="3"/>
        <v>0</v>
      </c>
      <c r="I269" s="13">
        <f>AVERAGE(ABS('Precinct Vote Data'!H1026-$D$5),ABS('Precinct Vote Data'!H1027-$D$6),ABS('Precinct Vote Data'!H1028-$D$7),ABS('Precinct Vote Data'!H1029-$D$8))</f>
        <v>0.06845430689</v>
      </c>
      <c r="J269" s="14" t="str">
        <f>IF(AND(H269=4,I269=MIN(K13:K420)),"&lt;&lt; MAGIC PRECINCT","")</f>
        <v/>
      </c>
      <c r="K269" s="5" t="str">
        <f t="shared" si="4"/>
        <v/>
      </c>
    </row>
    <row r="270" ht="15.0" customHeight="1">
      <c r="A270" s="5" t="s">
        <v>327</v>
      </c>
      <c r="B270" s="5" t="s">
        <v>329</v>
      </c>
      <c r="C270" s="5" t="s">
        <v>147</v>
      </c>
      <c r="D270" s="5">
        <f>IF(IF('Precinct Vote Data'!H1030&gt;0.5,"D","R")=$E$5,1,0)</f>
        <v>1</v>
      </c>
      <c r="E270" s="5">
        <f>IF(IF('Precinct Vote Data'!H1031&gt;0.5,"D","R")=$E$6,1,0)</f>
        <v>0</v>
      </c>
      <c r="F270" s="5">
        <f>IF(IF('Precinct Vote Data'!H1032&gt;0.5,"D","R")=$E$7,1,0)</f>
        <v>0</v>
      </c>
      <c r="G270" s="5">
        <f>IF(IF('Precinct Vote Data'!H1033&gt;0.5,"D","R")=$E$8,1,0)</f>
        <v>0</v>
      </c>
      <c r="H270" s="5">
        <f t="shared" si="3"/>
        <v>1</v>
      </c>
      <c r="I270" s="13">
        <f>AVERAGE(ABS('Precinct Vote Data'!H1030-$D$5),ABS('Precinct Vote Data'!H1031-$D$6),ABS('Precinct Vote Data'!H1032-$D$7),ABS('Precinct Vote Data'!H1033-$D$8))</f>
        <v>0.05327531739</v>
      </c>
      <c r="J270" s="14" t="str">
        <f>IF(AND(H270=4,I270=MIN(K13:K420)),"&lt;&lt; MAGIC PRECINCT","")</f>
        <v/>
      </c>
      <c r="K270" s="5" t="str">
        <f t="shared" si="4"/>
        <v/>
      </c>
    </row>
    <row r="271" ht="15.0" customHeight="1">
      <c r="A271" s="5" t="s">
        <v>327</v>
      </c>
      <c r="B271" s="5" t="s">
        <v>329</v>
      </c>
      <c r="C271" s="5" t="s">
        <v>55</v>
      </c>
      <c r="D271" s="5">
        <f>IF(IF('Precinct Vote Data'!H1034&gt;0.5,"D","R")=$E$5,1,0)</f>
        <v>0</v>
      </c>
      <c r="E271" s="5">
        <f>IF(IF('Precinct Vote Data'!H1035&gt;0.5,"D","R")=$E$6,1,0)</f>
        <v>0</v>
      </c>
      <c r="F271" s="5">
        <f>IF(IF('Precinct Vote Data'!H1036&gt;0.5,"D","R")=$E$7,1,0)</f>
        <v>0</v>
      </c>
      <c r="G271" s="5">
        <f>IF(IF('Precinct Vote Data'!H1037&gt;0.5,"D","R")=$E$8,1,0)</f>
        <v>0</v>
      </c>
      <c r="H271" s="5">
        <f t="shared" si="3"/>
        <v>0</v>
      </c>
      <c r="I271" s="13">
        <f>AVERAGE(ABS('Precinct Vote Data'!H1034-$D$5),ABS('Precinct Vote Data'!H1035-$D$6),ABS('Precinct Vote Data'!H1036-$D$7),ABS('Precinct Vote Data'!H1037-$D$8))</f>
        <v>0.08403460828</v>
      </c>
      <c r="J271" s="14" t="str">
        <f>IF(AND(H271=4,I271=MIN(K13:K420)),"&lt;&lt; MAGIC PRECINCT","")</f>
        <v/>
      </c>
      <c r="K271" s="5" t="str">
        <f t="shared" si="4"/>
        <v/>
      </c>
    </row>
    <row r="272" ht="15.0" customHeight="1">
      <c r="A272" s="5" t="s">
        <v>327</v>
      </c>
      <c r="B272" s="5" t="s">
        <v>329</v>
      </c>
      <c r="C272" s="5" t="s">
        <v>57</v>
      </c>
      <c r="D272" s="5">
        <f>IF(IF('Precinct Vote Data'!H1038&gt;0.5,"D","R")=$E$5,1,0)</f>
        <v>0</v>
      </c>
      <c r="E272" s="5">
        <f>IF(IF('Precinct Vote Data'!H1039&gt;0.5,"D","R")=$E$6,1,0)</f>
        <v>0</v>
      </c>
      <c r="F272" s="5">
        <f>IF(IF('Precinct Vote Data'!H1040&gt;0.5,"D","R")=$E$7,1,0)</f>
        <v>0</v>
      </c>
      <c r="G272" s="5">
        <f>IF(IF('Precinct Vote Data'!H1041&gt;0.5,"D","R")=$E$8,1,0)</f>
        <v>0</v>
      </c>
      <c r="H272" s="5">
        <f t="shared" si="3"/>
        <v>0</v>
      </c>
      <c r="I272" s="13">
        <f>AVERAGE(ABS('Precinct Vote Data'!H1038-$D$5),ABS('Precinct Vote Data'!H1039-$D$6),ABS('Precinct Vote Data'!H1040-$D$7),ABS('Precinct Vote Data'!H1041-$D$8))</f>
        <v>0.1125620301</v>
      </c>
      <c r="J272" s="14" t="str">
        <f>IF(AND(H272=4,I272=MIN(K13:K420)),"&lt;&lt; MAGIC PRECINCT","")</f>
        <v/>
      </c>
      <c r="K272" s="5" t="str">
        <f t="shared" si="4"/>
        <v/>
      </c>
    </row>
    <row r="273" ht="15.0" customHeight="1">
      <c r="A273" s="5" t="s">
        <v>327</v>
      </c>
      <c r="B273" s="5" t="s">
        <v>330</v>
      </c>
      <c r="C273" s="5" t="s">
        <v>59</v>
      </c>
      <c r="D273" s="5">
        <f>IF(IF('Precinct Vote Data'!H1042&gt;0.5,"D","R")=$E$5,1,0)</f>
        <v>0</v>
      </c>
      <c r="E273" s="5">
        <f>IF(IF('Precinct Vote Data'!H1043&gt;0.5,"D","R")=$E$6,1,0)</f>
        <v>0</v>
      </c>
      <c r="F273" s="5">
        <f>IF(IF('Precinct Vote Data'!H1044&gt;0.5,"D","R")=$E$7,1,0)</f>
        <v>0</v>
      </c>
      <c r="G273" s="5">
        <f>IF(IF('Precinct Vote Data'!H1045&gt;0.5,"D","R")=$E$8,1,0)</f>
        <v>0</v>
      </c>
      <c r="H273" s="5">
        <f t="shared" si="3"/>
        <v>0</v>
      </c>
      <c r="I273" s="13">
        <f>AVERAGE(ABS('Precinct Vote Data'!H1042-$D$5),ABS('Precinct Vote Data'!H1043-$D$6),ABS('Precinct Vote Data'!H1044-$D$7),ABS('Precinct Vote Data'!H1045-$D$8))</f>
        <v>0.05303159204</v>
      </c>
      <c r="J273" s="14" t="str">
        <f>IF(AND(H273=4,I273=MIN(K13:K420)),"&lt;&lt; MAGIC PRECINCT","")</f>
        <v/>
      </c>
      <c r="K273" s="5" t="str">
        <f t="shared" si="4"/>
        <v/>
      </c>
    </row>
    <row r="274" ht="15.0" customHeight="1">
      <c r="A274" s="5" t="s">
        <v>327</v>
      </c>
      <c r="B274" s="5" t="s">
        <v>157</v>
      </c>
      <c r="C274" s="5" t="s">
        <v>60</v>
      </c>
      <c r="D274" s="5">
        <f>IF(IF('Precinct Vote Data'!H1046&gt;0.5,"D","R")=$E$5,1,0)</f>
        <v>1</v>
      </c>
      <c r="E274" s="5">
        <f>IF(IF('Precinct Vote Data'!H1047&gt;0.5,"D","R")=$E$6,1,0)</f>
        <v>1</v>
      </c>
      <c r="F274" s="5">
        <f>IF(IF('Precinct Vote Data'!H1048&gt;0.5,"D","R")=$E$7,1,0)</f>
        <v>1</v>
      </c>
      <c r="G274" s="5">
        <f>IF(IF('Precinct Vote Data'!H1049&gt;0.5,"D","R")=$E$8,1,0)</f>
        <v>1</v>
      </c>
      <c r="H274" s="5">
        <f t="shared" si="3"/>
        <v>4</v>
      </c>
      <c r="I274" s="13">
        <f>AVERAGE(ABS('Precinct Vote Data'!H1046-$D$5),ABS('Precinct Vote Data'!H1047-$D$6),ABS('Precinct Vote Data'!H1048-$D$7),ABS('Precinct Vote Data'!H1049-$D$8))</f>
        <v>0.2563401924</v>
      </c>
      <c r="J274" s="14" t="str">
        <f>IF(AND(H274=4,I274=MIN(K13:K420)),"&lt;&lt; MAGIC PRECINCT","")</f>
        <v/>
      </c>
      <c r="K274" s="13">
        <f t="shared" si="4"/>
        <v>0.2563401924</v>
      </c>
    </row>
    <row r="275" ht="15.0" customHeight="1">
      <c r="A275" s="5" t="s">
        <v>327</v>
      </c>
      <c r="B275" s="5" t="s">
        <v>157</v>
      </c>
      <c r="C275" s="5" t="s">
        <v>63</v>
      </c>
      <c r="D275" s="5">
        <f>IF(IF('Precinct Vote Data'!H1050&gt;0.5,"D","R")=$E$5,1,0)</f>
        <v>1</v>
      </c>
      <c r="E275" s="5">
        <f>IF(IF('Precinct Vote Data'!H1051&gt;0.5,"D","R")=$E$6,1,0)</f>
        <v>1</v>
      </c>
      <c r="F275" s="5">
        <f>IF(IF('Precinct Vote Data'!H1052&gt;0.5,"D","R")=$E$7,1,0)</f>
        <v>1</v>
      </c>
      <c r="G275" s="5">
        <f>IF(IF('Precinct Vote Data'!H1053&gt;0.5,"D","R")=$E$8,1,0)</f>
        <v>1</v>
      </c>
      <c r="H275" s="5">
        <f t="shared" si="3"/>
        <v>4</v>
      </c>
      <c r="I275" s="13">
        <f>AVERAGE(ABS('Precinct Vote Data'!H1050-$D$5),ABS('Precinct Vote Data'!H1051-$D$6),ABS('Precinct Vote Data'!H1052-$D$7),ABS('Precinct Vote Data'!H1053-$D$8))</f>
        <v>0.2500920941</v>
      </c>
      <c r="J275" s="14" t="str">
        <f>IF(AND(H275=4,I275=MIN(K13:K420)),"&lt;&lt; MAGIC PRECINCT","")</f>
        <v/>
      </c>
      <c r="K275" s="13">
        <f t="shared" si="4"/>
        <v>0.2500920941</v>
      </c>
    </row>
    <row r="276" ht="15.0" customHeight="1">
      <c r="A276" s="5" t="s">
        <v>327</v>
      </c>
      <c r="B276" s="5" t="s">
        <v>157</v>
      </c>
      <c r="C276" s="5" t="s">
        <v>331</v>
      </c>
      <c r="D276" s="5">
        <f>IF(IF('Precinct Vote Data'!H1054&gt;0.5,"D","R")=$E$5,1,0)</f>
        <v>1</v>
      </c>
      <c r="E276" s="5">
        <f>IF(IF('Precinct Vote Data'!H1055&gt;0.5,"D","R")=$E$6,1,0)</f>
        <v>1</v>
      </c>
      <c r="F276" s="5">
        <f>IF(IF('Precinct Vote Data'!H1056&gt;0.5,"D","R")=$E$7,1,0)</f>
        <v>1</v>
      </c>
      <c r="G276" s="5">
        <f>IF(IF('Precinct Vote Data'!H1057&gt;0.5,"D","R")=$E$8,1,0)</f>
        <v>1</v>
      </c>
      <c r="H276" s="5">
        <f t="shared" si="3"/>
        <v>4</v>
      </c>
      <c r="I276" s="13">
        <f>AVERAGE(ABS('Precinct Vote Data'!H1054-$D$5),ABS('Precinct Vote Data'!H1055-$D$6),ABS('Precinct Vote Data'!H1056-$D$7),ABS('Precinct Vote Data'!H1057-$D$8))</f>
        <v>0.2775704071</v>
      </c>
      <c r="J276" s="14" t="str">
        <f>IF(AND(H276=4,I276=MIN(K13:K420)),"&lt;&lt; MAGIC PRECINCT","")</f>
        <v/>
      </c>
      <c r="K276" s="13">
        <f t="shared" si="4"/>
        <v>0.2775704071</v>
      </c>
    </row>
    <row r="277" ht="15.0" customHeight="1">
      <c r="A277" s="5" t="s">
        <v>327</v>
      </c>
      <c r="B277" s="5" t="s">
        <v>157</v>
      </c>
      <c r="C277" s="5" t="s">
        <v>74</v>
      </c>
      <c r="D277" s="5">
        <f>IF(IF('Precinct Vote Data'!H1058&gt;0.5,"D","R")=$E$5,1,0)</f>
        <v>1</v>
      </c>
      <c r="E277" s="5">
        <f>IF(IF('Precinct Vote Data'!H1059&gt;0.5,"D","R")=$E$6,1,0)</f>
        <v>1</v>
      </c>
      <c r="F277" s="5">
        <f>IF(IF('Precinct Vote Data'!H1060&gt;0.5,"D","R")=$E$7,1,0)</f>
        <v>1</v>
      </c>
      <c r="G277" s="5">
        <f>IF(IF('Precinct Vote Data'!H1061&gt;0.5,"D","R")=$E$8,1,0)</f>
        <v>1</v>
      </c>
      <c r="H277" s="5">
        <f t="shared" si="3"/>
        <v>4</v>
      </c>
      <c r="I277" s="13">
        <f>AVERAGE(ABS('Precinct Vote Data'!H1058-$D$5),ABS('Precinct Vote Data'!H1059-$D$6),ABS('Precinct Vote Data'!H1060-$D$7),ABS('Precinct Vote Data'!H1061-$D$8))</f>
        <v>0.3295527622</v>
      </c>
      <c r="J277" s="14" t="str">
        <f>IF(AND(H277=4,I277=MIN(K13:K420)),"&lt;&lt; MAGIC PRECINCT","")</f>
        <v/>
      </c>
      <c r="K277" s="13">
        <f t="shared" si="4"/>
        <v>0.3295527622</v>
      </c>
    </row>
    <row r="278" ht="15.0" customHeight="1">
      <c r="A278" s="5" t="s">
        <v>327</v>
      </c>
      <c r="B278" s="5" t="s">
        <v>157</v>
      </c>
      <c r="C278" s="5" t="s">
        <v>332</v>
      </c>
      <c r="D278" s="5">
        <f>IF(IF('Precinct Vote Data'!H1062&gt;0.5,"D","R")=$E$5,1,0)</f>
        <v>1</v>
      </c>
      <c r="E278" s="5">
        <f>IF(IF('Precinct Vote Data'!H1063&gt;0.5,"D","R")=$E$6,1,0)</f>
        <v>1</v>
      </c>
      <c r="F278" s="5">
        <f>IF(IF('Precinct Vote Data'!H1064&gt;0.5,"D","R")=$E$7,1,0)</f>
        <v>1</v>
      </c>
      <c r="G278" s="5">
        <f>IF(IF('Precinct Vote Data'!H1065&gt;0.5,"D","R")=$E$8,1,0)</f>
        <v>1</v>
      </c>
      <c r="H278" s="5">
        <f t="shared" si="3"/>
        <v>4</v>
      </c>
      <c r="I278" s="13">
        <f>AVERAGE(ABS('Precinct Vote Data'!H1062-$D$5),ABS('Precinct Vote Data'!H1063-$D$6),ABS('Precinct Vote Data'!H1064-$D$7),ABS('Precinct Vote Data'!H1065-$D$8))</f>
        <v>0.2668116443</v>
      </c>
      <c r="J278" s="14" t="str">
        <f>IF(AND(H278=4,I278=MIN(K13:K420)),"&lt;&lt; MAGIC PRECINCT","")</f>
        <v/>
      </c>
      <c r="K278" s="13">
        <f t="shared" si="4"/>
        <v>0.2668116443</v>
      </c>
    </row>
    <row r="279" ht="15.0" customHeight="1">
      <c r="A279" s="5" t="s">
        <v>327</v>
      </c>
      <c r="B279" s="5" t="s">
        <v>157</v>
      </c>
      <c r="C279" s="5" t="s">
        <v>87</v>
      </c>
      <c r="D279" s="5">
        <f>IF(IF('Precinct Vote Data'!H1066&gt;0.5,"D","R")=$E$5,1,0)</f>
        <v>1</v>
      </c>
      <c r="E279" s="5">
        <f>IF(IF('Precinct Vote Data'!H1067&gt;0.5,"D","R")=$E$6,1,0)</f>
        <v>1</v>
      </c>
      <c r="F279" s="5">
        <f>IF(IF('Precinct Vote Data'!H1068&gt;0.5,"D","R")=$E$7,1,0)</f>
        <v>1</v>
      </c>
      <c r="G279" s="5">
        <f>IF(IF('Precinct Vote Data'!H1069&gt;0.5,"D","R")=$E$8,1,0)</f>
        <v>1</v>
      </c>
      <c r="H279" s="5">
        <f t="shared" si="3"/>
        <v>4</v>
      </c>
      <c r="I279" s="13">
        <f>AVERAGE(ABS('Precinct Vote Data'!H1066-$D$5),ABS('Precinct Vote Data'!H1067-$D$6),ABS('Precinct Vote Data'!H1068-$D$7),ABS('Precinct Vote Data'!H1069-$D$8))</f>
        <v>0.2524675252</v>
      </c>
      <c r="J279" s="14" t="str">
        <f>IF(AND(H279=4,I279=MIN(K13:K420)),"&lt;&lt; MAGIC PRECINCT","")</f>
        <v/>
      </c>
      <c r="K279" s="13">
        <f t="shared" si="4"/>
        <v>0.2524675252</v>
      </c>
    </row>
    <row r="280" ht="15.0" customHeight="1">
      <c r="A280" s="5" t="s">
        <v>327</v>
      </c>
      <c r="B280" s="5" t="s">
        <v>157</v>
      </c>
      <c r="C280" s="5" t="s">
        <v>88</v>
      </c>
      <c r="D280" s="5">
        <f>IF(IF('Precinct Vote Data'!H1070&gt;0.5,"D","R")=$E$5,1,0)</f>
        <v>1</v>
      </c>
      <c r="E280" s="5">
        <f>IF(IF('Precinct Vote Data'!H1071&gt;0.5,"D","R")=$E$6,1,0)</f>
        <v>1</v>
      </c>
      <c r="F280" s="5">
        <f>IF(IF('Precinct Vote Data'!H1072&gt;0.5,"D","R")=$E$7,1,0)</f>
        <v>1</v>
      </c>
      <c r="G280" s="5">
        <f>IF(IF('Precinct Vote Data'!H1073&gt;0.5,"D","R")=$E$8,1,0)</f>
        <v>1</v>
      </c>
      <c r="H280" s="5">
        <f t="shared" si="3"/>
        <v>4</v>
      </c>
      <c r="I280" s="13">
        <f>AVERAGE(ABS('Precinct Vote Data'!H1070-$D$5),ABS('Precinct Vote Data'!H1071-$D$6),ABS('Precinct Vote Data'!H1072-$D$7),ABS('Precinct Vote Data'!H1073-$D$8))</f>
        <v>0.2205885899</v>
      </c>
      <c r="J280" s="14" t="str">
        <f>IF(AND(H280=4,I280=MIN(K13:K420)),"&lt;&lt; MAGIC PRECINCT","")</f>
        <v/>
      </c>
      <c r="K280" s="13">
        <f t="shared" si="4"/>
        <v>0.2205885899</v>
      </c>
    </row>
    <row r="281" ht="15.0" customHeight="1">
      <c r="A281" s="5" t="s">
        <v>327</v>
      </c>
      <c r="B281" s="5" t="s">
        <v>157</v>
      </c>
      <c r="C281" s="5" t="s">
        <v>89</v>
      </c>
      <c r="D281" s="5">
        <f>IF(IF('Precinct Vote Data'!H1074&gt;0.5,"D","R")=$E$5,1,0)</f>
        <v>1</v>
      </c>
      <c r="E281" s="5">
        <f>IF(IF('Precinct Vote Data'!H1075&gt;0.5,"D","R")=$E$6,1,0)</f>
        <v>1</v>
      </c>
      <c r="F281" s="5">
        <f>IF(IF('Precinct Vote Data'!H1076&gt;0.5,"D","R")=$E$7,1,0)</f>
        <v>1</v>
      </c>
      <c r="G281" s="5">
        <f>IF(IF('Precinct Vote Data'!H1077&gt;0.5,"D","R")=$E$8,1,0)</f>
        <v>1</v>
      </c>
      <c r="H281" s="5">
        <f t="shared" si="3"/>
        <v>4</v>
      </c>
      <c r="I281" s="13">
        <f>AVERAGE(ABS('Precinct Vote Data'!H1074-$D$5),ABS('Precinct Vote Data'!H1075-$D$6),ABS('Precinct Vote Data'!H1076-$D$7),ABS('Precinct Vote Data'!H1077-$D$8))</f>
        <v>0.2196560378</v>
      </c>
      <c r="J281" s="14" t="str">
        <f>IF(AND(H281=4,I281=MIN(K13:K420)),"&lt;&lt; MAGIC PRECINCT","")</f>
        <v/>
      </c>
      <c r="K281" s="13">
        <f t="shared" si="4"/>
        <v>0.2196560378</v>
      </c>
    </row>
    <row r="282" ht="15.0" customHeight="1">
      <c r="A282" s="5" t="s">
        <v>327</v>
      </c>
      <c r="B282" s="5" t="s">
        <v>157</v>
      </c>
      <c r="C282" s="5" t="s">
        <v>91</v>
      </c>
      <c r="D282" s="5">
        <f>IF(IF('Precinct Vote Data'!H1078&gt;0.5,"D","R")=$E$5,1,0)</f>
        <v>1</v>
      </c>
      <c r="E282" s="5">
        <f>IF(IF('Precinct Vote Data'!H1079&gt;0.5,"D","R")=$E$6,1,0)</f>
        <v>1</v>
      </c>
      <c r="F282" s="5">
        <f>IF(IF('Precinct Vote Data'!H1080&gt;0.5,"D","R")=$E$7,1,0)</f>
        <v>1</v>
      </c>
      <c r="G282" s="5">
        <f>IF(IF('Precinct Vote Data'!H1081&gt;0.5,"D","R")=$E$8,1,0)</f>
        <v>1</v>
      </c>
      <c r="H282" s="5">
        <f t="shared" si="3"/>
        <v>4</v>
      </c>
      <c r="I282" s="13">
        <f>AVERAGE(ABS('Precinct Vote Data'!H1078-$D$5),ABS('Precinct Vote Data'!H1079-$D$6),ABS('Precinct Vote Data'!H1080-$D$7),ABS('Precinct Vote Data'!H1081-$D$8))</f>
        <v>0.2075676182</v>
      </c>
      <c r="J282" s="14" t="str">
        <f>IF(AND(H282=4,I282=MIN(K13:K420)),"&lt;&lt; MAGIC PRECINCT","")</f>
        <v/>
      </c>
      <c r="K282" s="13">
        <f t="shared" si="4"/>
        <v>0.2075676182</v>
      </c>
    </row>
    <row r="283" ht="15.0" customHeight="1">
      <c r="A283" s="5" t="s">
        <v>327</v>
      </c>
      <c r="B283" s="5" t="s">
        <v>157</v>
      </c>
      <c r="C283" s="5" t="s">
        <v>92</v>
      </c>
      <c r="D283" s="5">
        <f>IF(IF('Precinct Vote Data'!H1082&gt;0.5,"D","R")=$E$5,1,0)</f>
        <v>1</v>
      </c>
      <c r="E283" s="5">
        <f>IF(IF('Precinct Vote Data'!H1083&gt;0.5,"D","R")=$E$6,1,0)</f>
        <v>1</v>
      </c>
      <c r="F283" s="5">
        <f>IF(IF('Precinct Vote Data'!H1084&gt;0.5,"D","R")=$E$7,1,0)</f>
        <v>1</v>
      </c>
      <c r="G283" s="5">
        <f>IF(IF('Precinct Vote Data'!H1085&gt;0.5,"D","R")=$E$8,1,0)</f>
        <v>1</v>
      </c>
      <c r="H283" s="5">
        <f t="shared" si="3"/>
        <v>4</v>
      </c>
      <c r="I283" s="13">
        <f>AVERAGE(ABS('Precinct Vote Data'!H1082-$D$5),ABS('Precinct Vote Data'!H1083-$D$6),ABS('Precinct Vote Data'!H1084-$D$7),ABS('Precinct Vote Data'!H1085-$D$8))</f>
        <v>0.1816649379</v>
      </c>
      <c r="J283" s="14" t="str">
        <f>IF(AND(H283=4,I283=MIN(K13:K420)),"&lt;&lt; MAGIC PRECINCT","")</f>
        <v/>
      </c>
      <c r="K283" s="13">
        <f t="shared" si="4"/>
        <v>0.1816649379</v>
      </c>
    </row>
    <row r="284" ht="15.0" customHeight="1">
      <c r="A284" s="5" t="s">
        <v>327</v>
      </c>
      <c r="B284" s="5" t="s">
        <v>157</v>
      </c>
      <c r="C284" s="5" t="s">
        <v>94</v>
      </c>
      <c r="D284" s="5">
        <f>IF(IF('Precinct Vote Data'!H1086&gt;0.5,"D","R")=$E$5,1,0)</f>
        <v>1</v>
      </c>
      <c r="E284" s="5">
        <f>IF(IF('Precinct Vote Data'!H1087&gt;0.5,"D","R")=$E$6,1,0)</f>
        <v>1</v>
      </c>
      <c r="F284" s="5">
        <f>IF(IF('Precinct Vote Data'!H1088&gt;0.5,"D","R")=$E$7,1,0)</f>
        <v>1</v>
      </c>
      <c r="G284" s="5">
        <f>IF(IF('Precinct Vote Data'!H1089&gt;0.5,"D","R")=$E$8,1,0)</f>
        <v>1</v>
      </c>
      <c r="H284" s="5">
        <f t="shared" si="3"/>
        <v>4</v>
      </c>
      <c r="I284" s="13">
        <f>AVERAGE(ABS('Precinct Vote Data'!H1086-$D$5),ABS('Precinct Vote Data'!H1087-$D$6),ABS('Precinct Vote Data'!H1088-$D$7),ABS('Precinct Vote Data'!H1089-$D$8))</f>
        <v>0.2025731658</v>
      </c>
      <c r="J284" s="14" t="str">
        <f>IF(AND(H284=4,I284=MIN(K13:K420)),"&lt;&lt; MAGIC PRECINCT","")</f>
        <v/>
      </c>
      <c r="K284" s="13">
        <f t="shared" si="4"/>
        <v>0.2025731658</v>
      </c>
    </row>
    <row r="285" ht="15.0" customHeight="1">
      <c r="A285" s="5" t="s">
        <v>327</v>
      </c>
      <c r="B285" s="5" t="s">
        <v>157</v>
      </c>
      <c r="C285" s="5" t="s">
        <v>95</v>
      </c>
      <c r="D285" s="5">
        <f>IF(IF('Precinct Vote Data'!H1090&gt;0.5,"D","R")=$E$5,1,0)</f>
        <v>1</v>
      </c>
      <c r="E285" s="5">
        <f>IF(IF('Precinct Vote Data'!H1091&gt;0.5,"D","R")=$E$6,1,0)</f>
        <v>1</v>
      </c>
      <c r="F285" s="5">
        <f>IF(IF('Precinct Vote Data'!H1092&gt;0.5,"D","R")=$E$7,1,0)</f>
        <v>1</v>
      </c>
      <c r="G285" s="5">
        <f>IF(IF('Precinct Vote Data'!H1093&gt;0.5,"D","R")=$E$8,1,0)</f>
        <v>1</v>
      </c>
      <c r="H285" s="5">
        <f t="shared" si="3"/>
        <v>4</v>
      </c>
      <c r="I285" s="13">
        <f>AVERAGE(ABS('Precinct Vote Data'!H1090-$D$5),ABS('Precinct Vote Data'!H1091-$D$6),ABS('Precinct Vote Data'!H1092-$D$7),ABS('Precinct Vote Data'!H1093-$D$8))</f>
        <v>0.1666057959</v>
      </c>
      <c r="J285" s="14" t="str">
        <f>IF(AND(H285=4,I285=MIN(K13:K420)),"&lt;&lt; MAGIC PRECINCT","")</f>
        <v/>
      </c>
      <c r="K285" s="13">
        <f t="shared" si="4"/>
        <v>0.1666057959</v>
      </c>
    </row>
    <row r="286" ht="15.0" customHeight="1">
      <c r="A286" s="5" t="s">
        <v>327</v>
      </c>
      <c r="B286" s="5" t="s">
        <v>157</v>
      </c>
      <c r="C286" s="5" t="s">
        <v>96</v>
      </c>
      <c r="D286" s="5">
        <f>IF(IF('Precinct Vote Data'!H1094&gt;0.5,"D","R")=$E$5,1,0)</f>
        <v>1</v>
      </c>
      <c r="E286" s="5">
        <f>IF(IF('Precinct Vote Data'!H1095&gt;0.5,"D","R")=$E$6,1,0)</f>
        <v>1</v>
      </c>
      <c r="F286" s="5">
        <f>IF(IF('Precinct Vote Data'!H1096&gt;0.5,"D","R")=$E$7,1,0)</f>
        <v>1</v>
      </c>
      <c r="G286" s="5">
        <f>IF(IF('Precinct Vote Data'!H1097&gt;0.5,"D","R")=$E$8,1,0)</f>
        <v>1</v>
      </c>
      <c r="H286" s="5">
        <f t="shared" si="3"/>
        <v>4</v>
      </c>
      <c r="I286" s="13">
        <f>AVERAGE(ABS('Precinct Vote Data'!H1094-$D$5),ABS('Precinct Vote Data'!H1095-$D$6),ABS('Precinct Vote Data'!H1096-$D$7),ABS('Precinct Vote Data'!H1097-$D$8))</f>
        <v>0.1062787452</v>
      </c>
      <c r="J286" s="14" t="str">
        <f>IF(AND(H286=4,I286=MIN(K13:K420)),"&lt;&lt; MAGIC PRECINCT","")</f>
        <v/>
      </c>
      <c r="K286" s="13">
        <f t="shared" si="4"/>
        <v>0.1062787452</v>
      </c>
    </row>
    <row r="287" ht="15.0" customHeight="1">
      <c r="A287" s="5" t="s">
        <v>327</v>
      </c>
      <c r="B287" s="5" t="s">
        <v>157</v>
      </c>
      <c r="C287" s="5" t="s">
        <v>98</v>
      </c>
      <c r="D287" s="5">
        <f>IF(IF('Precinct Vote Data'!H1098&gt;0.5,"D","R")=$E$5,1,0)</f>
        <v>1</v>
      </c>
      <c r="E287" s="5">
        <f>IF(IF('Precinct Vote Data'!H1099&gt;0.5,"D","R")=$E$6,1,0)</f>
        <v>1</v>
      </c>
      <c r="F287" s="5">
        <f>IF(IF('Precinct Vote Data'!H1100&gt;0.5,"D","R")=$E$7,1,0)</f>
        <v>1</v>
      </c>
      <c r="G287" s="5">
        <f>IF(IF('Precinct Vote Data'!H1101&gt;0.5,"D","R")=$E$8,1,0)</f>
        <v>1</v>
      </c>
      <c r="H287" s="5">
        <f t="shared" si="3"/>
        <v>4</v>
      </c>
      <c r="I287" s="13">
        <f>AVERAGE(ABS('Precinct Vote Data'!H1098-$D$5),ABS('Precinct Vote Data'!H1099-$D$6),ABS('Precinct Vote Data'!H1100-$D$7),ABS('Precinct Vote Data'!H1101-$D$8))</f>
        <v>0.07426919105</v>
      </c>
      <c r="J287" s="14" t="str">
        <f>IF(AND(H287=4,I287=MIN(K13:K420)),"&lt;&lt; MAGIC PRECINCT","")</f>
        <v/>
      </c>
      <c r="K287" s="13">
        <f t="shared" si="4"/>
        <v>0.07426919105</v>
      </c>
    </row>
    <row r="288" ht="15.0" customHeight="1">
      <c r="A288" s="5" t="s">
        <v>327</v>
      </c>
      <c r="B288" s="5" t="s">
        <v>157</v>
      </c>
      <c r="C288" s="5" t="s">
        <v>100</v>
      </c>
      <c r="D288" s="5">
        <f>IF(IF('Precinct Vote Data'!H1102&gt;0.5,"D","R")=$E$5,1,0)</f>
        <v>1</v>
      </c>
      <c r="E288" s="5">
        <f>IF(IF('Precinct Vote Data'!H1103&gt;0.5,"D","R")=$E$6,1,0)</f>
        <v>1</v>
      </c>
      <c r="F288" s="5">
        <f>IF(IF('Precinct Vote Data'!H1104&gt;0.5,"D","R")=$E$7,1,0)</f>
        <v>1</v>
      </c>
      <c r="G288" s="5">
        <f>IF(IF('Precinct Vote Data'!H1105&gt;0.5,"D","R")=$E$8,1,0)</f>
        <v>1</v>
      </c>
      <c r="H288" s="5">
        <f t="shared" si="3"/>
        <v>4</v>
      </c>
      <c r="I288" s="13">
        <f>AVERAGE(ABS('Precinct Vote Data'!H1102-$D$5),ABS('Precinct Vote Data'!H1103-$D$6),ABS('Precinct Vote Data'!H1104-$D$7),ABS('Precinct Vote Data'!H1105-$D$8))</f>
        <v>0.1345860778</v>
      </c>
      <c r="J288" s="14" t="str">
        <f>IF(AND(H288=4,I288=MIN(K13:K420)),"&lt;&lt; MAGIC PRECINCT","")</f>
        <v/>
      </c>
      <c r="K288" s="13">
        <f t="shared" si="4"/>
        <v>0.1345860778</v>
      </c>
    </row>
    <row r="289" ht="15.0" customHeight="1">
      <c r="A289" s="5" t="s">
        <v>327</v>
      </c>
      <c r="B289" s="5" t="s">
        <v>157</v>
      </c>
      <c r="C289" s="5" t="s">
        <v>102</v>
      </c>
      <c r="D289" s="5">
        <f>IF(IF('Precinct Vote Data'!H1106&gt;0.5,"D","R")=$E$5,1,0)</f>
        <v>1</v>
      </c>
      <c r="E289" s="5">
        <f>IF(IF('Precinct Vote Data'!H1107&gt;0.5,"D","R")=$E$6,1,0)</f>
        <v>1</v>
      </c>
      <c r="F289" s="5">
        <f>IF(IF('Precinct Vote Data'!H1108&gt;0.5,"D","R")=$E$7,1,0)</f>
        <v>1</v>
      </c>
      <c r="G289" s="5">
        <f>IF(IF('Precinct Vote Data'!H1109&gt;0.5,"D","R")=$E$8,1,0)</f>
        <v>1</v>
      </c>
      <c r="H289" s="5">
        <f t="shared" si="3"/>
        <v>4</v>
      </c>
      <c r="I289" s="13">
        <f>AVERAGE(ABS('Precinct Vote Data'!H1106-$D$5),ABS('Precinct Vote Data'!H1107-$D$6),ABS('Precinct Vote Data'!H1108-$D$7),ABS('Precinct Vote Data'!H1109-$D$8))</f>
        <v>0.1399593507</v>
      </c>
      <c r="J289" s="14" t="str">
        <f>IF(AND(H289=4,I289=MIN(K13:K420)),"&lt;&lt; MAGIC PRECINCT","")</f>
        <v/>
      </c>
      <c r="K289" s="13">
        <f t="shared" si="4"/>
        <v>0.1399593507</v>
      </c>
    </row>
    <row r="290" ht="15.0" customHeight="1">
      <c r="A290" s="5" t="s">
        <v>327</v>
      </c>
      <c r="B290" s="5" t="s">
        <v>157</v>
      </c>
      <c r="C290" s="5" t="s">
        <v>103</v>
      </c>
      <c r="D290" s="5">
        <f>IF(IF('Precinct Vote Data'!H1110&gt;0.5,"D","R")=$E$5,1,0)</f>
        <v>1</v>
      </c>
      <c r="E290" s="5">
        <f>IF(IF('Precinct Vote Data'!H1111&gt;0.5,"D","R")=$E$6,1,0)</f>
        <v>1</v>
      </c>
      <c r="F290" s="5">
        <f>IF(IF('Precinct Vote Data'!H1112&gt;0.5,"D","R")=$E$7,1,0)</f>
        <v>1</v>
      </c>
      <c r="G290" s="5">
        <f>IF(IF('Precinct Vote Data'!H1113&gt;0.5,"D","R")=$E$8,1,0)</f>
        <v>1</v>
      </c>
      <c r="H290" s="5">
        <f t="shared" si="3"/>
        <v>4</v>
      </c>
      <c r="I290" s="13">
        <f>AVERAGE(ABS('Precinct Vote Data'!H1110-$D$5),ABS('Precinct Vote Data'!H1111-$D$6),ABS('Precinct Vote Data'!H1112-$D$7),ABS('Precinct Vote Data'!H1113-$D$8))</f>
        <v>0.09006134258</v>
      </c>
      <c r="J290" s="14" t="str">
        <f>IF(AND(H290=4,I290=MIN(K13:K420)),"&lt;&lt; MAGIC PRECINCT","")</f>
        <v/>
      </c>
      <c r="K290" s="13">
        <f t="shared" si="4"/>
        <v>0.09006134258</v>
      </c>
    </row>
    <row r="291" ht="15.0" customHeight="1">
      <c r="A291" s="5" t="s">
        <v>327</v>
      </c>
      <c r="B291" s="5" t="s">
        <v>157</v>
      </c>
      <c r="C291" s="5" t="s">
        <v>104</v>
      </c>
      <c r="D291" s="5">
        <f>IF(IF('Precinct Vote Data'!H1114&gt;0.5,"D","R")=$E$5,1,0)</f>
        <v>1</v>
      </c>
      <c r="E291" s="5">
        <f>IF(IF('Precinct Vote Data'!H1115&gt;0.5,"D","R")=$E$6,1,0)</f>
        <v>1</v>
      </c>
      <c r="F291" s="5">
        <f>IF(IF('Precinct Vote Data'!H1116&gt;0.5,"D","R")=$E$7,1,0)</f>
        <v>1</v>
      </c>
      <c r="G291" s="5">
        <f>IF(IF('Precinct Vote Data'!H1117&gt;0.5,"D","R")=$E$8,1,0)</f>
        <v>1</v>
      </c>
      <c r="H291" s="5">
        <f t="shared" si="3"/>
        <v>4</v>
      </c>
      <c r="I291" s="13">
        <f>AVERAGE(ABS('Precinct Vote Data'!H1114-$D$5),ABS('Precinct Vote Data'!H1115-$D$6),ABS('Precinct Vote Data'!H1116-$D$7),ABS('Precinct Vote Data'!H1117-$D$8))</f>
        <v>0.1264309354</v>
      </c>
      <c r="J291" s="14" t="str">
        <f>IF(AND(H291=4,I291=MIN(K13:K420)),"&lt;&lt; MAGIC PRECINCT","")</f>
        <v/>
      </c>
      <c r="K291" s="13">
        <f t="shared" si="4"/>
        <v>0.1264309354</v>
      </c>
    </row>
    <row r="292" ht="15.0" customHeight="1">
      <c r="A292" s="5" t="s">
        <v>327</v>
      </c>
      <c r="B292" s="5" t="s">
        <v>157</v>
      </c>
      <c r="C292" s="5" t="s">
        <v>333</v>
      </c>
      <c r="D292" s="5">
        <f>IF(IF('Precinct Vote Data'!H1118&gt;0.5,"D","R")=$E$5,1,0)</f>
        <v>1</v>
      </c>
      <c r="E292" s="5">
        <f>IF(IF('Precinct Vote Data'!H1119&gt;0.5,"D","R")=$E$6,1,0)</f>
        <v>1</v>
      </c>
      <c r="F292" s="5">
        <f>IF(IF('Precinct Vote Data'!H1120&gt;0.5,"D","R")=$E$7,1,0)</f>
        <v>1</v>
      </c>
      <c r="G292" s="5">
        <f>IF(IF('Precinct Vote Data'!H1121&gt;0.5,"D","R")=$E$8,1,0)</f>
        <v>1</v>
      </c>
      <c r="H292" s="5">
        <f t="shared" si="3"/>
        <v>4</v>
      </c>
      <c r="I292" s="13">
        <f>AVERAGE(ABS('Precinct Vote Data'!H1118-$D$5),ABS('Precinct Vote Data'!H1119-$D$6),ABS('Precinct Vote Data'!H1120-$D$7),ABS('Precinct Vote Data'!H1121-$D$8))</f>
        <v>0.06179143544</v>
      </c>
      <c r="J292" s="14" t="str">
        <f>IF(AND(H292=4,I292=MIN(K13:K420)),"&lt;&lt; MAGIC PRECINCT","")</f>
        <v/>
      </c>
      <c r="K292" s="13">
        <f t="shared" si="4"/>
        <v>0.06179143544</v>
      </c>
    </row>
    <row r="293" ht="15.0" customHeight="1">
      <c r="A293" s="5" t="s">
        <v>327</v>
      </c>
      <c r="B293" s="5" t="s">
        <v>157</v>
      </c>
      <c r="C293" s="5" t="s">
        <v>106</v>
      </c>
      <c r="D293" s="5">
        <f>IF(IF('Precinct Vote Data'!H1122&gt;0.5,"D","R")=$E$5,1,0)</f>
        <v>1</v>
      </c>
      <c r="E293" s="5">
        <f>IF(IF('Precinct Vote Data'!H1123&gt;0.5,"D","R")=$E$6,1,0)</f>
        <v>1</v>
      </c>
      <c r="F293" s="5">
        <f>IF(IF('Precinct Vote Data'!H1124&gt;0.5,"D","R")=$E$7,1,0)</f>
        <v>1</v>
      </c>
      <c r="G293" s="5">
        <f>IF(IF('Precinct Vote Data'!H1125&gt;0.5,"D","R")=$E$8,1,0)</f>
        <v>1</v>
      </c>
      <c r="H293" s="5">
        <f t="shared" si="3"/>
        <v>4</v>
      </c>
      <c r="I293" s="13">
        <f>AVERAGE(ABS('Precinct Vote Data'!H1122-$D$5),ABS('Precinct Vote Data'!H1123-$D$6),ABS('Precinct Vote Data'!H1124-$D$7),ABS('Precinct Vote Data'!H1125-$D$8))</f>
        <v>0.1280057676</v>
      </c>
      <c r="J293" s="14" t="str">
        <f>IF(AND(H293=4,I293=MIN(K13:K420)),"&lt;&lt; MAGIC PRECINCT","")</f>
        <v/>
      </c>
      <c r="K293" s="13">
        <f t="shared" si="4"/>
        <v>0.1280057676</v>
      </c>
    </row>
    <row r="294" ht="15.0" customHeight="1">
      <c r="A294" s="5" t="s">
        <v>327</v>
      </c>
      <c r="B294" s="5" t="s">
        <v>157</v>
      </c>
      <c r="C294" s="5" t="s">
        <v>109</v>
      </c>
      <c r="D294" s="5">
        <f>IF(IF('Precinct Vote Data'!H1126&gt;0.5,"D","R")=$E$5,1,0)</f>
        <v>1</v>
      </c>
      <c r="E294" s="5">
        <f>IF(IF('Precinct Vote Data'!H1127&gt;0.5,"D","R")=$E$6,1,0)</f>
        <v>1</v>
      </c>
      <c r="F294" s="5">
        <f>IF(IF('Precinct Vote Data'!H1128&gt;0.5,"D","R")=$E$7,1,0)</f>
        <v>1</v>
      </c>
      <c r="G294" s="5">
        <f>IF(IF('Precinct Vote Data'!H1129&gt;0.5,"D","R")=$E$8,1,0)</f>
        <v>1</v>
      </c>
      <c r="H294" s="5">
        <f t="shared" si="3"/>
        <v>4</v>
      </c>
      <c r="I294" s="13">
        <f>AVERAGE(ABS('Precinct Vote Data'!H1126-$D$5),ABS('Precinct Vote Data'!H1127-$D$6),ABS('Precinct Vote Data'!H1128-$D$7),ABS('Precinct Vote Data'!H1129-$D$8))</f>
        <v>0.1518320096</v>
      </c>
      <c r="J294" s="14" t="str">
        <f>IF(AND(H294=4,I294=MIN(K13:K420)),"&lt;&lt; MAGIC PRECINCT","")</f>
        <v/>
      </c>
      <c r="K294" s="13">
        <f t="shared" si="4"/>
        <v>0.1518320096</v>
      </c>
    </row>
    <row r="295" ht="15.0" customHeight="1">
      <c r="A295" s="5" t="s">
        <v>327</v>
      </c>
      <c r="B295" s="5" t="s">
        <v>157</v>
      </c>
      <c r="C295" s="5" t="s">
        <v>110</v>
      </c>
      <c r="D295" s="5">
        <f>IF(IF('Precinct Vote Data'!H1130&gt;0.5,"D","R")=$E$5,1,0)</f>
        <v>1</v>
      </c>
      <c r="E295" s="5">
        <f>IF(IF('Precinct Vote Data'!H1131&gt;0.5,"D","R")=$E$6,1,0)</f>
        <v>1</v>
      </c>
      <c r="F295" s="5">
        <f>IF(IF('Precinct Vote Data'!H1132&gt;0.5,"D","R")=$E$7,1,0)</f>
        <v>1</v>
      </c>
      <c r="G295" s="5">
        <f>IF(IF('Precinct Vote Data'!H1133&gt;0.5,"D","R")=$E$8,1,0)</f>
        <v>1</v>
      </c>
      <c r="H295" s="5">
        <f t="shared" si="3"/>
        <v>4</v>
      </c>
      <c r="I295" s="13">
        <f>AVERAGE(ABS('Precinct Vote Data'!H1130-$D$5),ABS('Precinct Vote Data'!H1131-$D$6),ABS('Precinct Vote Data'!H1132-$D$7),ABS('Precinct Vote Data'!H1133-$D$8))</f>
        <v>0.1192728614</v>
      </c>
      <c r="J295" s="14" t="str">
        <f>IF(AND(H295=4,I295=MIN(K13:K420)),"&lt;&lt; MAGIC PRECINCT","")</f>
        <v/>
      </c>
      <c r="K295" s="13">
        <f t="shared" si="4"/>
        <v>0.1192728614</v>
      </c>
    </row>
    <row r="296" ht="15.0" customHeight="1">
      <c r="A296" s="5" t="s">
        <v>327</v>
      </c>
      <c r="B296" s="5" t="s">
        <v>157</v>
      </c>
      <c r="C296" s="5" t="s">
        <v>111</v>
      </c>
      <c r="D296" s="5">
        <f>IF(IF('Precinct Vote Data'!H1134&gt;0.5,"D","R")=$E$5,1,0)</f>
        <v>1</v>
      </c>
      <c r="E296" s="5">
        <f>IF(IF('Precinct Vote Data'!H1135&gt;0.5,"D","R")=$E$6,1,0)</f>
        <v>1</v>
      </c>
      <c r="F296" s="5">
        <f>IF(IF('Precinct Vote Data'!H1136&gt;0.5,"D","R")=$E$7,1,0)</f>
        <v>1</v>
      </c>
      <c r="G296" s="5">
        <f>IF(IF('Precinct Vote Data'!H1137&gt;0.5,"D","R")=$E$8,1,0)</f>
        <v>1</v>
      </c>
      <c r="H296" s="5">
        <f t="shared" si="3"/>
        <v>4</v>
      </c>
      <c r="I296" s="13">
        <f>AVERAGE(ABS('Precinct Vote Data'!H1134-$D$5),ABS('Precinct Vote Data'!H1135-$D$6),ABS('Precinct Vote Data'!H1136-$D$7),ABS('Precinct Vote Data'!H1137-$D$8))</f>
        <v>0.2218143972</v>
      </c>
      <c r="J296" s="14" t="str">
        <f>IF(AND(H296=4,I296=MIN(K13:K420)),"&lt;&lt; MAGIC PRECINCT","")</f>
        <v/>
      </c>
      <c r="K296" s="13">
        <f t="shared" si="4"/>
        <v>0.2218143972</v>
      </c>
    </row>
    <row r="297" ht="15.0" customHeight="1">
      <c r="A297" s="5" t="s">
        <v>327</v>
      </c>
      <c r="B297" s="5" t="s">
        <v>157</v>
      </c>
      <c r="C297" s="5" t="s">
        <v>113</v>
      </c>
      <c r="D297" s="5">
        <f>IF(IF('Precinct Vote Data'!H1138&gt;0.5,"D","R")=$E$5,1,0)</f>
        <v>1</v>
      </c>
      <c r="E297" s="5">
        <f>IF(IF('Precinct Vote Data'!H1139&gt;0.5,"D","R")=$E$6,1,0)</f>
        <v>1</v>
      </c>
      <c r="F297" s="5">
        <f>IF(IF('Precinct Vote Data'!H1140&gt;0.5,"D","R")=$E$7,1,0)</f>
        <v>1</v>
      </c>
      <c r="G297" s="5">
        <f>IF(IF('Precinct Vote Data'!H1141&gt;0.5,"D","R")=$E$8,1,0)</f>
        <v>1</v>
      </c>
      <c r="H297" s="5">
        <f t="shared" si="3"/>
        <v>4</v>
      </c>
      <c r="I297" s="13">
        <f>AVERAGE(ABS('Precinct Vote Data'!H1138-$D$5),ABS('Precinct Vote Data'!H1139-$D$6),ABS('Precinct Vote Data'!H1140-$D$7),ABS('Precinct Vote Data'!H1141-$D$8))</f>
        <v>0.1292431721</v>
      </c>
      <c r="J297" s="14" t="str">
        <f>IF(AND(H297=4,I297=MIN(K13:K420)),"&lt;&lt; MAGIC PRECINCT","")</f>
        <v/>
      </c>
      <c r="K297" s="13">
        <f t="shared" si="4"/>
        <v>0.1292431721</v>
      </c>
    </row>
    <row r="298" ht="15.0" customHeight="1">
      <c r="A298" s="5" t="s">
        <v>327</v>
      </c>
      <c r="B298" s="5" t="s">
        <v>157</v>
      </c>
      <c r="C298" s="5" t="s">
        <v>114</v>
      </c>
      <c r="D298" s="5">
        <f>IF(IF('Precinct Vote Data'!H1142&gt;0.5,"D","R")=$E$5,1,0)</f>
        <v>1</v>
      </c>
      <c r="E298" s="5">
        <f>IF(IF('Precinct Vote Data'!H1143&gt;0.5,"D","R")=$E$6,1,0)</f>
        <v>1</v>
      </c>
      <c r="F298" s="5">
        <f>IF(IF('Precinct Vote Data'!H1144&gt;0.5,"D","R")=$E$7,1,0)</f>
        <v>1</v>
      </c>
      <c r="G298" s="5">
        <f>IF(IF('Precinct Vote Data'!H1145&gt;0.5,"D","R")=$E$8,1,0)</f>
        <v>1</v>
      </c>
      <c r="H298" s="5">
        <f t="shared" si="3"/>
        <v>4</v>
      </c>
      <c r="I298" s="13">
        <f>AVERAGE(ABS('Precinct Vote Data'!H1142-$D$5),ABS('Precinct Vote Data'!H1143-$D$6),ABS('Precinct Vote Data'!H1144-$D$7),ABS('Precinct Vote Data'!H1145-$D$8))</f>
        <v>0.2786294341</v>
      </c>
      <c r="J298" s="14" t="str">
        <f>IF(AND(H298=4,I298=MIN(K13:K420)),"&lt;&lt; MAGIC PRECINCT","")</f>
        <v/>
      </c>
      <c r="K298" s="13">
        <f t="shared" si="4"/>
        <v>0.2786294341</v>
      </c>
    </row>
    <row r="299" ht="15.0" customHeight="1">
      <c r="A299" s="5" t="s">
        <v>327</v>
      </c>
      <c r="B299" s="5" t="s">
        <v>157</v>
      </c>
      <c r="C299" s="5" t="s">
        <v>116</v>
      </c>
      <c r="D299" s="5">
        <f>IF(IF('Precinct Vote Data'!H1146&gt;0.5,"D","R")=$E$5,1,0)</f>
        <v>1</v>
      </c>
      <c r="E299" s="5">
        <f>IF(IF('Precinct Vote Data'!H1147&gt;0.5,"D","R")=$E$6,1,0)</f>
        <v>1</v>
      </c>
      <c r="F299" s="5">
        <f>IF(IF('Precinct Vote Data'!H1148&gt;0.5,"D","R")=$E$7,1,0)</f>
        <v>1</v>
      </c>
      <c r="G299" s="5">
        <f>IF(IF('Precinct Vote Data'!H1149&gt;0.5,"D","R")=$E$8,1,0)</f>
        <v>1</v>
      </c>
      <c r="H299" s="5">
        <f t="shared" si="3"/>
        <v>4</v>
      </c>
      <c r="I299" s="13">
        <f>AVERAGE(ABS('Precinct Vote Data'!H1146-$D$5),ABS('Precinct Vote Data'!H1147-$D$6),ABS('Precinct Vote Data'!H1148-$D$7),ABS('Precinct Vote Data'!H1149-$D$8))</f>
        <v>0.01888535103</v>
      </c>
      <c r="J299" s="14" t="str">
        <f>IF(AND(H299=4,I299=MIN(K13:K420)),"&lt;&lt; MAGIC PRECINCT","")</f>
        <v/>
      </c>
      <c r="K299" s="13">
        <f t="shared" si="4"/>
        <v>0.01888535103</v>
      </c>
    </row>
    <row r="300" ht="15.0" customHeight="1">
      <c r="A300" s="5" t="s">
        <v>327</v>
      </c>
      <c r="B300" s="5" t="s">
        <v>157</v>
      </c>
      <c r="C300" s="5" t="s">
        <v>118</v>
      </c>
      <c r="D300" s="5">
        <f>IF(IF('Precinct Vote Data'!H1150&gt;0.5,"D","R")=$E$5,1,0)</f>
        <v>1</v>
      </c>
      <c r="E300" s="5">
        <f>IF(IF('Precinct Vote Data'!H1151&gt;0.5,"D","R")=$E$6,1,0)</f>
        <v>1</v>
      </c>
      <c r="F300" s="5">
        <f>IF(IF('Precinct Vote Data'!H1152&gt;0.5,"D","R")=$E$7,1,0)</f>
        <v>1</v>
      </c>
      <c r="G300" s="5">
        <f>IF(IF('Precinct Vote Data'!H1153&gt;0.5,"D","R")=$E$8,1,0)</f>
        <v>1</v>
      </c>
      <c r="H300" s="5">
        <f t="shared" si="3"/>
        <v>4</v>
      </c>
      <c r="I300" s="13">
        <f>AVERAGE(ABS('Precinct Vote Data'!H1150-$D$5),ABS('Precinct Vote Data'!H1151-$D$6),ABS('Precinct Vote Data'!H1152-$D$7),ABS('Precinct Vote Data'!H1153-$D$8))</f>
        <v>0.01614429892</v>
      </c>
      <c r="J300" s="14" t="str">
        <f>IF(AND(H300=4,I300=MIN(K13:K420)),"&lt;&lt; MAGIC PRECINCT","")</f>
        <v/>
      </c>
      <c r="K300" s="13">
        <f t="shared" si="4"/>
        <v>0.01614429892</v>
      </c>
    </row>
    <row r="301" ht="15.0" customHeight="1">
      <c r="A301" s="5" t="s">
        <v>327</v>
      </c>
      <c r="B301" s="5" t="s">
        <v>157</v>
      </c>
      <c r="C301" s="5" t="s">
        <v>334</v>
      </c>
      <c r="D301" s="5">
        <f>IF(IF('Precinct Vote Data'!H1154&gt;0.5,"D","R")=$E$5,1,0)</f>
        <v>1</v>
      </c>
      <c r="E301" s="5">
        <f>IF(IF('Precinct Vote Data'!H1155&gt;0.5,"D","R")=$E$6,1,0)</f>
        <v>1</v>
      </c>
      <c r="F301" s="5">
        <f>IF(IF('Precinct Vote Data'!H1156&gt;0.5,"D","R")=$E$7,1,0)</f>
        <v>1</v>
      </c>
      <c r="G301" s="5">
        <f>IF(IF('Precinct Vote Data'!H1157&gt;0.5,"D","R")=$E$8,1,0)</f>
        <v>1</v>
      </c>
      <c r="H301" s="5">
        <f t="shared" si="3"/>
        <v>4</v>
      </c>
      <c r="I301" s="13">
        <f>AVERAGE(ABS('Precinct Vote Data'!H1154-$D$5),ABS('Precinct Vote Data'!H1155-$D$6),ABS('Precinct Vote Data'!H1156-$D$7),ABS('Precinct Vote Data'!H1157-$D$8))</f>
        <v>0.05427437201</v>
      </c>
      <c r="J301" s="14" t="str">
        <f>IF(AND(H301=4,I301=MIN(K13:K420)),"&lt;&lt; MAGIC PRECINCT","")</f>
        <v/>
      </c>
      <c r="K301" s="13">
        <f t="shared" si="4"/>
        <v>0.05427437201</v>
      </c>
    </row>
    <row r="302" ht="15.0" customHeight="1">
      <c r="A302" s="5" t="s">
        <v>327</v>
      </c>
      <c r="B302" s="5" t="s">
        <v>157</v>
      </c>
      <c r="C302" s="5" t="s">
        <v>335</v>
      </c>
      <c r="D302" s="5">
        <f>IF(IF('Precinct Vote Data'!H1158&gt;0.5,"D","R")=$E$5,1,0)</f>
        <v>0</v>
      </c>
      <c r="E302" s="5">
        <f>IF(IF('Precinct Vote Data'!H1159&gt;0.5,"D","R")=$E$6,1,0)</f>
        <v>0</v>
      </c>
      <c r="F302" s="5">
        <f>IF(IF('Precinct Vote Data'!H1160&gt;0.5,"D","R")=$E$7,1,0)</f>
        <v>0</v>
      </c>
      <c r="G302" s="5">
        <f>IF(IF('Precinct Vote Data'!H1161&gt;0.5,"D","R")=$E$8,1,0)</f>
        <v>1</v>
      </c>
      <c r="H302" s="5">
        <f t="shared" si="3"/>
        <v>1</v>
      </c>
      <c r="I302" s="13">
        <f>AVERAGE(ABS('Precinct Vote Data'!H1158-$D$5),ABS('Precinct Vote Data'!H1159-$D$6),ABS('Precinct Vote Data'!H1160-$D$7),ABS('Precinct Vote Data'!H1161-$D$8))</f>
        <v>0.03128395812</v>
      </c>
      <c r="J302" s="14" t="str">
        <f>IF(AND(H302=4,I302=MIN(K13:K420)),"&lt;&lt; MAGIC PRECINCT","")</f>
        <v/>
      </c>
      <c r="K302" s="5" t="str">
        <f t="shared" si="4"/>
        <v/>
      </c>
    </row>
    <row r="303" ht="15.0" customHeight="1">
      <c r="A303" s="5" t="s">
        <v>327</v>
      </c>
      <c r="B303" s="5" t="s">
        <v>157</v>
      </c>
      <c r="C303" s="5" t="s">
        <v>119</v>
      </c>
      <c r="D303" s="5">
        <f>IF(IF('Precinct Vote Data'!H1162&gt;0.5,"D","R")=$E$5,1,0)</f>
        <v>1</v>
      </c>
      <c r="E303" s="5">
        <f>IF(IF('Precinct Vote Data'!H1163&gt;0.5,"D","R")=$E$6,1,0)</f>
        <v>1</v>
      </c>
      <c r="F303" s="5">
        <f>IF(IF('Precinct Vote Data'!H1164&gt;0.5,"D","R")=$E$7,1,0)</f>
        <v>1</v>
      </c>
      <c r="G303" s="5">
        <f>IF(IF('Precinct Vote Data'!H1165&gt;0.5,"D","R")=$E$8,1,0)</f>
        <v>1</v>
      </c>
      <c r="H303" s="5">
        <f t="shared" si="3"/>
        <v>4</v>
      </c>
      <c r="I303" s="13">
        <f>AVERAGE(ABS('Precinct Vote Data'!H1162-$D$5),ABS('Precinct Vote Data'!H1163-$D$6),ABS('Precinct Vote Data'!H1164-$D$7),ABS('Precinct Vote Data'!H1165-$D$8))</f>
        <v>0.04864830388</v>
      </c>
      <c r="J303" s="14" t="str">
        <f>IF(AND(H303=4,I303=MIN(K13:K420)),"&lt;&lt; MAGIC PRECINCT","")</f>
        <v/>
      </c>
      <c r="K303" s="13">
        <f t="shared" si="4"/>
        <v>0.04864830388</v>
      </c>
    </row>
    <row r="304" ht="15.0" customHeight="1">
      <c r="A304" s="5" t="s">
        <v>327</v>
      </c>
      <c r="B304" s="5" t="s">
        <v>157</v>
      </c>
      <c r="C304" s="5" t="s">
        <v>336</v>
      </c>
      <c r="D304" s="5">
        <f>IF(IF('Precinct Vote Data'!H1166&gt;0.5,"D","R")=$E$5,1,0)</f>
        <v>1</v>
      </c>
      <c r="E304" s="5">
        <f>IF(IF('Precinct Vote Data'!H1167&gt;0.5,"D","R")=$E$6,1,0)</f>
        <v>1</v>
      </c>
      <c r="F304" s="5">
        <f>IF(IF('Precinct Vote Data'!H1168&gt;0.5,"D","R")=$E$7,1,0)</f>
        <v>1</v>
      </c>
      <c r="G304" s="5">
        <f>IF(IF('Precinct Vote Data'!H1169&gt;0.5,"D","R")=$E$8,1,0)</f>
        <v>1</v>
      </c>
      <c r="H304" s="5">
        <f t="shared" si="3"/>
        <v>4</v>
      </c>
      <c r="I304" s="13">
        <f>AVERAGE(ABS('Precinct Vote Data'!H1166-$D$5),ABS('Precinct Vote Data'!H1167-$D$6),ABS('Precinct Vote Data'!H1168-$D$7),ABS('Precinct Vote Data'!H1169-$D$8))</f>
        <v>0.03149254051</v>
      </c>
      <c r="J304" s="14" t="str">
        <f>IF(AND(H304=4,I304=MIN(K13:K420)),"&lt;&lt; MAGIC PRECINCT","")</f>
        <v/>
      </c>
      <c r="K304" s="13">
        <f t="shared" si="4"/>
        <v>0.03149254051</v>
      </c>
    </row>
    <row r="305" ht="15.0" customHeight="1">
      <c r="A305" s="5" t="s">
        <v>327</v>
      </c>
      <c r="B305" s="5" t="s">
        <v>157</v>
      </c>
      <c r="C305" s="5" t="s">
        <v>337</v>
      </c>
      <c r="D305" s="5">
        <f>IF(IF('Precinct Vote Data'!H1170&gt;0.5,"D","R")=$E$5,1,0)</f>
        <v>1</v>
      </c>
      <c r="E305" s="5">
        <f>IF(IF('Precinct Vote Data'!H1171&gt;0.5,"D","R")=$E$6,1,0)</f>
        <v>1</v>
      </c>
      <c r="F305" s="5">
        <f>IF(IF('Precinct Vote Data'!H1172&gt;0.5,"D","R")=$E$7,1,0)</f>
        <v>1</v>
      </c>
      <c r="G305" s="5">
        <f>IF(IF('Precinct Vote Data'!H1173&gt;0.5,"D","R")=$E$8,1,0)</f>
        <v>1</v>
      </c>
      <c r="H305" s="5">
        <f t="shared" si="3"/>
        <v>4</v>
      </c>
      <c r="I305" s="13">
        <f>AVERAGE(ABS('Precinct Vote Data'!H1170-$D$5),ABS('Precinct Vote Data'!H1171-$D$6),ABS('Precinct Vote Data'!H1172-$D$7),ABS('Precinct Vote Data'!H1173-$D$8))</f>
        <v>0.02127581097</v>
      </c>
      <c r="J305" s="14" t="str">
        <f>IF(AND(H305=4,I305=MIN(K13:K420)),"&lt;&lt; MAGIC PRECINCT","")</f>
        <v/>
      </c>
      <c r="K305" s="13">
        <f t="shared" si="4"/>
        <v>0.02127581097</v>
      </c>
    </row>
    <row r="306" ht="15.0" customHeight="1">
      <c r="A306" s="5" t="s">
        <v>327</v>
      </c>
      <c r="B306" s="5" t="s">
        <v>157</v>
      </c>
      <c r="C306" s="5" t="s">
        <v>338</v>
      </c>
      <c r="D306" s="5">
        <f>IF(IF('Precinct Vote Data'!H1174&gt;0.5,"D","R")=$E$5,1,0)</f>
        <v>1</v>
      </c>
      <c r="E306" s="5">
        <f>IF(IF('Precinct Vote Data'!H1175&gt;0.5,"D","R")=$E$6,1,0)</f>
        <v>1</v>
      </c>
      <c r="F306" s="5">
        <f>IF(IF('Precinct Vote Data'!H1176&gt;0.5,"D","R")=$E$7,1,0)</f>
        <v>1</v>
      </c>
      <c r="G306" s="5">
        <f>IF(IF('Precinct Vote Data'!H1177&gt;0.5,"D","R")=$E$8,1,0)</f>
        <v>1</v>
      </c>
      <c r="H306" s="5">
        <f t="shared" si="3"/>
        <v>4</v>
      </c>
      <c r="I306" s="13">
        <f>AVERAGE(ABS('Precinct Vote Data'!H1174-$D$5),ABS('Precinct Vote Data'!H1175-$D$6),ABS('Precinct Vote Data'!H1176-$D$7),ABS('Precinct Vote Data'!H1177-$D$8))</f>
        <v>0.06952938701</v>
      </c>
      <c r="J306" s="14" t="str">
        <f>IF(AND(H306=4,I306=MIN(K13:K420)),"&lt;&lt; MAGIC PRECINCT","")</f>
        <v/>
      </c>
      <c r="K306" s="13">
        <f t="shared" si="4"/>
        <v>0.06952938701</v>
      </c>
    </row>
    <row r="307" ht="15.0" customHeight="1">
      <c r="A307" s="5" t="s">
        <v>327</v>
      </c>
      <c r="B307" s="5" t="s">
        <v>157</v>
      </c>
      <c r="C307" s="5" t="s">
        <v>120</v>
      </c>
      <c r="D307" s="5">
        <f>IF(IF('Precinct Vote Data'!H1178&gt;0.5,"D","R")=$E$5,1,0)</f>
        <v>1</v>
      </c>
      <c r="E307" s="5">
        <f>IF(IF('Precinct Vote Data'!H1179&gt;0.5,"D","R")=$E$6,1,0)</f>
        <v>1</v>
      </c>
      <c r="F307" s="5">
        <f>IF(IF('Precinct Vote Data'!H1180&gt;0.5,"D","R")=$E$7,1,0)</f>
        <v>1</v>
      </c>
      <c r="G307" s="5">
        <f>IF(IF('Precinct Vote Data'!H1181&gt;0.5,"D","R")=$E$8,1,0)</f>
        <v>1</v>
      </c>
      <c r="H307" s="5">
        <f t="shared" si="3"/>
        <v>4</v>
      </c>
      <c r="I307" s="13">
        <f>AVERAGE(ABS('Precinct Vote Data'!H1178-$D$5),ABS('Precinct Vote Data'!H1179-$D$6),ABS('Precinct Vote Data'!H1180-$D$7),ABS('Precinct Vote Data'!H1181-$D$8))</f>
        <v>0.08331562857</v>
      </c>
      <c r="J307" s="14" t="str">
        <f>IF(AND(H307=4,I307=MIN(K13:K420)),"&lt;&lt; MAGIC PRECINCT","")</f>
        <v/>
      </c>
      <c r="K307" s="13">
        <f t="shared" si="4"/>
        <v>0.08331562857</v>
      </c>
    </row>
    <row r="308" ht="15.0" customHeight="1">
      <c r="A308" s="5" t="s">
        <v>327</v>
      </c>
      <c r="B308" s="5" t="s">
        <v>157</v>
      </c>
      <c r="C308" s="5" t="s">
        <v>122</v>
      </c>
      <c r="D308" s="5">
        <f>IF(IF('Precinct Vote Data'!H1182&gt;0.5,"D","R")=$E$5,1,0)</f>
        <v>1</v>
      </c>
      <c r="E308" s="5">
        <f>IF(IF('Precinct Vote Data'!H1183&gt;0.5,"D","R")=$E$6,1,0)</f>
        <v>0</v>
      </c>
      <c r="F308" s="5">
        <f>IF(IF('Precinct Vote Data'!H1184&gt;0.5,"D","R")=$E$7,1,0)</f>
        <v>0</v>
      </c>
      <c r="G308" s="5">
        <f>IF(IF('Precinct Vote Data'!H1185&gt;0.5,"D","R")=$E$8,1,0)</f>
        <v>1</v>
      </c>
      <c r="H308" s="5">
        <f t="shared" si="3"/>
        <v>2</v>
      </c>
      <c r="I308" s="13">
        <f>AVERAGE(ABS('Precinct Vote Data'!H1182-$D$5),ABS('Precinct Vote Data'!H1183-$D$6),ABS('Precinct Vote Data'!H1184-$D$7),ABS('Precinct Vote Data'!H1185-$D$8))</f>
        <v>0.02005410586</v>
      </c>
      <c r="J308" s="14" t="str">
        <f>IF(AND(H308=4,I308=MIN(K13:K420)),"&lt;&lt; MAGIC PRECINCT","")</f>
        <v/>
      </c>
      <c r="K308" s="5" t="str">
        <f t="shared" si="4"/>
        <v/>
      </c>
    </row>
    <row r="309" ht="15.0" customHeight="1">
      <c r="A309" s="5" t="s">
        <v>327</v>
      </c>
      <c r="B309" s="5" t="s">
        <v>157</v>
      </c>
      <c r="C309" s="5" t="s">
        <v>339</v>
      </c>
      <c r="D309" s="5">
        <f>IF(IF('Precinct Vote Data'!H1186&gt;0.5,"D","R")=$E$5,1,0)</f>
        <v>1</v>
      </c>
      <c r="E309" s="5">
        <f>IF(IF('Precinct Vote Data'!H1187&gt;0.5,"D","R")=$E$6,1,0)</f>
        <v>1</v>
      </c>
      <c r="F309" s="5">
        <f>IF(IF('Precinct Vote Data'!H1188&gt;0.5,"D","R")=$E$7,1,0)</f>
        <v>1</v>
      </c>
      <c r="G309" s="5">
        <f>IF(IF('Precinct Vote Data'!H1189&gt;0.5,"D","R")=$E$8,1,0)</f>
        <v>1</v>
      </c>
      <c r="H309" s="5">
        <f t="shared" si="3"/>
        <v>4</v>
      </c>
      <c r="I309" s="13">
        <f>AVERAGE(ABS('Precinct Vote Data'!H1186-$D$5),ABS('Precinct Vote Data'!H1187-$D$6),ABS('Precinct Vote Data'!H1188-$D$7),ABS('Precinct Vote Data'!H1189-$D$8))</f>
        <v>0.02773189787</v>
      </c>
      <c r="J309" s="14" t="str">
        <f>IF(AND(H309=4,I309=MIN(K13:K420)),"&lt;&lt; MAGIC PRECINCT","")</f>
        <v/>
      </c>
      <c r="K309" s="13">
        <f t="shared" si="4"/>
        <v>0.02773189787</v>
      </c>
    </row>
    <row r="310" ht="15.0" customHeight="1">
      <c r="A310" s="5" t="s">
        <v>327</v>
      </c>
      <c r="B310" s="5" t="s">
        <v>157</v>
      </c>
      <c r="C310" s="5" t="s">
        <v>340</v>
      </c>
      <c r="D310" s="5">
        <f>IF(IF('Precinct Vote Data'!H1190&gt;0.5,"D","R")=$E$5,1,0)</f>
        <v>1</v>
      </c>
      <c r="E310" s="5">
        <f>IF(IF('Precinct Vote Data'!H1191&gt;0.5,"D","R")=$E$6,1,0)</f>
        <v>1</v>
      </c>
      <c r="F310" s="5">
        <f>IF(IF('Precinct Vote Data'!H1192&gt;0.5,"D","R")=$E$7,1,0)</f>
        <v>1</v>
      </c>
      <c r="G310" s="5">
        <f>IF(IF('Precinct Vote Data'!H1193&gt;0.5,"D","R")=$E$8,1,0)</f>
        <v>1</v>
      </c>
      <c r="H310" s="5">
        <f t="shared" si="3"/>
        <v>4</v>
      </c>
      <c r="I310" s="13">
        <f>AVERAGE(ABS('Precinct Vote Data'!H1190-$D$5),ABS('Precinct Vote Data'!H1191-$D$6),ABS('Precinct Vote Data'!H1192-$D$7),ABS('Precinct Vote Data'!H1193-$D$8))</f>
        <v>0.05732911097</v>
      </c>
      <c r="J310" s="14" t="str">
        <f>IF(AND(H310=4,I310=MIN(K13:K420)),"&lt;&lt; MAGIC PRECINCT","")</f>
        <v/>
      </c>
      <c r="K310" s="13">
        <f t="shared" si="4"/>
        <v>0.05732911097</v>
      </c>
    </row>
    <row r="311" ht="15.0" customHeight="1">
      <c r="A311" s="5" t="s">
        <v>327</v>
      </c>
      <c r="B311" s="5" t="s">
        <v>157</v>
      </c>
      <c r="C311" s="5" t="s">
        <v>341</v>
      </c>
      <c r="D311" s="5">
        <f>IF(IF('Precinct Vote Data'!H1194&gt;0.5,"D","R")=$E$5,1,0)</f>
        <v>1</v>
      </c>
      <c r="E311" s="5">
        <f>IF(IF('Precinct Vote Data'!H1195&gt;0.5,"D","R")=$E$6,1,0)</f>
        <v>0</v>
      </c>
      <c r="F311" s="5">
        <f>IF(IF('Precinct Vote Data'!H1196&gt;0.5,"D","R")=$E$7,1,0)</f>
        <v>1</v>
      </c>
      <c r="G311" s="5">
        <f>IF(IF('Precinct Vote Data'!H1197&gt;0.5,"D","R")=$E$8,1,0)</f>
        <v>1</v>
      </c>
      <c r="H311" s="5">
        <f t="shared" si="3"/>
        <v>3</v>
      </c>
      <c r="I311" s="13">
        <f>AVERAGE(ABS('Precinct Vote Data'!H1194-$D$5),ABS('Precinct Vote Data'!H1195-$D$6),ABS('Precinct Vote Data'!H1196-$D$7),ABS('Precinct Vote Data'!H1197-$D$8))</f>
        <v>0.01401399451</v>
      </c>
      <c r="J311" s="14" t="str">
        <f>IF(AND(H311=4,I311=MIN(K13:K420)),"&lt;&lt; MAGIC PRECINCT","")</f>
        <v/>
      </c>
      <c r="K311" s="5" t="str">
        <f t="shared" si="4"/>
        <v/>
      </c>
    </row>
    <row r="312" ht="15.0" customHeight="1">
      <c r="A312" s="5" t="s">
        <v>327</v>
      </c>
      <c r="B312" s="5" t="s">
        <v>157</v>
      </c>
      <c r="C312" s="5" t="s">
        <v>124</v>
      </c>
      <c r="D312" s="5">
        <f>IF(IF('Precinct Vote Data'!H1198&gt;0.5,"D","R")=$E$5,1,0)</f>
        <v>1</v>
      </c>
      <c r="E312" s="5">
        <f>IF(IF('Precinct Vote Data'!H1199&gt;0.5,"D","R")=$E$6,1,0)</f>
        <v>1</v>
      </c>
      <c r="F312" s="5">
        <f>IF(IF('Precinct Vote Data'!H1200&gt;0.5,"D","R")=$E$7,1,0)</f>
        <v>1</v>
      </c>
      <c r="G312" s="5">
        <f>IF(IF('Precinct Vote Data'!H1201&gt;0.5,"D","R")=$E$8,1,0)</f>
        <v>1</v>
      </c>
      <c r="H312" s="5">
        <f t="shared" si="3"/>
        <v>4</v>
      </c>
      <c r="I312" s="13">
        <f>AVERAGE(ABS('Precinct Vote Data'!H1198-$D$5),ABS('Precinct Vote Data'!H1199-$D$6),ABS('Precinct Vote Data'!H1200-$D$7),ABS('Precinct Vote Data'!H1201-$D$8))</f>
        <v>0.04901202565</v>
      </c>
      <c r="J312" s="14" t="str">
        <f>IF(AND(H312=4,I312=MIN(K13:K420)),"&lt;&lt; MAGIC PRECINCT","")</f>
        <v/>
      </c>
      <c r="K312" s="13">
        <f t="shared" si="4"/>
        <v>0.04901202565</v>
      </c>
    </row>
    <row r="313" ht="15.0" customHeight="1">
      <c r="A313" s="5" t="s">
        <v>327</v>
      </c>
      <c r="B313" s="5" t="s">
        <v>157</v>
      </c>
      <c r="C313" s="5" t="s">
        <v>126</v>
      </c>
      <c r="D313" s="5">
        <f>IF(IF('Precinct Vote Data'!H1202&gt;0.5,"D","R")=$E$5,1,0)</f>
        <v>0</v>
      </c>
      <c r="E313" s="5">
        <f>IF(IF('Precinct Vote Data'!H1203&gt;0.5,"D","R")=$E$6,1,0)</f>
        <v>0</v>
      </c>
      <c r="F313" s="5">
        <f>IF(IF('Precinct Vote Data'!H1204&gt;0.5,"D","R")=$E$7,1,0)</f>
        <v>1</v>
      </c>
      <c r="G313" s="5">
        <f>IF(IF('Precinct Vote Data'!H1205&gt;0.5,"D","R")=$E$8,1,0)</f>
        <v>1</v>
      </c>
      <c r="H313" s="5">
        <f t="shared" si="3"/>
        <v>2</v>
      </c>
      <c r="I313" s="13">
        <f>AVERAGE(ABS('Precinct Vote Data'!H1202-$D$5),ABS('Precinct Vote Data'!H1203-$D$6),ABS('Precinct Vote Data'!H1204-$D$7),ABS('Precinct Vote Data'!H1205-$D$8))</f>
        <v>0.03141166416</v>
      </c>
      <c r="J313" s="14" t="str">
        <f>IF(AND(H313=4,I313=MIN(K13:K420)),"&lt;&lt; MAGIC PRECINCT","")</f>
        <v/>
      </c>
      <c r="K313" s="5" t="str">
        <f t="shared" si="4"/>
        <v/>
      </c>
    </row>
    <row r="314" ht="15.0" customHeight="1">
      <c r="A314" s="5" t="s">
        <v>327</v>
      </c>
      <c r="B314" s="5" t="s">
        <v>157</v>
      </c>
      <c r="C314" s="5" t="s">
        <v>127</v>
      </c>
      <c r="D314" s="5">
        <f>IF(IF('Precinct Vote Data'!H1206&gt;0.5,"D","R")=$E$5,1,0)</f>
        <v>1</v>
      </c>
      <c r="E314" s="5">
        <f>IF(IF('Precinct Vote Data'!H1207&gt;0.5,"D","R")=$E$6,1,0)</f>
        <v>1</v>
      </c>
      <c r="F314" s="5">
        <f>IF(IF('Precinct Vote Data'!H1208&gt;0.5,"D","R")=$E$7,1,0)</f>
        <v>1</v>
      </c>
      <c r="G314" s="5">
        <f>IF(IF('Precinct Vote Data'!H1209&gt;0.5,"D","R")=$E$8,1,0)</f>
        <v>1</v>
      </c>
      <c r="H314" s="5">
        <f t="shared" si="3"/>
        <v>4</v>
      </c>
      <c r="I314" s="13">
        <f>AVERAGE(ABS('Precinct Vote Data'!H1206-$D$5),ABS('Precinct Vote Data'!H1207-$D$6),ABS('Precinct Vote Data'!H1208-$D$7),ABS('Precinct Vote Data'!H1209-$D$8))</f>
        <v>0.02038775344</v>
      </c>
      <c r="J314" s="14" t="str">
        <f>IF(AND(H314=4,I314=MIN(K13:K420)),"&lt;&lt; MAGIC PRECINCT","")</f>
        <v/>
      </c>
      <c r="K314" s="13">
        <f t="shared" si="4"/>
        <v>0.02038775344</v>
      </c>
    </row>
    <row r="315" ht="15.0" customHeight="1">
      <c r="A315" s="5" t="s">
        <v>327</v>
      </c>
      <c r="B315" s="5" t="s">
        <v>157</v>
      </c>
      <c r="C315" s="5" t="s">
        <v>342</v>
      </c>
      <c r="D315" s="5">
        <f>IF(IF('Precinct Vote Data'!H1210&gt;0.5,"D","R")=$E$5,1,0)</f>
        <v>1</v>
      </c>
      <c r="E315" s="5">
        <f>IF(IF('Precinct Vote Data'!H1211&gt;0.5,"D","R")=$E$6,1,0)</f>
        <v>1</v>
      </c>
      <c r="F315" s="5">
        <f>IF(IF('Precinct Vote Data'!H1212&gt;0.5,"D","R")=$E$7,1,0)</f>
        <v>1</v>
      </c>
      <c r="G315" s="5">
        <f>IF(IF('Precinct Vote Data'!H1213&gt;0.5,"D","R")=$E$8,1,0)</f>
        <v>1</v>
      </c>
      <c r="H315" s="5">
        <f t="shared" si="3"/>
        <v>4</v>
      </c>
      <c r="I315" s="13">
        <f>AVERAGE(ABS('Precinct Vote Data'!H1210-$D$5),ABS('Precinct Vote Data'!H1211-$D$6),ABS('Precinct Vote Data'!H1212-$D$7),ABS('Precinct Vote Data'!H1213-$D$8))</f>
        <v>0.01495322676</v>
      </c>
      <c r="J315" s="14" t="str">
        <f>IF(AND(H315=4,I315=MIN(K13:K420)),"&lt;&lt; MAGIC PRECINCT","")</f>
        <v/>
      </c>
      <c r="K315" s="13">
        <f t="shared" si="4"/>
        <v>0.01495322676</v>
      </c>
    </row>
    <row r="316" ht="15.0" customHeight="1">
      <c r="A316" s="5" t="s">
        <v>327</v>
      </c>
      <c r="B316" s="5" t="s">
        <v>343</v>
      </c>
      <c r="C316" s="5" t="s">
        <v>130</v>
      </c>
      <c r="D316" s="5">
        <f>IF(IF('Precinct Vote Data'!H1214&gt;0.5,"D","R")=$E$5,1,0)</f>
        <v>0</v>
      </c>
      <c r="E316" s="5">
        <f>IF(IF('Precinct Vote Data'!H1215&gt;0.5,"D","R")=$E$6,1,0)</f>
        <v>0</v>
      </c>
      <c r="F316" s="5">
        <f>IF(IF('Precinct Vote Data'!H1216&gt;0.5,"D","R")=$E$7,1,0)</f>
        <v>0</v>
      </c>
      <c r="G316" s="5">
        <f>IF(IF('Precinct Vote Data'!H1217&gt;0.5,"D","R")=$E$8,1,0)</f>
        <v>0</v>
      </c>
      <c r="H316" s="5">
        <f t="shared" si="3"/>
        <v>0</v>
      </c>
      <c r="I316" s="13">
        <f>AVERAGE(ABS('Precinct Vote Data'!H1214-$D$5),ABS('Precinct Vote Data'!H1215-$D$6),ABS('Precinct Vote Data'!H1216-$D$7),ABS('Precinct Vote Data'!H1217-$D$8))</f>
        <v>0.1325358352</v>
      </c>
      <c r="J316" s="14" t="str">
        <f>IF(AND(H316=4,I316=MIN(K13:K420)),"&lt;&lt; MAGIC PRECINCT","")</f>
        <v/>
      </c>
      <c r="K316" s="5" t="str">
        <f t="shared" si="4"/>
        <v/>
      </c>
    </row>
    <row r="317" ht="15.0" customHeight="1">
      <c r="A317" s="5" t="s">
        <v>327</v>
      </c>
      <c r="B317" s="5" t="s">
        <v>343</v>
      </c>
      <c r="C317" s="5" t="s">
        <v>131</v>
      </c>
      <c r="D317" s="5">
        <f>IF(IF('Precinct Vote Data'!H1218&gt;0.5,"D","R")=$E$5,1,0)</f>
        <v>0</v>
      </c>
      <c r="E317" s="5">
        <f>IF(IF('Precinct Vote Data'!H1219&gt;0.5,"D","R")=$E$6,1,0)</f>
        <v>0</v>
      </c>
      <c r="F317" s="5">
        <f>IF(IF('Precinct Vote Data'!H1220&gt;0.5,"D","R")=$E$7,1,0)</f>
        <v>0</v>
      </c>
      <c r="G317" s="5">
        <f>IF(IF('Precinct Vote Data'!H1221&gt;0.5,"D","R")=$E$8,1,0)</f>
        <v>0</v>
      </c>
      <c r="H317" s="5">
        <f t="shared" si="3"/>
        <v>0</v>
      </c>
      <c r="I317" s="13">
        <f>AVERAGE(ABS('Precinct Vote Data'!H1218-$D$5),ABS('Precinct Vote Data'!H1219-$D$6),ABS('Precinct Vote Data'!H1220-$D$7),ABS('Precinct Vote Data'!H1221-$D$8))</f>
        <v>0.09771584526</v>
      </c>
      <c r="J317" s="14" t="str">
        <f>IF(AND(H317=4,I317=MIN(K13:K420)),"&lt;&lt; MAGIC PRECINCT","")</f>
        <v/>
      </c>
      <c r="K317" s="5" t="str">
        <f t="shared" si="4"/>
        <v/>
      </c>
    </row>
    <row r="318" ht="15.0" customHeight="1">
      <c r="A318" s="5" t="s">
        <v>327</v>
      </c>
      <c r="B318" s="5" t="s">
        <v>343</v>
      </c>
      <c r="C318" s="5" t="s">
        <v>132</v>
      </c>
      <c r="D318" s="5">
        <f>IF(IF('Precinct Vote Data'!H1222&gt;0.5,"D","R")=$E$5,1,0)</f>
        <v>0</v>
      </c>
      <c r="E318" s="5">
        <f>IF(IF('Precinct Vote Data'!H1223&gt;0.5,"D","R")=$E$6,1,0)</f>
        <v>0</v>
      </c>
      <c r="F318" s="5">
        <f>IF(IF('Precinct Vote Data'!H1224&gt;0.5,"D","R")=$E$7,1,0)</f>
        <v>0</v>
      </c>
      <c r="G318" s="5">
        <f>IF(IF('Precinct Vote Data'!H1225&gt;0.5,"D","R")=$E$8,1,0)</f>
        <v>0</v>
      </c>
      <c r="H318" s="5">
        <f t="shared" si="3"/>
        <v>0</v>
      </c>
      <c r="I318" s="13">
        <f>AVERAGE(ABS('Precinct Vote Data'!H1222-$D$5),ABS('Precinct Vote Data'!H1223-$D$6),ABS('Precinct Vote Data'!H1224-$D$7),ABS('Precinct Vote Data'!H1225-$D$8))</f>
        <v>0.1860766779</v>
      </c>
      <c r="J318" s="14" t="str">
        <f>IF(AND(H318=4,I318=MIN(K13:K420)),"&lt;&lt; MAGIC PRECINCT","")</f>
        <v/>
      </c>
      <c r="K318" s="5" t="str">
        <f t="shared" si="4"/>
        <v/>
      </c>
    </row>
    <row r="319" ht="15.0" customHeight="1">
      <c r="A319" s="5" t="s">
        <v>327</v>
      </c>
      <c r="B319" s="5" t="s">
        <v>344</v>
      </c>
      <c r="C319" s="5" t="s">
        <v>133</v>
      </c>
      <c r="D319" s="5">
        <f>IF(IF('Precinct Vote Data'!H1226&gt;0.5,"D","R")=$E$5,1,0)</f>
        <v>0</v>
      </c>
      <c r="E319" s="5">
        <f>IF(IF('Precinct Vote Data'!H1227&gt;0.5,"D","R")=$E$6,1,0)</f>
        <v>0</v>
      </c>
      <c r="F319" s="5">
        <f>IF(IF('Precinct Vote Data'!H1228&gt;0.5,"D","R")=$E$7,1,0)</f>
        <v>0</v>
      </c>
      <c r="G319" s="5">
        <f>IF(IF('Precinct Vote Data'!H1229&gt;0.5,"D","R")=$E$8,1,0)</f>
        <v>0</v>
      </c>
      <c r="H319" s="5">
        <f t="shared" si="3"/>
        <v>0</v>
      </c>
      <c r="I319" s="13">
        <f>AVERAGE(ABS('Precinct Vote Data'!H1226-$D$5),ABS('Precinct Vote Data'!H1227-$D$6),ABS('Precinct Vote Data'!H1228-$D$7),ABS('Precinct Vote Data'!H1229-$D$8))</f>
        <v>0.148548174</v>
      </c>
      <c r="J319" s="14" t="str">
        <f>IF(AND(H319=4,I319=MIN(K13:K420)),"&lt;&lt; MAGIC PRECINCT","")</f>
        <v/>
      </c>
      <c r="K319" s="5" t="str">
        <f t="shared" si="4"/>
        <v/>
      </c>
    </row>
    <row r="320" ht="15.0" customHeight="1">
      <c r="A320" s="5" t="s">
        <v>327</v>
      </c>
      <c r="B320" s="5" t="s">
        <v>345</v>
      </c>
      <c r="C320" s="5" t="s">
        <v>135</v>
      </c>
      <c r="D320" s="5">
        <f>IF(IF('Precinct Vote Data'!H1230&gt;0.5,"D","R")=$E$5,1,0)</f>
        <v>0</v>
      </c>
      <c r="E320" s="5">
        <f>IF(IF('Precinct Vote Data'!H1231&gt;0.5,"D","R")=$E$6,1,0)</f>
        <v>0</v>
      </c>
      <c r="F320" s="5">
        <f>IF(IF('Precinct Vote Data'!H1232&gt;0.5,"D","R")=$E$7,1,0)</f>
        <v>0</v>
      </c>
      <c r="G320" s="5">
        <f>IF(IF('Precinct Vote Data'!H1233&gt;0.5,"D","R")=$E$8,1,0)</f>
        <v>0</v>
      </c>
      <c r="H320" s="5">
        <f t="shared" si="3"/>
        <v>0</v>
      </c>
      <c r="I320" s="13">
        <f>AVERAGE(ABS('Precinct Vote Data'!H1230-$D$5),ABS('Precinct Vote Data'!H1231-$D$6),ABS('Precinct Vote Data'!H1232-$D$7),ABS('Precinct Vote Data'!H1233-$D$8))</f>
        <v>0.105637913</v>
      </c>
      <c r="J320" s="14" t="str">
        <f>IF(AND(H320=4,I320=MIN(K13:K420)),"&lt;&lt; MAGIC PRECINCT","")</f>
        <v/>
      </c>
      <c r="K320" s="5" t="str">
        <f t="shared" si="4"/>
        <v/>
      </c>
    </row>
    <row r="321" ht="15.0" customHeight="1">
      <c r="A321" s="5" t="s">
        <v>327</v>
      </c>
      <c r="B321" s="5" t="s">
        <v>345</v>
      </c>
      <c r="C321" s="5" t="s">
        <v>136</v>
      </c>
      <c r="D321" s="5">
        <f>IF(IF('Precinct Vote Data'!H1234&gt;0.5,"D","R")=$E$5,1,0)</f>
        <v>0</v>
      </c>
      <c r="E321" s="5">
        <f>IF(IF('Precinct Vote Data'!H1235&gt;0.5,"D","R")=$E$6,1,0)</f>
        <v>0</v>
      </c>
      <c r="F321" s="5">
        <f>IF(IF('Precinct Vote Data'!H1236&gt;0.5,"D","R")=$E$7,1,0)</f>
        <v>0</v>
      </c>
      <c r="G321" s="5">
        <f>IF(IF('Precinct Vote Data'!H1237&gt;0.5,"D","R")=$E$8,1,0)</f>
        <v>0</v>
      </c>
      <c r="H321" s="5">
        <f t="shared" si="3"/>
        <v>0</v>
      </c>
      <c r="I321" s="13">
        <f>AVERAGE(ABS('Precinct Vote Data'!H1234-$D$5),ABS('Precinct Vote Data'!H1235-$D$6),ABS('Precinct Vote Data'!H1236-$D$7),ABS('Precinct Vote Data'!H1237-$D$8))</f>
        <v>0.07860869533</v>
      </c>
      <c r="J321" s="14" t="str">
        <f>IF(AND(H321=4,I321=MIN(K13:K420)),"&lt;&lt; MAGIC PRECINCT","")</f>
        <v/>
      </c>
      <c r="K321" s="5" t="str">
        <f t="shared" si="4"/>
        <v/>
      </c>
    </row>
    <row r="322" ht="15.0" customHeight="1">
      <c r="A322" s="5" t="s">
        <v>327</v>
      </c>
      <c r="B322" s="5" t="s">
        <v>346</v>
      </c>
      <c r="C322" s="5" t="s">
        <v>139</v>
      </c>
      <c r="D322" s="5">
        <f>IF(IF('Precinct Vote Data'!H1238&gt;0.5,"D","R")=$E$5,1,0)</f>
        <v>0</v>
      </c>
      <c r="E322" s="5">
        <f>IF(IF('Precinct Vote Data'!H1239&gt;0.5,"D","R")=$E$6,1,0)</f>
        <v>0</v>
      </c>
      <c r="F322" s="5">
        <f>IF(IF('Precinct Vote Data'!H1240&gt;0.5,"D","R")=$E$7,1,0)</f>
        <v>0</v>
      </c>
      <c r="G322" s="5">
        <f>IF(IF('Precinct Vote Data'!H1241&gt;0.5,"D","R")=$E$8,1,0)</f>
        <v>0</v>
      </c>
      <c r="H322" s="5">
        <f t="shared" si="3"/>
        <v>0</v>
      </c>
      <c r="I322" s="13">
        <f>AVERAGE(ABS('Precinct Vote Data'!H1238-$D$5),ABS('Precinct Vote Data'!H1239-$D$6),ABS('Precinct Vote Data'!H1240-$D$7),ABS('Precinct Vote Data'!H1241-$D$8))</f>
        <v>0.1345825878</v>
      </c>
      <c r="J322" s="14" t="str">
        <f>IF(AND(H322=4,I322=MIN(K13:K420)),"&lt;&lt; MAGIC PRECINCT","")</f>
        <v/>
      </c>
      <c r="K322" s="5" t="str">
        <f t="shared" si="4"/>
        <v/>
      </c>
    </row>
    <row r="323" ht="15.0" customHeight="1">
      <c r="A323" s="5" t="s">
        <v>327</v>
      </c>
      <c r="B323" s="5" t="s">
        <v>347</v>
      </c>
      <c r="C323" s="5" t="s">
        <v>140</v>
      </c>
      <c r="D323" s="5">
        <f>IF(IF('Precinct Vote Data'!H1242&gt;0.5,"D","R")=$E$5,1,0)</f>
        <v>1</v>
      </c>
      <c r="E323" s="5">
        <f>IF(IF('Precinct Vote Data'!H1243&gt;0.5,"D","R")=$E$6,1,0)</f>
        <v>1</v>
      </c>
      <c r="F323" s="5">
        <f>IF(IF('Precinct Vote Data'!H1244&gt;0.5,"D","R")=$E$7,1,0)</f>
        <v>1</v>
      </c>
      <c r="G323" s="5">
        <f>IF(IF('Precinct Vote Data'!H1245&gt;0.5,"D","R")=$E$8,1,0)</f>
        <v>1</v>
      </c>
      <c r="H323" s="5">
        <f t="shared" si="3"/>
        <v>4</v>
      </c>
      <c r="I323" s="13">
        <f>AVERAGE(ABS('Precinct Vote Data'!H1242-$D$5),ABS('Precinct Vote Data'!H1243-$D$6),ABS('Precinct Vote Data'!H1244-$D$7),ABS('Precinct Vote Data'!H1245-$D$8))</f>
        <v>0.2325953437</v>
      </c>
      <c r="J323" s="14" t="str">
        <f>IF(AND(H323=4,I323=MIN(K13:K420)),"&lt;&lt; MAGIC PRECINCT","")</f>
        <v/>
      </c>
      <c r="K323" s="13">
        <f t="shared" si="4"/>
        <v>0.2325953437</v>
      </c>
    </row>
    <row r="324" ht="15.0" customHeight="1">
      <c r="A324" s="5" t="s">
        <v>327</v>
      </c>
      <c r="B324" s="5" t="s">
        <v>347</v>
      </c>
      <c r="C324" s="5" t="s">
        <v>142</v>
      </c>
      <c r="D324" s="5">
        <f>IF(IF('Precinct Vote Data'!H1246&gt;0.5,"D","R")=$E$5,1,0)</f>
        <v>1</v>
      </c>
      <c r="E324" s="5">
        <f>IF(IF('Precinct Vote Data'!H1247&gt;0.5,"D","R")=$E$6,1,0)</f>
        <v>1</v>
      </c>
      <c r="F324" s="5">
        <f>IF(IF('Precinct Vote Data'!H1248&gt;0.5,"D","R")=$E$7,1,0)</f>
        <v>1</v>
      </c>
      <c r="G324" s="5">
        <f>IF(IF('Precinct Vote Data'!H1249&gt;0.5,"D","R")=$E$8,1,0)</f>
        <v>1</v>
      </c>
      <c r="H324" s="5">
        <f t="shared" si="3"/>
        <v>4</v>
      </c>
      <c r="I324" s="13">
        <f>AVERAGE(ABS('Precinct Vote Data'!H1246-$D$5),ABS('Precinct Vote Data'!H1247-$D$6),ABS('Precinct Vote Data'!H1248-$D$7),ABS('Precinct Vote Data'!H1249-$D$8))</f>
        <v>0.2266363323</v>
      </c>
      <c r="J324" s="14" t="str">
        <f>IF(AND(H324=4,I324=MIN(K13:K420)),"&lt;&lt; MAGIC PRECINCT","")</f>
        <v/>
      </c>
      <c r="K324" s="13">
        <f t="shared" si="4"/>
        <v>0.2266363323</v>
      </c>
    </row>
    <row r="325" ht="15.0" customHeight="1">
      <c r="A325" s="5" t="s">
        <v>327</v>
      </c>
      <c r="B325" s="5" t="s">
        <v>347</v>
      </c>
      <c r="C325" s="5" t="s">
        <v>148</v>
      </c>
      <c r="D325" s="5">
        <f>IF(IF('Precinct Vote Data'!H1250&gt;0.5,"D","R")=$E$5,1,0)</f>
        <v>1</v>
      </c>
      <c r="E325" s="5">
        <f>IF(IF('Precinct Vote Data'!H1251&gt;0.5,"D","R")=$E$6,1,0)</f>
        <v>1</v>
      </c>
      <c r="F325" s="5">
        <f>IF(IF('Precinct Vote Data'!H1252&gt;0.5,"D","R")=$E$7,1,0)</f>
        <v>1</v>
      </c>
      <c r="G325" s="5">
        <f>IF(IF('Precinct Vote Data'!H1253&gt;0.5,"D","R")=$E$8,1,0)</f>
        <v>1</v>
      </c>
      <c r="H325" s="5">
        <f t="shared" si="3"/>
        <v>4</v>
      </c>
      <c r="I325" s="13">
        <f>AVERAGE(ABS('Precinct Vote Data'!H1250-$D$5),ABS('Precinct Vote Data'!H1251-$D$6),ABS('Precinct Vote Data'!H1252-$D$7),ABS('Precinct Vote Data'!H1253-$D$8))</f>
        <v>0.3182098921</v>
      </c>
      <c r="J325" s="14" t="str">
        <f>IF(AND(H325=4,I325=MIN(K13:K420)),"&lt;&lt; MAGIC PRECINCT","")</f>
        <v/>
      </c>
      <c r="K325" s="13">
        <f t="shared" si="4"/>
        <v>0.3182098921</v>
      </c>
    </row>
    <row r="326" ht="15.0" customHeight="1">
      <c r="A326" s="5" t="s">
        <v>327</v>
      </c>
      <c r="B326" s="5" t="s">
        <v>347</v>
      </c>
      <c r="C326" s="5" t="s">
        <v>149</v>
      </c>
      <c r="D326" s="5">
        <f>IF(IF('Precinct Vote Data'!H1254&gt;0.5,"D","R")=$E$5,1,0)</f>
        <v>1</v>
      </c>
      <c r="E326" s="5">
        <f>IF(IF('Precinct Vote Data'!H1255&gt;0.5,"D","R")=$E$6,1,0)</f>
        <v>1</v>
      </c>
      <c r="F326" s="5">
        <f>IF(IF('Precinct Vote Data'!H1256&gt;0.5,"D","R")=$E$7,1,0)</f>
        <v>1</v>
      </c>
      <c r="G326" s="5">
        <f>IF(IF('Precinct Vote Data'!H1257&gt;0.5,"D","R")=$E$8,1,0)</f>
        <v>1</v>
      </c>
      <c r="H326" s="5">
        <f t="shared" si="3"/>
        <v>4</v>
      </c>
      <c r="I326" s="13">
        <f>AVERAGE(ABS('Precinct Vote Data'!H1254-$D$5),ABS('Precinct Vote Data'!H1255-$D$6),ABS('Precinct Vote Data'!H1256-$D$7),ABS('Precinct Vote Data'!H1257-$D$8))</f>
        <v>0.207149772</v>
      </c>
      <c r="J326" s="14" t="str">
        <f>IF(AND(H326=4,I326=MIN(K13:K420)),"&lt;&lt; MAGIC PRECINCT","")</f>
        <v/>
      </c>
      <c r="K326" s="13">
        <f t="shared" si="4"/>
        <v>0.207149772</v>
      </c>
    </row>
    <row r="327" ht="15.0" customHeight="1">
      <c r="A327" s="5" t="s">
        <v>327</v>
      </c>
      <c r="B327" s="5" t="s">
        <v>347</v>
      </c>
      <c r="C327" s="5" t="s">
        <v>348</v>
      </c>
      <c r="D327" s="5">
        <f>IF(IF('Precinct Vote Data'!H1258&gt;0.5,"D","R")=$E$5,1,0)</f>
        <v>1</v>
      </c>
      <c r="E327" s="5">
        <f>IF(IF('Precinct Vote Data'!H1259&gt;0.5,"D","R")=$E$6,1,0)</f>
        <v>1</v>
      </c>
      <c r="F327" s="5">
        <f>IF(IF('Precinct Vote Data'!H1260&gt;0.5,"D","R")=$E$7,1,0)</f>
        <v>1</v>
      </c>
      <c r="G327" s="5">
        <f>IF(IF('Precinct Vote Data'!H1261&gt;0.5,"D","R")=$E$8,1,0)</f>
        <v>1</v>
      </c>
      <c r="H327" s="5">
        <f t="shared" si="3"/>
        <v>4</v>
      </c>
      <c r="I327" s="13">
        <f>AVERAGE(ABS('Precinct Vote Data'!H1258-$D$5),ABS('Precinct Vote Data'!H1259-$D$6),ABS('Precinct Vote Data'!H1260-$D$7),ABS('Precinct Vote Data'!H1261-$D$8))</f>
        <v>0.1757066633</v>
      </c>
      <c r="J327" s="14" t="str">
        <f>IF(AND(H327=4,I327=MIN(K13:K420)),"&lt;&lt; MAGIC PRECINCT","")</f>
        <v/>
      </c>
      <c r="K327" s="13">
        <f t="shared" si="4"/>
        <v>0.1757066633</v>
      </c>
    </row>
    <row r="328" ht="15.0" customHeight="1">
      <c r="A328" s="5" t="s">
        <v>327</v>
      </c>
      <c r="B328" s="5" t="s">
        <v>347</v>
      </c>
      <c r="C328" s="5" t="s">
        <v>150</v>
      </c>
      <c r="D328" s="5">
        <f>IF(IF('Precinct Vote Data'!H1262&gt;0.5,"D","R")=$E$5,1,0)</f>
        <v>1</v>
      </c>
      <c r="E328" s="5">
        <f>IF(IF('Precinct Vote Data'!H1263&gt;0.5,"D","R")=$E$6,1,0)</f>
        <v>1</v>
      </c>
      <c r="F328" s="5">
        <f>IF(IF('Precinct Vote Data'!H1264&gt;0.5,"D","R")=$E$7,1,0)</f>
        <v>1</v>
      </c>
      <c r="G328" s="5">
        <f>IF(IF('Precinct Vote Data'!H1265&gt;0.5,"D","R")=$E$8,1,0)</f>
        <v>1</v>
      </c>
      <c r="H328" s="5">
        <f t="shared" si="3"/>
        <v>4</v>
      </c>
      <c r="I328" s="13">
        <f>AVERAGE(ABS('Precinct Vote Data'!H1262-$D$5),ABS('Precinct Vote Data'!H1263-$D$6),ABS('Precinct Vote Data'!H1264-$D$7),ABS('Precinct Vote Data'!H1265-$D$8))</f>
        <v>0.241174423</v>
      </c>
      <c r="J328" s="14" t="str">
        <f>IF(AND(H328=4,I328=MIN(K13:K420)),"&lt;&lt; MAGIC PRECINCT","")</f>
        <v/>
      </c>
      <c r="K328" s="13">
        <f t="shared" si="4"/>
        <v>0.241174423</v>
      </c>
    </row>
    <row r="329" ht="15.0" customHeight="1">
      <c r="A329" s="5" t="s">
        <v>327</v>
      </c>
      <c r="B329" s="5" t="s">
        <v>347</v>
      </c>
      <c r="C329" s="5" t="s">
        <v>349</v>
      </c>
      <c r="D329" s="5">
        <f>IF(IF('Precinct Vote Data'!H1266&gt;0.5,"D","R")=$E$5,1,0)</f>
        <v>1</v>
      </c>
      <c r="E329" s="5">
        <f>IF(IF('Precinct Vote Data'!H1267&gt;0.5,"D","R")=$E$6,1,0)</f>
        <v>1</v>
      </c>
      <c r="F329" s="5">
        <f>IF(IF('Precinct Vote Data'!H1268&gt;0.5,"D","R")=$E$7,1,0)</f>
        <v>1</v>
      </c>
      <c r="G329" s="5">
        <f>IF(IF('Precinct Vote Data'!H1269&gt;0.5,"D","R")=$E$8,1,0)</f>
        <v>1</v>
      </c>
      <c r="H329" s="5">
        <f t="shared" si="3"/>
        <v>4</v>
      </c>
      <c r="I329" s="13">
        <f>AVERAGE(ABS('Precinct Vote Data'!H1266-$D$5),ABS('Precinct Vote Data'!H1267-$D$6),ABS('Precinct Vote Data'!H1268-$D$7),ABS('Precinct Vote Data'!H1269-$D$8))</f>
        <v>0.2352645016</v>
      </c>
      <c r="J329" s="14" t="str">
        <f>IF(AND(H329=4,I329=MIN(K13:K420)),"&lt;&lt; MAGIC PRECINCT","")</f>
        <v/>
      </c>
      <c r="K329" s="13">
        <f t="shared" si="4"/>
        <v>0.2352645016</v>
      </c>
    </row>
    <row r="330" ht="15.0" customHeight="1">
      <c r="A330" s="5" t="s">
        <v>327</v>
      </c>
      <c r="B330" s="5" t="s">
        <v>347</v>
      </c>
      <c r="C330" s="5" t="s">
        <v>151</v>
      </c>
      <c r="D330" s="5">
        <f>IF(IF('Precinct Vote Data'!H1270&gt;0.5,"D","R")=$E$5,1,0)</f>
        <v>1</v>
      </c>
      <c r="E330" s="5">
        <f>IF(IF('Precinct Vote Data'!H1271&gt;0.5,"D","R")=$E$6,1,0)</f>
        <v>1</v>
      </c>
      <c r="F330" s="5">
        <f>IF(IF('Precinct Vote Data'!H1272&gt;0.5,"D","R")=$E$7,1,0)</f>
        <v>1</v>
      </c>
      <c r="G330" s="5">
        <f>IF(IF('Precinct Vote Data'!H1273&gt;0.5,"D","R")=$E$8,1,0)</f>
        <v>1</v>
      </c>
      <c r="H330" s="5">
        <f t="shared" si="3"/>
        <v>4</v>
      </c>
      <c r="I330" s="13">
        <f>AVERAGE(ABS('Precinct Vote Data'!H1270-$D$5),ABS('Precinct Vote Data'!H1271-$D$6),ABS('Precinct Vote Data'!H1272-$D$7),ABS('Precinct Vote Data'!H1273-$D$8))</f>
        <v>0.2294220104</v>
      </c>
      <c r="J330" s="14" t="str">
        <f>IF(AND(H330=4,I330=MIN(K13:K420)),"&lt;&lt; MAGIC PRECINCT","")</f>
        <v/>
      </c>
      <c r="K330" s="13">
        <f t="shared" si="4"/>
        <v>0.2294220104</v>
      </c>
    </row>
    <row r="331" ht="15.0" customHeight="1">
      <c r="A331" s="5" t="s">
        <v>327</v>
      </c>
      <c r="B331" s="5" t="s">
        <v>347</v>
      </c>
      <c r="C331" s="5" t="s">
        <v>152</v>
      </c>
      <c r="D331" s="5">
        <f>IF(IF('Precinct Vote Data'!H1274&gt;0.5,"D","R")=$E$5,1,0)</f>
        <v>1</v>
      </c>
      <c r="E331" s="5">
        <f>IF(IF('Precinct Vote Data'!H1275&gt;0.5,"D","R")=$E$6,1,0)</f>
        <v>1</v>
      </c>
      <c r="F331" s="5">
        <f>IF(IF('Precinct Vote Data'!H1276&gt;0.5,"D","R")=$E$7,1,0)</f>
        <v>1</v>
      </c>
      <c r="G331" s="5">
        <f>IF(IF('Precinct Vote Data'!H1277&gt;0.5,"D","R")=$E$8,1,0)</f>
        <v>1</v>
      </c>
      <c r="H331" s="5">
        <f t="shared" si="3"/>
        <v>4</v>
      </c>
      <c r="I331" s="13">
        <f>AVERAGE(ABS('Precinct Vote Data'!H1274-$D$5),ABS('Precinct Vote Data'!H1275-$D$6),ABS('Precinct Vote Data'!H1276-$D$7),ABS('Precinct Vote Data'!H1277-$D$8))</f>
        <v>0.1495764334</v>
      </c>
      <c r="J331" s="14" t="str">
        <f>IF(AND(H331=4,I331=MIN(K13:K420)),"&lt;&lt; MAGIC PRECINCT","")</f>
        <v/>
      </c>
      <c r="K331" s="13">
        <f t="shared" si="4"/>
        <v>0.1495764334</v>
      </c>
    </row>
    <row r="332" ht="15.0" customHeight="1">
      <c r="A332" s="5" t="s">
        <v>327</v>
      </c>
      <c r="B332" s="5" t="s">
        <v>347</v>
      </c>
      <c r="C332" s="5" t="s">
        <v>153</v>
      </c>
      <c r="D332" s="5">
        <f>IF(IF('Precinct Vote Data'!H1278&gt;0.5,"D","R")=$E$5,1,0)</f>
        <v>1</v>
      </c>
      <c r="E332" s="5">
        <f>IF(IF('Precinct Vote Data'!H1279&gt;0.5,"D","R")=$E$6,1,0)</f>
        <v>1</v>
      </c>
      <c r="F332" s="5">
        <f>IF(IF('Precinct Vote Data'!H1280&gt;0.5,"D","R")=$E$7,1,0)</f>
        <v>1</v>
      </c>
      <c r="G332" s="5">
        <f>IF(IF('Precinct Vote Data'!H1281&gt;0.5,"D","R")=$E$8,1,0)</f>
        <v>1</v>
      </c>
      <c r="H332" s="5">
        <f t="shared" si="3"/>
        <v>4</v>
      </c>
      <c r="I332" s="13">
        <f>AVERAGE(ABS('Precinct Vote Data'!H1278-$D$5),ABS('Precinct Vote Data'!H1279-$D$6),ABS('Precinct Vote Data'!H1280-$D$7),ABS('Precinct Vote Data'!H1281-$D$8))</f>
        <v>0.1265849563</v>
      </c>
      <c r="J332" s="14" t="str">
        <f>IF(AND(H332=4,I332=MIN(K13:K420)),"&lt;&lt; MAGIC PRECINCT","")</f>
        <v/>
      </c>
      <c r="K332" s="13">
        <f t="shared" si="4"/>
        <v>0.1265849563</v>
      </c>
    </row>
    <row r="333" ht="15.0" customHeight="1">
      <c r="A333" s="5" t="s">
        <v>327</v>
      </c>
      <c r="B333" s="5" t="s">
        <v>347</v>
      </c>
      <c r="C333" s="5" t="s">
        <v>154</v>
      </c>
      <c r="D333" s="5">
        <f>IF(IF('Precinct Vote Data'!H1282&gt;0.5,"D","R")=$E$5,1,0)</f>
        <v>1</v>
      </c>
      <c r="E333" s="5">
        <f>IF(IF('Precinct Vote Data'!H1283&gt;0.5,"D","R")=$E$6,1,0)</f>
        <v>1</v>
      </c>
      <c r="F333" s="5">
        <f>IF(IF('Precinct Vote Data'!H1284&gt;0.5,"D","R")=$E$7,1,0)</f>
        <v>1</v>
      </c>
      <c r="G333" s="5">
        <f>IF(IF('Precinct Vote Data'!H1285&gt;0.5,"D","R")=$E$8,1,0)</f>
        <v>1</v>
      </c>
      <c r="H333" s="5">
        <f t="shared" si="3"/>
        <v>4</v>
      </c>
      <c r="I333" s="13">
        <f>AVERAGE(ABS('Precinct Vote Data'!H1282-$D$5),ABS('Precinct Vote Data'!H1283-$D$6),ABS('Precinct Vote Data'!H1284-$D$7),ABS('Precinct Vote Data'!H1285-$D$8))</f>
        <v>0.1997411699</v>
      </c>
      <c r="J333" s="14" t="str">
        <f>IF(AND(H333=4,I333=MIN(K13:K420)),"&lt;&lt; MAGIC PRECINCT","")</f>
        <v/>
      </c>
      <c r="K333" s="13">
        <f t="shared" si="4"/>
        <v>0.1997411699</v>
      </c>
    </row>
    <row r="334" ht="15.0" customHeight="1">
      <c r="A334" s="5" t="s">
        <v>327</v>
      </c>
      <c r="B334" s="5" t="s">
        <v>347</v>
      </c>
      <c r="C334" s="5" t="s">
        <v>155</v>
      </c>
      <c r="D334" s="5">
        <f>IF(IF('Precinct Vote Data'!H1286&gt;0.5,"D","R")=$E$5,1,0)</f>
        <v>1</v>
      </c>
      <c r="E334" s="5">
        <f>IF(IF('Precinct Vote Data'!H1287&gt;0.5,"D","R")=$E$6,1,0)</f>
        <v>1</v>
      </c>
      <c r="F334" s="5">
        <f>IF(IF('Precinct Vote Data'!H1288&gt;0.5,"D","R")=$E$7,1,0)</f>
        <v>1</v>
      </c>
      <c r="G334" s="5">
        <f>IF(IF('Precinct Vote Data'!H1289&gt;0.5,"D","R")=$E$8,1,0)</f>
        <v>1</v>
      </c>
      <c r="H334" s="5">
        <f t="shared" si="3"/>
        <v>4</v>
      </c>
      <c r="I334" s="13">
        <f>AVERAGE(ABS('Precinct Vote Data'!H1286-$D$5),ABS('Precinct Vote Data'!H1287-$D$6),ABS('Precinct Vote Data'!H1288-$D$7),ABS('Precinct Vote Data'!H1289-$D$8))</f>
        <v>0.1703282654</v>
      </c>
      <c r="J334" s="14" t="str">
        <f>IF(AND(H334=4,I334=MIN(K13:K420)),"&lt;&lt; MAGIC PRECINCT","")</f>
        <v/>
      </c>
      <c r="K334" s="13">
        <f t="shared" si="4"/>
        <v>0.1703282654</v>
      </c>
    </row>
    <row r="335" ht="15.0" customHeight="1">
      <c r="A335" s="5" t="s">
        <v>327</v>
      </c>
      <c r="B335" s="5" t="s">
        <v>347</v>
      </c>
      <c r="C335" s="5" t="s">
        <v>156</v>
      </c>
      <c r="D335" s="5">
        <f>IF(IF('Precinct Vote Data'!H1290&gt;0.5,"D","R")=$E$5,1,0)</f>
        <v>1</v>
      </c>
      <c r="E335" s="5">
        <f>IF(IF('Precinct Vote Data'!H1291&gt;0.5,"D","R")=$E$6,1,0)</f>
        <v>1</v>
      </c>
      <c r="F335" s="5">
        <f>IF(IF('Precinct Vote Data'!H1292&gt;0.5,"D","R")=$E$7,1,0)</f>
        <v>1</v>
      </c>
      <c r="G335" s="5">
        <f>IF(IF('Precinct Vote Data'!H1293&gt;0.5,"D","R")=$E$8,1,0)</f>
        <v>1</v>
      </c>
      <c r="H335" s="5">
        <f t="shared" si="3"/>
        <v>4</v>
      </c>
      <c r="I335" s="13">
        <f>AVERAGE(ABS('Precinct Vote Data'!H1290-$D$5),ABS('Precinct Vote Data'!H1291-$D$6),ABS('Precinct Vote Data'!H1292-$D$7),ABS('Precinct Vote Data'!H1293-$D$8))</f>
        <v>0.1697943765</v>
      </c>
      <c r="J335" s="14" t="str">
        <f>IF(AND(H335=4,I335=MIN(K13:K420)),"&lt;&lt; MAGIC PRECINCT","")</f>
        <v/>
      </c>
      <c r="K335" s="13">
        <f t="shared" si="4"/>
        <v>0.1697943765</v>
      </c>
    </row>
    <row r="336" ht="15.0" customHeight="1">
      <c r="A336" s="5" t="s">
        <v>327</v>
      </c>
      <c r="B336" s="5" t="s">
        <v>347</v>
      </c>
      <c r="C336" s="5" t="s">
        <v>158</v>
      </c>
      <c r="D336" s="5">
        <f>IF(IF('Precinct Vote Data'!H1294&gt;0.5,"D","R")=$E$5,1,0)</f>
        <v>1</v>
      </c>
      <c r="E336" s="5">
        <f>IF(IF('Precinct Vote Data'!H1295&gt;0.5,"D","R")=$E$6,1,0)</f>
        <v>1</v>
      </c>
      <c r="F336" s="5">
        <f>IF(IF('Precinct Vote Data'!H1296&gt;0.5,"D","R")=$E$7,1,0)</f>
        <v>1</v>
      </c>
      <c r="G336" s="5">
        <f>IF(IF('Precinct Vote Data'!H1297&gt;0.5,"D","R")=$E$8,1,0)</f>
        <v>1</v>
      </c>
      <c r="H336" s="5">
        <f t="shared" si="3"/>
        <v>4</v>
      </c>
      <c r="I336" s="13">
        <f>AVERAGE(ABS('Precinct Vote Data'!H1294-$D$5),ABS('Precinct Vote Data'!H1295-$D$6),ABS('Precinct Vote Data'!H1296-$D$7),ABS('Precinct Vote Data'!H1297-$D$8))</f>
        <v>0.1986348558</v>
      </c>
      <c r="J336" s="14" t="str">
        <f>IF(AND(H336=4,I336=MIN(K13:K420)),"&lt;&lt; MAGIC PRECINCT","")</f>
        <v/>
      </c>
      <c r="K336" s="13">
        <f t="shared" si="4"/>
        <v>0.1986348558</v>
      </c>
    </row>
    <row r="337" ht="15.0" customHeight="1">
      <c r="A337" s="5" t="s">
        <v>327</v>
      </c>
      <c r="B337" s="5" t="s">
        <v>347</v>
      </c>
      <c r="C337" s="5" t="s">
        <v>159</v>
      </c>
      <c r="D337" s="5">
        <f>IF(IF('Precinct Vote Data'!H1298&gt;0.5,"D","R")=$E$5,1,0)</f>
        <v>1</v>
      </c>
      <c r="E337" s="5">
        <f>IF(IF('Precinct Vote Data'!H1299&gt;0.5,"D","R")=$E$6,1,0)</f>
        <v>1</v>
      </c>
      <c r="F337" s="5">
        <f>IF(IF('Precinct Vote Data'!H1300&gt;0.5,"D","R")=$E$7,1,0)</f>
        <v>1</v>
      </c>
      <c r="G337" s="5">
        <f>IF(IF('Precinct Vote Data'!H1301&gt;0.5,"D","R")=$E$8,1,0)</f>
        <v>1</v>
      </c>
      <c r="H337" s="5">
        <f t="shared" si="3"/>
        <v>4</v>
      </c>
      <c r="I337" s="13">
        <f>AVERAGE(ABS('Precinct Vote Data'!H1298-$D$5),ABS('Precinct Vote Data'!H1299-$D$6),ABS('Precinct Vote Data'!H1300-$D$7),ABS('Precinct Vote Data'!H1301-$D$8))</f>
        <v>0.201480322</v>
      </c>
      <c r="J337" s="14" t="str">
        <f>IF(AND(H337=4,I337=MIN(K13:K420)),"&lt;&lt; MAGIC PRECINCT","")</f>
        <v/>
      </c>
      <c r="K337" s="13">
        <f t="shared" si="4"/>
        <v>0.201480322</v>
      </c>
    </row>
    <row r="338" ht="15.0" customHeight="1">
      <c r="A338" s="5" t="s">
        <v>327</v>
      </c>
      <c r="B338" s="5" t="s">
        <v>350</v>
      </c>
      <c r="C338" s="5" t="s">
        <v>351</v>
      </c>
      <c r="D338" s="5">
        <f>IF(IF('Precinct Vote Data'!H1302&gt;0.5,"D","R")=$E$5,1,0)</f>
        <v>1</v>
      </c>
      <c r="E338" s="5">
        <f>IF(IF('Precinct Vote Data'!H1303&gt;0.5,"D","R")=$E$6,1,0)</f>
        <v>0</v>
      </c>
      <c r="F338" s="5">
        <f>IF(IF('Precinct Vote Data'!H1304&gt;0.5,"D","R")=$E$7,1,0)</f>
        <v>1</v>
      </c>
      <c r="G338" s="5">
        <f>IF(IF('Precinct Vote Data'!H1305&gt;0.5,"D","R")=$E$8,1,0)</f>
        <v>0</v>
      </c>
      <c r="H338" s="5">
        <f t="shared" si="3"/>
        <v>2</v>
      </c>
      <c r="I338" s="13">
        <f>AVERAGE(ABS('Precinct Vote Data'!H1302-$D$5),ABS('Precinct Vote Data'!H1303-$D$6),ABS('Precinct Vote Data'!H1304-$D$7),ABS('Precinct Vote Data'!H1305-$D$8))</f>
        <v>0.01899656938</v>
      </c>
      <c r="J338" s="14" t="str">
        <f>IF(AND(H338=4,I338=MIN(K13:K420)),"&lt;&lt; MAGIC PRECINCT","")</f>
        <v/>
      </c>
      <c r="K338" s="5" t="str">
        <f t="shared" si="4"/>
        <v/>
      </c>
    </row>
    <row r="339" ht="15.0" customHeight="1">
      <c r="A339" s="5" t="s">
        <v>327</v>
      </c>
      <c r="B339" s="5" t="s">
        <v>350</v>
      </c>
      <c r="C339" s="5" t="s">
        <v>352</v>
      </c>
      <c r="D339" s="5">
        <f>IF(IF('Precinct Vote Data'!H1306&gt;0.5,"D","R")=$E$5,1,0)</f>
        <v>1</v>
      </c>
      <c r="E339" s="5">
        <f>IF(IF('Precinct Vote Data'!H1307&gt;0.5,"D","R")=$E$6,1,0)</f>
        <v>1</v>
      </c>
      <c r="F339" s="5">
        <f>IF(IF('Precinct Vote Data'!H1308&gt;0.5,"D","R")=$E$7,1,0)</f>
        <v>1</v>
      </c>
      <c r="G339" s="5">
        <f>IF(IF('Precinct Vote Data'!H1309&gt;0.5,"D","R")=$E$8,1,0)</f>
        <v>1</v>
      </c>
      <c r="H339" s="5">
        <f t="shared" si="3"/>
        <v>4</v>
      </c>
      <c r="I339" s="13">
        <f>AVERAGE(ABS('Precinct Vote Data'!H1306-$D$5),ABS('Precinct Vote Data'!H1307-$D$6),ABS('Precinct Vote Data'!H1308-$D$7),ABS('Precinct Vote Data'!H1309-$D$8))</f>
        <v>0.01547128794</v>
      </c>
      <c r="J339" s="14" t="str">
        <f>IF(AND(H339=4,I339=MIN(K13:K420)),"&lt;&lt; MAGIC PRECINCT","")</f>
        <v/>
      </c>
      <c r="K339" s="13">
        <f t="shared" si="4"/>
        <v>0.01547128794</v>
      </c>
    </row>
    <row r="340" ht="15.0" customHeight="1">
      <c r="A340" s="5" t="s">
        <v>327</v>
      </c>
      <c r="B340" s="5" t="s">
        <v>350</v>
      </c>
      <c r="C340" s="5" t="s">
        <v>353</v>
      </c>
      <c r="D340" s="5">
        <f>IF(IF('Precinct Vote Data'!H1310&gt;0.5,"D","R")=$E$5,1,0)</f>
        <v>1</v>
      </c>
      <c r="E340" s="5">
        <f>IF(IF('Precinct Vote Data'!H1311&gt;0.5,"D","R")=$E$6,1,0)</f>
        <v>1</v>
      </c>
      <c r="F340" s="5">
        <f>IF(IF('Precinct Vote Data'!H1312&gt;0.5,"D","R")=$E$7,1,0)</f>
        <v>1</v>
      </c>
      <c r="G340" s="5">
        <f>IF(IF('Precinct Vote Data'!H1313&gt;0.5,"D","R")=$E$8,1,0)</f>
        <v>1</v>
      </c>
      <c r="H340" s="5">
        <f t="shared" si="3"/>
        <v>4</v>
      </c>
      <c r="I340" s="13">
        <f>AVERAGE(ABS('Precinct Vote Data'!H1310-$D$5),ABS('Precinct Vote Data'!H1311-$D$6),ABS('Precinct Vote Data'!H1312-$D$7),ABS('Precinct Vote Data'!H1313-$D$8))</f>
        <v>0.02572737668</v>
      </c>
      <c r="J340" s="14" t="str">
        <f>IF(AND(H340=4,I340=MIN(K13:K420)),"&lt;&lt; MAGIC PRECINCT","")</f>
        <v/>
      </c>
      <c r="K340" s="13">
        <f t="shared" si="4"/>
        <v>0.02572737668</v>
      </c>
    </row>
    <row r="341" ht="15.0" customHeight="1">
      <c r="A341" s="5" t="s">
        <v>327</v>
      </c>
      <c r="B341" s="5" t="s">
        <v>350</v>
      </c>
      <c r="C341" s="5" t="s">
        <v>354</v>
      </c>
      <c r="D341" s="5">
        <f>IF(IF('Precinct Vote Data'!H1314&gt;0.5,"D","R")=$E$5,1,0)</f>
        <v>1</v>
      </c>
      <c r="E341" s="5">
        <f>IF(IF('Precinct Vote Data'!H1315&gt;0.5,"D","R")=$E$6,1,0)</f>
        <v>1</v>
      </c>
      <c r="F341" s="5">
        <f>IF(IF('Precinct Vote Data'!H1316&gt;0.5,"D","R")=$E$7,1,0)</f>
        <v>1</v>
      </c>
      <c r="G341" s="5">
        <f>IF(IF('Precinct Vote Data'!H1317&gt;0.5,"D","R")=$E$8,1,0)</f>
        <v>1</v>
      </c>
      <c r="H341" s="5">
        <f t="shared" si="3"/>
        <v>4</v>
      </c>
      <c r="I341" s="13">
        <f>AVERAGE(ABS('Precinct Vote Data'!H1314-$D$5),ABS('Precinct Vote Data'!H1315-$D$6),ABS('Precinct Vote Data'!H1316-$D$7),ABS('Precinct Vote Data'!H1317-$D$8))</f>
        <v>0.01117159428</v>
      </c>
      <c r="J341" s="14" t="str">
        <f>IF(AND(H341=4,I341=MIN(K13:K420)),"&lt;&lt; MAGIC PRECINCT","")</f>
        <v/>
      </c>
      <c r="K341" s="13">
        <f t="shared" si="4"/>
        <v>0.01117159428</v>
      </c>
    </row>
    <row r="342" ht="15.0" customHeight="1">
      <c r="A342" s="5" t="s">
        <v>327</v>
      </c>
      <c r="B342" s="5" t="s">
        <v>355</v>
      </c>
      <c r="C342" s="5" t="s">
        <v>162</v>
      </c>
      <c r="D342" s="5">
        <f>IF(IF('Precinct Vote Data'!H1318&gt;0.5,"D","R")=$E$5,1,0)</f>
        <v>1</v>
      </c>
      <c r="E342" s="5">
        <f>IF(IF('Precinct Vote Data'!H1319&gt;0.5,"D","R")=$E$6,1,0)</f>
        <v>1</v>
      </c>
      <c r="F342" s="5">
        <f>IF(IF('Precinct Vote Data'!H1320&gt;0.5,"D","R")=$E$7,1,0)</f>
        <v>1</v>
      </c>
      <c r="G342" s="5">
        <f>IF(IF('Precinct Vote Data'!H1321&gt;0.5,"D","R")=$E$8,1,0)</f>
        <v>1</v>
      </c>
      <c r="H342" s="5">
        <f t="shared" si="3"/>
        <v>4</v>
      </c>
      <c r="I342" s="13">
        <f>AVERAGE(ABS('Precinct Vote Data'!H1318-$D$5),ABS('Precinct Vote Data'!H1319-$D$6),ABS('Precinct Vote Data'!H1320-$D$7),ABS('Precinct Vote Data'!H1321-$D$8))</f>
        <v>0.1029361885</v>
      </c>
      <c r="J342" s="14" t="str">
        <f>IF(AND(H342=4,I342=MIN(K13:K420)),"&lt;&lt; MAGIC PRECINCT","")</f>
        <v/>
      </c>
      <c r="K342" s="13">
        <f t="shared" si="4"/>
        <v>0.1029361885</v>
      </c>
    </row>
    <row r="343" ht="15.0" customHeight="1">
      <c r="A343" s="5" t="s">
        <v>327</v>
      </c>
      <c r="B343" s="5" t="s">
        <v>356</v>
      </c>
      <c r="C343" s="5" t="s">
        <v>163</v>
      </c>
      <c r="D343" s="5">
        <f>IF(IF('Precinct Vote Data'!H1322&gt;0.5,"D","R")=$E$5,1,0)</f>
        <v>1</v>
      </c>
      <c r="E343" s="5">
        <f>IF(IF('Precinct Vote Data'!H1323&gt;0.5,"D","R")=$E$6,1,0)</f>
        <v>1</v>
      </c>
      <c r="F343" s="5">
        <f>IF(IF('Precinct Vote Data'!H1324&gt;0.5,"D","R")=$E$7,1,0)</f>
        <v>1</v>
      </c>
      <c r="G343" s="5">
        <f>IF(IF('Precinct Vote Data'!H1325&gt;0.5,"D","R")=$E$8,1,0)</f>
        <v>1</v>
      </c>
      <c r="H343" s="5">
        <f t="shared" si="3"/>
        <v>4</v>
      </c>
      <c r="I343" s="13">
        <f>AVERAGE(ABS('Precinct Vote Data'!H1322-$D$5),ABS('Precinct Vote Data'!H1323-$D$6),ABS('Precinct Vote Data'!H1324-$D$7),ABS('Precinct Vote Data'!H1325-$D$8))</f>
        <v>0.03624598242</v>
      </c>
      <c r="J343" s="14" t="str">
        <f>IF(AND(H343=4,I343=MIN(K13:K420)),"&lt;&lt; MAGIC PRECINCT","")</f>
        <v/>
      </c>
      <c r="K343" s="13">
        <f t="shared" si="4"/>
        <v>0.03624598242</v>
      </c>
    </row>
    <row r="344" ht="15.0" customHeight="1">
      <c r="A344" s="5" t="s">
        <v>327</v>
      </c>
      <c r="B344" s="5" t="s">
        <v>190</v>
      </c>
      <c r="C344" s="5" t="s">
        <v>164</v>
      </c>
      <c r="D344" s="5">
        <f>IF(IF('Precinct Vote Data'!H1326&gt;0.5,"D","R")=$E$5,1,0)</f>
        <v>1</v>
      </c>
      <c r="E344" s="5">
        <f>IF(IF('Precinct Vote Data'!H1327&gt;0.5,"D","R")=$E$6,1,0)</f>
        <v>1</v>
      </c>
      <c r="F344" s="5">
        <f>IF(IF('Precinct Vote Data'!H1328&gt;0.5,"D","R")=$E$7,1,0)</f>
        <v>1</v>
      </c>
      <c r="G344" s="5">
        <f>IF(IF('Precinct Vote Data'!H1329&gt;0.5,"D","R")=$E$8,1,0)</f>
        <v>1</v>
      </c>
      <c r="H344" s="5">
        <f t="shared" si="3"/>
        <v>4</v>
      </c>
      <c r="I344" s="13">
        <f>AVERAGE(ABS('Precinct Vote Data'!H1326-$D$5),ABS('Precinct Vote Data'!H1327-$D$6),ABS('Precinct Vote Data'!H1328-$D$7),ABS('Precinct Vote Data'!H1329-$D$8))</f>
        <v>0.05529039121</v>
      </c>
      <c r="J344" s="14" t="str">
        <f>IF(AND(H344=4,I344=MIN(K13:K420)),"&lt;&lt; MAGIC PRECINCT","")</f>
        <v/>
      </c>
      <c r="K344" s="13">
        <f t="shared" si="4"/>
        <v>0.05529039121</v>
      </c>
    </row>
    <row r="345" ht="15.0" customHeight="1">
      <c r="A345" s="5" t="s">
        <v>327</v>
      </c>
      <c r="B345" s="5" t="s">
        <v>190</v>
      </c>
      <c r="C345" s="5" t="s">
        <v>165</v>
      </c>
      <c r="D345" s="5">
        <f>IF(IF('Precinct Vote Data'!H1330&gt;0.5,"D","R")=$E$5,1,0)</f>
        <v>1</v>
      </c>
      <c r="E345" s="5">
        <f>IF(IF('Precinct Vote Data'!H1331&gt;0.5,"D","R")=$E$6,1,0)</f>
        <v>1</v>
      </c>
      <c r="F345" s="5">
        <f>IF(IF('Precinct Vote Data'!H1332&gt;0.5,"D","R")=$E$7,1,0)</f>
        <v>1</v>
      </c>
      <c r="G345" s="5">
        <f>IF(IF('Precinct Vote Data'!H1333&gt;0.5,"D","R")=$E$8,1,0)</f>
        <v>1</v>
      </c>
      <c r="H345" s="5">
        <f t="shared" si="3"/>
        <v>4</v>
      </c>
      <c r="I345" s="13">
        <f>AVERAGE(ABS('Precinct Vote Data'!H1330-$D$5),ABS('Precinct Vote Data'!H1331-$D$6),ABS('Precinct Vote Data'!H1332-$D$7),ABS('Precinct Vote Data'!H1333-$D$8))</f>
        <v>0.02970566649</v>
      </c>
      <c r="J345" s="14" t="str">
        <f>IF(AND(H345=4,I345=MIN(K13:K420)),"&lt;&lt; MAGIC PRECINCT","")</f>
        <v/>
      </c>
      <c r="K345" s="13">
        <f t="shared" si="4"/>
        <v>0.02970566649</v>
      </c>
    </row>
    <row r="346" ht="15.0" customHeight="1">
      <c r="A346" s="5" t="s">
        <v>327</v>
      </c>
      <c r="B346" s="5" t="s">
        <v>190</v>
      </c>
      <c r="C346" s="5" t="s">
        <v>166</v>
      </c>
      <c r="D346" s="5">
        <f>IF(IF('Precinct Vote Data'!H1334&gt;0.5,"D","R")=$E$5,1,0)</f>
        <v>1</v>
      </c>
      <c r="E346" s="5">
        <f>IF(IF('Precinct Vote Data'!H1335&gt;0.5,"D","R")=$E$6,1,0)</f>
        <v>1</v>
      </c>
      <c r="F346" s="5">
        <f>IF(IF('Precinct Vote Data'!H1336&gt;0.5,"D","R")=$E$7,1,0)</f>
        <v>1</v>
      </c>
      <c r="G346" s="5">
        <f>IF(IF('Precinct Vote Data'!H1337&gt;0.5,"D","R")=$E$8,1,0)</f>
        <v>1</v>
      </c>
      <c r="H346" s="5">
        <f t="shared" si="3"/>
        <v>4</v>
      </c>
      <c r="I346" s="13">
        <f>AVERAGE(ABS('Precinct Vote Data'!H1334-$D$5),ABS('Precinct Vote Data'!H1335-$D$6),ABS('Precinct Vote Data'!H1336-$D$7),ABS('Precinct Vote Data'!H1337-$D$8))</f>
        <v>0.01888884889</v>
      </c>
      <c r="J346" s="14" t="str">
        <f>IF(AND(H346=4,I346=MIN(K13:K420)),"&lt;&lt; MAGIC PRECINCT","")</f>
        <v/>
      </c>
      <c r="K346" s="13">
        <f t="shared" si="4"/>
        <v>0.01888884889</v>
      </c>
    </row>
    <row r="347" ht="15.0" customHeight="1">
      <c r="A347" s="5" t="s">
        <v>327</v>
      </c>
      <c r="B347" s="5" t="s">
        <v>190</v>
      </c>
      <c r="C347" s="5" t="s">
        <v>167</v>
      </c>
      <c r="D347" s="5">
        <f>IF(IF('Precinct Vote Data'!H1338&gt;0.5,"D","R")=$E$5,1,0)</f>
        <v>1</v>
      </c>
      <c r="E347" s="5">
        <f>IF(IF('Precinct Vote Data'!H1339&gt;0.5,"D","R")=$E$6,1,0)</f>
        <v>1</v>
      </c>
      <c r="F347" s="5">
        <f>IF(IF('Precinct Vote Data'!H1340&gt;0.5,"D","R")=$E$7,1,0)</f>
        <v>1</v>
      </c>
      <c r="G347" s="5">
        <f>IF(IF('Precinct Vote Data'!H1341&gt;0.5,"D","R")=$E$8,1,0)</f>
        <v>1</v>
      </c>
      <c r="H347" s="5">
        <f t="shared" si="3"/>
        <v>4</v>
      </c>
      <c r="I347" s="13">
        <f>AVERAGE(ABS('Precinct Vote Data'!H1338-$D$5),ABS('Precinct Vote Data'!H1339-$D$6),ABS('Precinct Vote Data'!H1340-$D$7),ABS('Precinct Vote Data'!H1341-$D$8))</f>
        <v>0.01441202718</v>
      </c>
      <c r="J347" s="14" t="str">
        <f>IF(AND(H347=4,I347=MIN(K13:K420)),"&lt;&lt; MAGIC PRECINCT","")</f>
        <v/>
      </c>
      <c r="K347" s="13">
        <f t="shared" si="4"/>
        <v>0.01441202718</v>
      </c>
    </row>
    <row r="348" ht="15.0" customHeight="1">
      <c r="A348" s="5" t="s">
        <v>327</v>
      </c>
      <c r="B348" s="5" t="s">
        <v>190</v>
      </c>
      <c r="C348" s="5" t="s">
        <v>357</v>
      </c>
      <c r="D348" s="5">
        <f>IF(IF('Precinct Vote Data'!H1342&gt;0.5,"D","R")=$E$5,1,0)</f>
        <v>1</v>
      </c>
      <c r="E348" s="5">
        <f>IF(IF('Precinct Vote Data'!H1343&gt;0.5,"D","R")=$E$6,1,0)</f>
        <v>1</v>
      </c>
      <c r="F348" s="5">
        <f>IF(IF('Precinct Vote Data'!H1344&gt;0.5,"D","R")=$E$7,1,0)</f>
        <v>1</v>
      </c>
      <c r="G348" s="5">
        <f>IF(IF('Precinct Vote Data'!H1345&gt;0.5,"D","R")=$E$8,1,0)</f>
        <v>1</v>
      </c>
      <c r="H348" s="5">
        <f t="shared" si="3"/>
        <v>4</v>
      </c>
      <c r="I348" s="13">
        <f>AVERAGE(ABS('Precinct Vote Data'!H1342-$D$5),ABS('Precinct Vote Data'!H1343-$D$6),ABS('Precinct Vote Data'!H1344-$D$7),ABS('Precinct Vote Data'!H1345-$D$8))</f>
        <v>0.04025568235</v>
      </c>
      <c r="J348" s="14" t="str">
        <f>IF(AND(H348=4,I348=MIN(K13:K420)),"&lt;&lt; MAGIC PRECINCT","")</f>
        <v/>
      </c>
      <c r="K348" s="13">
        <f t="shared" si="4"/>
        <v>0.04025568235</v>
      </c>
    </row>
    <row r="349" ht="15.0" customHeight="1">
      <c r="A349" s="5" t="s">
        <v>327</v>
      </c>
      <c r="B349" s="5" t="s">
        <v>190</v>
      </c>
      <c r="C349" s="5" t="s">
        <v>358</v>
      </c>
      <c r="D349" s="5">
        <f>IF(IF('Precinct Vote Data'!H1346&gt;0.5,"D","R")=$E$5,1,0)</f>
        <v>1</v>
      </c>
      <c r="E349" s="5">
        <f>IF(IF('Precinct Vote Data'!H1347&gt;0.5,"D","R")=$E$6,1,0)</f>
        <v>1</v>
      </c>
      <c r="F349" s="5">
        <f>IF(IF('Precinct Vote Data'!H1348&gt;0.5,"D","R")=$E$7,1,0)</f>
        <v>1</v>
      </c>
      <c r="G349" s="5">
        <f>IF(IF('Precinct Vote Data'!H1349&gt;0.5,"D","R")=$E$8,1,0)</f>
        <v>1</v>
      </c>
      <c r="H349" s="5">
        <f t="shared" si="3"/>
        <v>4</v>
      </c>
      <c r="I349" s="13">
        <f>AVERAGE(ABS('Precinct Vote Data'!H1346-$D$5),ABS('Precinct Vote Data'!H1347-$D$6),ABS('Precinct Vote Data'!H1348-$D$7),ABS('Precinct Vote Data'!H1349-$D$8))</f>
        <v>0.02698398353</v>
      </c>
      <c r="J349" s="14" t="str">
        <f>IF(AND(H349=4,I349=MIN(K13:K420)),"&lt;&lt; MAGIC PRECINCT","")</f>
        <v/>
      </c>
      <c r="K349" s="13">
        <f t="shared" si="4"/>
        <v>0.02698398353</v>
      </c>
    </row>
    <row r="350" ht="15.0" customHeight="1">
      <c r="A350" s="5" t="s">
        <v>327</v>
      </c>
      <c r="B350" s="5" t="s">
        <v>359</v>
      </c>
      <c r="C350" s="5" t="s">
        <v>168</v>
      </c>
      <c r="D350" s="5">
        <f>IF(IF('Precinct Vote Data'!H1350&gt;0.5,"D","R")=$E$5,1,0)</f>
        <v>1</v>
      </c>
      <c r="E350" s="5">
        <f>IF(IF('Precinct Vote Data'!H1351&gt;0.5,"D","R")=$E$6,1,0)</f>
        <v>0</v>
      </c>
      <c r="F350" s="5">
        <f>IF(IF('Precinct Vote Data'!H1352&gt;0.5,"D","R")=$E$7,1,0)</f>
        <v>0</v>
      </c>
      <c r="G350" s="5">
        <f>IF(IF('Precinct Vote Data'!H1353&gt;0.5,"D","R")=$E$8,1,0)</f>
        <v>0</v>
      </c>
      <c r="H350" s="5">
        <f t="shared" si="3"/>
        <v>1</v>
      </c>
      <c r="I350" s="13">
        <f>AVERAGE(ABS('Precinct Vote Data'!H1350-$D$5),ABS('Precinct Vote Data'!H1351-$D$6),ABS('Precinct Vote Data'!H1352-$D$7),ABS('Precinct Vote Data'!H1353-$D$8))</f>
        <v>0.0178695997</v>
      </c>
      <c r="J350" s="14" t="str">
        <f>IF(AND(H350=4,I350=MIN(K13:K420)),"&lt;&lt; MAGIC PRECINCT","")</f>
        <v/>
      </c>
      <c r="K350" s="5" t="str">
        <f t="shared" si="4"/>
        <v/>
      </c>
    </row>
    <row r="351" ht="15.0" customHeight="1">
      <c r="A351" s="5" t="s">
        <v>327</v>
      </c>
      <c r="B351" s="5" t="s">
        <v>359</v>
      </c>
      <c r="C351" s="5" t="s">
        <v>169</v>
      </c>
      <c r="D351" s="5">
        <f>IF(IF('Precinct Vote Data'!H1354&gt;0.5,"D","R")=$E$5,1,0)</f>
        <v>1</v>
      </c>
      <c r="E351" s="5">
        <f>IF(IF('Precinct Vote Data'!H1355&gt;0.5,"D","R")=$E$6,1,0)</f>
        <v>1</v>
      </c>
      <c r="F351" s="5">
        <f>IF(IF('Precinct Vote Data'!H1356&gt;0.5,"D","R")=$E$7,1,0)</f>
        <v>1</v>
      </c>
      <c r="G351" s="5">
        <f>IF(IF('Precinct Vote Data'!H1357&gt;0.5,"D","R")=$E$8,1,0)</f>
        <v>1</v>
      </c>
      <c r="H351" s="5">
        <f t="shared" si="3"/>
        <v>4</v>
      </c>
      <c r="I351" s="13">
        <f>AVERAGE(ABS('Precinct Vote Data'!H1354-$D$5),ABS('Precinct Vote Data'!H1355-$D$6),ABS('Precinct Vote Data'!H1356-$D$7),ABS('Precinct Vote Data'!H1357-$D$8))</f>
        <v>0.01264603137</v>
      </c>
      <c r="J351" s="14" t="str">
        <f>IF(AND(H351=4,I351=MIN(K13:K420)),"&lt;&lt; MAGIC PRECINCT","")</f>
        <v/>
      </c>
      <c r="K351" s="13">
        <f t="shared" si="4"/>
        <v>0.01264603137</v>
      </c>
    </row>
    <row r="352" ht="15.0" customHeight="1">
      <c r="A352" s="5" t="s">
        <v>327</v>
      </c>
      <c r="B352" s="5" t="s">
        <v>359</v>
      </c>
      <c r="C352" s="5" t="s">
        <v>171</v>
      </c>
      <c r="D352" s="5">
        <f>IF(IF('Precinct Vote Data'!H1358&gt;0.5,"D","R")=$E$5,1,0)</f>
        <v>1</v>
      </c>
      <c r="E352" s="5">
        <f>IF(IF('Precinct Vote Data'!H1359&gt;0.5,"D","R")=$E$6,1,0)</f>
        <v>1</v>
      </c>
      <c r="F352" s="5">
        <f>IF(IF('Precinct Vote Data'!H1360&gt;0.5,"D","R")=$E$7,1,0)</f>
        <v>1</v>
      </c>
      <c r="G352" s="5">
        <f>IF(IF('Precinct Vote Data'!H1361&gt;0.5,"D","R")=$E$8,1,0)</f>
        <v>1</v>
      </c>
      <c r="H352" s="5">
        <f t="shared" si="3"/>
        <v>4</v>
      </c>
      <c r="I352" s="13">
        <f>AVERAGE(ABS('Precinct Vote Data'!H1358-$D$5),ABS('Precinct Vote Data'!H1359-$D$6),ABS('Precinct Vote Data'!H1360-$D$7),ABS('Precinct Vote Data'!H1361-$D$8))</f>
        <v>0.02669955773</v>
      </c>
      <c r="J352" s="14" t="str">
        <f>IF(AND(H352=4,I352=MIN(K13:K420)),"&lt;&lt; MAGIC PRECINCT","")</f>
        <v/>
      </c>
      <c r="K352" s="13">
        <f t="shared" si="4"/>
        <v>0.02669955773</v>
      </c>
    </row>
    <row r="353" ht="15.0" customHeight="1">
      <c r="A353" s="5" t="s">
        <v>327</v>
      </c>
      <c r="B353" s="5" t="s">
        <v>99</v>
      </c>
      <c r="C353" s="5" t="s">
        <v>172</v>
      </c>
      <c r="D353" s="5">
        <f>IF(IF('Precinct Vote Data'!H1362&gt;0.5,"D","R")=$E$5,1,0)</f>
        <v>0</v>
      </c>
      <c r="E353" s="5">
        <f>IF(IF('Precinct Vote Data'!H1363&gt;0.5,"D","R")=$E$6,1,0)</f>
        <v>0</v>
      </c>
      <c r="F353" s="5">
        <f>IF(IF('Precinct Vote Data'!H1364&gt;0.5,"D","R")=$E$7,1,0)</f>
        <v>0</v>
      </c>
      <c r="G353" s="5">
        <f>IF(IF('Precinct Vote Data'!H1365&gt;0.5,"D","R")=$E$8,1,0)</f>
        <v>0</v>
      </c>
      <c r="H353" s="5">
        <f t="shared" si="3"/>
        <v>0</v>
      </c>
      <c r="I353" s="13">
        <f>AVERAGE(ABS('Precinct Vote Data'!H1362-$D$5),ABS('Precinct Vote Data'!H1363-$D$6),ABS('Precinct Vote Data'!H1364-$D$7),ABS('Precinct Vote Data'!H1365-$D$8))</f>
        <v>0.1689635971</v>
      </c>
      <c r="J353" s="14" t="str">
        <f>IF(AND(H353=4,I353=MIN(K13:K420)),"&lt;&lt; MAGIC PRECINCT","")</f>
        <v/>
      </c>
      <c r="K353" s="5" t="str">
        <f t="shared" si="4"/>
        <v/>
      </c>
    </row>
    <row r="354" ht="15.0" customHeight="1">
      <c r="A354" s="5" t="s">
        <v>327</v>
      </c>
      <c r="B354" s="5" t="s">
        <v>99</v>
      </c>
      <c r="C354" s="5" t="s">
        <v>173</v>
      </c>
      <c r="D354" s="5">
        <f>IF(IF('Precinct Vote Data'!H1366&gt;0.5,"D","R")=$E$5,1,0)</f>
        <v>0</v>
      </c>
      <c r="E354" s="5">
        <f>IF(IF('Precinct Vote Data'!H1367&gt;0.5,"D","R")=$E$6,1,0)</f>
        <v>0</v>
      </c>
      <c r="F354" s="5">
        <f>IF(IF('Precinct Vote Data'!H1368&gt;0.5,"D","R")=$E$7,1,0)</f>
        <v>0</v>
      </c>
      <c r="G354" s="5">
        <f>IF(IF('Precinct Vote Data'!H1369&gt;0.5,"D","R")=$E$8,1,0)</f>
        <v>0</v>
      </c>
      <c r="H354" s="5">
        <f t="shared" si="3"/>
        <v>0</v>
      </c>
      <c r="I354" s="13">
        <f>AVERAGE(ABS('Precinct Vote Data'!H1366-$D$5),ABS('Precinct Vote Data'!H1367-$D$6),ABS('Precinct Vote Data'!H1368-$D$7),ABS('Precinct Vote Data'!H1369-$D$8))</f>
        <v>0.1600122683</v>
      </c>
      <c r="J354" s="14" t="str">
        <f>IF(AND(H354=4,I354=MIN(K13:K420)),"&lt;&lt; MAGIC PRECINCT","")</f>
        <v/>
      </c>
      <c r="K354" s="5" t="str">
        <f t="shared" si="4"/>
        <v/>
      </c>
    </row>
    <row r="355" ht="15.0" customHeight="1">
      <c r="A355" s="5" t="s">
        <v>327</v>
      </c>
      <c r="B355" s="5" t="s">
        <v>99</v>
      </c>
      <c r="C355" s="5" t="s">
        <v>175</v>
      </c>
      <c r="D355" s="5">
        <f>IF(IF('Precinct Vote Data'!H1370&gt;0.5,"D","R")=$E$5,1,0)</f>
        <v>0</v>
      </c>
      <c r="E355" s="5">
        <f>IF(IF('Precinct Vote Data'!H1371&gt;0.5,"D","R")=$E$6,1,0)</f>
        <v>0</v>
      </c>
      <c r="F355" s="5">
        <f>IF(IF('Precinct Vote Data'!H1372&gt;0.5,"D","R")=$E$7,1,0)</f>
        <v>0</v>
      </c>
      <c r="G355" s="5">
        <f>IF(IF('Precinct Vote Data'!H1373&gt;0.5,"D","R")=$E$8,1,0)</f>
        <v>0</v>
      </c>
      <c r="H355" s="5">
        <f t="shared" si="3"/>
        <v>0</v>
      </c>
      <c r="I355" s="13">
        <f>AVERAGE(ABS('Precinct Vote Data'!H1370-$D$5),ABS('Precinct Vote Data'!H1371-$D$6),ABS('Precinct Vote Data'!H1372-$D$7),ABS('Precinct Vote Data'!H1373-$D$8))</f>
        <v>0.199652863</v>
      </c>
      <c r="J355" s="14" t="str">
        <f>IF(AND(H355=4,I355=MIN(K13:K420)),"&lt;&lt; MAGIC PRECINCT","")</f>
        <v/>
      </c>
      <c r="K355" s="5" t="str">
        <f t="shared" si="4"/>
        <v/>
      </c>
    </row>
    <row r="356" ht="15.0" customHeight="1">
      <c r="A356" s="5" t="s">
        <v>327</v>
      </c>
      <c r="B356" s="5" t="s">
        <v>99</v>
      </c>
      <c r="C356" s="5" t="s">
        <v>177</v>
      </c>
      <c r="D356" s="5">
        <f>IF(IF('Precinct Vote Data'!H1374&gt;0.5,"D","R")=$E$5,1,0)</f>
        <v>0</v>
      </c>
      <c r="E356" s="5">
        <f>IF(IF('Precinct Vote Data'!H1375&gt;0.5,"D","R")=$E$6,1,0)</f>
        <v>0</v>
      </c>
      <c r="F356" s="5">
        <f>IF(IF('Precinct Vote Data'!H1376&gt;0.5,"D","R")=$E$7,1,0)</f>
        <v>0</v>
      </c>
      <c r="G356" s="5">
        <f>IF(IF('Precinct Vote Data'!H1377&gt;0.5,"D","R")=$E$8,1,0)</f>
        <v>0</v>
      </c>
      <c r="H356" s="5">
        <f t="shared" si="3"/>
        <v>0</v>
      </c>
      <c r="I356" s="13">
        <f>AVERAGE(ABS('Precinct Vote Data'!H1374-$D$5),ABS('Precinct Vote Data'!H1375-$D$6),ABS('Precinct Vote Data'!H1376-$D$7),ABS('Precinct Vote Data'!H1377-$D$8))</f>
        <v>0.1679056636</v>
      </c>
      <c r="J356" s="14" t="str">
        <f>IF(AND(H356=4,I356=MIN(K13:K420)),"&lt;&lt; MAGIC PRECINCT","")</f>
        <v/>
      </c>
      <c r="K356" s="5" t="str">
        <f t="shared" si="4"/>
        <v/>
      </c>
    </row>
    <row r="357" ht="15.0" customHeight="1">
      <c r="A357" s="5" t="s">
        <v>327</v>
      </c>
      <c r="B357" s="5" t="s">
        <v>99</v>
      </c>
      <c r="C357" s="5" t="s">
        <v>178</v>
      </c>
      <c r="D357" s="5">
        <f>IF(IF('Precinct Vote Data'!H1378&gt;0.5,"D","R")=$E$5,1,0)</f>
        <v>0</v>
      </c>
      <c r="E357" s="5">
        <f>IF(IF('Precinct Vote Data'!H1379&gt;0.5,"D","R")=$E$6,1,0)</f>
        <v>0</v>
      </c>
      <c r="F357" s="5">
        <f>IF(IF('Precinct Vote Data'!H1380&gt;0.5,"D","R")=$E$7,1,0)</f>
        <v>0</v>
      </c>
      <c r="G357" s="5">
        <f>IF(IF('Precinct Vote Data'!H1381&gt;0.5,"D","R")=$E$8,1,0)</f>
        <v>0</v>
      </c>
      <c r="H357" s="5">
        <f t="shared" si="3"/>
        <v>0</v>
      </c>
      <c r="I357" s="13">
        <f>AVERAGE(ABS('Precinct Vote Data'!H1378-$D$5),ABS('Precinct Vote Data'!H1379-$D$6),ABS('Precinct Vote Data'!H1380-$D$7),ABS('Precinct Vote Data'!H1381-$D$8))</f>
        <v>0.1726187547</v>
      </c>
      <c r="J357" s="14" t="str">
        <f>IF(AND(H357=4,I357=MIN(K13:K420)),"&lt;&lt; MAGIC PRECINCT","")</f>
        <v/>
      </c>
      <c r="K357" s="5" t="str">
        <f t="shared" si="4"/>
        <v/>
      </c>
    </row>
    <row r="358" ht="15.0" customHeight="1">
      <c r="A358" s="5" t="s">
        <v>327</v>
      </c>
      <c r="B358" s="5" t="s">
        <v>360</v>
      </c>
      <c r="C358" s="5" t="s">
        <v>180</v>
      </c>
      <c r="D358" s="5">
        <f>IF(IF('Precinct Vote Data'!H1382&gt;0.5,"D","R")=$E$5,1,0)</f>
        <v>0</v>
      </c>
      <c r="E358" s="5">
        <f>IF(IF('Precinct Vote Data'!H1383&gt;0.5,"D","R")=$E$6,1,0)</f>
        <v>0</v>
      </c>
      <c r="F358" s="5">
        <f>IF(IF('Precinct Vote Data'!H1384&gt;0.5,"D","R")=$E$7,1,0)</f>
        <v>0</v>
      </c>
      <c r="G358" s="5">
        <f>IF(IF('Precinct Vote Data'!H1385&gt;0.5,"D","R")=$E$8,1,0)</f>
        <v>0</v>
      </c>
      <c r="H358" s="5">
        <f t="shared" si="3"/>
        <v>0</v>
      </c>
      <c r="I358" s="13">
        <f>AVERAGE(ABS('Precinct Vote Data'!H1382-$D$5),ABS('Precinct Vote Data'!H1383-$D$6),ABS('Precinct Vote Data'!H1384-$D$7),ABS('Precinct Vote Data'!H1385-$D$8))</f>
        <v>0.1334265568</v>
      </c>
      <c r="J358" s="14" t="str">
        <f>IF(AND(H358=4,I358=MIN(K13:K420)),"&lt;&lt; MAGIC PRECINCT","")</f>
        <v/>
      </c>
      <c r="K358" s="5" t="str">
        <f t="shared" si="4"/>
        <v/>
      </c>
    </row>
    <row r="359" ht="15.0" customHeight="1">
      <c r="A359" s="5" t="s">
        <v>327</v>
      </c>
      <c r="B359" s="5" t="s">
        <v>360</v>
      </c>
      <c r="C359" s="5" t="s">
        <v>181</v>
      </c>
      <c r="D359" s="5">
        <f>IF(IF('Precinct Vote Data'!H1386&gt;0.5,"D","R")=$E$5,1,0)</f>
        <v>0</v>
      </c>
      <c r="E359" s="5">
        <f>IF(IF('Precinct Vote Data'!H1387&gt;0.5,"D","R")=$E$6,1,0)</f>
        <v>0</v>
      </c>
      <c r="F359" s="5">
        <f>IF(IF('Precinct Vote Data'!H1388&gt;0.5,"D","R")=$E$7,1,0)</f>
        <v>0</v>
      </c>
      <c r="G359" s="5">
        <f>IF(IF('Precinct Vote Data'!H1389&gt;0.5,"D","R")=$E$8,1,0)</f>
        <v>0</v>
      </c>
      <c r="H359" s="5">
        <f t="shared" si="3"/>
        <v>0</v>
      </c>
      <c r="I359" s="13">
        <f>AVERAGE(ABS('Precinct Vote Data'!H1386-$D$5),ABS('Precinct Vote Data'!H1387-$D$6),ABS('Precinct Vote Data'!H1388-$D$7),ABS('Precinct Vote Data'!H1389-$D$8))</f>
        <v>0.1719880157</v>
      </c>
      <c r="J359" s="14" t="str">
        <f>IF(AND(H359=4,I359=MIN(K13:K420)),"&lt;&lt; MAGIC PRECINCT","")</f>
        <v/>
      </c>
      <c r="K359" s="5" t="str">
        <f t="shared" si="4"/>
        <v/>
      </c>
    </row>
    <row r="360" ht="15.0" customHeight="1">
      <c r="A360" s="5" t="s">
        <v>327</v>
      </c>
      <c r="B360" s="5" t="s">
        <v>361</v>
      </c>
      <c r="C360" s="5" t="s">
        <v>182</v>
      </c>
      <c r="D360" s="5">
        <f>IF(IF('Precinct Vote Data'!H1390&gt;0.5,"D","R")=$E$5,1,0)</f>
        <v>0</v>
      </c>
      <c r="E360" s="5">
        <f>IF(IF('Precinct Vote Data'!H1391&gt;0.5,"D","R")=$E$6,1,0)</f>
        <v>0</v>
      </c>
      <c r="F360" s="5">
        <f>IF(IF('Precinct Vote Data'!H1392&gt;0.5,"D","R")=$E$7,1,0)</f>
        <v>0</v>
      </c>
      <c r="G360" s="5">
        <f>IF(IF('Precinct Vote Data'!H1393&gt;0.5,"D","R")=$E$8,1,0)</f>
        <v>0</v>
      </c>
      <c r="H360" s="5">
        <f t="shared" si="3"/>
        <v>0</v>
      </c>
      <c r="I360" s="13">
        <f>AVERAGE(ABS('Precinct Vote Data'!H1390-$D$5),ABS('Precinct Vote Data'!H1391-$D$6),ABS('Precinct Vote Data'!H1392-$D$7),ABS('Precinct Vote Data'!H1393-$D$8))</f>
        <v>0.0682198322</v>
      </c>
      <c r="J360" s="14" t="str">
        <f>IF(AND(H360=4,I360=MIN(K13:K420)),"&lt;&lt; MAGIC PRECINCT","")</f>
        <v/>
      </c>
      <c r="K360" s="5" t="str">
        <f t="shared" si="4"/>
        <v/>
      </c>
    </row>
    <row r="361" ht="15.0" customHeight="1">
      <c r="A361" s="5" t="s">
        <v>327</v>
      </c>
      <c r="B361" s="5" t="s">
        <v>361</v>
      </c>
      <c r="C361" s="5" t="s">
        <v>183</v>
      </c>
      <c r="D361" s="5">
        <f>IF(IF('Precinct Vote Data'!H1394&gt;0.5,"D","R")=$E$5,1,0)</f>
        <v>0</v>
      </c>
      <c r="E361" s="5">
        <f>IF(IF('Precinct Vote Data'!H1395&gt;0.5,"D","R")=$E$6,1,0)</f>
        <v>0</v>
      </c>
      <c r="F361" s="5">
        <f>IF(IF('Precinct Vote Data'!H1396&gt;0.5,"D","R")=$E$7,1,0)</f>
        <v>0</v>
      </c>
      <c r="G361" s="5">
        <f>IF(IF('Precinct Vote Data'!H1397&gt;0.5,"D","R")=$E$8,1,0)</f>
        <v>0</v>
      </c>
      <c r="H361" s="5">
        <f t="shared" si="3"/>
        <v>0</v>
      </c>
      <c r="I361" s="13">
        <f>AVERAGE(ABS('Precinct Vote Data'!H1394-$D$5),ABS('Precinct Vote Data'!H1395-$D$6),ABS('Precinct Vote Data'!H1396-$D$7),ABS('Precinct Vote Data'!H1397-$D$8))</f>
        <v>0.09448034489</v>
      </c>
      <c r="J361" s="14" t="str">
        <f>IF(AND(H361=4,I361=MIN(K13:K420)),"&lt;&lt; MAGIC PRECINCT","")</f>
        <v/>
      </c>
      <c r="K361" s="5" t="str">
        <f t="shared" si="4"/>
        <v/>
      </c>
    </row>
    <row r="362" ht="15.0" customHeight="1">
      <c r="A362" s="5" t="s">
        <v>327</v>
      </c>
      <c r="B362" s="5" t="s">
        <v>362</v>
      </c>
      <c r="C362" s="5" t="s">
        <v>184</v>
      </c>
      <c r="D362" s="5">
        <f>IF(IF('Precinct Vote Data'!H1398&gt;0.5,"D","R")=$E$5,1,0)</f>
        <v>1</v>
      </c>
      <c r="E362" s="5">
        <f>IF(IF('Precinct Vote Data'!H1399&gt;0.5,"D","R")=$E$6,1,0)</f>
        <v>0</v>
      </c>
      <c r="F362" s="5">
        <f>IF(IF('Precinct Vote Data'!H1400&gt;0.5,"D","R")=$E$7,1,0)</f>
        <v>1</v>
      </c>
      <c r="G362" s="5">
        <f>IF(IF('Precinct Vote Data'!H1401&gt;0.5,"D","R")=$E$8,1,0)</f>
        <v>1</v>
      </c>
      <c r="H362" s="5">
        <f t="shared" si="3"/>
        <v>3</v>
      </c>
      <c r="I362" s="13">
        <f>AVERAGE(ABS('Precinct Vote Data'!H1398-$D$5),ABS('Precinct Vote Data'!H1399-$D$6),ABS('Precinct Vote Data'!H1400-$D$7),ABS('Precinct Vote Data'!H1401-$D$8))</f>
        <v>0.02346633824</v>
      </c>
      <c r="J362" s="14" t="str">
        <f>IF(AND(H362=4,I362=MIN(K13:K420)),"&lt;&lt; MAGIC PRECINCT","")</f>
        <v/>
      </c>
      <c r="K362" s="5" t="str">
        <f t="shared" si="4"/>
        <v/>
      </c>
    </row>
    <row r="363" ht="15.0" customHeight="1">
      <c r="A363" s="5" t="s">
        <v>327</v>
      </c>
      <c r="B363" s="5" t="s">
        <v>362</v>
      </c>
      <c r="C363" s="5" t="s">
        <v>185</v>
      </c>
      <c r="D363" s="5">
        <f>IF(IF('Precinct Vote Data'!H1402&gt;0.5,"D","R")=$E$5,1,0)</f>
        <v>0</v>
      </c>
      <c r="E363" s="5">
        <f>IF(IF('Precinct Vote Data'!H1403&gt;0.5,"D","R")=$E$6,1,0)</f>
        <v>0</v>
      </c>
      <c r="F363" s="5">
        <f>IF(IF('Precinct Vote Data'!H1404&gt;0.5,"D","R")=$E$7,1,0)</f>
        <v>0</v>
      </c>
      <c r="G363" s="5">
        <f>IF(IF('Precinct Vote Data'!H1405&gt;0.5,"D","R")=$E$8,1,0)</f>
        <v>0</v>
      </c>
      <c r="H363" s="5">
        <f t="shared" si="3"/>
        <v>0</v>
      </c>
      <c r="I363" s="13">
        <f>AVERAGE(ABS('Precinct Vote Data'!H1402-$D$5),ABS('Precinct Vote Data'!H1403-$D$6),ABS('Precinct Vote Data'!H1404-$D$7),ABS('Precinct Vote Data'!H1405-$D$8))</f>
        <v>0.0833175421</v>
      </c>
      <c r="J363" s="14" t="str">
        <f>IF(AND(H363=4,I363=MIN(K13:K420)),"&lt;&lt; MAGIC PRECINCT","")</f>
        <v/>
      </c>
      <c r="K363" s="5" t="str">
        <f t="shared" si="4"/>
        <v/>
      </c>
    </row>
    <row r="364" ht="15.0" customHeight="1">
      <c r="A364" s="5" t="s">
        <v>327</v>
      </c>
      <c r="B364" s="5" t="s">
        <v>362</v>
      </c>
      <c r="C364" s="5" t="s">
        <v>187</v>
      </c>
      <c r="D364" s="5">
        <f>IF(IF('Precinct Vote Data'!H1406&gt;0.5,"D","R")=$E$5,1,0)</f>
        <v>0</v>
      </c>
      <c r="E364" s="5">
        <f>IF(IF('Precinct Vote Data'!H1407&gt;0.5,"D","R")=$E$6,1,0)</f>
        <v>0</v>
      </c>
      <c r="F364" s="5">
        <f>IF(IF('Precinct Vote Data'!H1408&gt;0.5,"D","R")=$E$7,1,0)</f>
        <v>0</v>
      </c>
      <c r="G364" s="5">
        <f>IF(IF('Precinct Vote Data'!H1409&gt;0.5,"D","R")=$E$8,1,0)</f>
        <v>0</v>
      </c>
      <c r="H364" s="5">
        <f t="shared" si="3"/>
        <v>0</v>
      </c>
      <c r="I364" s="13">
        <f>AVERAGE(ABS('Precinct Vote Data'!H1406-$D$5),ABS('Precinct Vote Data'!H1407-$D$6),ABS('Precinct Vote Data'!H1408-$D$7),ABS('Precinct Vote Data'!H1409-$D$8))</f>
        <v>0.0733251341</v>
      </c>
      <c r="J364" s="14" t="str">
        <f>IF(AND(H364=4,I364=MIN(K13:K420)),"&lt;&lt; MAGIC PRECINCT","")</f>
        <v/>
      </c>
      <c r="K364" s="5" t="str">
        <f t="shared" si="4"/>
        <v/>
      </c>
    </row>
    <row r="365" ht="15.0" customHeight="1">
      <c r="A365" s="5" t="s">
        <v>327</v>
      </c>
      <c r="B365" s="5" t="s">
        <v>362</v>
      </c>
      <c r="C365" s="5" t="s">
        <v>188</v>
      </c>
      <c r="D365" s="5">
        <f>IF(IF('Precinct Vote Data'!H1410&gt;0.5,"D","R")=$E$5,1,0)</f>
        <v>1</v>
      </c>
      <c r="E365" s="5">
        <f>IF(IF('Precinct Vote Data'!H1411&gt;0.5,"D","R")=$E$6,1,0)</f>
        <v>1</v>
      </c>
      <c r="F365" s="5">
        <f>IF(IF('Precinct Vote Data'!H1412&gt;0.5,"D","R")=$E$7,1,0)</f>
        <v>1</v>
      </c>
      <c r="G365" s="5">
        <f>IF(IF('Precinct Vote Data'!H1413&gt;0.5,"D","R")=$E$8,1,0)</f>
        <v>1</v>
      </c>
      <c r="H365" s="5">
        <f t="shared" si="3"/>
        <v>4</v>
      </c>
      <c r="I365" s="13">
        <f>AVERAGE(ABS('Precinct Vote Data'!H1410-$D$5),ABS('Precinct Vote Data'!H1411-$D$6),ABS('Precinct Vote Data'!H1412-$D$7),ABS('Precinct Vote Data'!H1413-$D$8))</f>
        <v>0.009618637214</v>
      </c>
      <c r="J365" s="14" t="str">
        <f>IF(AND(H365=4,I365=MIN(K13:K420)),"&lt;&lt; MAGIC PRECINCT","")</f>
        <v>&lt;&lt; MAGIC PRECINCT</v>
      </c>
      <c r="K365" s="13">
        <f t="shared" si="4"/>
        <v>0.009618637214</v>
      </c>
    </row>
    <row r="366" ht="15.0" customHeight="1">
      <c r="A366" s="5" t="s">
        <v>327</v>
      </c>
      <c r="B366" s="5" t="s">
        <v>362</v>
      </c>
      <c r="C366" s="5" t="s">
        <v>363</v>
      </c>
      <c r="D366" s="5">
        <f>IF(IF('Precinct Vote Data'!H1414&gt;0.5,"D","R")=$E$5,1,0)</f>
        <v>1</v>
      </c>
      <c r="E366" s="5">
        <f>IF(IF('Precinct Vote Data'!H1415&gt;0.5,"D","R")=$E$6,1,0)</f>
        <v>1</v>
      </c>
      <c r="F366" s="5">
        <f>IF(IF('Precinct Vote Data'!H1416&gt;0.5,"D","R")=$E$7,1,0)</f>
        <v>1</v>
      </c>
      <c r="G366" s="5">
        <f>IF(IF('Precinct Vote Data'!H1417&gt;0.5,"D","R")=$E$8,1,0)</f>
        <v>1</v>
      </c>
      <c r="H366" s="5">
        <f t="shared" si="3"/>
        <v>4</v>
      </c>
      <c r="I366" s="13">
        <f>AVERAGE(ABS('Precinct Vote Data'!H1414-$D$5),ABS('Precinct Vote Data'!H1415-$D$6),ABS('Precinct Vote Data'!H1416-$D$7),ABS('Precinct Vote Data'!H1417-$D$8))</f>
        <v>0.01152192198</v>
      </c>
      <c r="J366" s="14" t="str">
        <f>IF(AND(H366=4,I366=MIN(K13:K420)),"&lt;&lt; MAGIC PRECINCT","")</f>
        <v/>
      </c>
      <c r="K366" s="13">
        <f t="shared" si="4"/>
        <v>0.01152192198</v>
      </c>
    </row>
    <row r="367" ht="15.0" customHeight="1">
      <c r="A367" s="5" t="s">
        <v>327</v>
      </c>
      <c r="B367" s="5" t="s">
        <v>362</v>
      </c>
      <c r="C367" s="5" t="s">
        <v>364</v>
      </c>
      <c r="D367" s="5">
        <f>IF(IF('Precinct Vote Data'!H1418&gt;0.5,"D","R")=$E$5,1,0)</f>
        <v>1</v>
      </c>
      <c r="E367" s="5">
        <f>IF(IF('Precinct Vote Data'!H1419&gt;0.5,"D","R")=$E$6,1,0)</f>
        <v>1</v>
      </c>
      <c r="F367" s="5">
        <f>IF(IF('Precinct Vote Data'!H1420&gt;0.5,"D","R")=$E$7,1,0)</f>
        <v>1</v>
      </c>
      <c r="G367" s="5">
        <f>IF(IF('Precinct Vote Data'!H1421&gt;0.5,"D","R")=$E$8,1,0)</f>
        <v>1</v>
      </c>
      <c r="H367" s="5">
        <f t="shared" si="3"/>
        <v>4</v>
      </c>
      <c r="I367" s="13">
        <f>AVERAGE(ABS('Precinct Vote Data'!H1418-$D$5),ABS('Precinct Vote Data'!H1419-$D$6),ABS('Precinct Vote Data'!H1420-$D$7),ABS('Precinct Vote Data'!H1421-$D$8))</f>
        <v>0.03586833842</v>
      </c>
      <c r="J367" s="14" t="str">
        <f>IF(AND(H367=4,I367=MIN(K13:K420)),"&lt;&lt; MAGIC PRECINCT","")</f>
        <v/>
      </c>
      <c r="K367" s="13">
        <f t="shared" si="4"/>
        <v>0.03586833842</v>
      </c>
    </row>
    <row r="368" ht="15.0" customHeight="1">
      <c r="A368" s="5" t="s">
        <v>327</v>
      </c>
      <c r="B368" s="5" t="s">
        <v>362</v>
      </c>
      <c r="C368" s="5" t="s">
        <v>189</v>
      </c>
      <c r="D368" s="5">
        <f>IF(IF('Precinct Vote Data'!H1422&gt;0.5,"D","R")=$E$5,1,0)</f>
        <v>0</v>
      </c>
      <c r="E368" s="5">
        <f>IF(IF('Precinct Vote Data'!H1423&gt;0.5,"D","R")=$E$6,1,0)</f>
        <v>0</v>
      </c>
      <c r="F368" s="5">
        <f>IF(IF('Precinct Vote Data'!H1424&gt;0.5,"D","R")=$E$7,1,0)</f>
        <v>0</v>
      </c>
      <c r="G368" s="5">
        <f>IF(IF('Precinct Vote Data'!H1425&gt;0.5,"D","R")=$E$8,1,0)</f>
        <v>0</v>
      </c>
      <c r="H368" s="5">
        <f t="shared" si="3"/>
        <v>0</v>
      </c>
      <c r="I368" s="13">
        <f>AVERAGE(ABS('Precinct Vote Data'!H1422-$D$5),ABS('Precinct Vote Data'!H1423-$D$6),ABS('Precinct Vote Data'!H1424-$D$7),ABS('Precinct Vote Data'!H1425-$D$8))</f>
        <v>0.09419490067</v>
      </c>
      <c r="J368" s="14" t="str">
        <f>IF(AND(H368=4,I368=MIN(K13:K420)),"&lt;&lt; MAGIC PRECINCT","")</f>
        <v/>
      </c>
      <c r="K368" s="5" t="str">
        <f t="shared" si="4"/>
        <v/>
      </c>
    </row>
    <row r="369" ht="15.0" customHeight="1">
      <c r="A369" s="5" t="s">
        <v>327</v>
      </c>
      <c r="B369" s="5" t="s">
        <v>362</v>
      </c>
      <c r="C369" s="5" t="s">
        <v>191</v>
      </c>
      <c r="D369" s="5">
        <f>IF(IF('Precinct Vote Data'!H1426&gt;0.5,"D","R")=$E$5,1,0)</f>
        <v>0</v>
      </c>
      <c r="E369" s="5">
        <f>IF(IF('Precinct Vote Data'!H1427&gt;0.5,"D","R")=$E$6,1,0)</f>
        <v>0</v>
      </c>
      <c r="F369" s="5">
        <f>IF(IF('Precinct Vote Data'!H1428&gt;0.5,"D","R")=$E$7,1,0)</f>
        <v>0</v>
      </c>
      <c r="G369" s="5">
        <f>IF(IF('Precinct Vote Data'!H1429&gt;0.5,"D","R")=$E$8,1,0)</f>
        <v>0</v>
      </c>
      <c r="H369" s="5">
        <f t="shared" si="3"/>
        <v>0</v>
      </c>
      <c r="I369" s="13">
        <f>AVERAGE(ABS('Precinct Vote Data'!H1426-$D$5),ABS('Precinct Vote Data'!H1427-$D$6),ABS('Precinct Vote Data'!H1428-$D$7),ABS('Precinct Vote Data'!H1429-$D$8))</f>
        <v>0.09397440451</v>
      </c>
      <c r="J369" s="14" t="str">
        <f>IF(AND(H369=4,I369=MIN(K13:K420)),"&lt;&lt; MAGIC PRECINCT","")</f>
        <v/>
      </c>
      <c r="K369" s="5" t="str">
        <f t="shared" si="4"/>
        <v/>
      </c>
    </row>
    <row r="370" ht="15.0" customHeight="1">
      <c r="A370" s="5" t="s">
        <v>327</v>
      </c>
      <c r="B370" s="5" t="s">
        <v>365</v>
      </c>
      <c r="C370" s="5" t="s">
        <v>193</v>
      </c>
      <c r="D370" s="5">
        <f>IF(IF('Precinct Vote Data'!H1430&gt;0.5,"D","R")=$E$5,1,0)</f>
        <v>0</v>
      </c>
      <c r="E370" s="5">
        <f>IF(IF('Precinct Vote Data'!H1431&gt;0.5,"D","R")=$E$6,1,0)</f>
        <v>0</v>
      </c>
      <c r="F370" s="5">
        <f>IF(IF('Precinct Vote Data'!H1432&gt;0.5,"D","R")=$E$7,1,0)</f>
        <v>0</v>
      </c>
      <c r="G370" s="5">
        <f>IF(IF('Precinct Vote Data'!H1433&gt;0.5,"D","R")=$E$8,1,0)</f>
        <v>0</v>
      </c>
      <c r="H370" s="5">
        <f t="shared" si="3"/>
        <v>0</v>
      </c>
      <c r="I370" s="13">
        <f>AVERAGE(ABS('Precinct Vote Data'!H1430-$D$5),ABS('Precinct Vote Data'!H1431-$D$6),ABS('Precinct Vote Data'!H1432-$D$7),ABS('Precinct Vote Data'!H1433-$D$8))</f>
        <v>0.1614223548</v>
      </c>
      <c r="J370" s="14" t="str">
        <f>IF(AND(H370=4,I370=MIN(K13:K420)),"&lt;&lt; MAGIC PRECINCT","")</f>
        <v/>
      </c>
      <c r="K370" s="5" t="str">
        <f t="shared" si="4"/>
        <v/>
      </c>
    </row>
    <row r="371" ht="15.0" customHeight="1">
      <c r="A371" s="5" t="s">
        <v>327</v>
      </c>
      <c r="B371" s="5" t="s">
        <v>365</v>
      </c>
      <c r="C371" s="5" t="s">
        <v>195</v>
      </c>
      <c r="D371" s="5">
        <f>IF(IF('Precinct Vote Data'!H1434&gt;0.5,"D","R")=$E$5,1,0)</f>
        <v>0</v>
      </c>
      <c r="E371" s="5">
        <f>IF(IF('Precinct Vote Data'!H1435&gt;0.5,"D","R")=$E$6,1,0)</f>
        <v>0</v>
      </c>
      <c r="F371" s="5">
        <f>IF(IF('Precinct Vote Data'!H1436&gt;0.5,"D","R")=$E$7,1,0)</f>
        <v>0</v>
      </c>
      <c r="G371" s="5">
        <f>IF(IF('Precinct Vote Data'!H1437&gt;0.5,"D","R")=$E$8,1,0)</f>
        <v>0</v>
      </c>
      <c r="H371" s="5">
        <f t="shared" si="3"/>
        <v>0</v>
      </c>
      <c r="I371" s="13">
        <f>AVERAGE(ABS('Precinct Vote Data'!H1434-$D$5),ABS('Precinct Vote Data'!H1435-$D$6),ABS('Precinct Vote Data'!H1436-$D$7),ABS('Precinct Vote Data'!H1437-$D$8))</f>
        <v>0.1609154238</v>
      </c>
      <c r="J371" s="14" t="str">
        <f>IF(AND(H371=4,I371=MIN(K13:K420)),"&lt;&lt; MAGIC PRECINCT","")</f>
        <v/>
      </c>
      <c r="K371" s="5" t="str">
        <f t="shared" si="4"/>
        <v/>
      </c>
    </row>
    <row r="372" ht="15.0" customHeight="1">
      <c r="A372" s="5" t="s">
        <v>327</v>
      </c>
      <c r="B372" s="5" t="s">
        <v>365</v>
      </c>
      <c r="C372" s="5" t="s">
        <v>196</v>
      </c>
      <c r="D372" s="5">
        <f>IF(IF('Precinct Vote Data'!H1438&gt;0.5,"D","R")=$E$5,1,0)</f>
        <v>0</v>
      </c>
      <c r="E372" s="5">
        <f>IF(IF('Precinct Vote Data'!H1439&gt;0.5,"D","R")=$E$6,1,0)</f>
        <v>0</v>
      </c>
      <c r="F372" s="5">
        <f>IF(IF('Precinct Vote Data'!H1440&gt;0.5,"D","R")=$E$7,1,0)</f>
        <v>0</v>
      </c>
      <c r="G372" s="5">
        <f>IF(IF('Precinct Vote Data'!H1441&gt;0.5,"D","R")=$E$8,1,0)</f>
        <v>0</v>
      </c>
      <c r="H372" s="5">
        <f t="shared" si="3"/>
        <v>0</v>
      </c>
      <c r="I372" s="13">
        <f>AVERAGE(ABS('Precinct Vote Data'!H1438-$D$5),ABS('Precinct Vote Data'!H1439-$D$6),ABS('Precinct Vote Data'!H1440-$D$7),ABS('Precinct Vote Data'!H1441-$D$8))</f>
        <v>0.1941579178</v>
      </c>
      <c r="J372" s="14" t="str">
        <f>IF(AND(H372=4,I372=MIN(K13:K420)),"&lt;&lt; MAGIC PRECINCT","")</f>
        <v/>
      </c>
      <c r="K372" s="5" t="str">
        <f t="shared" si="4"/>
        <v/>
      </c>
    </row>
    <row r="373" ht="15.0" customHeight="1">
      <c r="A373" s="5" t="s">
        <v>327</v>
      </c>
      <c r="B373" s="5" t="s">
        <v>365</v>
      </c>
      <c r="C373" s="5" t="s">
        <v>197</v>
      </c>
      <c r="D373" s="5">
        <f>IF(IF('Precinct Vote Data'!H1442&gt;0.5,"D","R")=$E$5,1,0)</f>
        <v>0</v>
      </c>
      <c r="E373" s="5">
        <f>IF(IF('Precinct Vote Data'!H1443&gt;0.5,"D","R")=$E$6,1,0)</f>
        <v>0</v>
      </c>
      <c r="F373" s="5">
        <f>IF(IF('Precinct Vote Data'!H1444&gt;0.5,"D","R")=$E$7,1,0)</f>
        <v>0</v>
      </c>
      <c r="G373" s="5">
        <f>IF(IF('Precinct Vote Data'!H1445&gt;0.5,"D","R")=$E$8,1,0)</f>
        <v>0</v>
      </c>
      <c r="H373" s="5">
        <f t="shared" si="3"/>
        <v>0</v>
      </c>
      <c r="I373" s="13">
        <f>AVERAGE(ABS('Precinct Vote Data'!H1442-$D$5),ABS('Precinct Vote Data'!H1443-$D$6),ABS('Precinct Vote Data'!H1444-$D$7),ABS('Precinct Vote Data'!H1445-$D$8))</f>
        <v>0.1841245678</v>
      </c>
      <c r="J373" s="14" t="str">
        <f>IF(AND(H373=4,I373=MIN(K13:K420)),"&lt;&lt; MAGIC PRECINCT","")</f>
        <v/>
      </c>
      <c r="K373" s="5" t="str">
        <f t="shared" si="4"/>
        <v/>
      </c>
    </row>
    <row r="374" ht="15.0" customHeight="1">
      <c r="A374" s="5" t="s">
        <v>327</v>
      </c>
      <c r="B374" s="5" t="s">
        <v>366</v>
      </c>
      <c r="C374" s="5" t="s">
        <v>198</v>
      </c>
      <c r="D374" s="5">
        <f>IF(IF('Precinct Vote Data'!H1446&gt;0.5,"D","R")=$E$5,1,0)</f>
        <v>0</v>
      </c>
      <c r="E374" s="5">
        <f>IF(IF('Precinct Vote Data'!H1447&gt;0.5,"D","R")=$E$6,1,0)</f>
        <v>0</v>
      </c>
      <c r="F374" s="5">
        <f>IF(IF('Precinct Vote Data'!H1448&gt;0.5,"D","R")=$E$7,1,0)</f>
        <v>1</v>
      </c>
      <c r="G374" s="5">
        <f>IF(IF('Precinct Vote Data'!H1449&gt;0.5,"D","R")=$E$8,1,0)</f>
        <v>0</v>
      </c>
      <c r="H374" s="5">
        <f t="shared" si="3"/>
        <v>1</v>
      </c>
      <c r="I374" s="13">
        <f>AVERAGE(ABS('Precinct Vote Data'!H1446-$D$5),ABS('Precinct Vote Data'!H1447-$D$6),ABS('Precinct Vote Data'!H1448-$D$7),ABS('Precinct Vote Data'!H1449-$D$8))</f>
        <v>0.02001090508</v>
      </c>
      <c r="J374" s="14" t="str">
        <f>IF(AND(H374=4,I374=MIN(K13:K420)),"&lt;&lt; MAGIC PRECINCT","")</f>
        <v/>
      </c>
      <c r="K374" s="5" t="str">
        <f t="shared" si="4"/>
        <v/>
      </c>
    </row>
    <row r="375" ht="15.0" customHeight="1">
      <c r="A375" s="5" t="s">
        <v>327</v>
      </c>
      <c r="B375" s="5" t="s">
        <v>366</v>
      </c>
      <c r="C375" s="5" t="s">
        <v>199</v>
      </c>
      <c r="D375" s="5">
        <f>IF(IF('Precinct Vote Data'!H1450&gt;0.5,"D","R")=$E$5,1,0)</f>
        <v>1</v>
      </c>
      <c r="E375" s="5">
        <f>IF(IF('Precinct Vote Data'!H1451&gt;0.5,"D","R")=$E$6,1,0)</f>
        <v>0</v>
      </c>
      <c r="F375" s="5">
        <f>IF(IF('Precinct Vote Data'!H1452&gt;0.5,"D","R")=$E$7,1,0)</f>
        <v>1</v>
      </c>
      <c r="G375" s="5">
        <f>IF(IF('Precinct Vote Data'!H1453&gt;0.5,"D","R")=$E$8,1,0)</f>
        <v>0</v>
      </c>
      <c r="H375" s="5">
        <f t="shared" si="3"/>
        <v>2</v>
      </c>
      <c r="I375" s="13">
        <f>AVERAGE(ABS('Precinct Vote Data'!H1450-$D$5),ABS('Precinct Vote Data'!H1451-$D$6),ABS('Precinct Vote Data'!H1452-$D$7),ABS('Precinct Vote Data'!H1453-$D$8))</f>
        <v>0.02030803977</v>
      </c>
      <c r="J375" s="14" t="str">
        <f>IF(AND(H375=4,I375=MIN(K13:K420)),"&lt;&lt; MAGIC PRECINCT","")</f>
        <v/>
      </c>
      <c r="K375" s="5" t="str">
        <f t="shared" si="4"/>
        <v/>
      </c>
    </row>
    <row r="376" ht="15.0" customHeight="1">
      <c r="A376" s="5" t="s">
        <v>327</v>
      </c>
      <c r="B376" s="5" t="s">
        <v>366</v>
      </c>
      <c r="C376" s="5" t="s">
        <v>200</v>
      </c>
      <c r="D376" s="5">
        <f>IF(IF('Precinct Vote Data'!H1454&gt;0.5,"D","R")=$E$5,1,0)</f>
        <v>1</v>
      </c>
      <c r="E376" s="5">
        <f>IF(IF('Precinct Vote Data'!H1455&gt;0.5,"D","R")=$E$6,1,0)</f>
        <v>0</v>
      </c>
      <c r="F376" s="5">
        <f>IF(IF('Precinct Vote Data'!H1456&gt;0.5,"D","R")=$E$7,1,0)</f>
        <v>1</v>
      </c>
      <c r="G376" s="5">
        <f>IF(IF('Precinct Vote Data'!H1457&gt;0.5,"D","R")=$E$8,1,0)</f>
        <v>0</v>
      </c>
      <c r="H376" s="5">
        <f t="shared" si="3"/>
        <v>2</v>
      </c>
      <c r="I376" s="13">
        <f>AVERAGE(ABS('Precinct Vote Data'!H1454-$D$5),ABS('Precinct Vote Data'!H1455-$D$6),ABS('Precinct Vote Data'!H1456-$D$7),ABS('Precinct Vote Data'!H1457-$D$8))</f>
        <v>0.02278685685</v>
      </c>
      <c r="J376" s="14" t="str">
        <f>IF(AND(H376=4,I376=MIN(K13:K420)),"&lt;&lt; MAGIC PRECINCT","")</f>
        <v/>
      </c>
      <c r="K376" s="5" t="str">
        <f t="shared" si="4"/>
        <v/>
      </c>
    </row>
    <row r="377" ht="15.0" customHeight="1">
      <c r="A377" s="5" t="s">
        <v>327</v>
      </c>
      <c r="B377" s="5" t="s">
        <v>367</v>
      </c>
      <c r="C377" s="5" t="s">
        <v>206</v>
      </c>
      <c r="D377" s="5">
        <f>IF(IF('Precinct Vote Data'!H1458&gt;0.5,"D","R")=$E$5,1,0)</f>
        <v>0</v>
      </c>
      <c r="E377" s="5">
        <f>IF(IF('Precinct Vote Data'!H1459&gt;0.5,"D","R")=$E$6,1,0)</f>
        <v>0</v>
      </c>
      <c r="F377" s="5">
        <f>IF(IF('Precinct Vote Data'!H1460&gt;0.5,"D","R")=$E$7,1,0)</f>
        <v>0</v>
      </c>
      <c r="G377" s="5">
        <f>IF(IF('Precinct Vote Data'!H1461&gt;0.5,"D","R")=$E$8,1,0)</f>
        <v>0</v>
      </c>
      <c r="H377" s="5">
        <f t="shared" si="3"/>
        <v>0</v>
      </c>
      <c r="I377" s="13">
        <f>AVERAGE(ABS('Precinct Vote Data'!H1458-$D$5),ABS('Precinct Vote Data'!H1459-$D$6),ABS('Precinct Vote Data'!H1460-$D$7),ABS('Precinct Vote Data'!H1461-$D$8))</f>
        <v>0.05942618839</v>
      </c>
      <c r="J377" s="14" t="str">
        <f>IF(AND(H377=4,I377=MIN(K13:K420)),"&lt;&lt; MAGIC PRECINCT","")</f>
        <v/>
      </c>
      <c r="K377" s="5" t="str">
        <f t="shared" si="4"/>
        <v/>
      </c>
    </row>
    <row r="378" ht="15.0" customHeight="1">
      <c r="A378" s="5" t="s">
        <v>327</v>
      </c>
      <c r="B378" s="5" t="s">
        <v>367</v>
      </c>
      <c r="C378" s="5" t="s">
        <v>208</v>
      </c>
      <c r="D378" s="5">
        <f>IF(IF('Precinct Vote Data'!H1462&gt;0.5,"D","R")=$E$5,1,0)</f>
        <v>1</v>
      </c>
      <c r="E378" s="5">
        <f>IF(IF('Precinct Vote Data'!H1463&gt;0.5,"D","R")=$E$6,1,0)</f>
        <v>0</v>
      </c>
      <c r="F378" s="5">
        <f>IF(IF('Precinct Vote Data'!H1464&gt;0.5,"D","R")=$E$7,1,0)</f>
        <v>1</v>
      </c>
      <c r="G378" s="5">
        <f>IF(IF('Precinct Vote Data'!H1465&gt;0.5,"D","R")=$E$8,1,0)</f>
        <v>1</v>
      </c>
      <c r="H378" s="5">
        <f t="shared" si="3"/>
        <v>3</v>
      </c>
      <c r="I378" s="13">
        <f>AVERAGE(ABS('Precinct Vote Data'!H1462-$D$5),ABS('Precinct Vote Data'!H1463-$D$6),ABS('Precinct Vote Data'!H1464-$D$7),ABS('Precinct Vote Data'!H1465-$D$8))</f>
        <v>0.0144726976</v>
      </c>
      <c r="J378" s="14" t="str">
        <f>IF(AND(H378=4,I378=MIN(K13:K420)),"&lt;&lt; MAGIC PRECINCT","")</f>
        <v/>
      </c>
      <c r="K378" s="5" t="str">
        <f t="shared" si="4"/>
        <v/>
      </c>
    </row>
    <row r="379" ht="15.0" customHeight="1">
      <c r="A379" s="5" t="s">
        <v>327</v>
      </c>
      <c r="B379" s="5" t="s">
        <v>368</v>
      </c>
      <c r="C379" s="5" t="s">
        <v>210</v>
      </c>
      <c r="D379" s="5">
        <f>IF(IF('Precinct Vote Data'!H1466&gt;0.5,"D","R")=$E$5,1,0)</f>
        <v>0</v>
      </c>
      <c r="E379" s="5">
        <f>IF(IF('Precinct Vote Data'!H1467&gt;0.5,"D","R")=$E$6,1,0)</f>
        <v>0</v>
      </c>
      <c r="F379" s="5">
        <f>IF(IF('Precinct Vote Data'!H1468&gt;0.5,"D","R")=$E$7,1,0)</f>
        <v>0</v>
      </c>
      <c r="G379" s="5">
        <f>IF(IF('Precinct Vote Data'!H1469&gt;0.5,"D","R")=$E$8,1,0)</f>
        <v>0</v>
      </c>
      <c r="H379" s="5">
        <f t="shared" si="3"/>
        <v>0</v>
      </c>
      <c r="I379" s="13">
        <f>AVERAGE(ABS('Precinct Vote Data'!H1466-$D$5),ABS('Precinct Vote Data'!H1467-$D$6),ABS('Precinct Vote Data'!H1468-$D$7),ABS('Precinct Vote Data'!H1469-$D$8))</f>
        <v>0.04048443844</v>
      </c>
      <c r="J379" s="14" t="str">
        <f>IF(AND(H379=4,I379=MIN(K13:K420)),"&lt;&lt; MAGIC PRECINCT","")</f>
        <v/>
      </c>
      <c r="K379" s="5" t="str">
        <f t="shared" si="4"/>
        <v/>
      </c>
    </row>
    <row r="380" ht="15.0" customHeight="1">
      <c r="A380" s="5" t="s">
        <v>327</v>
      </c>
      <c r="B380" s="5" t="s">
        <v>368</v>
      </c>
      <c r="C380" s="5" t="s">
        <v>211</v>
      </c>
      <c r="D380" s="5">
        <f>IF(IF('Precinct Vote Data'!H1470&gt;0.5,"D","R")=$E$5,1,0)</f>
        <v>1</v>
      </c>
      <c r="E380" s="5">
        <f>IF(IF('Precinct Vote Data'!H1471&gt;0.5,"D","R")=$E$6,1,0)</f>
        <v>0</v>
      </c>
      <c r="F380" s="5">
        <f>IF(IF('Precinct Vote Data'!H1472&gt;0.5,"D","R")=$E$7,1,0)</f>
        <v>1</v>
      </c>
      <c r="G380" s="5">
        <f>IF(IF('Precinct Vote Data'!H1473&gt;0.5,"D","R")=$E$8,1,0)</f>
        <v>0</v>
      </c>
      <c r="H380" s="5">
        <f t="shared" si="3"/>
        <v>2</v>
      </c>
      <c r="I380" s="13">
        <f>AVERAGE(ABS('Precinct Vote Data'!H1470-$D$5),ABS('Precinct Vote Data'!H1471-$D$6),ABS('Precinct Vote Data'!H1472-$D$7),ABS('Precinct Vote Data'!H1473-$D$8))</f>
        <v>0.02414843667</v>
      </c>
      <c r="J380" s="14" t="str">
        <f>IF(AND(H380=4,I380=MIN(K13:K420)),"&lt;&lt; MAGIC PRECINCT","")</f>
        <v/>
      </c>
      <c r="K380" s="5" t="str">
        <f t="shared" si="4"/>
        <v/>
      </c>
    </row>
    <row r="381" ht="15.0" customHeight="1">
      <c r="A381" s="5" t="s">
        <v>327</v>
      </c>
      <c r="B381" s="5" t="s">
        <v>368</v>
      </c>
      <c r="C381" s="5" t="s">
        <v>212</v>
      </c>
      <c r="D381" s="5">
        <f>IF(IF('Precinct Vote Data'!H1474&gt;0.5,"D","R")=$E$5,1,0)</f>
        <v>0</v>
      </c>
      <c r="E381" s="5">
        <f>IF(IF('Precinct Vote Data'!H1475&gt;0.5,"D","R")=$E$6,1,0)</f>
        <v>0</v>
      </c>
      <c r="F381" s="5">
        <f>IF(IF('Precinct Vote Data'!H1476&gt;0.5,"D","R")=$E$7,1,0)</f>
        <v>0</v>
      </c>
      <c r="G381" s="5">
        <f>IF(IF('Precinct Vote Data'!H1477&gt;0.5,"D","R")=$E$8,1,0)</f>
        <v>0</v>
      </c>
      <c r="H381" s="5">
        <f t="shared" si="3"/>
        <v>0</v>
      </c>
      <c r="I381" s="13">
        <f>AVERAGE(ABS('Precinct Vote Data'!H1474-$D$5),ABS('Precinct Vote Data'!H1475-$D$6),ABS('Precinct Vote Data'!H1476-$D$7),ABS('Precinct Vote Data'!H1477-$D$8))</f>
        <v>0.04521561755</v>
      </c>
      <c r="J381" s="14" t="str">
        <f>IF(AND(H381=4,I381=MIN(K13:K420)),"&lt;&lt; MAGIC PRECINCT","")</f>
        <v/>
      </c>
      <c r="K381" s="5" t="str">
        <f t="shared" si="4"/>
        <v/>
      </c>
    </row>
    <row r="382" ht="15.0" customHeight="1">
      <c r="A382" s="5" t="s">
        <v>327</v>
      </c>
      <c r="B382" s="5" t="s">
        <v>368</v>
      </c>
      <c r="C382" s="5" t="s">
        <v>214</v>
      </c>
      <c r="D382" s="5">
        <f>IF(IF('Precinct Vote Data'!H1478&gt;0.5,"D","R")=$E$5,1,0)</f>
        <v>0</v>
      </c>
      <c r="E382" s="5">
        <f>IF(IF('Precinct Vote Data'!H1479&gt;0.5,"D","R")=$E$6,1,0)</f>
        <v>0</v>
      </c>
      <c r="F382" s="5">
        <f>IF(IF('Precinct Vote Data'!H1480&gt;0.5,"D","R")=$E$7,1,0)</f>
        <v>0</v>
      </c>
      <c r="G382" s="5">
        <f>IF(IF('Precinct Vote Data'!H1481&gt;0.5,"D","R")=$E$8,1,0)</f>
        <v>0</v>
      </c>
      <c r="H382" s="5">
        <f t="shared" si="3"/>
        <v>0</v>
      </c>
      <c r="I382" s="13">
        <f>AVERAGE(ABS('Precinct Vote Data'!H1478-$D$5),ABS('Precinct Vote Data'!H1479-$D$6),ABS('Precinct Vote Data'!H1480-$D$7),ABS('Precinct Vote Data'!H1481-$D$8))</f>
        <v>0.04730442261</v>
      </c>
      <c r="J382" s="14" t="str">
        <f>IF(AND(H382=4,I382=MIN(K13:K420)),"&lt;&lt; MAGIC PRECINCT","")</f>
        <v/>
      </c>
      <c r="K382" s="5" t="str">
        <f t="shared" si="4"/>
        <v/>
      </c>
    </row>
    <row r="383" ht="15.0" customHeight="1">
      <c r="A383" s="5" t="s">
        <v>327</v>
      </c>
      <c r="B383" s="5" t="s">
        <v>369</v>
      </c>
      <c r="C383" s="5" t="s">
        <v>216</v>
      </c>
      <c r="D383" s="5">
        <f>IF(IF('Precinct Vote Data'!H1482&gt;0.5,"D","R")=$E$5,1,0)</f>
        <v>1</v>
      </c>
      <c r="E383" s="5">
        <f>IF(IF('Precinct Vote Data'!H1483&gt;0.5,"D","R")=$E$6,1,0)</f>
        <v>1</v>
      </c>
      <c r="F383" s="5">
        <f>IF(IF('Precinct Vote Data'!H1484&gt;0.5,"D","R")=$E$7,1,0)</f>
        <v>1</v>
      </c>
      <c r="G383" s="5">
        <f>IF(IF('Precinct Vote Data'!H1485&gt;0.5,"D","R")=$E$8,1,0)</f>
        <v>1</v>
      </c>
      <c r="H383" s="5">
        <f t="shared" si="3"/>
        <v>4</v>
      </c>
      <c r="I383" s="13">
        <f>AVERAGE(ABS('Precinct Vote Data'!H1482-$D$5),ABS('Precinct Vote Data'!H1483-$D$6),ABS('Precinct Vote Data'!H1484-$D$7),ABS('Precinct Vote Data'!H1485-$D$8))</f>
        <v>0.05256200918</v>
      </c>
      <c r="J383" s="14" t="str">
        <f>IF(AND(H383=4,I383=MIN(K13:K420)),"&lt;&lt; MAGIC PRECINCT","")</f>
        <v/>
      </c>
      <c r="K383" s="13">
        <f t="shared" si="4"/>
        <v>0.05256200918</v>
      </c>
    </row>
    <row r="384" ht="15.0" customHeight="1">
      <c r="A384" s="5" t="s">
        <v>327</v>
      </c>
      <c r="B384" s="5" t="s">
        <v>369</v>
      </c>
      <c r="C384" s="5" t="s">
        <v>217</v>
      </c>
      <c r="D384" s="5">
        <f>IF(IF('Precinct Vote Data'!H1486&gt;0.5,"D","R")=$E$5,1,0)</f>
        <v>1</v>
      </c>
      <c r="E384" s="5">
        <f>IF(IF('Precinct Vote Data'!H1487&gt;0.5,"D","R")=$E$6,1,0)</f>
        <v>0</v>
      </c>
      <c r="F384" s="5">
        <f>IF(IF('Precinct Vote Data'!H1488&gt;0.5,"D","R")=$E$7,1,0)</f>
        <v>0</v>
      </c>
      <c r="G384" s="5">
        <f>IF(IF('Precinct Vote Data'!H1489&gt;0.5,"D","R")=$E$8,1,0)</f>
        <v>0</v>
      </c>
      <c r="H384" s="5">
        <f t="shared" si="3"/>
        <v>1</v>
      </c>
      <c r="I384" s="13">
        <f>AVERAGE(ABS('Precinct Vote Data'!H1486-$D$5),ABS('Precinct Vote Data'!H1487-$D$6),ABS('Precinct Vote Data'!H1488-$D$7),ABS('Precinct Vote Data'!H1489-$D$8))</f>
        <v>0.02476889658</v>
      </c>
      <c r="J384" s="14" t="str">
        <f>IF(AND(H384=4,I384=MIN(K13:K420)),"&lt;&lt; MAGIC PRECINCT","")</f>
        <v/>
      </c>
      <c r="K384" s="5" t="str">
        <f t="shared" si="4"/>
        <v/>
      </c>
    </row>
    <row r="385" ht="15.0" customHeight="1">
      <c r="A385" s="5" t="s">
        <v>327</v>
      </c>
      <c r="B385" s="5" t="s">
        <v>369</v>
      </c>
      <c r="C385" s="5" t="s">
        <v>218</v>
      </c>
      <c r="D385" s="5">
        <f>IF(IF('Precinct Vote Data'!H1490&gt;0.5,"D","R")=$E$5,1,0)</f>
        <v>1</v>
      </c>
      <c r="E385" s="5">
        <f>IF(IF('Precinct Vote Data'!H1491&gt;0.5,"D","R")=$E$6,1,0)</f>
        <v>0</v>
      </c>
      <c r="F385" s="5">
        <f>IF(IF('Precinct Vote Data'!H1492&gt;0.5,"D","R")=$E$7,1,0)</f>
        <v>1</v>
      </c>
      <c r="G385" s="5">
        <f>IF(IF('Precinct Vote Data'!H1493&gt;0.5,"D","R")=$E$8,1,0)</f>
        <v>1</v>
      </c>
      <c r="H385" s="5">
        <f t="shared" si="3"/>
        <v>3</v>
      </c>
      <c r="I385" s="13">
        <f>AVERAGE(ABS('Precinct Vote Data'!H1490-$D$5),ABS('Precinct Vote Data'!H1491-$D$6),ABS('Precinct Vote Data'!H1492-$D$7),ABS('Precinct Vote Data'!H1493-$D$8))</f>
        <v>0.014406094</v>
      </c>
      <c r="J385" s="14" t="str">
        <f>IF(AND(H385=4,I385=MIN(K13:K420)),"&lt;&lt; MAGIC PRECINCT","")</f>
        <v/>
      </c>
      <c r="K385" s="5" t="str">
        <f t="shared" si="4"/>
        <v/>
      </c>
    </row>
    <row r="386" ht="15.0" customHeight="1">
      <c r="A386" s="5" t="s">
        <v>327</v>
      </c>
      <c r="B386" s="5" t="s">
        <v>369</v>
      </c>
      <c r="C386" s="5" t="s">
        <v>219</v>
      </c>
      <c r="D386" s="5">
        <f>IF(IF('Precinct Vote Data'!H1494&gt;0.5,"D","R")=$E$5,1,0)</f>
        <v>1</v>
      </c>
      <c r="E386" s="5">
        <f>IF(IF('Precinct Vote Data'!H1495&gt;0.5,"D","R")=$E$6,1,0)</f>
        <v>0</v>
      </c>
      <c r="F386" s="5">
        <f>IF(IF('Precinct Vote Data'!H1496&gt;0.5,"D","R")=$E$7,1,0)</f>
        <v>0</v>
      </c>
      <c r="G386" s="5">
        <f>IF(IF('Precinct Vote Data'!H1497&gt;0.5,"D","R")=$E$8,1,0)</f>
        <v>0</v>
      </c>
      <c r="H386" s="5">
        <f t="shared" si="3"/>
        <v>1</v>
      </c>
      <c r="I386" s="13">
        <f>AVERAGE(ABS('Precinct Vote Data'!H1494-$D$5),ABS('Precinct Vote Data'!H1495-$D$6),ABS('Precinct Vote Data'!H1496-$D$7),ABS('Precinct Vote Data'!H1497-$D$8))</f>
        <v>0.03493498039</v>
      </c>
      <c r="J386" s="14" t="str">
        <f>IF(AND(H386=4,I386=MIN(K13:K420)),"&lt;&lt; MAGIC PRECINCT","")</f>
        <v/>
      </c>
      <c r="K386" s="5" t="str">
        <f t="shared" si="4"/>
        <v/>
      </c>
    </row>
    <row r="387" ht="15.0" customHeight="1">
      <c r="A387" s="5" t="s">
        <v>327</v>
      </c>
      <c r="B387" s="5" t="s">
        <v>369</v>
      </c>
      <c r="C387" s="5" t="s">
        <v>223</v>
      </c>
      <c r="D387" s="5">
        <f>IF(IF('Precinct Vote Data'!H1498&gt;0.5,"D","R")=$E$5,1,0)</f>
        <v>1</v>
      </c>
      <c r="E387" s="5">
        <f>IF(IF('Precinct Vote Data'!H1499&gt;0.5,"D","R")=$E$6,1,0)</f>
        <v>1</v>
      </c>
      <c r="F387" s="5">
        <f>IF(IF('Precinct Vote Data'!H1500&gt;0.5,"D","R")=$E$7,1,0)</f>
        <v>1</v>
      </c>
      <c r="G387" s="5">
        <f>IF(IF('Precinct Vote Data'!H1501&gt;0.5,"D","R")=$E$8,1,0)</f>
        <v>1</v>
      </c>
      <c r="H387" s="5">
        <f t="shared" si="3"/>
        <v>4</v>
      </c>
      <c r="I387" s="13">
        <f>AVERAGE(ABS('Precinct Vote Data'!H1498-$D$5),ABS('Precinct Vote Data'!H1499-$D$6),ABS('Precinct Vote Data'!H1500-$D$7),ABS('Precinct Vote Data'!H1501-$D$8))</f>
        <v>0.03531946471</v>
      </c>
      <c r="J387" s="14" t="str">
        <f>IF(AND(H387=4,I387=MIN(K13:K420)),"&lt;&lt; MAGIC PRECINCT","")</f>
        <v/>
      </c>
      <c r="K387" s="13">
        <f t="shared" si="4"/>
        <v>0.03531946471</v>
      </c>
    </row>
    <row r="388" ht="15.0" customHeight="1">
      <c r="A388" s="5" t="s">
        <v>327</v>
      </c>
      <c r="B388" s="5" t="s">
        <v>369</v>
      </c>
      <c r="C388" s="5" t="s">
        <v>224</v>
      </c>
      <c r="D388" s="5">
        <f>IF(IF('Precinct Vote Data'!H1502&gt;0.5,"D","R")=$E$5,1,0)</f>
        <v>0</v>
      </c>
      <c r="E388" s="5">
        <f>IF(IF('Precinct Vote Data'!H1503&gt;0.5,"D","R")=$E$6,1,0)</f>
        <v>0</v>
      </c>
      <c r="F388" s="5">
        <f>IF(IF('Precinct Vote Data'!H1504&gt;0.5,"D","R")=$E$7,1,0)</f>
        <v>0</v>
      </c>
      <c r="G388" s="5">
        <f>IF(IF('Precinct Vote Data'!H1505&gt;0.5,"D","R")=$E$8,1,0)</f>
        <v>0</v>
      </c>
      <c r="H388" s="5">
        <f t="shared" si="3"/>
        <v>0</v>
      </c>
      <c r="I388" s="13">
        <f>AVERAGE(ABS('Precinct Vote Data'!H1502-$D$5),ABS('Precinct Vote Data'!H1503-$D$6),ABS('Precinct Vote Data'!H1504-$D$7),ABS('Precinct Vote Data'!H1505-$D$8))</f>
        <v>0.03061362613</v>
      </c>
      <c r="J388" s="14" t="str">
        <f>IF(AND(H388=4,I388=MIN(K13:K420)),"&lt;&lt; MAGIC PRECINCT","")</f>
        <v/>
      </c>
      <c r="K388" s="5" t="str">
        <f t="shared" si="4"/>
        <v/>
      </c>
    </row>
    <row r="389" ht="15.0" customHeight="1">
      <c r="A389" s="5" t="s">
        <v>327</v>
      </c>
      <c r="B389" s="5" t="s">
        <v>369</v>
      </c>
      <c r="C389" s="5" t="s">
        <v>225</v>
      </c>
      <c r="D389" s="5">
        <f>IF(IF('Precinct Vote Data'!H1506&gt;0.5,"D","R")=$E$5,1,0)</f>
        <v>1</v>
      </c>
      <c r="E389" s="5">
        <f>IF(IF('Precinct Vote Data'!H1507&gt;0.5,"D","R")=$E$6,1,0)</f>
        <v>0</v>
      </c>
      <c r="F389" s="5">
        <f>IF(IF('Precinct Vote Data'!H1508&gt;0.5,"D","R")=$E$7,1,0)</f>
        <v>0</v>
      </c>
      <c r="G389" s="5">
        <f>IF(IF('Precinct Vote Data'!H1509&gt;0.5,"D","R")=$E$8,1,0)</f>
        <v>0</v>
      </c>
      <c r="H389" s="5">
        <f t="shared" si="3"/>
        <v>1</v>
      </c>
      <c r="I389" s="13">
        <f>AVERAGE(ABS('Precinct Vote Data'!H1506-$D$5),ABS('Precinct Vote Data'!H1507-$D$6),ABS('Precinct Vote Data'!H1508-$D$7),ABS('Precinct Vote Data'!H1509-$D$8))</f>
        <v>0.0482575612</v>
      </c>
      <c r="J389" s="14" t="str">
        <f>IF(AND(H389=4,I389=MIN(K13:K420)),"&lt;&lt; MAGIC PRECINCT","")</f>
        <v/>
      </c>
      <c r="K389" s="5" t="str">
        <f t="shared" si="4"/>
        <v/>
      </c>
    </row>
    <row r="390" ht="15.0" customHeight="1">
      <c r="A390" s="5" t="s">
        <v>327</v>
      </c>
      <c r="B390" s="5" t="s">
        <v>370</v>
      </c>
      <c r="C390" s="5" t="s">
        <v>227</v>
      </c>
      <c r="D390" s="5">
        <f>IF(IF('Precinct Vote Data'!H1510&gt;0.5,"D","R")=$E$5,1,0)</f>
        <v>0</v>
      </c>
      <c r="E390" s="5">
        <f>IF(IF('Precinct Vote Data'!H1511&gt;0.5,"D","R")=$E$6,1,0)</f>
        <v>0</v>
      </c>
      <c r="F390" s="5">
        <f>IF(IF('Precinct Vote Data'!H1512&gt;0.5,"D","R")=$E$7,1,0)</f>
        <v>0</v>
      </c>
      <c r="G390" s="5">
        <f>IF(IF('Precinct Vote Data'!H1513&gt;0.5,"D","R")=$E$8,1,0)</f>
        <v>0</v>
      </c>
      <c r="H390" s="5">
        <f t="shared" si="3"/>
        <v>0</v>
      </c>
      <c r="I390" s="13">
        <f>AVERAGE(ABS('Precinct Vote Data'!H1510-$D$5),ABS('Precinct Vote Data'!H1511-$D$6),ABS('Precinct Vote Data'!H1512-$D$7),ABS('Precinct Vote Data'!H1513-$D$8))</f>
        <v>0.1250570503</v>
      </c>
      <c r="J390" s="14" t="str">
        <f>IF(AND(H390=4,I390=MIN(K13:K420)),"&lt;&lt; MAGIC PRECINCT","")</f>
        <v/>
      </c>
      <c r="K390" s="5" t="str">
        <f t="shared" si="4"/>
        <v/>
      </c>
    </row>
    <row r="391" ht="15.0" customHeight="1">
      <c r="A391" s="5" t="s">
        <v>327</v>
      </c>
      <c r="B391" s="5" t="s">
        <v>370</v>
      </c>
      <c r="C391" s="5" t="s">
        <v>228</v>
      </c>
      <c r="D391" s="5">
        <f>IF(IF('Precinct Vote Data'!H1514&gt;0.5,"D","R")=$E$5,1,0)</f>
        <v>0</v>
      </c>
      <c r="E391" s="5">
        <f>IF(IF('Precinct Vote Data'!H1515&gt;0.5,"D","R")=$E$6,1,0)</f>
        <v>0</v>
      </c>
      <c r="F391" s="5">
        <f>IF(IF('Precinct Vote Data'!H1516&gt;0.5,"D","R")=$E$7,1,0)</f>
        <v>0</v>
      </c>
      <c r="G391" s="5">
        <f>IF(IF('Precinct Vote Data'!H1517&gt;0.5,"D","R")=$E$8,1,0)</f>
        <v>0</v>
      </c>
      <c r="H391" s="5">
        <f t="shared" si="3"/>
        <v>0</v>
      </c>
      <c r="I391" s="13">
        <f>AVERAGE(ABS('Precinct Vote Data'!H1514-$D$5),ABS('Precinct Vote Data'!H1515-$D$6),ABS('Precinct Vote Data'!H1516-$D$7),ABS('Precinct Vote Data'!H1517-$D$8))</f>
        <v>0.1714447582</v>
      </c>
      <c r="J391" s="14" t="str">
        <f>IF(AND(H391=4,I391=MIN(K13:K420)),"&lt;&lt; MAGIC PRECINCT","")</f>
        <v/>
      </c>
      <c r="K391" s="5" t="str">
        <f t="shared" si="4"/>
        <v/>
      </c>
    </row>
    <row r="392" ht="15.0" customHeight="1">
      <c r="A392" s="5" t="s">
        <v>327</v>
      </c>
      <c r="B392" s="5" t="s">
        <v>370</v>
      </c>
      <c r="C392" s="5" t="s">
        <v>371</v>
      </c>
      <c r="D392" s="5">
        <f>IF(IF('Precinct Vote Data'!H1518&gt;0.5,"D","R")=$E$5,1,0)</f>
        <v>0</v>
      </c>
      <c r="E392" s="5">
        <f>IF(IF('Precinct Vote Data'!H1519&gt;0.5,"D","R")=$E$6,1,0)</f>
        <v>0</v>
      </c>
      <c r="F392" s="5">
        <f>IF(IF('Precinct Vote Data'!H1520&gt;0.5,"D","R")=$E$7,1,0)</f>
        <v>0</v>
      </c>
      <c r="G392" s="5">
        <f>IF(IF('Precinct Vote Data'!H1521&gt;0.5,"D","R")=$E$8,1,0)</f>
        <v>0</v>
      </c>
      <c r="H392" s="5">
        <f t="shared" si="3"/>
        <v>0</v>
      </c>
      <c r="I392" s="13">
        <f>AVERAGE(ABS('Precinct Vote Data'!H1518-$D$5),ABS('Precinct Vote Data'!H1519-$D$6),ABS('Precinct Vote Data'!H1520-$D$7),ABS('Precinct Vote Data'!H1521-$D$8))</f>
        <v>0.08035682052</v>
      </c>
      <c r="J392" s="14" t="str">
        <f>IF(AND(H392=4,I392=MIN(K13:K420)),"&lt;&lt; MAGIC PRECINCT","")</f>
        <v/>
      </c>
      <c r="K392" s="5" t="str">
        <f t="shared" si="4"/>
        <v/>
      </c>
    </row>
    <row r="393" ht="15.0" customHeight="1">
      <c r="A393" s="5" t="s">
        <v>327</v>
      </c>
      <c r="B393" s="5" t="s">
        <v>370</v>
      </c>
      <c r="C393" s="5" t="s">
        <v>230</v>
      </c>
      <c r="D393" s="5">
        <f>IF(IF('Precinct Vote Data'!H1522&gt;0.5,"D","R")=$E$5,1,0)</f>
        <v>0</v>
      </c>
      <c r="E393" s="5">
        <f>IF(IF('Precinct Vote Data'!H1523&gt;0.5,"D","R")=$E$6,1,0)</f>
        <v>0</v>
      </c>
      <c r="F393" s="5">
        <f>IF(IF('Precinct Vote Data'!H1524&gt;0.5,"D","R")=$E$7,1,0)</f>
        <v>0</v>
      </c>
      <c r="G393" s="5">
        <f>IF(IF('Precinct Vote Data'!H1525&gt;0.5,"D","R")=$E$8,1,0)</f>
        <v>0</v>
      </c>
      <c r="H393" s="5">
        <f t="shared" si="3"/>
        <v>0</v>
      </c>
      <c r="I393" s="13">
        <f>AVERAGE(ABS('Precinct Vote Data'!H1522-$D$5),ABS('Precinct Vote Data'!H1523-$D$6),ABS('Precinct Vote Data'!H1524-$D$7),ABS('Precinct Vote Data'!H1525-$D$8))</f>
        <v>0.07340584078</v>
      </c>
      <c r="J393" s="14" t="str">
        <f>IF(AND(H393=4,I393=MIN(K13:K420)),"&lt;&lt; MAGIC PRECINCT","")</f>
        <v/>
      </c>
      <c r="K393" s="5" t="str">
        <f t="shared" si="4"/>
        <v/>
      </c>
    </row>
    <row r="394" ht="15.0" customHeight="1">
      <c r="A394" s="5" t="s">
        <v>327</v>
      </c>
      <c r="B394" s="5" t="s">
        <v>372</v>
      </c>
      <c r="C394" s="5" t="s">
        <v>232</v>
      </c>
      <c r="D394" s="5">
        <f>IF(IF('Precinct Vote Data'!H1526&gt;0.5,"D","R")=$E$5,1,0)</f>
        <v>0</v>
      </c>
      <c r="E394" s="5">
        <f>IF(IF('Precinct Vote Data'!H1527&gt;0.5,"D","R")=$E$6,1,0)</f>
        <v>0</v>
      </c>
      <c r="F394" s="5">
        <f>IF(IF('Precinct Vote Data'!H1528&gt;0.5,"D","R")=$E$7,1,0)</f>
        <v>0</v>
      </c>
      <c r="G394" s="5">
        <f>IF(IF('Precinct Vote Data'!H1529&gt;0.5,"D","R")=$E$8,1,0)</f>
        <v>0</v>
      </c>
      <c r="H394" s="5">
        <f t="shared" si="3"/>
        <v>0</v>
      </c>
      <c r="I394" s="13">
        <f>AVERAGE(ABS('Precinct Vote Data'!H1526-$D$5),ABS('Precinct Vote Data'!H1527-$D$6),ABS('Precinct Vote Data'!H1528-$D$7),ABS('Precinct Vote Data'!H1529-$D$8))</f>
        <v>0.1517329301</v>
      </c>
      <c r="J394" s="14" t="str">
        <f>IF(AND(H394=4,I394=MIN(K13:K420)),"&lt;&lt; MAGIC PRECINCT","")</f>
        <v/>
      </c>
      <c r="K394" s="5" t="str">
        <f t="shared" si="4"/>
        <v/>
      </c>
    </row>
    <row r="395" ht="15.0" customHeight="1">
      <c r="A395" s="5" t="s">
        <v>327</v>
      </c>
      <c r="B395" s="5" t="s">
        <v>372</v>
      </c>
      <c r="C395" s="5" t="s">
        <v>233</v>
      </c>
      <c r="D395" s="5">
        <f>IF(IF('Precinct Vote Data'!H1530&gt;0.5,"D","R")=$E$5,1,0)</f>
        <v>0</v>
      </c>
      <c r="E395" s="5">
        <f>IF(IF('Precinct Vote Data'!H1531&gt;0.5,"D","R")=$E$6,1,0)</f>
        <v>0</v>
      </c>
      <c r="F395" s="5">
        <f>IF(IF('Precinct Vote Data'!H1532&gt;0.5,"D","R")=$E$7,1,0)</f>
        <v>0</v>
      </c>
      <c r="G395" s="5">
        <f>IF(IF('Precinct Vote Data'!H1533&gt;0.5,"D","R")=$E$8,1,0)</f>
        <v>0</v>
      </c>
      <c r="H395" s="5">
        <f t="shared" si="3"/>
        <v>0</v>
      </c>
      <c r="I395" s="13">
        <f>AVERAGE(ABS('Precinct Vote Data'!H1530-$D$5),ABS('Precinct Vote Data'!H1531-$D$6),ABS('Precinct Vote Data'!H1532-$D$7),ABS('Precinct Vote Data'!H1533-$D$8))</f>
        <v>0.1324808393</v>
      </c>
      <c r="J395" s="14" t="str">
        <f>IF(AND(H395=4,I395=MIN(K13:K420)),"&lt;&lt; MAGIC PRECINCT","")</f>
        <v/>
      </c>
      <c r="K395" s="5" t="str">
        <f t="shared" si="4"/>
        <v/>
      </c>
    </row>
    <row r="396" ht="15.0" customHeight="1">
      <c r="A396" s="5" t="s">
        <v>327</v>
      </c>
      <c r="B396" s="5" t="s">
        <v>372</v>
      </c>
      <c r="C396" s="5" t="s">
        <v>234</v>
      </c>
      <c r="D396" s="5">
        <f>IF(IF('Precinct Vote Data'!H1534&gt;0.5,"D","R")=$E$5,1,0)</f>
        <v>0</v>
      </c>
      <c r="E396" s="5">
        <f>IF(IF('Precinct Vote Data'!H1535&gt;0.5,"D","R")=$E$6,1,0)</f>
        <v>0</v>
      </c>
      <c r="F396" s="5">
        <f>IF(IF('Precinct Vote Data'!H1536&gt;0.5,"D","R")=$E$7,1,0)</f>
        <v>0</v>
      </c>
      <c r="G396" s="5">
        <f>IF(IF('Precinct Vote Data'!H1537&gt;0.5,"D","R")=$E$8,1,0)</f>
        <v>0</v>
      </c>
      <c r="H396" s="5">
        <f t="shared" si="3"/>
        <v>0</v>
      </c>
      <c r="I396" s="13">
        <f>AVERAGE(ABS('Precinct Vote Data'!H1534-$D$5),ABS('Precinct Vote Data'!H1535-$D$6),ABS('Precinct Vote Data'!H1536-$D$7),ABS('Precinct Vote Data'!H1537-$D$8))</f>
        <v>0.1719152713</v>
      </c>
      <c r="J396" s="14" t="str">
        <f>IF(AND(H396=4,I396=MIN(K13:K420)),"&lt;&lt; MAGIC PRECINCT","")</f>
        <v/>
      </c>
      <c r="K396" s="5" t="str">
        <f t="shared" si="4"/>
        <v/>
      </c>
    </row>
    <row r="397" ht="15.0" customHeight="1">
      <c r="A397" s="5" t="s">
        <v>327</v>
      </c>
      <c r="B397" s="5" t="s">
        <v>372</v>
      </c>
      <c r="C397" s="5" t="s">
        <v>236</v>
      </c>
      <c r="D397" s="5">
        <f>IF(IF('Precinct Vote Data'!H1538&gt;0.5,"D","R")=$E$5,1,0)</f>
        <v>0</v>
      </c>
      <c r="E397" s="5">
        <f>IF(IF('Precinct Vote Data'!H1539&gt;0.5,"D","R")=$E$6,1,0)</f>
        <v>0</v>
      </c>
      <c r="F397" s="5">
        <f>IF(IF('Precinct Vote Data'!H1540&gt;0.5,"D","R")=$E$7,1,0)</f>
        <v>0</v>
      </c>
      <c r="G397" s="5">
        <f>IF(IF('Precinct Vote Data'!H1541&gt;0.5,"D","R")=$E$8,1,0)</f>
        <v>0</v>
      </c>
      <c r="H397" s="5">
        <f t="shared" si="3"/>
        <v>0</v>
      </c>
      <c r="I397" s="13">
        <f>AVERAGE(ABS('Precinct Vote Data'!H1538-$D$5),ABS('Precinct Vote Data'!H1539-$D$6),ABS('Precinct Vote Data'!H1540-$D$7),ABS('Precinct Vote Data'!H1541-$D$8))</f>
        <v>0.1645658626</v>
      </c>
      <c r="J397" s="14" t="str">
        <f>IF(AND(H397=4,I397=MIN(K13:K420)),"&lt;&lt; MAGIC PRECINCT","")</f>
        <v/>
      </c>
      <c r="K397" s="5" t="str">
        <f t="shared" si="4"/>
        <v/>
      </c>
    </row>
    <row r="398" ht="15.0" customHeight="1">
      <c r="A398" s="5" t="s">
        <v>327</v>
      </c>
      <c r="B398" s="5" t="s">
        <v>373</v>
      </c>
      <c r="C398" s="5" t="s">
        <v>237</v>
      </c>
      <c r="D398" s="5">
        <f>IF(IF('Precinct Vote Data'!H1542&gt;0.5,"D","R")=$E$5,1,0)</f>
        <v>0</v>
      </c>
      <c r="E398" s="5">
        <f>IF(IF('Precinct Vote Data'!H1543&gt;0.5,"D","R")=$E$6,1,0)</f>
        <v>0</v>
      </c>
      <c r="F398" s="5">
        <f>IF(IF('Precinct Vote Data'!H1544&gt;0.5,"D","R")=$E$7,1,0)</f>
        <v>0</v>
      </c>
      <c r="G398" s="5">
        <f>IF(IF('Precinct Vote Data'!H1545&gt;0.5,"D","R")=$E$8,1,0)</f>
        <v>0</v>
      </c>
      <c r="H398" s="5">
        <f t="shared" si="3"/>
        <v>0</v>
      </c>
      <c r="I398" s="13">
        <f>AVERAGE(ABS('Precinct Vote Data'!H1542-$D$5),ABS('Precinct Vote Data'!H1543-$D$6),ABS('Precinct Vote Data'!H1544-$D$7),ABS('Precinct Vote Data'!H1545-$D$8))</f>
        <v>0.169261611</v>
      </c>
      <c r="J398" s="14" t="str">
        <f>IF(AND(H398=4,I398=MIN(K13:K420)),"&lt;&lt; MAGIC PRECINCT","")</f>
        <v/>
      </c>
      <c r="K398" s="5" t="str">
        <f t="shared" si="4"/>
        <v/>
      </c>
    </row>
    <row r="399" ht="15.0" customHeight="1">
      <c r="A399" s="5" t="s">
        <v>327</v>
      </c>
      <c r="B399" s="5" t="s">
        <v>374</v>
      </c>
      <c r="C399" s="5" t="s">
        <v>238</v>
      </c>
      <c r="D399" s="5">
        <f>IF(IF('Precinct Vote Data'!H1546&gt;0.5,"D","R")=$E$5,1,0)</f>
        <v>0</v>
      </c>
      <c r="E399" s="5">
        <f>IF(IF('Precinct Vote Data'!H1547&gt;0.5,"D","R")=$E$6,1,0)</f>
        <v>0</v>
      </c>
      <c r="F399" s="5">
        <f>IF(IF('Precinct Vote Data'!H1548&gt;0.5,"D","R")=$E$7,1,0)</f>
        <v>0</v>
      </c>
      <c r="G399" s="5">
        <f>IF(IF('Precinct Vote Data'!H1549&gt;0.5,"D","R")=$E$8,1,0)</f>
        <v>0</v>
      </c>
      <c r="H399" s="5">
        <f t="shared" si="3"/>
        <v>0</v>
      </c>
      <c r="I399" s="13">
        <f>AVERAGE(ABS('Precinct Vote Data'!H1546-$D$5),ABS('Precinct Vote Data'!H1547-$D$6),ABS('Precinct Vote Data'!H1548-$D$7),ABS('Precinct Vote Data'!H1549-$D$8))</f>
        <v>0.1325400335</v>
      </c>
      <c r="J399" s="14" t="str">
        <f>IF(AND(H399=4,I399=MIN(K13:K420)),"&lt;&lt; MAGIC PRECINCT","")</f>
        <v/>
      </c>
      <c r="K399" s="5" t="str">
        <f t="shared" si="4"/>
        <v/>
      </c>
    </row>
    <row r="400" ht="15.0" customHeight="1">
      <c r="A400" s="5" t="s">
        <v>327</v>
      </c>
      <c r="B400" s="5" t="s">
        <v>375</v>
      </c>
      <c r="C400" s="5" t="s">
        <v>239</v>
      </c>
      <c r="D400" s="5">
        <f>IF(IF('Precinct Vote Data'!H1550&gt;0.5,"D","R")=$E$5,1,0)</f>
        <v>0</v>
      </c>
      <c r="E400" s="5">
        <f>IF(IF('Precinct Vote Data'!H1551&gt;0.5,"D","R")=$E$6,1,0)</f>
        <v>0</v>
      </c>
      <c r="F400" s="5">
        <f>IF(IF('Precinct Vote Data'!H1552&gt;0.5,"D","R")=$E$7,1,0)</f>
        <v>0</v>
      </c>
      <c r="G400" s="5">
        <f>IF(IF('Precinct Vote Data'!H1553&gt;0.5,"D","R")=$E$8,1,0)</f>
        <v>0</v>
      </c>
      <c r="H400" s="5">
        <f t="shared" si="3"/>
        <v>0</v>
      </c>
      <c r="I400" s="13">
        <f>AVERAGE(ABS('Precinct Vote Data'!H1550-$D$5),ABS('Precinct Vote Data'!H1551-$D$6),ABS('Precinct Vote Data'!H1552-$D$7),ABS('Precinct Vote Data'!H1553-$D$8))</f>
        <v>0.09673310414</v>
      </c>
      <c r="J400" s="14" t="str">
        <f>IF(AND(H400=4,I400=MIN(K13:K420)),"&lt;&lt; MAGIC PRECINCT","")</f>
        <v/>
      </c>
      <c r="K400" s="5" t="str">
        <f t="shared" si="4"/>
        <v/>
      </c>
    </row>
    <row r="401" ht="15.0" customHeight="1">
      <c r="A401" s="5" t="s">
        <v>327</v>
      </c>
      <c r="B401" s="5" t="s">
        <v>376</v>
      </c>
      <c r="C401" s="5" t="s">
        <v>240</v>
      </c>
      <c r="D401" s="5">
        <f>IF(IF('Precinct Vote Data'!H1554&gt;0.5,"D","R")=$E$5,1,0)</f>
        <v>0</v>
      </c>
      <c r="E401" s="5">
        <f>IF(IF('Precinct Vote Data'!H1555&gt;0.5,"D","R")=$E$6,1,0)</f>
        <v>0</v>
      </c>
      <c r="F401" s="5">
        <f>IF(IF('Precinct Vote Data'!H1556&gt;0.5,"D","R")=$E$7,1,0)</f>
        <v>0</v>
      </c>
      <c r="G401" s="5">
        <f>IF(IF('Precinct Vote Data'!H1557&gt;0.5,"D","R")=$E$8,1,0)</f>
        <v>0</v>
      </c>
      <c r="H401" s="5">
        <f t="shared" si="3"/>
        <v>0</v>
      </c>
      <c r="I401" s="13">
        <f>AVERAGE(ABS('Precinct Vote Data'!H1554-$D$5),ABS('Precinct Vote Data'!H1555-$D$6),ABS('Precinct Vote Data'!H1556-$D$7),ABS('Precinct Vote Data'!H1557-$D$8))</f>
        <v>0.09400473918</v>
      </c>
      <c r="J401" s="14" t="str">
        <f>IF(AND(H401=4,I401=MIN(K13:K420)),"&lt;&lt; MAGIC PRECINCT","")</f>
        <v/>
      </c>
      <c r="K401" s="5" t="str">
        <f t="shared" si="4"/>
        <v/>
      </c>
    </row>
    <row r="402" ht="15.0" customHeight="1">
      <c r="A402" s="5" t="s">
        <v>327</v>
      </c>
      <c r="B402" s="5" t="s">
        <v>377</v>
      </c>
      <c r="C402" s="5" t="s">
        <v>241</v>
      </c>
      <c r="D402" s="5">
        <f>IF(IF('Precinct Vote Data'!H1558&gt;0.5,"D","R")=$E$5,1,0)</f>
        <v>0</v>
      </c>
      <c r="E402" s="5">
        <f>IF(IF('Precinct Vote Data'!H1559&gt;0.5,"D","R")=$E$6,1,0)</f>
        <v>0</v>
      </c>
      <c r="F402" s="5">
        <f>IF(IF('Precinct Vote Data'!H1560&gt;0.5,"D","R")=$E$7,1,0)</f>
        <v>0</v>
      </c>
      <c r="G402" s="5">
        <f>IF(IF('Precinct Vote Data'!H1561&gt;0.5,"D","R")=$E$8,1,0)</f>
        <v>0</v>
      </c>
      <c r="H402" s="5">
        <f t="shared" si="3"/>
        <v>0</v>
      </c>
      <c r="I402" s="13">
        <f>AVERAGE(ABS('Precinct Vote Data'!H1558-$D$5),ABS('Precinct Vote Data'!H1559-$D$6),ABS('Precinct Vote Data'!H1560-$D$7),ABS('Precinct Vote Data'!H1561-$D$8))</f>
        <v>0.2200183152</v>
      </c>
      <c r="J402" s="14" t="str">
        <f>IF(AND(H402=4,I402=MIN(K13:K420)),"&lt;&lt; MAGIC PRECINCT","")</f>
        <v/>
      </c>
      <c r="K402" s="5" t="str">
        <f t="shared" si="4"/>
        <v/>
      </c>
    </row>
    <row r="403" ht="15.0" customHeight="1">
      <c r="A403" s="5" t="s">
        <v>327</v>
      </c>
      <c r="B403" s="5" t="s">
        <v>377</v>
      </c>
      <c r="C403" s="5" t="s">
        <v>242</v>
      </c>
      <c r="D403" s="5">
        <f>IF(IF('Precinct Vote Data'!H1562&gt;0.5,"D","R")=$E$5,1,0)</f>
        <v>0</v>
      </c>
      <c r="E403" s="5">
        <f>IF(IF('Precinct Vote Data'!H1563&gt;0.5,"D","R")=$E$6,1,0)</f>
        <v>0</v>
      </c>
      <c r="F403" s="5">
        <f>IF(IF('Precinct Vote Data'!H1564&gt;0.5,"D","R")=$E$7,1,0)</f>
        <v>0</v>
      </c>
      <c r="G403" s="5">
        <f>IF(IF('Precinct Vote Data'!H1565&gt;0.5,"D","R")=$E$8,1,0)</f>
        <v>0</v>
      </c>
      <c r="H403" s="5">
        <f t="shared" si="3"/>
        <v>0</v>
      </c>
      <c r="I403" s="13">
        <f>AVERAGE(ABS('Precinct Vote Data'!H1562-$D$5),ABS('Precinct Vote Data'!H1563-$D$6),ABS('Precinct Vote Data'!H1564-$D$7),ABS('Precinct Vote Data'!H1565-$D$8))</f>
        <v>0.1773988896</v>
      </c>
      <c r="J403" s="14" t="str">
        <f>IF(AND(H403=4,I403=MIN(K13:K420)),"&lt;&lt; MAGIC PRECINCT","")</f>
        <v/>
      </c>
      <c r="K403" s="5" t="str">
        <f t="shared" si="4"/>
        <v/>
      </c>
    </row>
    <row r="404" ht="15.0" customHeight="1">
      <c r="A404" s="5" t="s">
        <v>327</v>
      </c>
      <c r="B404" s="5" t="s">
        <v>377</v>
      </c>
      <c r="C404" s="5" t="s">
        <v>243</v>
      </c>
      <c r="D404" s="5">
        <f>IF(IF('Precinct Vote Data'!H1566&gt;0.5,"D","R")=$E$5,1,0)</f>
        <v>0</v>
      </c>
      <c r="E404" s="5">
        <f>IF(IF('Precinct Vote Data'!H1567&gt;0.5,"D","R")=$E$6,1,0)</f>
        <v>0</v>
      </c>
      <c r="F404" s="5">
        <f>IF(IF('Precinct Vote Data'!H1568&gt;0.5,"D","R")=$E$7,1,0)</f>
        <v>0</v>
      </c>
      <c r="G404" s="5">
        <f>IF(IF('Precinct Vote Data'!H1569&gt;0.5,"D","R")=$E$8,1,0)</f>
        <v>0</v>
      </c>
      <c r="H404" s="5">
        <f t="shared" si="3"/>
        <v>0</v>
      </c>
      <c r="I404" s="13">
        <f>AVERAGE(ABS('Precinct Vote Data'!H1566-$D$5),ABS('Precinct Vote Data'!H1567-$D$6),ABS('Precinct Vote Data'!H1568-$D$7),ABS('Precinct Vote Data'!H1569-$D$8))</f>
        <v>0.2189023921</v>
      </c>
      <c r="J404" s="14" t="str">
        <f>IF(AND(H404=4,I404=MIN(K13:K420)),"&lt;&lt; MAGIC PRECINCT","")</f>
        <v/>
      </c>
      <c r="K404" s="5" t="str">
        <f t="shared" si="4"/>
        <v/>
      </c>
    </row>
    <row r="405" ht="15.0" customHeight="1">
      <c r="A405" s="5" t="s">
        <v>327</v>
      </c>
      <c r="B405" s="5" t="s">
        <v>377</v>
      </c>
      <c r="C405" s="5" t="s">
        <v>245</v>
      </c>
      <c r="D405" s="5">
        <f>IF(IF('Precinct Vote Data'!H1570&gt;0.5,"D","R")=$E$5,1,0)</f>
        <v>0</v>
      </c>
      <c r="E405" s="5">
        <f>IF(IF('Precinct Vote Data'!H1571&gt;0.5,"D","R")=$E$6,1,0)</f>
        <v>0</v>
      </c>
      <c r="F405" s="5">
        <f>IF(IF('Precinct Vote Data'!H1572&gt;0.5,"D","R")=$E$7,1,0)</f>
        <v>0</v>
      </c>
      <c r="G405" s="5">
        <f>IF(IF('Precinct Vote Data'!H1573&gt;0.5,"D","R")=$E$8,1,0)</f>
        <v>0</v>
      </c>
      <c r="H405" s="5">
        <f t="shared" si="3"/>
        <v>0</v>
      </c>
      <c r="I405" s="13">
        <f>AVERAGE(ABS('Precinct Vote Data'!H1570-$D$5),ABS('Precinct Vote Data'!H1571-$D$6),ABS('Precinct Vote Data'!H1572-$D$7),ABS('Precinct Vote Data'!H1573-$D$8))</f>
        <v>0.187459559</v>
      </c>
      <c r="J405" s="14" t="str">
        <f>IF(AND(H405=4,I405=MIN(K13:K420)),"&lt;&lt; MAGIC PRECINCT","")</f>
        <v/>
      </c>
      <c r="K405" s="5" t="str">
        <f t="shared" si="4"/>
        <v/>
      </c>
    </row>
    <row r="406" ht="15.0" customHeight="1">
      <c r="A406" s="5" t="s">
        <v>327</v>
      </c>
      <c r="B406" s="5" t="s">
        <v>377</v>
      </c>
      <c r="C406" s="5" t="s">
        <v>246</v>
      </c>
      <c r="D406" s="5">
        <f>IF(IF('Precinct Vote Data'!H1574&gt;0.5,"D","R")=$E$5,1,0)</f>
        <v>0</v>
      </c>
      <c r="E406" s="5">
        <f>IF(IF('Precinct Vote Data'!H1575&gt;0.5,"D","R")=$E$6,1,0)</f>
        <v>0</v>
      </c>
      <c r="F406" s="5">
        <f>IF(IF('Precinct Vote Data'!H1576&gt;0.5,"D","R")=$E$7,1,0)</f>
        <v>0</v>
      </c>
      <c r="G406" s="5">
        <f>IF(IF('Precinct Vote Data'!H1577&gt;0.5,"D","R")=$E$8,1,0)</f>
        <v>0</v>
      </c>
      <c r="H406" s="5">
        <f t="shared" si="3"/>
        <v>0</v>
      </c>
      <c r="I406" s="13">
        <f>AVERAGE(ABS('Precinct Vote Data'!H1574-$D$5),ABS('Precinct Vote Data'!H1575-$D$6),ABS('Precinct Vote Data'!H1576-$D$7),ABS('Precinct Vote Data'!H1577-$D$8))</f>
        <v>0.1306393738</v>
      </c>
      <c r="J406" s="14" t="str">
        <f>IF(AND(H406=4,I406=MIN(K13:K420)),"&lt;&lt; MAGIC PRECINCT","")</f>
        <v/>
      </c>
      <c r="K406" s="5" t="str">
        <f t="shared" si="4"/>
        <v/>
      </c>
    </row>
    <row r="407" ht="15.0" customHeight="1">
      <c r="A407" s="5" t="s">
        <v>327</v>
      </c>
      <c r="B407" s="5" t="s">
        <v>378</v>
      </c>
      <c r="C407" s="5" t="s">
        <v>247</v>
      </c>
      <c r="D407" s="5">
        <f>IF(IF('Precinct Vote Data'!H1578&gt;0.5,"D","R")=$E$5,1,0)</f>
        <v>1</v>
      </c>
      <c r="E407" s="5">
        <f>IF(IF('Precinct Vote Data'!H1579&gt;0.5,"D","R")=$E$6,1,0)</f>
        <v>0</v>
      </c>
      <c r="F407" s="5">
        <f>IF(IF('Precinct Vote Data'!H1580&gt;0.5,"D","R")=$E$7,1,0)</f>
        <v>1</v>
      </c>
      <c r="G407" s="5">
        <f>IF(IF('Precinct Vote Data'!H1581&gt;0.5,"D","R")=$E$8,1,0)</f>
        <v>0</v>
      </c>
      <c r="H407" s="5">
        <f t="shared" si="3"/>
        <v>2</v>
      </c>
      <c r="I407" s="13">
        <f>AVERAGE(ABS('Precinct Vote Data'!H1578-$D$5),ABS('Precinct Vote Data'!H1579-$D$6),ABS('Precinct Vote Data'!H1580-$D$7),ABS('Precinct Vote Data'!H1581-$D$8))</f>
        <v>0.03045543108</v>
      </c>
      <c r="J407" s="14" t="str">
        <f>IF(AND(H407=4,I407=MIN(K13:K420)),"&lt;&lt; MAGIC PRECINCT","")</f>
        <v/>
      </c>
      <c r="K407" s="5" t="str">
        <f t="shared" si="4"/>
        <v/>
      </c>
    </row>
    <row r="408" ht="15.0" customHeight="1">
      <c r="A408" s="5" t="s">
        <v>327</v>
      </c>
      <c r="B408" s="5" t="s">
        <v>378</v>
      </c>
      <c r="C408" s="5" t="s">
        <v>248</v>
      </c>
      <c r="D408" s="5">
        <f>IF(IF('Precinct Vote Data'!H1582&gt;0.5,"D","R")=$E$5,1,0)</f>
        <v>0</v>
      </c>
      <c r="E408" s="5">
        <f>IF(IF('Precinct Vote Data'!H1583&gt;0.5,"D","R")=$E$6,1,0)</f>
        <v>0</v>
      </c>
      <c r="F408" s="5">
        <f>IF(IF('Precinct Vote Data'!H1584&gt;0.5,"D","R")=$E$7,1,0)</f>
        <v>0</v>
      </c>
      <c r="G408" s="5">
        <f>IF(IF('Precinct Vote Data'!H1585&gt;0.5,"D","R")=$E$8,1,0)</f>
        <v>0</v>
      </c>
      <c r="H408" s="5">
        <f t="shared" si="3"/>
        <v>0</v>
      </c>
      <c r="I408" s="13">
        <f>AVERAGE(ABS('Precinct Vote Data'!H1582-$D$5),ABS('Precinct Vote Data'!H1583-$D$6),ABS('Precinct Vote Data'!H1584-$D$7),ABS('Precinct Vote Data'!H1585-$D$8))</f>
        <v>0.03202444741</v>
      </c>
      <c r="J408" s="14" t="str">
        <f>IF(AND(H408=4,I408=MIN(K13:K420)),"&lt;&lt; MAGIC PRECINCT","")</f>
        <v/>
      </c>
      <c r="K408" s="5" t="str">
        <f t="shared" si="4"/>
        <v/>
      </c>
    </row>
    <row r="409" ht="15.0" customHeight="1">
      <c r="A409" s="5" t="s">
        <v>327</v>
      </c>
      <c r="B409" s="5" t="s">
        <v>379</v>
      </c>
      <c r="C409" s="5" t="s">
        <v>254</v>
      </c>
      <c r="D409" s="5">
        <f>IF(IF('Precinct Vote Data'!H1586&gt;0.5,"D","R")=$E$5,1,0)</f>
        <v>0</v>
      </c>
      <c r="E409" s="5">
        <f>IF(IF('Precinct Vote Data'!H1587&gt;0.5,"D","R")=$E$6,1,0)</f>
        <v>0</v>
      </c>
      <c r="F409" s="5">
        <f>IF(IF('Precinct Vote Data'!H1588&gt;0.5,"D","R")=$E$7,1,0)</f>
        <v>0</v>
      </c>
      <c r="G409" s="5">
        <f>IF(IF('Precinct Vote Data'!H1589&gt;0.5,"D","R")=$E$8,1,0)</f>
        <v>0</v>
      </c>
      <c r="H409" s="5">
        <f t="shared" si="3"/>
        <v>0</v>
      </c>
      <c r="I409" s="13">
        <f>AVERAGE(ABS('Precinct Vote Data'!H1586-$D$5),ABS('Precinct Vote Data'!H1587-$D$6),ABS('Precinct Vote Data'!H1588-$D$7),ABS('Precinct Vote Data'!H1589-$D$8))</f>
        <v>0.1125672988</v>
      </c>
      <c r="J409" s="14" t="str">
        <f>IF(AND(H409=4,I409=MIN(K13:K420)),"&lt;&lt; MAGIC PRECINCT","")</f>
        <v/>
      </c>
      <c r="K409" s="5" t="str">
        <f t="shared" si="4"/>
        <v/>
      </c>
    </row>
    <row r="410" ht="15.0" customHeight="1">
      <c r="A410" s="5" t="s">
        <v>327</v>
      </c>
      <c r="B410" s="5" t="s">
        <v>263</v>
      </c>
      <c r="C410" s="5" t="s">
        <v>255</v>
      </c>
      <c r="D410" s="5">
        <f>IF(IF('Precinct Vote Data'!H1590&gt;0.5,"D","R")=$E$5,1,0)</f>
        <v>0</v>
      </c>
      <c r="E410" s="5">
        <f>IF(IF('Precinct Vote Data'!H1591&gt;0.5,"D","R")=$E$6,1,0)</f>
        <v>0</v>
      </c>
      <c r="F410" s="5">
        <f>IF(IF('Precinct Vote Data'!H1592&gt;0.5,"D","R")=$E$7,1,0)</f>
        <v>0</v>
      </c>
      <c r="G410" s="5">
        <f>IF(IF('Precinct Vote Data'!H1593&gt;0.5,"D","R")=$E$8,1,0)</f>
        <v>0</v>
      </c>
      <c r="H410" s="5">
        <f t="shared" si="3"/>
        <v>0</v>
      </c>
      <c r="I410" s="13">
        <f>AVERAGE(ABS('Precinct Vote Data'!H1590-$D$5),ABS('Precinct Vote Data'!H1591-$D$6),ABS('Precinct Vote Data'!H1592-$D$7),ABS('Precinct Vote Data'!H1593-$D$8))</f>
        <v>0.1650737742</v>
      </c>
      <c r="J410" s="14" t="str">
        <f>IF(AND(H410=4,I410=MIN(K13:K420)),"&lt;&lt; MAGIC PRECINCT","")</f>
        <v/>
      </c>
      <c r="K410" s="5" t="str">
        <f t="shared" si="4"/>
        <v/>
      </c>
    </row>
    <row r="411" ht="15.0" customHeight="1">
      <c r="A411" s="5" t="s">
        <v>327</v>
      </c>
      <c r="B411" s="5" t="s">
        <v>263</v>
      </c>
      <c r="C411" s="5" t="s">
        <v>257</v>
      </c>
      <c r="D411" s="5">
        <f>IF(IF('Precinct Vote Data'!H1594&gt;0.5,"D","R")=$E$5,1,0)</f>
        <v>0</v>
      </c>
      <c r="E411" s="5">
        <f>IF(IF('Precinct Vote Data'!H1595&gt;0.5,"D","R")=$E$6,1,0)</f>
        <v>0</v>
      </c>
      <c r="F411" s="5">
        <f>IF(IF('Precinct Vote Data'!H1596&gt;0.5,"D","R")=$E$7,1,0)</f>
        <v>0</v>
      </c>
      <c r="G411" s="5">
        <f>IF(IF('Precinct Vote Data'!H1597&gt;0.5,"D","R")=$E$8,1,0)</f>
        <v>0</v>
      </c>
      <c r="H411" s="5">
        <f t="shared" si="3"/>
        <v>0</v>
      </c>
      <c r="I411" s="13">
        <f>AVERAGE(ABS('Precinct Vote Data'!H1594-$D$5),ABS('Precinct Vote Data'!H1595-$D$6),ABS('Precinct Vote Data'!H1596-$D$7),ABS('Precinct Vote Data'!H1597-$D$8))</f>
        <v>0.1519935425</v>
      </c>
      <c r="J411" s="14" t="str">
        <f>IF(AND(H411=4,I411=MIN(K13:K420)),"&lt;&lt; MAGIC PRECINCT","")</f>
        <v/>
      </c>
      <c r="K411" s="5" t="str">
        <f t="shared" si="4"/>
        <v/>
      </c>
    </row>
    <row r="412" ht="15.0" customHeight="1">
      <c r="A412" s="5" t="s">
        <v>327</v>
      </c>
      <c r="B412" s="5" t="s">
        <v>380</v>
      </c>
      <c r="C412" s="5" t="s">
        <v>258</v>
      </c>
      <c r="D412" s="5">
        <f>IF(IF('Precinct Vote Data'!H1598&gt;0.5,"D","R")=$E$5,1,0)</f>
        <v>1</v>
      </c>
      <c r="E412" s="5">
        <f>IF(IF('Precinct Vote Data'!H1599&gt;0.5,"D","R")=$E$6,1,0)</f>
        <v>0</v>
      </c>
      <c r="F412" s="5">
        <f>IF(IF('Precinct Vote Data'!H1600&gt;0.5,"D","R")=$E$7,1,0)</f>
        <v>0</v>
      </c>
      <c r="G412" s="5">
        <f>IF(IF('Precinct Vote Data'!H1601&gt;0.5,"D","R")=$E$8,1,0)</f>
        <v>0</v>
      </c>
      <c r="H412" s="5">
        <f t="shared" si="3"/>
        <v>1</v>
      </c>
      <c r="I412" s="13">
        <f>AVERAGE(ABS('Precinct Vote Data'!H1598-$D$5),ABS('Precinct Vote Data'!H1599-$D$6),ABS('Precinct Vote Data'!H1600-$D$7),ABS('Precinct Vote Data'!H1601-$D$8))</f>
        <v>0.03512965154</v>
      </c>
      <c r="J412" s="14" t="str">
        <f>IF(AND(H412=4,I412=MIN(K13:K420)),"&lt;&lt; MAGIC PRECINCT","")</f>
        <v/>
      </c>
      <c r="K412" s="5" t="str">
        <f t="shared" si="4"/>
        <v/>
      </c>
    </row>
    <row r="413" ht="15.0" customHeight="1">
      <c r="A413" s="5" t="s">
        <v>327</v>
      </c>
      <c r="B413" s="5" t="s">
        <v>381</v>
      </c>
      <c r="C413" s="5" t="s">
        <v>259</v>
      </c>
      <c r="D413" s="5">
        <f>IF(IF('Precinct Vote Data'!H1602&gt;0.5,"D","R")=$E$5,1,0)</f>
        <v>0</v>
      </c>
      <c r="E413" s="5">
        <f>IF(IF('Precinct Vote Data'!H1603&gt;0.5,"D","R")=$E$6,1,0)</f>
        <v>0</v>
      </c>
      <c r="F413" s="5">
        <f>IF(IF('Precinct Vote Data'!H1604&gt;0.5,"D","R")=$E$7,1,0)</f>
        <v>0</v>
      </c>
      <c r="G413" s="5">
        <f>IF(IF('Precinct Vote Data'!H1605&gt;0.5,"D","R")=$E$8,1,0)</f>
        <v>0</v>
      </c>
      <c r="H413" s="5">
        <f t="shared" si="3"/>
        <v>0</v>
      </c>
      <c r="I413" s="13">
        <f>AVERAGE(ABS('Precinct Vote Data'!H1602-$D$5),ABS('Precinct Vote Data'!H1603-$D$6),ABS('Precinct Vote Data'!H1604-$D$7),ABS('Precinct Vote Data'!H1605-$D$8))</f>
        <v>0.08546802275</v>
      </c>
      <c r="J413" s="14" t="str">
        <f>IF(AND(H413=4,I413=MIN(K13:K420)),"&lt;&lt; MAGIC PRECINCT","")</f>
        <v/>
      </c>
      <c r="K413" s="5" t="str">
        <f t="shared" si="4"/>
        <v/>
      </c>
    </row>
    <row r="414" ht="15.0" customHeight="1">
      <c r="A414" s="5" t="s">
        <v>327</v>
      </c>
      <c r="B414" s="5" t="s">
        <v>381</v>
      </c>
      <c r="C414" s="5" t="s">
        <v>260</v>
      </c>
      <c r="D414" s="5">
        <f>IF(IF('Precinct Vote Data'!H1606&gt;0.5,"D","R")=$E$5,1,0)</f>
        <v>0</v>
      </c>
      <c r="E414" s="5">
        <f>IF(IF('Precinct Vote Data'!H1607&gt;0.5,"D","R")=$E$6,1,0)</f>
        <v>0</v>
      </c>
      <c r="F414" s="5">
        <f>IF(IF('Precinct Vote Data'!H1608&gt;0.5,"D","R")=$E$7,1,0)</f>
        <v>0</v>
      </c>
      <c r="G414" s="5">
        <f>IF(IF('Precinct Vote Data'!H1609&gt;0.5,"D","R")=$E$8,1,0)</f>
        <v>0</v>
      </c>
      <c r="H414" s="5">
        <f t="shared" si="3"/>
        <v>0</v>
      </c>
      <c r="I414" s="13">
        <f>AVERAGE(ABS('Precinct Vote Data'!H1606-$D$5),ABS('Precinct Vote Data'!H1607-$D$6),ABS('Precinct Vote Data'!H1608-$D$7),ABS('Precinct Vote Data'!H1609-$D$8))</f>
        <v>0.1211952386</v>
      </c>
      <c r="J414" s="14" t="str">
        <f>IF(AND(H414=4,I414=MIN(K13:K420)),"&lt;&lt; MAGIC PRECINCT","")</f>
        <v/>
      </c>
      <c r="K414" s="5" t="str">
        <f t="shared" si="4"/>
        <v/>
      </c>
    </row>
    <row r="415" ht="15.0" customHeight="1">
      <c r="A415" s="5" t="s">
        <v>327</v>
      </c>
      <c r="B415" s="5" t="s">
        <v>381</v>
      </c>
      <c r="C415" s="5" t="s">
        <v>264</v>
      </c>
      <c r="D415" s="5">
        <f>IF(IF('Precinct Vote Data'!H1610&gt;0.5,"D","R")=$E$5,1,0)</f>
        <v>0</v>
      </c>
      <c r="E415" s="5">
        <f>IF(IF('Precinct Vote Data'!H1611&gt;0.5,"D","R")=$E$6,1,0)</f>
        <v>0</v>
      </c>
      <c r="F415" s="5">
        <f>IF(IF('Precinct Vote Data'!H1612&gt;0.5,"D","R")=$E$7,1,0)</f>
        <v>0</v>
      </c>
      <c r="G415" s="5">
        <f>IF(IF('Precinct Vote Data'!H1613&gt;0.5,"D","R")=$E$8,1,0)</f>
        <v>1</v>
      </c>
      <c r="H415" s="5">
        <f t="shared" si="3"/>
        <v>1</v>
      </c>
      <c r="I415" s="13">
        <f>AVERAGE(ABS('Precinct Vote Data'!H1610-$D$5),ABS('Precinct Vote Data'!H1611-$D$6),ABS('Precinct Vote Data'!H1612-$D$7),ABS('Precinct Vote Data'!H1613-$D$8))</f>
        <v>0.02715327445</v>
      </c>
      <c r="J415" s="14" t="str">
        <f>IF(AND(H415=4,I415=MIN(K13:K420)),"&lt;&lt; MAGIC PRECINCT","")</f>
        <v/>
      </c>
      <c r="K415" s="5" t="str">
        <f t="shared" si="4"/>
        <v/>
      </c>
    </row>
    <row r="416" ht="15.0" customHeight="1">
      <c r="A416" s="5" t="s">
        <v>327</v>
      </c>
      <c r="B416" s="5" t="s">
        <v>381</v>
      </c>
      <c r="C416" s="5" t="s">
        <v>265</v>
      </c>
      <c r="D416" s="5">
        <f>IF(IF('Precinct Vote Data'!H1614&gt;0.5,"D","R")=$E$5,1,0)</f>
        <v>0</v>
      </c>
      <c r="E416" s="5">
        <f>IF(IF('Precinct Vote Data'!H1615&gt;0.5,"D","R")=$E$6,1,0)</f>
        <v>0</v>
      </c>
      <c r="F416" s="5">
        <f>IF(IF('Precinct Vote Data'!H1616&gt;0.5,"D","R")=$E$7,1,0)</f>
        <v>0</v>
      </c>
      <c r="G416" s="5">
        <f>IF(IF('Precinct Vote Data'!H1617&gt;0.5,"D","R")=$E$8,1,0)</f>
        <v>0</v>
      </c>
      <c r="H416" s="5">
        <f t="shared" si="3"/>
        <v>0</v>
      </c>
      <c r="I416" s="13">
        <f>AVERAGE(ABS('Precinct Vote Data'!H1614-$D$5),ABS('Precinct Vote Data'!H1615-$D$6),ABS('Precinct Vote Data'!H1616-$D$7),ABS('Precinct Vote Data'!H1617-$D$8))</f>
        <v>0.08189552294</v>
      </c>
      <c r="J416" s="14" t="str">
        <f>IF(AND(H416=4,I416=MIN(K13:K420)),"&lt;&lt; MAGIC PRECINCT","")</f>
        <v/>
      </c>
      <c r="K416" s="5" t="str">
        <f t="shared" si="4"/>
        <v/>
      </c>
    </row>
    <row r="417" ht="15.0" customHeight="1">
      <c r="A417" s="5" t="s">
        <v>327</v>
      </c>
      <c r="B417" s="5" t="s">
        <v>382</v>
      </c>
      <c r="C417" s="5" t="s">
        <v>266</v>
      </c>
      <c r="D417" s="5">
        <f>IF(IF('Precinct Vote Data'!H1618&gt;0.5,"D","R")=$E$5,1,0)</f>
        <v>1</v>
      </c>
      <c r="E417" s="5">
        <f>IF(IF('Precinct Vote Data'!H1619&gt;0.5,"D","R")=$E$6,1,0)</f>
        <v>1</v>
      </c>
      <c r="F417" s="5">
        <f>IF(IF('Precinct Vote Data'!H1620&gt;0.5,"D","R")=$E$7,1,0)</f>
        <v>1</v>
      </c>
      <c r="G417" s="5">
        <f>IF(IF('Precinct Vote Data'!H1621&gt;0.5,"D","R")=$E$8,1,0)</f>
        <v>1</v>
      </c>
      <c r="H417" s="5">
        <f t="shared" si="3"/>
        <v>4</v>
      </c>
      <c r="I417" s="13">
        <f>AVERAGE(ABS('Precinct Vote Data'!H1618-$D$5),ABS('Precinct Vote Data'!H1619-$D$6),ABS('Precinct Vote Data'!H1620-$D$7),ABS('Precinct Vote Data'!H1621-$D$8))</f>
        <v>0.08486533761</v>
      </c>
      <c r="J417" s="14" t="str">
        <f>IF(AND(H417=4,I417=MIN(K13:K420)),"&lt;&lt; MAGIC PRECINCT","")</f>
        <v/>
      </c>
      <c r="K417" s="13">
        <f t="shared" si="4"/>
        <v>0.08486533761</v>
      </c>
    </row>
    <row r="418" ht="15.0" customHeight="1">
      <c r="A418" s="5" t="s">
        <v>327</v>
      </c>
      <c r="B418" s="5" t="s">
        <v>382</v>
      </c>
      <c r="C418" s="5" t="s">
        <v>268</v>
      </c>
      <c r="D418" s="5">
        <f>IF(IF('Precinct Vote Data'!H1622&gt;0.5,"D","R")=$E$5,1,0)</f>
        <v>1</v>
      </c>
      <c r="E418" s="5">
        <f>IF(IF('Precinct Vote Data'!H1623&gt;0.5,"D","R")=$E$6,1,0)</f>
        <v>1</v>
      </c>
      <c r="F418" s="5">
        <f>IF(IF('Precinct Vote Data'!H1624&gt;0.5,"D","R")=$E$7,1,0)</f>
        <v>1</v>
      </c>
      <c r="G418" s="5">
        <f>IF(IF('Precinct Vote Data'!H1625&gt;0.5,"D","R")=$E$8,1,0)</f>
        <v>1</v>
      </c>
      <c r="H418" s="5">
        <f t="shared" si="3"/>
        <v>4</v>
      </c>
      <c r="I418" s="13">
        <f>AVERAGE(ABS('Precinct Vote Data'!H1622-$D$5),ABS('Precinct Vote Data'!H1623-$D$6),ABS('Precinct Vote Data'!H1624-$D$7),ABS('Precinct Vote Data'!H1625-$D$8))</f>
        <v>0.07168904379</v>
      </c>
      <c r="J418" s="14" t="str">
        <f>IF(AND(H418=4,I418=MIN(K13:K420)),"&lt;&lt; MAGIC PRECINCT","")</f>
        <v/>
      </c>
      <c r="K418" s="13">
        <f t="shared" si="4"/>
        <v>0.07168904379</v>
      </c>
    </row>
    <row r="419" ht="15.0" customHeight="1">
      <c r="A419" s="5" t="s">
        <v>327</v>
      </c>
      <c r="B419" s="5" t="s">
        <v>382</v>
      </c>
      <c r="C419" s="5" t="s">
        <v>270</v>
      </c>
      <c r="D419" s="5">
        <f>IF(IF('Precinct Vote Data'!H1626&gt;0.5,"D","R")=$E$5,1,0)</f>
        <v>1</v>
      </c>
      <c r="E419" s="5">
        <f>IF(IF('Precinct Vote Data'!H1627&gt;0.5,"D","R")=$E$6,1,0)</f>
        <v>1</v>
      </c>
      <c r="F419" s="5">
        <f>IF(IF('Precinct Vote Data'!H1628&gt;0.5,"D","R")=$E$7,1,0)</f>
        <v>1</v>
      </c>
      <c r="G419" s="5">
        <f>IF(IF('Precinct Vote Data'!H1629&gt;0.5,"D","R")=$E$8,1,0)</f>
        <v>1</v>
      </c>
      <c r="H419" s="5">
        <f t="shared" si="3"/>
        <v>4</v>
      </c>
      <c r="I419" s="13">
        <f>AVERAGE(ABS('Precinct Vote Data'!H1626-$D$5),ABS('Precinct Vote Data'!H1627-$D$6),ABS('Precinct Vote Data'!H1628-$D$7),ABS('Precinct Vote Data'!H1629-$D$8))</f>
        <v>0.02820258003</v>
      </c>
      <c r="J419" s="14" t="str">
        <f>IF(AND(H419=4,I419=MIN(K13:K420)),"&lt;&lt; MAGIC PRECINCT","")</f>
        <v/>
      </c>
      <c r="K419" s="13">
        <f t="shared" si="4"/>
        <v>0.02820258003</v>
      </c>
    </row>
    <row r="420" ht="15.0" customHeight="1">
      <c r="A420" s="5" t="s">
        <v>327</v>
      </c>
      <c r="B420" s="5" t="s">
        <v>383</v>
      </c>
      <c r="C420" s="5" t="s">
        <v>271</v>
      </c>
      <c r="D420" s="5">
        <f>IF(IF('Precinct Vote Data'!H1630&gt;0.5,"D","R")=$E$5,1,0)</f>
        <v>0</v>
      </c>
      <c r="E420" s="5">
        <f>IF(IF('Precinct Vote Data'!H1631&gt;0.5,"D","R")=$E$6,1,0)</f>
        <v>0</v>
      </c>
      <c r="F420" s="5">
        <f>IF(IF('Precinct Vote Data'!H1632&gt;0.5,"D","R")=$E$7,1,0)</f>
        <v>0</v>
      </c>
      <c r="G420" s="5">
        <f>IF(IF('Precinct Vote Data'!H1633&gt;0.5,"D","R")=$E$8,1,0)</f>
        <v>0</v>
      </c>
      <c r="H420" s="5">
        <f t="shared" si="3"/>
        <v>0</v>
      </c>
      <c r="I420" s="13">
        <f>AVERAGE(ABS('Precinct Vote Data'!H1630-$D$5),ABS('Precinct Vote Data'!H1631-$D$6),ABS('Precinct Vote Data'!H1632-$D$7),ABS('Precinct Vote Data'!H1633-$D$8))</f>
        <v>0.08603342464</v>
      </c>
      <c r="J420" s="14" t="str">
        <f>IF(AND(H420=4,I420=MIN(K13:K420)),"&lt;&lt; MAGIC PRECINCT","")</f>
        <v/>
      </c>
      <c r="K420" s="5" t="str">
        <f t="shared" si="4"/>
        <v/>
      </c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mergeCells count="1">
    <mergeCell ref="A1:H1"/>
  </mergeCells>
  <conditionalFormatting sqref="J13:J420">
    <cfRule type="expression" dxfId="0" priority="1">
      <formula>J13&lt;&gt;""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43"/>
    <col customWidth="1" min="2" max="2" width="25.71"/>
    <col customWidth="1" min="3" max="3" width="15.29"/>
    <col customWidth="1" min="4" max="4" width="7.86"/>
    <col customWidth="1" min="5" max="5" width="11.43"/>
    <col customWidth="1" min="6" max="6" width="19.29"/>
    <col customWidth="1" min="7" max="7" width="16.57"/>
    <col customWidth="1" min="8" max="8" width="20.86"/>
    <col customWidth="1" min="9" max="9" width="8.71"/>
    <col customWidth="1" hidden="1" min="10" max="15" width="13.0"/>
    <col customWidth="1" min="16" max="16" width="8.71"/>
    <col customWidth="1" hidden="1" min="17" max="17" width="13.0"/>
    <col customWidth="1" min="18" max="26" width="8.71"/>
  </cols>
  <sheetData>
    <row r="1" ht="15.75" customHeight="1">
      <c r="A1" s="8" t="s">
        <v>75</v>
      </c>
      <c r="J1" s="9"/>
      <c r="K1" s="9"/>
      <c r="L1" s="9"/>
      <c r="M1" s="9"/>
      <c r="N1" s="9"/>
      <c r="O1" s="9"/>
      <c r="Q1" s="9"/>
    </row>
    <row r="2">
      <c r="A2" s="9"/>
      <c r="B2" s="9"/>
      <c r="C2" s="9"/>
      <c r="D2" s="9"/>
      <c r="E2" s="9"/>
      <c r="F2" s="9"/>
      <c r="G2" s="9"/>
      <c r="H2" s="9"/>
      <c r="J2" s="9"/>
      <c r="K2" s="9"/>
      <c r="L2" s="9"/>
      <c r="M2" s="9"/>
      <c r="N2" s="9"/>
      <c r="O2" s="9"/>
      <c r="Q2" s="9"/>
    </row>
    <row r="3" ht="15.0" customHeight="1">
      <c r="A3" s="2">
        <v>2018.0</v>
      </c>
      <c r="B3" s="2">
        <v>2020.0</v>
      </c>
      <c r="C3" s="2">
        <v>2022.0</v>
      </c>
      <c r="D3" s="2">
        <v>2024.0</v>
      </c>
      <c r="E3" s="9"/>
      <c r="F3" s="9"/>
      <c r="G3" s="9"/>
      <c r="H3" s="9"/>
      <c r="J3" s="9"/>
      <c r="K3" s="9"/>
      <c r="L3" s="9"/>
      <c r="M3" s="9"/>
      <c r="N3" s="9"/>
      <c r="O3" s="9"/>
      <c r="Q3" s="9"/>
    </row>
    <row r="4" ht="15.0" customHeight="1">
      <c r="A4" s="10">
        <f>'Magic Precinct'!D5</f>
        <v>0.5400701198</v>
      </c>
      <c r="B4" s="10">
        <f>'Magic Precinct'!D6</f>
        <v>0.5070288137</v>
      </c>
      <c r="C4" s="10">
        <f>'Magic Precinct'!D7</f>
        <v>0.5155961468</v>
      </c>
      <c r="D4" s="10">
        <f>'Magic Precinct'!D8</f>
        <v>0.5022199132</v>
      </c>
      <c r="E4" s="9"/>
      <c r="F4" s="9"/>
      <c r="G4" s="9"/>
      <c r="H4" s="9"/>
      <c r="J4" s="9"/>
      <c r="K4" s="9"/>
      <c r="L4" s="9"/>
      <c r="M4" s="9"/>
      <c r="N4" s="9"/>
      <c r="O4" s="9"/>
      <c r="Q4" s="9"/>
    </row>
    <row r="5">
      <c r="A5" s="9"/>
      <c r="B5" s="9"/>
      <c r="C5" s="9"/>
      <c r="D5" s="9"/>
      <c r="E5" s="9"/>
      <c r="F5" s="9"/>
      <c r="G5" s="9"/>
      <c r="H5" s="9"/>
      <c r="J5" s="9"/>
      <c r="K5" s="9"/>
      <c r="L5" s="9"/>
      <c r="M5" s="9"/>
      <c r="N5" s="9"/>
      <c r="O5" s="9"/>
      <c r="Q5" s="9"/>
    </row>
    <row r="6" ht="15.0" customHeight="1">
      <c r="A6" s="2" t="s">
        <v>3</v>
      </c>
      <c r="B6" s="2" t="s">
        <v>4</v>
      </c>
      <c r="C6" s="2" t="s">
        <v>5</v>
      </c>
      <c r="D6" s="2" t="s">
        <v>80</v>
      </c>
      <c r="E6" s="2" t="s">
        <v>81</v>
      </c>
      <c r="F6" s="2" t="s">
        <v>82</v>
      </c>
      <c r="G6" s="2" t="s">
        <v>35</v>
      </c>
      <c r="H6" s="2" t="s">
        <v>83</v>
      </c>
      <c r="J6" s="9"/>
      <c r="K6" s="9"/>
      <c r="L6" s="9"/>
      <c r="M6" s="9"/>
      <c r="N6" s="12" t="s">
        <v>84</v>
      </c>
      <c r="O6" s="12" t="s">
        <v>85</v>
      </c>
      <c r="Q6" s="12" t="s">
        <v>86</v>
      </c>
    </row>
    <row r="7" ht="15.0" customHeight="1">
      <c r="A7" s="5" t="s">
        <v>16</v>
      </c>
      <c r="B7" s="5" t="s">
        <v>17</v>
      </c>
      <c r="C7" s="5" t="s">
        <v>18</v>
      </c>
      <c r="D7" s="15">
        <f t="shared" ref="D7:D414" si="1">SLOPE(J7:M7,$A$4:$D$4)</f>
        <v>1.434379014</v>
      </c>
      <c r="E7" s="15">
        <f t="shared" ref="E7:E414" si="2">RSQ(J7:M7,$A$4:$D$4)</f>
        <v>0.4566370571</v>
      </c>
      <c r="F7" s="15">
        <f t="shared" ref="F7:F414" si="3">ABS(D7-1)</f>
        <v>0.4343790144</v>
      </c>
      <c r="G7" s="10">
        <f t="shared" ref="G7:G414" si="4">AVERAGE(J7:M7)</f>
        <v>0.3758105105</v>
      </c>
      <c r="H7" s="2" t="str">
        <f t="shared" ref="H7:H414" si="5">IF(O7&lt;=30,"YES","")</f>
        <v/>
      </c>
      <c r="J7" s="10">
        <f>'Precinct Vote Data'!H2</f>
        <v>0.4199475066</v>
      </c>
      <c r="K7" s="10">
        <f>'Precinct Vote Data'!H3</f>
        <v>0.3399602386</v>
      </c>
      <c r="L7" s="10">
        <f>'Precinct Vote Data'!H4</f>
        <v>0.3549222798</v>
      </c>
      <c r="M7" s="10">
        <f>'Precinct Vote Data'!H5</f>
        <v>0.3884120172</v>
      </c>
      <c r="N7" s="15">
        <f t="shared" ref="N7:N414" si="6">F7+(1-E7)</f>
        <v>0.9777419573</v>
      </c>
      <c r="O7" s="5">
        <f t="shared" ref="O7:O414" si="7">RANK(N7,$N$7:$N$414,1)</f>
        <v>185</v>
      </c>
      <c r="Q7" s="5" t="str">
        <f t="shared" ref="Q7:Q414" si="8">A7&amp;"|"&amp;B7&amp;"|"&amp;C7</f>
        <v>Carbon|BANKS|10</v>
      </c>
    </row>
    <row r="8" ht="15.0" customHeight="1">
      <c r="A8" s="5" t="s">
        <v>16</v>
      </c>
      <c r="B8" s="5" t="s">
        <v>54</v>
      </c>
      <c r="C8" s="5" t="s">
        <v>55</v>
      </c>
      <c r="D8" s="15">
        <f t="shared" si="1"/>
        <v>1.747684105</v>
      </c>
      <c r="E8" s="15">
        <f t="shared" si="2"/>
        <v>0.6905668007</v>
      </c>
      <c r="F8" s="15">
        <f t="shared" si="3"/>
        <v>0.7476841053</v>
      </c>
      <c r="G8" s="10">
        <f t="shared" si="4"/>
        <v>0.2822404963</v>
      </c>
      <c r="H8" s="2" t="str">
        <f t="shared" si="5"/>
        <v/>
      </c>
      <c r="J8" s="10">
        <f>'Precinct Vote Data'!H6</f>
        <v>0.331010453</v>
      </c>
      <c r="K8" s="10">
        <f>'Precinct Vote Data'!H7</f>
        <v>0.2481389578</v>
      </c>
      <c r="L8" s="10">
        <f>'Precinct Vote Data'!H8</f>
        <v>0.2675159236</v>
      </c>
      <c r="M8" s="10">
        <f>'Precinct Vote Data'!H9</f>
        <v>0.2822966507</v>
      </c>
      <c r="N8" s="15">
        <f t="shared" si="6"/>
        <v>1.057117305</v>
      </c>
      <c r="O8" s="5">
        <f t="shared" si="7"/>
        <v>201</v>
      </c>
      <c r="Q8" s="5" t="str">
        <f t="shared" si="8"/>
        <v>Carbon|BEAVER MEADOWS|40</v>
      </c>
    </row>
    <row r="9" ht="15.0" customHeight="1">
      <c r="A9" s="5" t="s">
        <v>16</v>
      </c>
      <c r="B9" s="5" t="s">
        <v>56</v>
      </c>
      <c r="C9" s="5" t="s">
        <v>57</v>
      </c>
      <c r="D9" s="15">
        <f t="shared" si="1"/>
        <v>2.52491041</v>
      </c>
      <c r="E9" s="15">
        <f t="shared" si="2"/>
        <v>0.5926605503</v>
      </c>
      <c r="F9" s="15">
        <f t="shared" si="3"/>
        <v>1.52491041</v>
      </c>
      <c r="G9" s="10">
        <f t="shared" si="4"/>
        <v>0.3304216814</v>
      </c>
      <c r="H9" s="2" t="str">
        <f t="shared" si="5"/>
        <v/>
      </c>
      <c r="J9" s="10">
        <f>'Precinct Vote Data'!H10</f>
        <v>0.3859649123</v>
      </c>
      <c r="K9" s="10">
        <f>'Precinct Vote Data'!H11</f>
        <v>0.2593457944</v>
      </c>
      <c r="L9" s="10">
        <f>'Precinct Vote Data'!H12</f>
        <v>0.3591954023</v>
      </c>
      <c r="M9" s="10">
        <f>'Precinct Vote Data'!H13</f>
        <v>0.3171806167</v>
      </c>
      <c r="N9" s="15">
        <f t="shared" si="6"/>
        <v>1.93224986</v>
      </c>
      <c r="O9" s="5">
        <f t="shared" si="7"/>
        <v>340</v>
      </c>
      <c r="Q9" s="5" t="str">
        <f t="shared" si="8"/>
        <v>Carbon|BOWMANSTOWN|50</v>
      </c>
    </row>
    <row r="10" ht="15.0" customHeight="1">
      <c r="A10" s="5" t="s">
        <v>16</v>
      </c>
      <c r="B10" s="5" t="s">
        <v>58</v>
      </c>
      <c r="C10" s="5" t="s">
        <v>59</v>
      </c>
      <c r="D10" s="15">
        <f t="shared" si="1"/>
        <v>2.356424419</v>
      </c>
      <c r="E10" s="15">
        <f t="shared" si="2"/>
        <v>0.9900438049</v>
      </c>
      <c r="F10" s="15">
        <f t="shared" si="3"/>
        <v>1.356424419</v>
      </c>
      <c r="G10" s="10">
        <f t="shared" si="4"/>
        <v>0.275011792</v>
      </c>
      <c r="H10" s="2" t="str">
        <f t="shared" si="5"/>
        <v/>
      </c>
      <c r="J10" s="10">
        <f>'Precinct Vote Data'!H14</f>
        <v>0.3295081967</v>
      </c>
      <c r="K10" s="10">
        <f>'Precinct Vote Data'!H15</f>
        <v>0.2503192848</v>
      </c>
      <c r="L10" s="10">
        <f>'Precinct Vote Data'!H16</f>
        <v>0.2793696275</v>
      </c>
      <c r="M10" s="10">
        <f>'Precinct Vote Data'!H17</f>
        <v>0.240850059</v>
      </c>
      <c r="N10" s="15">
        <f t="shared" si="6"/>
        <v>1.366380614</v>
      </c>
      <c r="O10" s="5">
        <f t="shared" si="7"/>
        <v>259</v>
      </c>
      <c r="Q10" s="5" t="str">
        <f t="shared" si="8"/>
        <v>Carbon|EAST PENN|60</v>
      </c>
    </row>
    <row r="11" ht="15.0" customHeight="1">
      <c r="A11" s="5" t="s">
        <v>16</v>
      </c>
      <c r="B11" s="5" t="s">
        <v>58</v>
      </c>
      <c r="C11" s="5" t="s">
        <v>60</v>
      </c>
      <c r="D11" s="15">
        <f t="shared" si="1"/>
        <v>1.948905147</v>
      </c>
      <c r="E11" s="15">
        <f t="shared" si="2"/>
        <v>0.7810894201</v>
      </c>
      <c r="F11" s="15">
        <f t="shared" si="3"/>
        <v>0.9489051473</v>
      </c>
      <c r="G11" s="10">
        <f t="shared" si="4"/>
        <v>0.2886446829</v>
      </c>
      <c r="H11" s="2" t="str">
        <f t="shared" si="5"/>
        <v/>
      </c>
      <c r="J11" s="10">
        <f>'Precinct Vote Data'!H18</f>
        <v>0.3353293413</v>
      </c>
      <c r="K11" s="10">
        <f>'Precinct Vote Data'!H19</f>
        <v>0.2465057179</v>
      </c>
      <c r="L11" s="10">
        <f>'Precinct Vote Data'!H20</f>
        <v>0.2954924875</v>
      </c>
      <c r="M11" s="10">
        <f>'Precinct Vote Data'!H21</f>
        <v>0.2772511848</v>
      </c>
      <c r="N11" s="15">
        <f t="shared" si="6"/>
        <v>1.167815727</v>
      </c>
      <c r="O11" s="5">
        <f t="shared" si="7"/>
        <v>222</v>
      </c>
      <c r="Q11" s="5" t="str">
        <f t="shared" si="8"/>
        <v>Carbon|EAST PENN|65</v>
      </c>
    </row>
    <row r="12" ht="15.0" customHeight="1">
      <c r="A12" s="5" t="s">
        <v>16</v>
      </c>
      <c r="B12" s="5" t="s">
        <v>62</v>
      </c>
      <c r="C12" s="5" t="s">
        <v>63</v>
      </c>
      <c r="D12" s="15">
        <f t="shared" si="1"/>
        <v>2.521657308</v>
      </c>
      <c r="E12" s="15">
        <f t="shared" si="2"/>
        <v>0.728882984</v>
      </c>
      <c r="F12" s="15">
        <f t="shared" si="3"/>
        <v>1.521657308</v>
      </c>
      <c r="G12" s="10">
        <f t="shared" si="4"/>
        <v>0.3771595576</v>
      </c>
      <c r="H12" s="2" t="str">
        <f t="shared" si="5"/>
        <v/>
      </c>
      <c r="J12" s="10">
        <f>'Precinct Vote Data'!H22</f>
        <v>0.4415584416</v>
      </c>
      <c r="K12" s="10">
        <f>'Precinct Vote Data'!H23</f>
        <v>0.3884297521</v>
      </c>
      <c r="L12" s="10">
        <f>'Precinct Vote Data'!H24</f>
        <v>0.3510638298</v>
      </c>
      <c r="M12" s="10">
        <f>'Precinct Vote Data'!H25</f>
        <v>0.3275862069</v>
      </c>
      <c r="N12" s="15">
        <f t="shared" si="6"/>
        <v>1.792774324</v>
      </c>
      <c r="O12" s="5">
        <f t="shared" si="7"/>
        <v>325</v>
      </c>
      <c r="Q12" s="5" t="str">
        <f t="shared" si="8"/>
        <v>Carbon|EAST SIDE|70</v>
      </c>
    </row>
    <row r="13" ht="15.0" customHeight="1">
      <c r="A13" s="5" t="s">
        <v>16</v>
      </c>
      <c r="B13" s="5" t="s">
        <v>72</v>
      </c>
      <c r="C13" s="5" t="s">
        <v>73</v>
      </c>
      <c r="D13" s="15">
        <f t="shared" si="1"/>
        <v>2.068297362</v>
      </c>
      <c r="E13" s="15">
        <f t="shared" si="2"/>
        <v>0.9909723192</v>
      </c>
      <c r="F13" s="15">
        <f t="shared" si="3"/>
        <v>1.068297362</v>
      </c>
      <c r="G13" s="10">
        <f t="shared" si="4"/>
        <v>0.2926410045</v>
      </c>
      <c r="H13" s="2" t="str">
        <f t="shared" si="5"/>
        <v/>
      </c>
      <c r="J13" s="10">
        <f>'Precinct Vote Data'!H26</f>
        <v>0.3419689119</v>
      </c>
      <c r="K13" s="10">
        <f>'Precinct Vote Data'!H27</f>
        <v>0.2689768977</v>
      </c>
      <c r="L13" s="10">
        <f>'Precinct Vote Data'!H28</f>
        <v>0.2929515419</v>
      </c>
      <c r="M13" s="10">
        <f>'Precinct Vote Data'!H29</f>
        <v>0.2666666667</v>
      </c>
      <c r="N13" s="15">
        <f t="shared" si="6"/>
        <v>1.077325043</v>
      </c>
      <c r="O13" s="5">
        <f t="shared" si="7"/>
        <v>204</v>
      </c>
      <c r="Q13" s="5" t="str">
        <f t="shared" si="8"/>
        <v>Carbon|FRANKLIN|80</v>
      </c>
    </row>
    <row r="14" ht="15.0" customHeight="1">
      <c r="A14" s="5" t="s">
        <v>16</v>
      </c>
      <c r="B14" s="5" t="s">
        <v>72</v>
      </c>
      <c r="C14" s="5" t="s">
        <v>74</v>
      </c>
      <c r="D14" s="15">
        <f t="shared" si="1"/>
        <v>1.767032611</v>
      </c>
      <c r="E14" s="15">
        <f t="shared" si="2"/>
        <v>0.8204339819</v>
      </c>
      <c r="F14" s="15">
        <f t="shared" si="3"/>
        <v>0.7670326105</v>
      </c>
      <c r="G14" s="10">
        <f t="shared" si="4"/>
        <v>0.2973491648</v>
      </c>
      <c r="H14" s="2" t="str">
        <f t="shared" si="5"/>
        <v/>
      </c>
      <c r="J14" s="10">
        <f>'Precinct Vote Data'!H30</f>
        <v>0.3412256267</v>
      </c>
      <c r="K14" s="10">
        <f>'Precinct Vote Data'!H31</f>
        <v>0.2624877571</v>
      </c>
      <c r="L14" s="10">
        <f>'Precinct Vote Data'!H32</f>
        <v>0.2979737783</v>
      </c>
      <c r="M14" s="10">
        <f>'Precinct Vote Data'!H33</f>
        <v>0.2877094972</v>
      </c>
      <c r="N14" s="15">
        <f t="shared" si="6"/>
        <v>0.9465986286</v>
      </c>
      <c r="O14" s="5">
        <f t="shared" si="7"/>
        <v>181</v>
      </c>
      <c r="Q14" s="5" t="str">
        <f t="shared" si="8"/>
        <v>Carbon|FRANKLIN|90</v>
      </c>
    </row>
    <row r="15" ht="15.0" customHeight="1">
      <c r="A15" s="5" t="s">
        <v>16</v>
      </c>
      <c r="B15" s="5" t="s">
        <v>72</v>
      </c>
      <c r="C15" s="5" t="s">
        <v>76</v>
      </c>
      <c r="D15" s="15">
        <f t="shared" si="1"/>
        <v>0.7729713019</v>
      </c>
      <c r="E15" s="15">
        <f t="shared" si="2"/>
        <v>0.4496059541</v>
      </c>
      <c r="F15" s="15">
        <f t="shared" si="3"/>
        <v>0.2270286981</v>
      </c>
      <c r="G15" s="10">
        <f t="shared" si="4"/>
        <v>0.2663074849</v>
      </c>
      <c r="H15" s="2" t="str">
        <f t="shared" si="5"/>
        <v/>
      </c>
      <c r="J15" s="10">
        <f>'Precinct Vote Data'!H34</f>
        <v>0.2870036101</v>
      </c>
      <c r="K15" s="10">
        <f>'Precinct Vote Data'!H35</f>
        <v>0.2403846154</v>
      </c>
      <c r="L15" s="10">
        <f>'Precinct Vote Data'!H36</f>
        <v>0.2661654135</v>
      </c>
      <c r="M15" s="10">
        <f>'Precinct Vote Data'!H37</f>
        <v>0.2716763006</v>
      </c>
      <c r="N15" s="15">
        <f t="shared" si="6"/>
        <v>0.777422744</v>
      </c>
      <c r="O15" s="5">
        <f t="shared" si="7"/>
        <v>153</v>
      </c>
      <c r="Q15" s="5" t="str">
        <f t="shared" si="8"/>
        <v>Carbon|FRANKLIN|100</v>
      </c>
    </row>
    <row r="16" ht="15.0" customHeight="1">
      <c r="A16" s="5" t="s">
        <v>16</v>
      </c>
      <c r="B16" s="5" t="s">
        <v>77</v>
      </c>
      <c r="C16" s="5" t="s">
        <v>78</v>
      </c>
      <c r="D16" s="15">
        <f t="shared" si="1"/>
        <v>3.104199617</v>
      </c>
      <c r="E16" s="15">
        <f t="shared" si="2"/>
        <v>0.933891017</v>
      </c>
      <c r="F16" s="15">
        <f t="shared" si="3"/>
        <v>2.104199617</v>
      </c>
      <c r="G16" s="10">
        <f t="shared" si="4"/>
        <v>0.4660068579</v>
      </c>
      <c r="H16" s="2" t="str">
        <f t="shared" si="5"/>
        <v/>
      </c>
      <c r="J16" s="10">
        <f>'Precinct Vote Data'!H38</f>
        <v>0.545</v>
      </c>
      <c r="K16" s="10">
        <f>'Precinct Vote Data'!H39</f>
        <v>0.4246323529</v>
      </c>
      <c r="L16" s="10">
        <f>'Precinct Vote Data'!H40</f>
        <v>0.4545454545</v>
      </c>
      <c r="M16" s="10">
        <f>'Precinct Vote Data'!H41</f>
        <v>0.4398496241</v>
      </c>
      <c r="N16" s="15">
        <f t="shared" si="6"/>
        <v>2.1703086</v>
      </c>
      <c r="O16" s="5">
        <f t="shared" si="7"/>
        <v>373</v>
      </c>
      <c r="Q16" s="5" t="str">
        <f t="shared" si="8"/>
        <v>Carbon|JIM THORPE|110</v>
      </c>
    </row>
    <row r="17" ht="15.0" customHeight="1">
      <c r="A17" s="5" t="s">
        <v>16</v>
      </c>
      <c r="B17" s="5" t="s">
        <v>77</v>
      </c>
      <c r="C17" s="5" t="s">
        <v>79</v>
      </c>
      <c r="D17" s="15">
        <f t="shared" si="1"/>
        <v>0.7192759048</v>
      </c>
      <c r="E17" s="15">
        <f t="shared" si="2"/>
        <v>0.1299347274</v>
      </c>
      <c r="F17" s="15">
        <f t="shared" si="3"/>
        <v>0.2807240952</v>
      </c>
      <c r="G17" s="10">
        <f t="shared" si="4"/>
        <v>0.4209900937</v>
      </c>
      <c r="H17" s="2" t="str">
        <f t="shared" si="5"/>
        <v/>
      </c>
      <c r="J17" s="10">
        <f>'Precinct Vote Data'!H42</f>
        <v>0.4296875</v>
      </c>
      <c r="K17" s="10">
        <f>'Precinct Vote Data'!H43</f>
        <v>0.3769230769</v>
      </c>
      <c r="L17" s="10">
        <f>'Precinct Vote Data'!H44</f>
        <v>0.4579124579</v>
      </c>
      <c r="M17" s="10">
        <f>'Precinct Vote Data'!H45</f>
        <v>0.4194373402</v>
      </c>
      <c r="N17" s="15">
        <f t="shared" si="6"/>
        <v>1.150789368</v>
      </c>
      <c r="O17" s="5">
        <f t="shared" si="7"/>
        <v>220</v>
      </c>
      <c r="Q17" s="5" t="str">
        <f t="shared" si="8"/>
        <v>Carbon|JIM THORPE|120</v>
      </c>
    </row>
    <row r="18" ht="15.0" customHeight="1">
      <c r="A18" s="5" t="s">
        <v>16</v>
      </c>
      <c r="B18" s="5" t="s">
        <v>77</v>
      </c>
      <c r="C18" s="5" t="s">
        <v>87</v>
      </c>
      <c r="D18" s="15">
        <f t="shared" si="1"/>
        <v>2.215006615</v>
      </c>
      <c r="E18" s="15">
        <f t="shared" si="2"/>
        <v>0.9381915934</v>
      </c>
      <c r="F18" s="15">
        <f t="shared" si="3"/>
        <v>1.215006615</v>
      </c>
      <c r="G18" s="10">
        <f t="shared" si="4"/>
        <v>0.4033845271</v>
      </c>
      <c r="H18" s="2" t="str">
        <f t="shared" si="5"/>
        <v/>
      </c>
      <c r="J18" s="10">
        <f>'Precinct Vote Data'!H46</f>
        <v>0.4607142857</v>
      </c>
      <c r="K18" s="10">
        <f>'Precinct Vote Data'!H47</f>
        <v>0.3796423659</v>
      </c>
      <c r="L18" s="10">
        <f>'Precinct Vote Data'!H48</f>
        <v>0.3904</v>
      </c>
      <c r="M18" s="10">
        <f>'Precinct Vote Data'!H49</f>
        <v>0.382781457</v>
      </c>
      <c r="N18" s="15">
        <f t="shared" si="6"/>
        <v>1.276815022</v>
      </c>
      <c r="O18" s="5">
        <f t="shared" si="7"/>
        <v>245</v>
      </c>
      <c r="Q18" s="5" t="str">
        <f t="shared" si="8"/>
        <v>Carbon|JIM THORPE|130</v>
      </c>
    </row>
    <row r="19" ht="15.0" customHeight="1">
      <c r="A19" s="5" t="s">
        <v>16</v>
      </c>
      <c r="B19" s="5" t="s">
        <v>77</v>
      </c>
      <c r="C19" s="5" t="s">
        <v>88</v>
      </c>
      <c r="D19" s="15">
        <f t="shared" si="1"/>
        <v>1.951920774</v>
      </c>
      <c r="E19" s="15">
        <f t="shared" si="2"/>
        <v>0.8358068484</v>
      </c>
      <c r="F19" s="15">
        <f t="shared" si="3"/>
        <v>0.9519207737</v>
      </c>
      <c r="G19" s="10">
        <f t="shared" si="4"/>
        <v>0.5465335202</v>
      </c>
      <c r="H19" s="2" t="str">
        <f t="shared" si="5"/>
        <v/>
      </c>
      <c r="J19" s="10">
        <f>'Precinct Vote Data'!H50</f>
        <v>0.5859030837</v>
      </c>
      <c r="K19" s="10">
        <f>'Precinct Vote Data'!H51</f>
        <v>0.5266666667</v>
      </c>
      <c r="L19" s="10">
        <f>'Precinct Vote Data'!H52</f>
        <v>0.5662650602</v>
      </c>
      <c r="M19" s="10">
        <f>'Precinct Vote Data'!H53</f>
        <v>0.5072992701</v>
      </c>
      <c r="N19" s="15">
        <f t="shared" si="6"/>
        <v>1.116113925</v>
      </c>
      <c r="O19" s="5">
        <f t="shared" si="7"/>
        <v>212</v>
      </c>
      <c r="Q19" s="5" t="str">
        <f t="shared" si="8"/>
        <v>Carbon|JIM THORPE|140</v>
      </c>
    </row>
    <row r="20" ht="15.0" customHeight="1">
      <c r="A20" s="5" t="s">
        <v>16</v>
      </c>
      <c r="B20" s="5" t="s">
        <v>77</v>
      </c>
      <c r="C20" s="5" t="s">
        <v>89</v>
      </c>
      <c r="D20" s="15">
        <f t="shared" si="1"/>
        <v>0.9897283131</v>
      </c>
      <c r="E20" s="15">
        <f t="shared" si="2"/>
        <v>0.1976367611</v>
      </c>
      <c r="F20" s="15">
        <f t="shared" si="3"/>
        <v>0.01027168687</v>
      </c>
      <c r="G20" s="10">
        <f t="shared" si="4"/>
        <v>0.4487317443</v>
      </c>
      <c r="H20" s="2" t="str">
        <f t="shared" si="5"/>
        <v/>
      </c>
      <c r="J20" s="10">
        <f>'Precinct Vote Data'!H54</f>
        <v>0.461722488</v>
      </c>
      <c r="K20" s="10">
        <f>'Precinct Vote Data'!H55</f>
        <v>0.4025974026</v>
      </c>
      <c r="L20" s="10">
        <f>'Precinct Vote Data'!H56</f>
        <v>0.4914285714</v>
      </c>
      <c r="M20" s="10">
        <f>'Precinct Vote Data'!H57</f>
        <v>0.439178515</v>
      </c>
      <c r="N20" s="15">
        <f t="shared" si="6"/>
        <v>0.8126349257</v>
      </c>
      <c r="O20" s="5">
        <f t="shared" si="7"/>
        <v>158</v>
      </c>
      <c r="Q20" s="5" t="str">
        <f t="shared" si="8"/>
        <v>Carbon|JIM THORPE|150</v>
      </c>
    </row>
    <row r="21" ht="15.0" customHeight="1">
      <c r="A21" s="5" t="s">
        <v>16</v>
      </c>
      <c r="B21" s="5" t="s">
        <v>90</v>
      </c>
      <c r="C21" s="5" t="s">
        <v>91</v>
      </c>
      <c r="D21" s="15">
        <f t="shared" si="1"/>
        <v>0.9311323564</v>
      </c>
      <c r="E21" s="15">
        <f t="shared" si="2"/>
        <v>0.3121525575</v>
      </c>
      <c r="F21" s="15">
        <f t="shared" si="3"/>
        <v>0.06886764356</v>
      </c>
      <c r="G21" s="10">
        <f t="shared" si="4"/>
        <v>0.358386414</v>
      </c>
      <c r="H21" s="2" t="str">
        <f t="shared" si="5"/>
        <v/>
      </c>
      <c r="J21" s="10">
        <f>'Precinct Vote Data'!H58</f>
        <v>0.3849765258</v>
      </c>
      <c r="K21" s="10">
        <f>'Precinct Vote Data'!H59</f>
        <v>0.3202614379</v>
      </c>
      <c r="L21" s="10">
        <f>'Precinct Vote Data'!H60</f>
        <v>0.356</v>
      </c>
      <c r="M21" s="10">
        <f>'Precinct Vote Data'!H61</f>
        <v>0.3723076923</v>
      </c>
      <c r="N21" s="15">
        <f t="shared" si="6"/>
        <v>0.756715086</v>
      </c>
      <c r="O21" s="5">
        <f t="shared" si="7"/>
        <v>149</v>
      </c>
      <c r="Q21" s="5" t="str">
        <f t="shared" si="8"/>
        <v>Carbon|KIDDER|160</v>
      </c>
    </row>
    <row r="22" ht="15.0" customHeight="1">
      <c r="A22" s="5" t="s">
        <v>16</v>
      </c>
      <c r="B22" s="5" t="s">
        <v>90</v>
      </c>
      <c r="C22" s="5" t="s">
        <v>92</v>
      </c>
      <c r="D22" s="15">
        <f t="shared" si="1"/>
        <v>0.7441174977</v>
      </c>
      <c r="E22" s="15">
        <f t="shared" si="2"/>
        <v>0.6188858569</v>
      </c>
      <c r="F22" s="15">
        <f t="shared" si="3"/>
        <v>0.2558825023</v>
      </c>
      <c r="G22" s="10">
        <f t="shared" si="4"/>
        <v>0.3183702623</v>
      </c>
      <c r="H22" s="2" t="str">
        <f t="shared" si="5"/>
        <v/>
      </c>
      <c r="J22" s="10">
        <f>'Precinct Vote Data'!H62</f>
        <v>0.3369763206</v>
      </c>
      <c r="K22" s="10">
        <f>'Precinct Vote Data'!H63</f>
        <v>0.2981132075</v>
      </c>
      <c r="L22" s="10">
        <f>'Precinct Vote Data'!H64</f>
        <v>0.3202725724</v>
      </c>
      <c r="M22" s="10">
        <f>'Precinct Vote Data'!H65</f>
        <v>0.3181189488</v>
      </c>
      <c r="N22" s="15">
        <f t="shared" si="6"/>
        <v>0.6369966455</v>
      </c>
      <c r="O22" s="5">
        <f t="shared" si="7"/>
        <v>112</v>
      </c>
      <c r="Q22" s="5" t="str">
        <f t="shared" si="8"/>
        <v>Carbon|KIDDER|170</v>
      </c>
    </row>
    <row r="23" ht="15.0" customHeight="1">
      <c r="A23" s="5" t="s">
        <v>16</v>
      </c>
      <c r="B23" s="5" t="s">
        <v>93</v>
      </c>
      <c r="C23" s="5" t="s">
        <v>94</v>
      </c>
      <c r="D23" s="15">
        <f t="shared" si="1"/>
        <v>2.688696576</v>
      </c>
      <c r="E23" s="15">
        <f t="shared" si="2"/>
        <v>0.8050060864</v>
      </c>
      <c r="F23" s="15">
        <f t="shared" si="3"/>
        <v>1.688696576</v>
      </c>
      <c r="G23" s="10">
        <f t="shared" si="4"/>
        <v>0.4255673674</v>
      </c>
      <c r="H23" s="2" t="str">
        <f t="shared" si="5"/>
        <v/>
      </c>
      <c r="J23" s="10">
        <f>'Precinct Vote Data'!H66</f>
        <v>0.4976190476</v>
      </c>
      <c r="K23" s="10">
        <f>'Precinct Vote Data'!H67</f>
        <v>0.4230769231</v>
      </c>
      <c r="L23" s="10">
        <f>'Precinct Vote Data'!H68</f>
        <v>0.3933747412</v>
      </c>
      <c r="M23" s="10">
        <f>'Precinct Vote Data'!H69</f>
        <v>0.3881987578</v>
      </c>
      <c r="N23" s="15">
        <f t="shared" si="6"/>
        <v>1.883690489</v>
      </c>
      <c r="O23" s="5">
        <f t="shared" si="7"/>
        <v>335</v>
      </c>
      <c r="Q23" s="5" t="str">
        <f t="shared" si="8"/>
        <v>Carbon|LANSFORD|180</v>
      </c>
    </row>
    <row r="24" ht="15.0" customHeight="1">
      <c r="A24" s="5" t="s">
        <v>16</v>
      </c>
      <c r="B24" s="5" t="s">
        <v>93</v>
      </c>
      <c r="C24" s="5" t="s">
        <v>95</v>
      </c>
      <c r="D24" s="15">
        <f t="shared" si="1"/>
        <v>2.073680488</v>
      </c>
      <c r="E24" s="15">
        <f t="shared" si="2"/>
        <v>0.9892069764</v>
      </c>
      <c r="F24" s="15">
        <f t="shared" si="3"/>
        <v>1.073680488</v>
      </c>
      <c r="G24" s="10">
        <f t="shared" si="4"/>
        <v>0.4247604965</v>
      </c>
      <c r="H24" s="2" t="str">
        <f t="shared" si="5"/>
        <v/>
      </c>
      <c r="J24" s="10">
        <f>'Precinct Vote Data'!H70</f>
        <v>0.4731182796</v>
      </c>
      <c r="K24" s="10">
        <f>'Precinct Vote Data'!H71</f>
        <v>0.4096385542</v>
      </c>
      <c r="L24" s="10">
        <f>'Precinct Vote Data'!H72</f>
        <v>0.425087108</v>
      </c>
      <c r="M24" s="10">
        <f>'Precinct Vote Data'!H73</f>
        <v>0.391198044</v>
      </c>
      <c r="N24" s="15">
        <f t="shared" si="6"/>
        <v>1.084473512</v>
      </c>
      <c r="O24" s="5">
        <f t="shared" si="7"/>
        <v>205</v>
      </c>
      <c r="Q24" s="5" t="str">
        <f t="shared" si="8"/>
        <v>Carbon|LANSFORD|190</v>
      </c>
    </row>
    <row r="25" ht="15.0" customHeight="1">
      <c r="A25" s="5" t="s">
        <v>16</v>
      </c>
      <c r="B25" s="5" t="s">
        <v>93</v>
      </c>
      <c r="C25" s="5" t="s">
        <v>96</v>
      </c>
      <c r="D25" s="15">
        <f t="shared" si="1"/>
        <v>2.591222957</v>
      </c>
      <c r="E25" s="15">
        <f t="shared" si="2"/>
        <v>0.9390270254</v>
      </c>
      <c r="F25" s="15">
        <f t="shared" si="3"/>
        <v>1.591222957</v>
      </c>
      <c r="G25" s="10">
        <f t="shared" si="4"/>
        <v>0.4548520057</v>
      </c>
      <c r="H25" s="2" t="str">
        <f t="shared" si="5"/>
        <v/>
      </c>
      <c r="J25" s="10">
        <f>'Precinct Vote Data'!H74</f>
        <v>0.5112107623</v>
      </c>
      <c r="K25" s="10">
        <f>'Precinct Vote Data'!H75</f>
        <v>0.4281842818</v>
      </c>
      <c r="L25" s="10">
        <f>'Precinct Vote Data'!H76</f>
        <v>0.4695652174</v>
      </c>
      <c r="M25" s="10">
        <f>'Precinct Vote Data'!H77</f>
        <v>0.4104477612</v>
      </c>
      <c r="N25" s="15">
        <f t="shared" si="6"/>
        <v>1.652195932</v>
      </c>
      <c r="O25" s="5">
        <f t="shared" si="7"/>
        <v>305</v>
      </c>
      <c r="Q25" s="5" t="str">
        <f t="shared" si="8"/>
        <v>Carbon|LANSFORD|200</v>
      </c>
    </row>
    <row r="26" ht="15.0" customHeight="1">
      <c r="A26" s="5" t="s">
        <v>16</v>
      </c>
      <c r="B26" s="5" t="s">
        <v>97</v>
      </c>
      <c r="C26" s="5" t="s">
        <v>98</v>
      </c>
      <c r="D26" s="15">
        <f t="shared" si="1"/>
        <v>1.467695104</v>
      </c>
      <c r="E26" s="15">
        <f t="shared" si="2"/>
        <v>0.7366348367</v>
      </c>
      <c r="F26" s="15">
        <f t="shared" si="3"/>
        <v>0.4676951039</v>
      </c>
      <c r="G26" s="10">
        <f t="shared" si="4"/>
        <v>0.3006325597</v>
      </c>
      <c r="H26" s="2" t="str">
        <f t="shared" si="5"/>
        <v/>
      </c>
      <c r="J26" s="10">
        <f>'Precinct Vote Data'!H78</f>
        <v>0.3295454545</v>
      </c>
      <c r="K26" s="10">
        <f>'Precinct Vote Data'!H79</f>
        <v>0.2978723404</v>
      </c>
      <c r="L26" s="10">
        <f>'Precinct Vote Data'!H80</f>
        <v>0.3130434783</v>
      </c>
      <c r="M26" s="10">
        <f>'Precinct Vote Data'!H81</f>
        <v>0.2620689655</v>
      </c>
      <c r="N26" s="15">
        <f t="shared" si="6"/>
        <v>0.7310602672</v>
      </c>
      <c r="O26" s="5">
        <f t="shared" si="7"/>
        <v>142</v>
      </c>
      <c r="Q26" s="5" t="str">
        <f t="shared" si="8"/>
        <v>Carbon|LAUSANNE|210</v>
      </c>
    </row>
    <row r="27" ht="15.0" customHeight="1">
      <c r="A27" s="5" t="s">
        <v>16</v>
      </c>
      <c r="B27" s="5" t="s">
        <v>99</v>
      </c>
      <c r="C27" s="5" t="s">
        <v>100</v>
      </c>
      <c r="D27" s="15">
        <f t="shared" si="1"/>
        <v>-0.02661798755</v>
      </c>
      <c r="E27" s="15">
        <f t="shared" si="2"/>
        <v>0.001146000203</v>
      </c>
      <c r="F27" s="15">
        <f t="shared" si="3"/>
        <v>1.026617988</v>
      </c>
      <c r="G27" s="10">
        <f t="shared" si="4"/>
        <v>0.2036395615</v>
      </c>
      <c r="H27" s="2" t="str">
        <f t="shared" si="5"/>
        <v/>
      </c>
      <c r="J27" s="10">
        <f>'Precinct Vote Data'!H82</f>
        <v>0.2009803922</v>
      </c>
      <c r="K27" s="10">
        <f>'Precinct Vote Data'!H83</f>
        <v>0.1861313869</v>
      </c>
      <c r="L27" s="10">
        <f>'Precinct Vote Data'!H84</f>
        <v>0.2157676349</v>
      </c>
      <c r="M27" s="10">
        <f>'Precinct Vote Data'!H85</f>
        <v>0.2116788321</v>
      </c>
      <c r="N27" s="15">
        <f t="shared" si="6"/>
        <v>2.025471987</v>
      </c>
      <c r="O27" s="5">
        <f t="shared" si="7"/>
        <v>354</v>
      </c>
      <c r="Q27" s="5" t="str">
        <f t="shared" si="8"/>
        <v>Carbon|LEHIGH|220</v>
      </c>
    </row>
    <row r="28" ht="15.0" customHeight="1">
      <c r="A28" s="5" t="s">
        <v>16</v>
      </c>
      <c r="B28" s="5" t="s">
        <v>101</v>
      </c>
      <c r="C28" s="5" t="s">
        <v>102</v>
      </c>
      <c r="D28" s="15">
        <f t="shared" si="1"/>
        <v>1.904790439</v>
      </c>
      <c r="E28" s="15">
        <f t="shared" si="2"/>
        <v>0.8202948967</v>
      </c>
      <c r="F28" s="15">
        <f t="shared" si="3"/>
        <v>0.9047904386</v>
      </c>
      <c r="G28" s="10">
        <f t="shared" si="4"/>
        <v>0.4076200477</v>
      </c>
      <c r="H28" s="2" t="str">
        <f t="shared" si="5"/>
        <v/>
      </c>
      <c r="J28" s="10">
        <f>'Precinct Vote Data'!H86</f>
        <v>0.453815261</v>
      </c>
      <c r="K28" s="10">
        <f>'Precinct Vote Data'!H87</f>
        <v>0.3693467337</v>
      </c>
      <c r="L28" s="10">
        <f>'Precinct Vote Data'!H88</f>
        <v>0.4116607774</v>
      </c>
      <c r="M28" s="10">
        <f>'Precinct Vote Data'!H89</f>
        <v>0.3956574186</v>
      </c>
      <c r="N28" s="15">
        <f t="shared" si="6"/>
        <v>1.084495542</v>
      </c>
      <c r="O28" s="5">
        <f t="shared" si="7"/>
        <v>206</v>
      </c>
      <c r="Q28" s="5" t="str">
        <f t="shared" si="8"/>
        <v>Carbon|LEHIGHTON|230</v>
      </c>
    </row>
    <row r="29" ht="15.0" customHeight="1">
      <c r="A29" s="5" t="s">
        <v>16</v>
      </c>
      <c r="B29" s="5" t="s">
        <v>101</v>
      </c>
      <c r="C29" s="5" t="s">
        <v>103</v>
      </c>
      <c r="D29" s="15">
        <f t="shared" si="1"/>
        <v>1.537103008</v>
      </c>
      <c r="E29" s="15">
        <f t="shared" si="2"/>
        <v>0.5105996547</v>
      </c>
      <c r="F29" s="15">
        <f t="shared" si="3"/>
        <v>0.5371030083</v>
      </c>
      <c r="G29" s="10">
        <f t="shared" si="4"/>
        <v>0.4227850573</v>
      </c>
      <c r="H29" s="2" t="str">
        <f t="shared" si="5"/>
        <v/>
      </c>
      <c r="J29" s="10">
        <f>'Precinct Vote Data'!H90</f>
        <v>0.4485776805</v>
      </c>
      <c r="K29" s="10">
        <f>'Precinct Vote Data'!H91</f>
        <v>0.390070922</v>
      </c>
      <c r="L29" s="10">
        <f>'Precinct Vote Data'!H92</f>
        <v>0.4592030361</v>
      </c>
      <c r="M29" s="10">
        <f>'Precinct Vote Data'!H93</f>
        <v>0.3932885906</v>
      </c>
      <c r="N29" s="15">
        <f t="shared" si="6"/>
        <v>1.026503354</v>
      </c>
      <c r="O29" s="5">
        <f t="shared" si="7"/>
        <v>194</v>
      </c>
      <c r="Q29" s="5" t="str">
        <f t="shared" si="8"/>
        <v>Carbon|LEHIGHTON|240</v>
      </c>
    </row>
    <row r="30" ht="15.0" customHeight="1">
      <c r="A30" s="5" t="s">
        <v>16</v>
      </c>
      <c r="B30" s="5" t="s">
        <v>101</v>
      </c>
      <c r="C30" s="5" t="s">
        <v>104</v>
      </c>
      <c r="D30" s="15">
        <f t="shared" si="1"/>
        <v>3.418614682</v>
      </c>
      <c r="E30" s="15">
        <f t="shared" si="2"/>
        <v>0.9347056328</v>
      </c>
      <c r="F30" s="15">
        <f t="shared" si="3"/>
        <v>2.418614682</v>
      </c>
      <c r="G30" s="10">
        <f t="shared" si="4"/>
        <v>0.4149677541</v>
      </c>
      <c r="H30" s="2" t="str">
        <f t="shared" si="5"/>
        <v/>
      </c>
      <c r="J30" s="10">
        <f>'Precinct Vote Data'!H94</f>
        <v>0.4947807933</v>
      </c>
      <c r="K30" s="10">
        <f>'Precinct Vote Data'!H95</f>
        <v>0.3626666667</v>
      </c>
      <c r="L30" s="10">
        <f>'Precinct Vote Data'!H96</f>
        <v>0.425087108</v>
      </c>
      <c r="M30" s="10">
        <f>'Precinct Vote Data'!H97</f>
        <v>0.3773364486</v>
      </c>
      <c r="N30" s="15">
        <f t="shared" si="6"/>
        <v>2.483909049</v>
      </c>
      <c r="O30" s="5">
        <f t="shared" si="7"/>
        <v>389</v>
      </c>
      <c r="Q30" s="5" t="str">
        <f t="shared" si="8"/>
        <v>Carbon|LEHIGHTON|250</v>
      </c>
    </row>
    <row r="31" ht="15.0" customHeight="1">
      <c r="A31" s="5" t="s">
        <v>16</v>
      </c>
      <c r="B31" s="5" t="s">
        <v>105</v>
      </c>
      <c r="C31" s="5" t="s">
        <v>106</v>
      </c>
      <c r="D31" s="15">
        <f t="shared" si="1"/>
        <v>2.191303189</v>
      </c>
      <c r="E31" s="15">
        <f t="shared" si="2"/>
        <v>0.9935892484</v>
      </c>
      <c r="F31" s="15">
        <f t="shared" si="3"/>
        <v>1.191303189</v>
      </c>
      <c r="G31" s="10">
        <f t="shared" si="4"/>
        <v>0.3048881068</v>
      </c>
      <c r="H31" s="2" t="str">
        <f t="shared" si="5"/>
        <v/>
      </c>
      <c r="J31" s="10">
        <f>'Precinct Vote Data'!H98</f>
        <v>0.3556942278</v>
      </c>
      <c r="K31" s="10">
        <f>'Precinct Vote Data'!H99</f>
        <v>0.2838515547</v>
      </c>
      <c r="L31" s="10">
        <f>'Precinct Vote Data'!H100</f>
        <v>0.3078848561</v>
      </c>
      <c r="M31" s="10">
        <f>'Precinct Vote Data'!H101</f>
        <v>0.2721217888</v>
      </c>
      <c r="N31" s="15">
        <f t="shared" si="6"/>
        <v>1.197713941</v>
      </c>
      <c r="O31" s="5">
        <f t="shared" si="7"/>
        <v>233</v>
      </c>
      <c r="Q31" s="5" t="str">
        <f t="shared" si="8"/>
        <v>Carbon|LOWER TOWAMENSING|260</v>
      </c>
    </row>
    <row r="32" ht="15.0" customHeight="1">
      <c r="A32" s="5" t="s">
        <v>16</v>
      </c>
      <c r="B32" s="5" t="s">
        <v>105</v>
      </c>
      <c r="C32" s="5" t="s">
        <v>107</v>
      </c>
      <c r="D32" s="15">
        <f t="shared" si="1"/>
        <v>2.284252919</v>
      </c>
      <c r="E32" s="15">
        <f t="shared" si="2"/>
        <v>0.9984057854</v>
      </c>
      <c r="F32" s="15">
        <f t="shared" si="3"/>
        <v>1.284252919</v>
      </c>
      <c r="G32" s="10">
        <f t="shared" si="4"/>
        <v>0.3355440747</v>
      </c>
      <c r="H32" s="2" t="str">
        <f t="shared" si="5"/>
        <v/>
      </c>
      <c r="J32" s="10">
        <f>'Precinct Vote Data'!H102</f>
        <v>0.389261745</v>
      </c>
      <c r="K32" s="10">
        <f>'Precinct Vote Data'!H103</f>
        <v>0.3140243902</v>
      </c>
      <c r="L32" s="10">
        <f>'Precinct Vote Data'!H104</f>
        <v>0.3363802559</v>
      </c>
      <c r="M32" s="10">
        <f>'Precinct Vote Data'!H105</f>
        <v>0.3025099075</v>
      </c>
      <c r="N32" s="15">
        <f t="shared" si="6"/>
        <v>1.285847133</v>
      </c>
      <c r="O32" s="5">
        <f t="shared" si="7"/>
        <v>249</v>
      </c>
      <c r="Q32" s="5" t="str">
        <f t="shared" si="8"/>
        <v>Carbon|LOWER TOWAMENSING|265</v>
      </c>
    </row>
    <row r="33" ht="15.0" customHeight="1">
      <c r="A33" s="5" t="s">
        <v>16</v>
      </c>
      <c r="B33" s="5" t="s">
        <v>108</v>
      </c>
      <c r="C33" s="5" t="s">
        <v>109</v>
      </c>
      <c r="D33" s="15">
        <f t="shared" si="1"/>
        <v>1.832992879</v>
      </c>
      <c r="E33" s="15">
        <f t="shared" si="2"/>
        <v>0.7809741102</v>
      </c>
      <c r="F33" s="15">
        <f t="shared" si="3"/>
        <v>0.8329928788</v>
      </c>
      <c r="G33" s="10">
        <f t="shared" si="4"/>
        <v>0.3150046747</v>
      </c>
      <c r="H33" s="2" t="str">
        <f t="shared" si="5"/>
        <v/>
      </c>
      <c r="J33" s="10">
        <f>'Precinct Vote Data'!H106</f>
        <v>0.3577680525</v>
      </c>
      <c r="K33" s="10">
        <f>'Precinct Vote Data'!H107</f>
        <v>0.2753968254</v>
      </c>
      <c r="L33" s="10">
        <f>'Precinct Vote Data'!H108</f>
        <v>0.3246753247</v>
      </c>
      <c r="M33" s="10">
        <f>'Precinct Vote Data'!H109</f>
        <v>0.3021784961</v>
      </c>
      <c r="N33" s="15">
        <f t="shared" si="6"/>
        <v>1.052018769</v>
      </c>
      <c r="O33" s="5">
        <f t="shared" si="7"/>
        <v>199</v>
      </c>
      <c r="Q33" s="5" t="str">
        <f t="shared" si="8"/>
        <v>Carbon|MAHONING|270</v>
      </c>
    </row>
    <row r="34" ht="15.0" customHeight="1">
      <c r="A34" s="5" t="s">
        <v>16</v>
      </c>
      <c r="B34" s="5" t="s">
        <v>108</v>
      </c>
      <c r="C34" s="5" t="s">
        <v>110</v>
      </c>
      <c r="D34" s="15">
        <f t="shared" si="1"/>
        <v>1.483773351</v>
      </c>
      <c r="E34" s="15">
        <f t="shared" si="2"/>
        <v>0.6627649023</v>
      </c>
      <c r="F34" s="15">
        <f t="shared" si="3"/>
        <v>0.4837733506</v>
      </c>
      <c r="G34" s="10">
        <f t="shared" si="4"/>
        <v>0.2590414972</v>
      </c>
      <c r="H34" s="2" t="str">
        <f t="shared" si="5"/>
        <v/>
      </c>
      <c r="J34" s="10">
        <f>'Precinct Vote Data'!H110</f>
        <v>0.296875</v>
      </c>
      <c r="K34" s="10">
        <f>'Precinct Vote Data'!H111</f>
        <v>0.2217659138</v>
      </c>
      <c r="L34" s="10">
        <f>'Precinct Vote Data'!H112</f>
        <v>0.2596401028</v>
      </c>
      <c r="M34" s="10">
        <f>'Precinct Vote Data'!H113</f>
        <v>0.2578849722</v>
      </c>
      <c r="N34" s="15">
        <f t="shared" si="6"/>
        <v>0.8210084483</v>
      </c>
      <c r="O34" s="5">
        <f t="shared" si="7"/>
        <v>160</v>
      </c>
      <c r="Q34" s="5" t="str">
        <f t="shared" si="8"/>
        <v>Carbon|MAHONING|280</v>
      </c>
    </row>
    <row r="35" ht="15.0" customHeight="1">
      <c r="A35" s="5" t="s">
        <v>16</v>
      </c>
      <c r="B35" s="5" t="s">
        <v>108</v>
      </c>
      <c r="C35" s="5" t="s">
        <v>111</v>
      </c>
      <c r="D35" s="15">
        <f t="shared" si="1"/>
        <v>2.28678898</v>
      </c>
      <c r="E35" s="15">
        <f t="shared" si="2"/>
        <v>0.9678037182</v>
      </c>
      <c r="F35" s="15">
        <f t="shared" si="3"/>
        <v>1.28678898</v>
      </c>
      <c r="G35" s="10">
        <f t="shared" si="4"/>
        <v>0.3160197298</v>
      </c>
      <c r="H35" s="2" t="str">
        <f t="shared" si="5"/>
        <v/>
      </c>
      <c r="J35" s="10">
        <f>'Precinct Vote Data'!H114</f>
        <v>0.3728813559</v>
      </c>
      <c r="K35" s="10">
        <f>'Precinct Vote Data'!H115</f>
        <v>0.288</v>
      </c>
      <c r="L35" s="10">
        <f>'Precinct Vote Data'!H116</f>
        <v>0.3104575163</v>
      </c>
      <c r="M35" s="10">
        <f>'Precinct Vote Data'!H117</f>
        <v>0.2927400468</v>
      </c>
      <c r="N35" s="15">
        <f t="shared" si="6"/>
        <v>1.318985262</v>
      </c>
      <c r="O35" s="5">
        <f t="shared" si="7"/>
        <v>254</v>
      </c>
      <c r="Q35" s="5" t="str">
        <f t="shared" si="8"/>
        <v>Carbon|MAHONING|290</v>
      </c>
    </row>
    <row r="36" ht="15.0" customHeight="1">
      <c r="A36" s="5" t="s">
        <v>16</v>
      </c>
      <c r="B36" s="5" t="s">
        <v>112</v>
      </c>
      <c r="C36" s="5" t="s">
        <v>113</v>
      </c>
      <c r="D36" s="15">
        <f t="shared" si="1"/>
        <v>2.58484284</v>
      </c>
      <c r="E36" s="15">
        <f t="shared" si="2"/>
        <v>0.9066194318</v>
      </c>
      <c r="F36" s="15">
        <f t="shared" si="3"/>
        <v>1.58484284</v>
      </c>
      <c r="G36" s="10">
        <f t="shared" si="4"/>
        <v>0.4196790287</v>
      </c>
      <c r="H36" s="2" t="str">
        <f t="shared" si="5"/>
        <v/>
      </c>
      <c r="J36" s="10">
        <f>'Precinct Vote Data'!H118</f>
        <v>0.4769539078</v>
      </c>
      <c r="K36" s="10">
        <f>'Precinct Vote Data'!H119</f>
        <v>0.3803596127</v>
      </c>
      <c r="L36" s="10">
        <f>'Precinct Vote Data'!H120</f>
        <v>0.4359430605</v>
      </c>
      <c r="M36" s="10">
        <f>'Precinct Vote Data'!H121</f>
        <v>0.3854595336</v>
      </c>
      <c r="N36" s="15">
        <f t="shared" si="6"/>
        <v>1.678223408</v>
      </c>
      <c r="O36" s="5">
        <f t="shared" si="7"/>
        <v>311</v>
      </c>
      <c r="Q36" s="5" t="str">
        <f t="shared" si="8"/>
        <v>Carbon|NESQUEHONING|300</v>
      </c>
    </row>
    <row r="37" ht="15.0" customHeight="1">
      <c r="A37" s="5" t="s">
        <v>16</v>
      </c>
      <c r="B37" s="5" t="s">
        <v>112</v>
      </c>
      <c r="C37" s="5" t="s">
        <v>114</v>
      </c>
      <c r="D37" s="15">
        <f t="shared" si="1"/>
        <v>2.796633861</v>
      </c>
      <c r="E37" s="15">
        <f t="shared" si="2"/>
        <v>0.8701319791</v>
      </c>
      <c r="F37" s="15">
        <f t="shared" si="3"/>
        <v>1.796633861</v>
      </c>
      <c r="G37" s="10">
        <f t="shared" si="4"/>
        <v>0.4044331305</v>
      </c>
      <c r="H37" s="2" t="str">
        <f t="shared" si="5"/>
        <v/>
      </c>
      <c r="J37" s="10">
        <f>'Precinct Vote Data'!H122</f>
        <v>0.478976234</v>
      </c>
      <c r="K37" s="10">
        <f>'Precinct Vote Data'!H123</f>
        <v>0.3673218673</v>
      </c>
      <c r="L37" s="10">
        <f>'Precinct Vote Data'!H124</f>
        <v>0.3844936709</v>
      </c>
      <c r="M37" s="10">
        <f>'Precinct Vote Data'!H125</f>
        <v>0.3869407497</v>
      </c>
      <c r="N37" s="15">
        <f t="shared" si="6"/>
        <v>1.926501882</v>
      </c>
      <c r="O37" s="5">
        <f t="shared" si="7"/>
        <v>339</v>
      </c>
      <c r="Q37" s="5" t="str">
        <f t="shared" si="8"/>
        <v>Carbon|NESQUEHONING|310</v>
      </c>
    </row>
    <row r="38" ht="15.0" customHeight="1">
      <c r="A38" s="5" t="s">
        <v>16</v>
      </c>
      <c r="B38" s="5" t="s">
        <v>115</v>
      </c>
      <c r="C38" s="5" t="s">
        <v>116</v>
      </c>
      <c r="D38" s="15">
        <f t="shared" si="1"/>
        <v>1.014545314</v>
      </c>
      <c r="E38" s="15">
        <f t="shared" si="2"/>
        <v>0.3770178508</v>
      </c>
      <c r="F38" s="15">
        <f t="shared" si="3"/>
        <v>0.01454531354</v>
      </c>
      <c r="G38" s="10">
        <f t="shared" si="4"/>
        <v>0.1969016507</v>
      </c>
      <c r="H38" s="2" t="str">
        <f t="shared" si="5"/>
        <v/>
      </c>
      <c r="J38" s="10">
        <f>'Precinct Vote Data'!H126</f>
        <v>0.2298136646</v>
      </c>
      <c r="K38" s="10">
        <f>'Precinct Vote Data'!H127</f>
        <v>0.1703125</v>
      </c>
      <c r="L38" s="10">
        <f>'Precinct Vote Data'!H128</f>
        <v>0.1777777778</v>
      </c>
      <c r="M38" s="10">
        <f>'Precinct Vote Data'!H129</f>
        <v>0.2097026604</v>
      </c>
      <c r="N38" s="15">
        <f t="shared" si="6"/>
        <v>0.6375274627</v>
      </c>
      <c r="O38" s="5">
        <f t="shared" si="7"/>
        <v>114</v>
      </c>
      <c r="Q38" s="5" t="str">
        <f t="shared" si="8"/>
        <v>Carbon|PACKER|320</v>
      </c>
    </row>
    <row r="39" ht="15.0" customHeight="1">
      <c r="A39" s="5" t="s">
        <v>16</v>
      </c>
      <c r="B39" s="5" t="s">
        <v>117</v>
      </c>
      <c r="C39" s="5" t="s">
        <v>118</v>
      </c>
      <c r="D39" s="15">
        <f t="shared" si="1"/>
        <v>1.250453541</v>
      </c>
      <c r="E39" s="15">
        <f t="shared" si="2"/>
        <v>0.8507054244</v>
      </c>
      <c r="F39" s="15">
        <f t="shared" si="3"/>
        <v>0.250453541</v>
      </c>
      <c r="G39" s="10">
        <f t="shared" si="4"/>
        <v>0.3456851752</v>
      </c>
      <c r="H39" s="2" t="str">
        <f t="shared" si="5"/>
        <v/>
      </c>
      <c r="J39" s="10">
        <f>'Precinct Vote Data'!H130</f>
        <v>0.3733333333</v>
      </c>
      <c r="K39" s="10">
        <f>'Precinct Vote Data'!H131</f>
        <v>0.3232908459</v>
      </c>
      <c r="L39" s="10">
        <f>'Precinct Vote Data'!H132</f>
        <v>0.3549337261</v>
      </c>
      <c r="M39" s="10">
        <f>'Precinct Vote Data'!H133</f>
        <v>0.3311827957</v>
      </c>
      <c r="N39" s="15">
        <f t="shared" si="6"/>
        <v>0.3997481167</v>
      </c>
      <c r="O39" s="5">
        <f t="shared" si="7"/>
        <v>55</v>
      </c>
      <c r="Q39" s="5" t="str">
        <f t="shared" si="8"/>
        <v>Carbon|PALMERTON|330</v>
      </c>
    </row>
    <row r="40" ht="15.0" customHeight="1">
      <c r="A40" s="5" t="s">
        <v>16</v>
      </c>
      <c r="B40" s="5" t="s">
        <v>117</v>
      </c>
      <c r="C40" s="5" t="s">
        <v>119</v>
      </c>
      <c r="D40" s="15">
        <f t="shared" si="1"/>
        <v>1.966706499</v>
      </c>
      <c r="E40" s="15">
        <f t="shared" si="2"/>
        <v>0.7707123793</v>
      </c>
      <c r="F40" s="15">
        <f t="shared" si="3"/>
        <v>0.9667064986</v>
      </c>
      <c r="G40" s="10">
        <f t="shared" si="4"/>
        <v>0.4038502495</v>
      </c>
      <c r="H40" s="2" t="str">
        <f t="shared" si="5"/>
        <v/>
      </c>
      <c r="J40" s="10">
        <f>'Precinct Vote Data'!H134</f>
        <v>0.4481074481</v>
      </c>
      <c r="K40" s="10">
        <f>'Precinct Vote Data'!H135</f>
        <v>0.3614173228</v>
      </c>
      <c r="L40" s="10">
        <f>'Precinct Vote Data'!H136</f>
        <v>0.4188034188</v>
      </c>
      <c r="M40" s="10">
        <f>'Precinct Vote Data'!H137</f>
        <v>0.3870728083</v>
      </c>
      <c r="N40" s="15">
        <f t="shared" si="6"/>
        <v>1.195994119</v>
      </c>
      <c r="O40" s="5">
        <f t="shared" si="7"/>
        <v>231</v>
      </c>
      <c r="Q40" s="5" t="str">
        <f t="shared" si="8"/>
        <v>Carbon|PALMERTON|340</v>
      </c>
    </row>
    <row r="41" ht="15.0" customHeight="1">
      <c r="A41" s="5" t="s">
        <v>16</v>
      </c>
      <c r="B41" s="5" t="s">
        <v>117</v>
      </c>
      <c r="C41" s="5" t="s">
        <v>120</v>
      </c>
      <c r="D41" s="15">
        <f t="shared" si="1"/>
        <v>1.72136551</v>
      </c>
      <c r="E41" s="15">
        <f t="shared" si="2"/>
        <v>0.726039129</v>
      </c>
      <c r="F41" s="15">
        <f t="shared" si="3"/>
        <v>0.7213655103</v>
      </c>
      <c r="G41" s="10">
        <f t="shared" si="4"/>
        <v>0.3483600515</v>
      </c>
      <c r="H41" s="2" t="str">
        <f t="shared" si="5"/>
        <v/>
      </c>
      <c r="J41" s="10">
        <f>'Precinct Vote Data'!H138</f>
        <v>0.3902439024</v>
      </c>
      <c r="K41" s="10">
        <f>'Precinct Vote Data'!H139</f>
        <v>0.3078817734</v>
      </c>
      <c r="L41" s="10">
        <f>'Precinct Vote Data'!H140</f>
        <v>0.3537414966</v>
      </c>
      <c r="M41" s="10">
        <f>'Precinct Vote Data'!H141</f>
        <v>0.3415730337</v>
      </c>
      <c r="N41" s="15">
        <f t="shared" si="6"/>
        <v>0.9953263813</v>
      </c>
      <c r="O41" s="5">
        <f t="shared" si="7"/>
        <v>190</v>
      </c>
      <c r="Q41" s="5" t="str">
        <f t="shared" si="8"/>
        <v>Carbon|PALMERTON|350</v>
      </c>
    </row>
    <row r="42" ht="15.0" customHeight="1">
      <c r="A42" s="5" t="s">
        <v>16</v>
      </c>
      <c r="B42" s="5" t="s">
        <v>121</v>
      </c>
      <c r="C42" s="5" t="s">
        <v>122</v>
      </c>
      <c r="D42" s="15">
        <f t="shared" si="1"/>
        <v>1.069262434</v>
      </c>
      <c r="E42" s="15">
        <f t="shared" si="2"/>
        <v>0.214305589</v>
      </c>
      <c r="F42" s="15">
        <f t="shared" si="3"/>
        <v>0.06926243403</v>
      </c>
      <c r="G42" s="10">
        <f t="shared" si="4"/>
        <v>0.2862354096</v>
      </c>
      <c r="H42" s="2" t="str">
        <f t="shared" si="5"/>
        <v/>
      </c>
      <c r="J42" s="10">
        <f>'Precinct Vote Data'!H142</f>
        <v>0.3212121212</v>
      </c>
      <c r="K42" s="10">
        <f>'Precinct Vote Data'!H143</f>
        <v>0.2374429224</v>
      </c>
      <c r="L42" s="10">
        <f>'Precinct Vote Data'!H144</f>
        <v>0.2727272727</v>
      </c>
      <c r="M42" s="10">
        <f>'Precinct Vote Data'!H145</f>
        <v>0.313559322</v>
      </c>
      <c r="N42" s="15">
        <f t="shared" si="6"/>
        <v>0.854956845</v>
      </c>
      <c r="O42" s="5">
        <f t="shared" si="7"/>
        <v>164</v>
      </c>
      <c r="Q42" s="5" t="str">
        <f t="shared" si="8"/>
        <v>Carbon|PARRYVILLE|360</v>
      </c>
    </row>
    <row r="43" ht="15.0" customHeight="1">
      <c r="A43" s="5" t="s">
        <v>16</v>
      </c>
      <c r="B43" s="5" t="s">
        <v>123</v>
      </c>
      <c r="C43" s="5" t="s">
        <v>124</v>
      </c>
      <c r="D43" s="15">
        <f t="shared" si="1"/>
        <v>0.9301034977</v>
      </c>
      <c r="E43" s="15">
        <f t="shared" si="2"/>
        <v>0.6211658948</v>
      </c>
      <c r="F43" s="15">
        <f t="shared" si="3"/>
        <v>0.06989650231</v>
      </c>
      <c r="G43" s="10">
        <f t="shared" si="4"/>
        <v>0.3615890832</v>
      </c>
      <c r="H43" s="2" t="str">
        <f t="shared" si="5"/>
        <v/>
      </c>
      <c r="J43" s="10">
        <f>'Precinct Vote Data'!H146</f>
        <v>0.3881401617</v>
      </c>
      <c r="K43" s="10">
        <f>'Precinct Vote Data'!H147</f>
        <v>0.3417366947</v>
      </c>
      <c r="L43" s="10">
        <f>'Precinct Vote Data'!H148</f>
        <v>0.3526785714</v>
      </c>
      <c r="M43" s="10">
        <f>'Precinct Vote Data'!H149</f>
        <v>0.363800905</v>
      </c>
      <c r="N43" s="15">
        <f t="shared" si="6"/>
        <v>0.4487306075</v>
      </c>
      <c r="O43" s="5">
        <f t="shared" si="7"/>
        <v>62</v>
      </c>
      <c r="Q43" s="5" t="str">
        <f t="shared" si="8"/>
        <v>Carbon|PENN FOREST|370</v>
      </c>
    </row>
    <row r="44" ht="15.0" customHeight="1">
      <c r="A44" s="5" t="s">
        <v>16</v>
      </c>
      <c r="B44" s="5" t="s">
        <v>123</v>
      </c>
      <c r="C44" s="5" t="s">
        <v>125</v>
      </c>
      <c r="D44" s="15">
        <f t="shared" si="1"/>
        <v>1.968185587</v>
      </c>
      <c r="E44" s="15">
        <f t="shared" si="2"/>
        <v>0.8549253614</v>
      </c>
      <c r="F44" s="15">
        <f t="shared" si="3"/>
        <v>0.9681855871</v>
      </c>
      <c r="G44" s="10">
        <f t="shared" si="4"/>
        <v>0.3328024054</v>
      </c>
      <c r="H44" s="2" t="str">
        <f t="shared" si="5"/>
        <v/>
      </c>
      <c r="J44" s="10">
        <f>'Precinct Vote Data'!H150</f>
        <v>0.3864491844</v>
      </c>
      <c r="K44" s="10">
        <f>'Precinct Vote Data'!H151</f>
        <v>0.3161397671</v>
      </c>
      <c r="L44" s="10">
        <f>'Precinct Vote Data'!H152</f>
        <v>0.3120155039</v>
      </c>
      <c r="M44" s="10">
        <f>'Precinct Vote Data'!H153</f>
        <v>0.3166051661</v>
      </c>
      <c r="N44" s="15">
        <f t="shared" si="6"/>
        <v>1.113260226</v>
      </c>
      <c r="O44" s="5">
        <f t="shared" si="7"/>
        <v>210</v>
      </c>
      <c r="Q44" s="5" t="str">
        <f t="shared" si="8"/>
        <v>Carbon|PENN FOREST|373</v>
      </c>
    </row>
    <row r="45" ht="15.0" customHeight="1">
      <c r="A45" s="5" t="s">
        <v>16</v>
      </c>
      <c r="B45" s="5" t="s">
        <v>123</v>
      </c>
      <c r="C45" s="5" t="s">
        <v>126</v>
      </c>
      <c r="D45" s="15">
        <f t="shared" si="1"/>
        <v>1.453212004</v>
      </c>
      <c r="E45" s="15">
        <f t="shared" si="2"/>
        <v>0.769980135</v>
      </c>
      <c r="F45" s="15">
        <f t="shared" si="3"/>
        <v>0.4532120036</v>
      </c>
      <c r="G45" s="10">
        <f t="shared" si="4"/>
        <v>0.4049512325</v>
      </c>
      <c r="H45" s="2" t="str">
        <f t="shared" si="5"/>
        <v/>
      </c>
      <c r="J45" s="10">
        <f>'Precinct Vote Data'!H154</f>
        <v>0.442962963</v>
      </c>
      <c r="K45" s="10">
        <f>'Precinct Vote Data'!H155</f>
        <v>0.4079646018</v>
      </c>
      <c r="L45" s="10">
        <f>'Precinct Vote Data'!H156</f>
        <v>0.3886198547</v>
      </c>
      <c r="M45" s="10">
        <f>'Precinct Vote Data'!H157</f>
        <v>0.3802575107</v>
      </c>
      <c r="N45" s="15">
        <f t="shared" si="6"/>
        <v>0.6832318686</v>
      </c>
      <c r="O45" s="5">
        <f t="shared" si="7"/>
        <v>124</v>
      </c>
      <c r="Q45" s="5" t="str">
        <f t="shared" si="8"/>
        <v>Carbon|PENN FOREST|375</v>
      </c>
    </row>
    <row r="46" ht="15.0" customHeight="1">
      <c r="A46" s="5" t="s">
        <v>16</v>
      </c>
      <c r="B46" s="5" t="s">
        <v>123</v>
      </c>
      <c r="C46" s="5" t="s">
        <v>127</v>
      </c>
      <c r="D46" s="15">
        <f t="shared" si="1"/>
        <v>1.079041735</v>
      </c>
      <c r="E46" s="15">
        <f t="shared" si="2"/>
        <v>0.9026281656</v>
      </c>
      <c r="F46" s="15">
        <f t="shared" si="3"/>
        <v>0.07904173496</v>
      </c>
      <c r="G46" s="10">
        <f t="shared" si="4"/>
        <v>0.3821677367</v>
      </c>
      <c r="H46" s="2" t="str">
        <f t="shared" si="5"/>
        <v>YES</v>
      </c>
      <c r="J46" s="10">
        <f>'Precinct Vote Data'!H158</f>
        <v>0.4063116371</v>
      </c>
      <c r="K46" s="10">
        <f>'Precinct Vote Data'!H159</f>
        <v>0.3791008505</v>
      </c>
      <c r="L46" s="10">
        <f>'Precinct Vote Data'!H160</f>
        <v>0.3834951456</v>
      </c>
      <c r="M46" s="10">
        <f>'Precinct Vote Data'!H161</f>
        <v>0.3597633136</v>
      </c>
      <c r="N46" s="15">
        <f t="shared" si="6"/>
        <v>0.1764135693</v>
      </c>
      <c r="O46" s="5">
        <f t="shared" si="7"/>
        <v>9</v>
      </c>
      <c r="Q46" s="5" t="str">
        <f t="shared" si="8"/>
        <v>Carbon|PENN FOREST|377</v>
      </c>
    </row>
    <row r="47" ht="15.0" customHeight="1">
      <c r="A47" s="5" t="s">
        <v>16</v>
      </c>
      <c r="B47" s="5" t="s">
        <v>123</v>
      </c>
      <c r="C47" s="5" t="s">
        <v>128</v>
      </c>
      <c r="D47" s="15">
        <f t="shared" si="1"/>
        <v>1.665150368</v>
      </c>
      <c r="E47" s="15">
        <f t="shared" si="2"/>
        <v>0.9777190956</v>
      </c>
      <c r="F47" s="15">
        <f t="shared" si="3"/>
        <v>0.6651503679</v>
      </c>
      <c r="G47" s="10">
        <f t="shared" si="4"/>
        <v>0.395296208</v>
      </c>
      <c r="H47" s="2" t="str">
        <f t="shared" si="5"/>
        <v/>
      </c>
      <c r="J47" s="10">
        <f>'Precinct Vote Data'!H162</f>
        <v>0.4334975369</v>
      </c>
      <c r="K47" s="10">
        <f>'Precinct Vote Data'!H163</f>
        <v>0.383935743</v>
      </c>
      <c r="L47" s="10">
        <f>'Precinct Vote Data'!H164</f>
        <v>0.3970588235</v>
      </c>
      <c r="M47" s="10">
        <f>'Precinct Vote Data'!H165</f>
        <v>0.3666927287</v>
      </c>
      <c r="N47" s="15">
        <f t="shared" si="6"/>
        <v>0.6874312723</v>
      </c>
      <c r="O47" s="5">
        <f t="shared" si="7"/>
        <v>127</v>
      </c>
      <c r="Q47" s="5" t="str">
        <f t="shared" si="8"/>
        <v>Carbon|PENN FOREST|379</v>
      </c>
    </row>
    <row r="48" ht="15.0" customHeight="1">
      <c r="A48" s="5" t="s">
        <v>16</v>
      </c>
      <c r="B48" s="5" t="s">
        <v>129</v>
      </c>
      <c r="C48" s="5" t="s">
        <v>130</v>
      </c>
      <c r="D48" s="15">
        <f t="shared" si="1"/>
        <v>3.317076217</v>
      </c>
      <c r="E48" s="15">
        <f t="shared" si="2"/>
        <v>0.981878627</v>
      </c>
      <c r="F48" s="15">
        <f t="shared" si="3"/>
        <v>2.317076217</v>
      </c>
      <c r="G48" s="10">
        <f t="shared" si="4"/>
        <v>0.4903089615</v>
      </c>
      <c r="H48" s="2" t="str">
        <f t="shared" si="5"/>
        <v/>
      </c>
      <c r="J48" s="10">
        <f>'Precinct Vote Data'!H166</f>
        <v>0.5729537367</v>
      </c>
      <c r="K48" s="10">
        <f>'Precinct Vote Data'!H167</f>
        <v>0.4569190601</v>
      </c>
      <c r="L48" s="10">
        <f>'Precinct Vote Data'!H168</f>
        <v>0.4791666667</v>
      </c>
      <c r="M48" s="10">
        <f>'Precinct Vote Data'!H169</f>
        <v>0.4521963824</v>
      </c>
      <c r="N48" s="15">
        <f t="shared" si="6"/>
        <v>2.33519759</v>
      </c>
      <c r="O48" s="5">
        <f t="shared" si="7"/>
        <v>383</v>
      </c>
      <c r="Q48" s="5" t="str">
        <f t="shared" si="8"/>
        <v>Carbon|SUMMIT HILL|380</v>
      </c>
    </row>
    <row r="49" ht="15.0" customHeight="1">
      <c r="A49" s="5" t="s">
        <v>16</v>
      </c>
      <c r="B49" s="5" t="s">
        <v>129</v>
      </c>
      <c r="C49" s="5" t="s">
        <v>131</v>
      </c>
      <c r="D49" s="15">
        <f t="shared" si="1"/>
        <v>2.524397242</v>
      </c>
      <c r="E49" s="15">
        <f t="shared" si="2"/>
        <v>0.9261596623</v>
      </c>
      <c r="F49" s="15">
        <f t="shared" si="3"/>
        <v>1.524397242</v>
      </c>
      <c r="G49" s="10">
        <f t="shared" si="4"/>
        <v>0.5051593065</v>
      </c>
      <c r="H49" s="2" t="str">
        <f t="shared" si="5"/>
        <v/>
      </c>
      <c r="J49" s="10">
        <f>'Precinct Vote Data'!H170</f>
        <v>0.561461794</v>
      </c>
      <c r="K49" s="10">
        <f>'Precinct Vote Data'!H171</f>
        <v>0.4689119171</v>
      </c>
      <c r="L49" s="10">
        <f>'Precinct Vote Data'!H172</f>
        <v>0.5192307692</v>
      </c>
      <c r="M49" s="10">
        <f>'Precinct Vote Data'!H173</f>
        <v>0.4710327456</v>
      </c>
      <c r="N49" s="15">
        <f t="shared" si="6"/>
        <v>1.598237579</v>
      </c>
      <c r="O49" s="5">
        <f t="shared" si="7"/>
        <v>297</v>
      </c>
      <c r="Q49" s="5" t="str">
        <f t="shared" si="8"/>
        <v>Carbon|SUMMIT HILL|390</v>
      </c>
    </row>
    <row r="50" ht="15.0" customHeight="1">
      <c r="A50" s="5" t="s">
        <v>16</v>
      </c>
      <c r="B50" s="5" t="s">
        <v>129</v>
      </c>
      <c r="C50" s="5" t="s">
        <v>132</v>
      </c>
      <c r="D50" s="15">
        <f t="shared" si="1"/>
        <v>3.092617844</v>
      </c>
      <c r="E50" s="15">
        <f t="shared" si="2"/>
        <v>0.8781290957</v>
      </c>
      <c r="F50" s="15">
        <f t="shared" si="3"/>
        <v>2.092617844</v>
      </c>
      <c r="G50" s="10">
        <f t="shared" si="4"/>
        <v>0.4166591771</v>
      </c>
      <c r="H50" s="2" t="str">
        <f t="shared" si="5"/>
        <v/>
      </c>
      <c r="J50" s="10">
        <f>'Precinct Vote Data'!H174</f>
        <v>0.4937888199</v>
      </c>
      <c r="K50" s="10">
        <f>'Precinct Vote Data'!H175</f>
        <v>0.3632478632</v>
      </c>
      <c r="L50" s="10">
        <f>'Precinct Vote Data'!H176</f>
        <v>0.4140625</v>
      </c>
      <c r="M50" s="10">
        <f>'Precinct Vote Data'!H177</f>
        <v>0.3955375254</v>
      </c>
      <c r="N50" s="15">
        <f t="shared" si="6"/>
        <v>2.214488748</v>
      </c>
      <c r="O50" s="5">
        <f t="shared" si="7"/>
        <v>377</v>
      </c>
      <c r="Q50" s="5" t="str">
        <f t="shared" si="8"/>
        <v>Carbon|SUMMIT HILL|400</v>
      </c>
    </row>
    <row r="51" ht="15.0" customHeight="1">
      <c r="A51" s="5" t="s">
        <v>16</v>
      </c>
      <c r="B51" s="5" t="s">
        <v>129</v>
      </c>
      <c r="C51" s="5" t="s">
        <v>133</v>
      </c>
      <c r="D51" s="15">
        <f t="shared" si="1"/>
        <v>0.8598956719</v>
      </c>
      <c r="E51" s="15">
        <f t="shared" si="2"/>
        <v>0.1981987522</v>
      </c>
      <c r="F51" s="15">
        <f t="shared" si="3"/>
        <v>0.1401043281</v>
      </c>
      <c r="G51" s="10">
        <f t="shared" si="4"/>
        <v>0.3545309659</v>
      </c>
      <c r="H51" s="2" t="str">
        <f t="shared" si="5"/>
        <v/>
      </c>
      <c r="J51" s="10">
        <f>'Precinct Vote Data'!H178</f>
        <v>0.3663793103</v>
      </c>
      <c r="K51" s="10">
        <f>'Precinct Vote Data'!H179</f>
        <v>0.3133333333</v>
      </c>
      <c r="L51" s="10">
        <f>'Precinct Vote Data'!H180</f>
        <v>0.390438247</v>
      </c>
      <c r="M51" s="10">
        <f>'Precinct Vote Data'!H181</f>
        <v>0.347972973</v>
      </c>
      <c r="N51" s="15">
        <f t="shared" si="6"/>
        <v>0.9419055759</v>
      </c>
      <c r="O51" s="5">
        <f t="shared" si="7"/>
        <v>180</v>
      </c>
      <c r="Q51" s="5" t="str">
        <f t="shared" si="8"/>
        <v>Carbon|SUMMIT HILL|410</v>
      </c>
    </row>
    <row r="52" ht="15.0" customHeight="1">
      <c r="A52" s="5" t="s">
        <v>16</v>
      </c>
      <c r="B52" s="5" t="s">
        <v>134</v>
      </c>
      <c r="C52" s="5" t="s">
        <v>135</v>
      </c>
      <c r="D52" s="15">
        <f t="shared" si="1"/>
        <v>1.038192678</v>
      </c>
      <c r="E52" s="15">
        <f t="shared" si="2"/>
        <v>0.5136285462</v>
      </c>
      <c r="F52" s="15">
        <f t="shared" si="3"/>
        <v>0.0381926776</v>
      </c>
      <c r="G52" s="10">
        <f t="shared" si="4"/>
        <v>0.3139104614</v>
      </c>
      <c r="H52" s="2" t="str">
        <f t="shared" si="5"/>
        <v/>
      </c>
      <c r="J52" s="10">
        <f>'Precinct Vote Data'!H182</f>
        <v>0.3461538462</v>
      </c>
      <c r="K52" s="10">
        <f>'Precinct Vote Data'!H183</f>
        <v>0.2944572748</v>
      </c>
      <c r="L52" s="10">
        <f>'Precinct Vote Data'!H184</f>
        <v>0.2956152758</v>
      </c>
      <c r="M52" s="10">
        <f>'Precinct Vote Data'!H185</f>
        <v>0.3194154489</v>
      </c>
      <c r="N52" s="15">
        <f t="shared" si="6"/>
        <v>0.5245641314</v>
      </c>
      <c r="O52" s="5">
        <f t="shared" si="7"/>
        <v>86</v>
      </c>
      <c r="Q52" s="5" t="str">
        <f t="shared" si="8"/>
        <v>Carbon|TOWAMENSING|420</v>
      </c>
    </row>
    <row r="53" ht="15.0" customHeight="1">
      <c r="A53" s="5" t="s">
        <v>16</v>
      </c>
      <c r="B53" s="5" t="s">
        <v>134</v>
      </c>
      <c r="C53" s="5" t="s">
        <v>136</v>
      </c>
      <c r="D53" s="15">
        <f t="shared" si="1"/>
        <v>2.716015418</v>
      </c>
      <c r="E53" s="15">
        <f t="shared" si="2"/>
        <v>0.9540020989</v>
      </c>
      <c r="F53" s="15">
        <f t="shared" si="3"/>
        <v>1.716015418</v>
      </c>
      <c r="G53" s="10">
        <f t="shared" si="4"/>
        <v>0.2879468419</v>
      </c>
      <c r="H53" s="2" t="str">
        <f t="shared" si="5"/>
        <v/>
      </c>
      <c r="J53" s="10">
        <f>'Precinct Vote Data'!H186</f>
        <v>0.3557377049</v>
      </c>
      <c r="K53" s="10">
        <f>'Precinct Vote Data'!H187</f>
        <v>0.2522026432</v>
      </c>
      <c r="L53" s="10">
        <f>'Precinct Vote Data'!H188</f>
        <v>0.2815013405</v>
      </c>
      <c r="M53" s="10">
        <f>'Precinct Vote Data'!H189</f>
        <v>0.262345679</v>
      </c>
      <c r="N53" s="15">
        <f t="shared" si="6"/>
        <v>1.762013319</v>
      </c>
      <c r="O53" s="5">
        <f t="shared" si="7"/>
        <v>323</v>
      </c>
      <c r="Q53" s="5" t="str">
        <f t="shared" si="8"/>
        <v>Carbon|TOWAMENSING|430</v>
      </c>
    </row>
    <row r="54" ht="15.0" customHeight="1">
      <c r="A54" s="5" t="s">
        <v>16</v>
      </c>
      <c r="B54" s="5" t="s">
        <v>134</v>
      </c>
      <c r="C54" s="5" t="s">
        <v>137</v>
      </c>
      <c r="D54" s="15">
        <f t="shared" si="1"/>
        <v>1.690581408</v>
      </c>
      <c r="E54" s="15">
        <f t="shared" si="2"/>
        <v>0.9505998492</v>
      </c>
      <c r="F54" s="15">
        <f t="shared" si="3"/>
        <v>0.690581408</v>
      </c>
      <c r="G54" s="10">
        <f t="shared" si="4"/>
        <v>0.3071603508</v>
      </c>
      <c r="H54" s="2" t="str">
        <f t="shared" si="5"/>
        <v/>
      </c>
      <c r="J54" s="10">
        <f>'Precinct Vote Data'!H190</f>
        <v>0.3492063492</v>
      </c>
      <c r="K54" s="10">
        <f>'Precinct Vote Data'!H191</f>
        <v>0.2841854935</v>
      </c>
      <c r="L54" s="10">
        <f>'Precinct Vote Data'!H192</f>
        <v>0.3038348083</v>
      </c>
      <c r="M54" s="10">
        <f>'Precinct Vote Data'!H193</f>
        <v>0.2914147521</v>
      </c>
      <c r="N54" s="15">
        <f t="shared" si="6"/>
        <v>0.7399815589</v>
      </c>
      <c r="O54" s="5">
        <f t="shared" si="7"/>
        <v>144</v>
      </c>
      <c r="Q54" s="5" t="str">
        <f t="shared" si="8"/>
        <v>Carbon|TOWAMENSING|435</v>
      </c>
    </row>
    <row r="55" ht="15.0" customHeight="1">
      <c r="A55" s="5" t="s">
        <v>16</v>
      </c>
      <c r="B55" s="5" t="s">
        <v>138</v>
      </c>
      <c r="C55" s="5" t="s">
        <v>139</v>
      </c>
      <c r="D55" s="15">
        <f t="shared" si="1"/>
        <v>1.007287703</v>
      </c>
      <c r="E55" s="15">
        <f t="shared" si="2"/>
        <v>0.3916071207</v>
      </c>
      <c r="F55" s="15">
        <f t="shared" si="3"/>
        <v>0.007287703161</v>
      </c>
      <c r="G55" s="10">
        <f t="shared" si="4"/>
        <v>0.2946546997</v>
      </c>
      <c r="H55" s="2" t="str">
        <f t="shared" si="5"/>
        <v/>
      </c>
      <c r="J55" s="10">
        <f>'Precinct Vote Data'!H194</f>
        <v>0.3267857143</v>
      </c>
      <c r="K55" s="10">
        <f>'Precinct Vote Data'!H195</f>
        <v>0.2677070828</v>
      </c>
      <c r="L55" s="10">
        <f>'Precinct Vote Data'!H196</f>
        <v>0.2774086379</v>
      </c>
      <c r="M55" s="10">
        <f>'Precinct Vote Data'!H197</f>
        <v>0.3067173638</v>
      </c>
      <c r="N55" s="15">
        <f t="shared" si="6"/>
        <v>0.6156805824</v>
      </c>
      <c r="O55" s="5">
        <f t="shared" si="7"/>
        <v>109</v>
      </c>
      <c r="Q55" s="5" t="str">
        <f t="shared" si="8"/>
        <v>Carbon|WEATHERLY|440</v>
      </c>
    </row>
    <row r="56" ht="15.0" customHeight="1">
      <c r="A56" s="5" t="s">
        <v>16</v>
      </c>
      <c r="B56" s="5" t="s">
        <v>138</v>
      </c>
      <c r="C56" s="5" t="s">
        <v>140</v>
      </c>
      <c r="D56" s="15">
        <f t="shared" si="1"/>
        <v>1.44169676</v>
      </c>
      <c r="E56" s="15">
        <f t="shared" si="2"/>
        <v>0.8486044327</v>
      </c>
      <c r="F56" s="15">
        <f t="shared" si="3"/>
        <v>0.4416967597</v>
      </c>
      <c r="G56" s="10">
        <f t="shared" si="4"/>
        <v>0.2743492967</v>
      </c>
      <c r="H56" s="2" t="str">
        <f t="shared" si="5"/>
        <v/>
      </c>
      <c r="J56" s="10">
        <f>'Precinct Vote Data'!H198</f>
        <v>0.3135888502</v>
      </c>
      <c r="K56" s="10">
        <f>'Precinct Vote Data'!H199</f>
        <v>0.2577319588</v>
      </c>
      <c r="L56" s="10">
        <f>'Precinct Vote Data'!H200</f>
        <v>0.2608695652</v>
      </c>
      <c r="M56" s="10">
        <f>'Precinct Vote Data'!H201</f>
        <v>0.2652068127</v>
      </c>
      <c r="N56" s="15">
        <f t="shared" si="6"/>
        <v>0.593092327</v>
      </c>
      <c r="O56" s="5">
        <f t="shared" si="7"/>
        <v>103</v>
      </c>
      <c r="Q56" s="5" t="str">
        <f t="shared" si="8"/>
        <v>Carbon|WEATHERLY|450</v>
      </c>
    </row>
    <row r="57" ht="15.0" customHeight="1">
      <c r="A57" s="5" t="s">
        <v>16</v>
      </c>
      <c r="B57" s="5" t="s">
        <v>141</v>
      </c>
      <c r="C57" s="5" t="s">
        <v>142</v>
      </c>
      <c r="D57" s="15">
        <f t="shared" si="1"/>
        <v>3.719148894</v>
      </c>
      <c r="E57" s="15">
        <f t="shared" si="2"/>
        <v>0.8760451275</v>
      </c>
      <c r="F57" s="15">
        <f t="shared" si="3"/>
        <v>2.719148894</v>
      </c>
      <c r="G57" s="10">
        <f t="shared" si="4"/>
        <v>0.4328152652</v>
      </c>
      <c r="H57" s="2" t="str">
        <f t="shared" si="5"/>
        <v/>
      </c>
      <c r="J57" s="10">
        <f>'Precinct Vote Data'!H202</f>
        <v>0.5102040816</v>
      </c>
      <c r="K57" s="10">
        <f>'Precinct Vote Data'!H203</f>
        <v>0.4052287582</v>
      </c>
      <c r="L57" s="10">
        <f>'Precinct Vote Data'!H204</f>
        <v>0.46</v>
      </c>
      <c r="M57" s="10">
        <f>'Precinct Vote Data'!H205</f>
        <v>0.3558282209</v>
      </c>
      <c r="N57" s="15">
        <f t="shared" si="6"/>
        <v>2.843103767</v>
      </c>
      <c r="O57" s="5">
        <f t="shared" si="7"/>
        <v>399</v>
      </c>
      <c r="Q57" s="5" t="str">
        <f t="shared" si="8"/>
        <v>Carbon|WEISSPORT|460</v>
      </c>
    </row>
    <row r="58" ht="15.0" customHeight="1">
      <c r="A58" s="5" t="s">
        <v>143</v>
      </c>
      <c r="B58" s="5" t="s">
        <v>144</v>
      </c>
      <c r="C58" s="5" t="s">
        <v>18</v>
      </c>
      <c r="D58" s="15">
        <f t="shared" si="1"/>
        <v>2.144465533</v>
      </c>
      <c r="E58" s="15">
        <f t="shared" si="2"/>
        <v>0.941662531</v>
      </c>
      <c r="F58" s="15">
        <f t="shared" si="3"/>
        <v>1.144465533</v>
      </c>
      <c r="G58" s="10">
        <f t="shared" si="4"/>
        <v>0.4805553334</v>
      </c>
      <c r="H58" s="2" t="str">
        <f t="shared" si="5"/>
        <v/>
      </c>
      <c r="J58" s="10">
        <f>'Precinct Vote Data'!H206</f>
        <v>0.5279069767</v>
      </c>
      <c r="K58" s="10">
        <f>'Precinct Vote Data'!H207</f>
        <v>0.4670050761</v>
      </c>
      <c r="L58" s="10">
        <f>'Precinct Vote Data'!H208</f>
        <v>0.4876604146</v>
      </c>
      <c r="M58" s="10">
        <f>'Precinct Vote Data'!H209</f>
        <v>0.4396488661</v>
      </c>
      <c r="N58" s="15">
        <f t="shared" si="6"/>
        <v>1.202803002</v>
      </c>
      <c r="O58" s="5">
        <f t="shared" si="7"/>
        <v>234</v>
      </c>
      <c r="Q58" s="5" t="str">
        <f t="shared" si="8"/>
        <v>Lehigh|ALBURTIS|10</v>
      </c>
    </row>
    <row r="59" ht="15.0" customHeight="1">
      <c r="A59" s="5" t="s">
        <v>143</v>
      </c>
      <c r="B59" s="5" t="s">
        <v>145</v>
      </c>
      <c r="C59" s="5" t="s">
        <v>146</v>
      </c>
      <c r="D59" s="15">
        <f t="shared" si="1"/>
        <v>4.56101658</v>
      </c>
      <c r="E59" s="15">
        <f t="shared" si="2"/>
        <v>0.8901432507</v>
      </c>
      <c r="F59" s="15">
        <f t="shared" si="3"/>
        <v>3.56101658</v>
      </c>
      <c r="G59" s="10">
        <f t="shared" si="4"/>
        <v>0.80712108</v>
      </c>
      <c r="H59" s="2" t="str">
        <f t="shared" si="5"/>
        <v/>
      </c>
      <c r="J59" s="10">
        <f>'Precinct Vote Data'!H210</f>
        <v>0.9153846154</v>
      </c>
      <c r="K59" s="10">
        <f>'Precinct Vote Data'!H211</f>
        <v>0.8027314112</v>
      </c>
      <c r="L59" s="10">
        <f>'Precinct Vote Data'!H212</f>
        <v>0.7920792079</v>
      </c>
      <c r="M59" s="10">
        <f>'Precinct Vote Data'!H213</f>
        <v>0.7182890855</v>
      </c>
      <c r="N59" s="15">
        <f t="shared" si="6"/>
        <v>3.670873329</v>
      </c>
      <c r="O59" s="5">
        <f t="shared" si="7"/>
        <v>408</v>
      </c>
      <c r="Q59" s="5" t="str">
        <f t="shared" si="8"/>
        <v>Lehigh|ALLENTOWN|20</v>
      </c>
    </row>
    <row r="60" ht="15.0" customHeight="1">
      <c r="A60" s="5" t="s">
        <v>143</v>
      </c>
      <c r="B60" s="5" t="s">
        <v>145</v>
      </c>
      <c r="C60" s="5" t="s">
        <v>147</v>
      </c>
      <c r="D60" s="15">
        <f t="shared" si="1"/>
        <v>3.83483645</v>
      </c>
      <c r="E60" s="15">
        <f t="shared" si="2"/>
        <v>0.9108960174</v>
      </c>
      <c r="F60" s="15">
        <f t="shared" si="3"/>
        <v>2.83483645</v>
      </c>
      <c r="G60" s="10">
        <f t="shared" si="4"/>
        <v>0.775447283</v>
      </c>
      <c r="H60" s="2" t="str">
        <f t="shared" si="5"/>
        <v/>
      </c>
      <c r="J60" s="10">
        <f>'Precinct Vote Data'!H214</f>
        <v>0.8625429553</v>
      </c>
      <c r="K60" s="10">
        <f>'Precinct Vote Data'!H215</f>
        <v>0.7651006711</v>
      </c>
      <c r="L60" s="10">
        <f>'Precinct Vote Data'!H216</f>
        <v>0.7763157895</v>
      </c>
      <c r="M60" s="10">
        <f>'Precinct Vote Data'!H217</f>
        <v>0.6978297162</v>
      </c>
      <c r="N60" s="15">
        <f t="shared" si="6"/>
        <v>2.923940432</v>
      </c>
      <c r="O60" s="5">
        <f t="shared" si="7"/>
        <v>402</v>
      </c>
      <c r="Q60" s="5" t="str">
        <f t="shared" si="8"/>
        <v>Lehigh|ALLENTOWN|30</v>
      </c>
    </row>
    <row r="61" ht="15.0" customHeight="1">
      <c r="A61" s="5" t="s">
        <v>143</v>
      </c>
      <c r="B61" s="5" t="s">
        <v>145</v>
      </c>
      <c r="C61" s="5" t="s">
        <v>55</v>
      </c>
      <c r="D61" s="15">
        <f t="shared" si="1"/>
        <v>3.680004195</v>
      </c>
      <c r="E61" s="15">
        <f t="shared" si="2"/>
        <v>0.821801974</v>
      </c>
      <c r="F61" s="15">
        <f t="shared" si="3"/>
        <v>2.680004195</v>
      </c>
      <c r="G61" s="10">
        <f t="shared" si="4"/>
        <v>0.7981622965</v>
      </c>
      <c r="H61" s="2" t="str">
        <f t="shared" si="5"/>
        <v/>
      </c>
      <c r="J61" s="10">
        <f>'Precinct Vote Data'!H218</f>
        <v>0.8717277487</v>
      </c>
      <c r="K61" s="10">
        <f>'Precinct Vote Data'!H219</f>
        <v>0.7662337662</v>
      </c>
      <c r="L61" s="10">
        <f>'Precinct Vote Data'!H220</f>
        <v>0.8352402746</v>
      </c>
      <c r="M61" s="10">
        <f>'Precinct Vote Data'!H221</f>
        <v>0.7194473964</v>
      </c>
      <c r="N61" s="15">
        <f t="shared" si="6"/>
        <v>2.858202221</v>
      </c>
      <c r="O61" s="5">
        <f t="shared" si="7"/>
        <v>400</v>
      </c>
      <c r="Q61" s="5" t="str">
        <f t="shared" si="8"/>
        <v>Lehigh|ALLENTOWN|40</v>
      </c>
    </row>
    <row r="62" ht="15.0" customHeight="1">
      <c r="A62" s="5" t="s">
        <v>143</v>
      </c>
      <c r="B62" s="5" t="s">
        <v>145</v>
      </c>
      <c r="C62" s="5" t="s">
        <v>57</v>
      </c>
      <c r="D62" s="15">
        <f t="shared" si="1"/>
        <v>3.131372743</v>
      </c>
      <c r="E62" s="15">
        <f t="shared" si="2"/>
        <v>0.7301637387</v>
      </c>
      <c r="F62" s="15">
        <f t="shared" si="3"/>
        <v>2.131372743</v>
      </c>
      <c r="G62" s="10">
        <f t="shared" si="4"/>
        <v>0.7511120073</v>
      </c>
      <c r="H62" s="2" t="str">
        <f t="shared" si="5"/>
        <v/>
      </c>
      <c r="J62" s="10">
        <f>'Precinct Vote Data'!H222</f>
        <v>0.8215613383</v>
      </c>
      <c r="K62" s="10">
        <f>'Precinct Vote Data'!H223</f>
        <v>0.7649880096</v>
      </c>
      <c r="L62" s="10">
        <f>'Precinct Vote Data'!H224</f>
        <v>0.7456896552</v>
      </c>
      <c r="M62" s="10">
        <f>'Precinct Vote Data'!H225</f>
        <v>0.6722090261</v>
      </c>
      <c r="N62" s="15">
        <f t="shared" si="6"/>
        <v>2.401209004</v>
      </c>
      <c r="O62" s="5">
        <f t="shared" si="7"/>
        <v>386</v>
      </c>
      <c r="Q62" s="5" t="str">
        <f t="shared" si="8"/>
        <v>Lehigh|ALLENTOWN|50</v>
      </c>
    </row>
    <row r="63" ht="15.0" customHeight="1">
      <c r="A63" s="5" t="s">
        <v>143</v>
      </c>
      <c r="B63" s="5" t="s">
        <v>145</v>
      </c>
      <c r="C63" s="5" t="s">
        <v>59</v>
      </c>
      <c r="D63" s="15">
        <f t="shared" si="1"/>
        <v>2.371041785</v>
      </c>
      <c r="E63" s="15">
        <f t="shared" si="2"/>
        <v>0.8030812482</v>
      </c>
      <c r="F63" s="15">
        <f t="shared" si="3"/>
        <v>1.371041785</v>
      </c>
      <c r="G63" s="10">
        <f t="shared" si="4"/>
        <v>0.8009843036</v>
      </c>
      <c r="H63" s="2" t="str">
        <f t="shared" si="5"/>
        <v/>
      </c>
      <c r="J63" s="10">
        <f>'Precinct Vote Data'!H226</f>
        <v>0.8549848943</v>
      </c>
      <c r="K63" s="10">
        <f>'Precinct Vote Data'!H227</f>
        <v>0.8055555556</v>
      </c>
      <c r="L63" s="10">
        <f>'Precinct Vote Data'!H228</f>
        <v>0.7971530249</v>
      </c>
      <c r="M63" s="10">
        <f>'Precinct Vote Data'!H229</f>
        <v>0.7462437396</v>
      </c>
      <c r="N63" s="15">
        <f t="shared" si="6"/>
        <v>1.567960537</v>
      </c>
      <c r="O63" s="5">
        <f t="shared" si="7"/>
        <v>289</v>
      </c>
      <c r="Q63" s="5" t="str">
        <f t="shared" si="8"/>
        <v>Lehigh|ALLENTOWN|60</v>
      </c>
    </row>
    <row r="64" ht="15.0" customHeight="1">
      <c r="A64" s="5" t="s">
        <v>143</v>
      </c>
      <c r="B64" s="5" t="s">
        <v>145</v>
      </c>
      <c r="C64" s="5" t="s">
        <v>63</v>
      </c>
      <c r="D64" s="15">
        <f t="shared" si="1"/>
        <v>4.191763171</v>
      </c>
      <c r="E64" s="15">
        <f t="shared" si="2"/>
        <v>0.6199515391</v>
      </c>
      <c r="F64" s="15">
        <f t="shared" si="3"/>
        <v>3.191763171</v>
      </c>
      <c r="G64" s="10">
        <f t="shared" si="4"/>
        <v>0.741154294</v>
      </c>
      <c r="H64" s="2" t="str">
        <f t="shared" si="5"/>
        <v/>
      </c>
      <c r="J64" s="10">
        <f>'Precinct Vote Data'!H230</f>
        <v>0.8267326733</v>
      </c>
      <c r="K64" s="10">
        <f>'Precinct Vote Data'!H231</f>
        <v>0.7666666667</v>
      </c>
      <c r="L64" s="10">
        <f>'Precinct Vote Data'!H232</f>
        <v>0.756097561</v>
      </c>
      <c r="M64" s="10">
        <f>'Precinct Vote Data'!H233</f>
        <v>0.6151202749</v>
      </c>
      <c r="N64" s="15">
        <f t="shared" si="6"/>
        <v>3.571811632</v>
      </c>
      <c r="O64" s="5">
        <f t="shared" si="7"/>
        <v>407</v>
      </c>
      <c r="Q64" s="5" t="str">
        <f t="shared" si="8"/>
        <v>Lehigh|ALLENTOWN|70</v>
      </c>
    </row>
    <row r="65" ht="15.0" customHeight="1">
      <c r="A65" s="5" t="s">
        <v>143</v>
      </c>
      <c r="B65" s="5" t="s">
        <v>145</v>
      </c>
      <c r="C65" s="5" t="s">
        <v>73</v>
      </c>
      <c r="D65" s="15">
        <f t="shared" si="1"/>
        <v>3.150949704</v>
      </c>
      <c r="E65" s="15">
        <f t="shared" si="2"/>
        <v>0.6339807598</v>
      </c>
      <c r="F65" s="15">
        <f t="shared" si="3"/>
        <v>2.150949704</v>
      </c>
      <c r="G65" s="10">
        <f t="shared" si="4"/>
        <v>0.7053509706</v>
      </c>
      <c r="H65" s="2" t="str">
        <f t="shared" si="5"/>
        <v/>
      </c>
      <c r="J65" s="10">
        <f>'Precinct Vote Data'!H234</f>
        <v>0.7717041801</v>
      </c>
      <c r="K65" s="10">
        <f>'Precinct Vote Data'!H235</f>
        <v>0.7259528131</v>
      </c>
      <c r="L65" s="10">
        <f>'Precinct Vote Data'!H236</f>
        <v>0.7103448276</v>
      </c>
      <c r="M65" s="10">
        <f>'Precinct Vote Data'!H237</f>
        <v>0.6134020619</v>
      </c>
      <c r="N65" s="15">
        <f t="shared" si="6"/>
        <v>2.516968944</v>
      </c>
      <c r="O65" s="5">
        <f t="shared" si="7"/>
        <v>390</v>
      </c>
      <c r="Q65" s="5" t="str">
        <f t="shared" si="8"/>
        <v>Lehigh|ALLENTOWN|80</v>
      </c>
    </row>
    <row r="66" ht="15.0" customHeight="1">
      <c r="A66" s="5" t="s">
        <v>143</v>
      </c>
      <c r="B66" s="5" t="s">
        <v>145</v>
      </c>
      <c r="C66" s="5" t="s">
        <v>74</v>
      </c>
      <c r="D66" s="15">
        <f t="shared" si="1"/>
        <v>2.905940595</v>
      </c>
      <c r="E66" s="15">
        <f t="shared" si="2"/>
        <v>0.8926520597</v>
      </c>
      <c r="F66" s="15">
        <f t="shared" si="3"/>
        <v>1.905940595</v>
      </c>
      <c r="G66" s="10">
        <f t="shared" si="4"/>
        <v>0.7807664452</v>
      </c>
      <c r="H66" s="2" t="str">
        <f t="shared" si="5"/>
        <v/>
      </c>
      <c r="J66" s="10">
        <f>'Precinct Vote Data'!H238</f>
        <v>0.852248394</v>
      </c>
      <c r="K66" s="10">
        <f>'Precinct Vote Data'!H239</f>
        <v>0.7770935961</v>
      </c>
      <c r="L66" s="10">
        <f>'Precinct Vote Data'!H240</f>
        <v>0.7644110276</v>
      </c>
      <c r="M66" s="10">
        <f>'Precinct Vote Data'!H241</f>
        <v>0.729312763</v>
      </c>
      <c r="N66" s="15">
        <f t="shared" si="6"/>
        <v>2.013288535</v>
      </c>
      <c r="O66" s="5">
        <f t="shared" si="7"/>
        <v>351</v>
      </c>
      <c r="Q66" s="5" t="str">
        <f t="shared" si="8"/>
        <v>Lehigh|ALLENTOWN|90</v>
      </c>
    </row>
    <row r="67" ht="15.0" customHeight="1">
      <c r="A67" s="5" t="s">
        <v>143</v>
      </c>
      <c r="B67" s="5" t="s">
        <v>145</v>
      </c>
      <c r="C67" s="5" t="s">
        <v>78</v>
      </c>
      <c r="D67" s="15">
        <f t="shared" si="1"/>
        <v>3.330699593</v>
      </c>
      <c r="E67" s="15">
        <f t="shared" si="2"/>
        <v>0.7859266572</v>
      </c>
      <c r="F67" s="15">
        <f t="shared" si="3"/>
        <v>2.330699593</v>
      </c>
      <c r="G67" s="10">
        <f t="shared" si="4"/>
        <v>0.7810165158</v>
      </c>
      <c r="H67" s="2" t="str">
        <f t="shared" si="5"/>
        <v/>
      </c>
      <c r="J67" s="10">
        <f>'Precinct Vote Data'!H242</f>
        <v>0.8465608466</v>
      </c>
      <c r="K67" s="10">
        <f>'Precinct Vote Data'!H243</f>
        <v>0.737704918</v>
      </c>
      <c r="L67" s="10">
        <f>'Precinct Vote Data'!H244</f>
        <v>0.8226950355</v>
      </c>
      <c r="M67" s="10">
        <f>'Precinct Vote Data'!H245</f>
        <v>0.7171052632</v>
      </c>
      <c r="N67" s="15">
        <f t="shared" si="6"/>
        <v>2.544772936</v>
      </c>
      <c r="O67" s="5">
        <f t="shared" si="7"/>
        <v>391</v>
      </c>
      <c r="Q67" s="5" t="str">
        <f t="shared" si="8"/>
        <v>Lehigh|ALLENTOWN|110</v>
      </c>
    </row>
    <row r="68" ht="15.0" customHeight="1">
      <c r="A68" s="5" t="s">
        <v>143</v>
      </c>
      <c r="B68" s="5" t="s">
        <v>145</v>
      </c>
      <c r="C68" s="5" t="s">
        <v>79</v>
      </c>
      <c r="D68" s="15">
        <f t="shared" si="1"/>
        <v>3.545196894</v>
      </c>
      <c r="E68" s="15">
        <f t="shared" si="2"/>
        <v>0.6692975954</v>
      </c>
      <c r="F68" s="15">
        <f t="shared" si="3"/>
        <v>2.545196894</v>
      </c>
      <c r="G68" s="10">
        <f t="shared" si="4"/>
        <v>0.8022985501</v>
      </c>
      <c r="H68" s="2" t="str">
        <f t="shared" si="5"/>
        <v/>
      </c>
      <c r="J68" s="10">
        <f>'Precinct Vote Data'!H246</f>
        <v>0.8671875</v>
      </c>
      <c r="K68" s="10">
        <f>'Precinct Vote Data'!H247</f>
        <v>0.7860962567</v>
      </c>
      <c r="L68" s="10">
        <f>'Precinct Vote Data'!H248</f>
        <v>0.8497109827</v>
      </c>
      <c r="M68" s="10">
        <f>'Precinct Vote Data'!H249</f>
        <v>0.7061994609</v>
      </c>
      <c r="N68" s="15">
        <f t="shared" si="6"/>
        <v>2.875899298</v>
      </c>
      <c r="O68" s="5">
        <f t="shared" si="7"/>
        <v>401</v>
      </c>
      <c r="Q68" s="5" t="str">
        <f t="shared" si="8"/>
        <v>Lehigh|ALLENTOWN|120</v>
      </c>
    </row>
    <row r="69" ht="15.0" customHeight="1">
      <c r="A69" s="5" t="s">
        <v>143</v>
      </c>
      <c r="B69" s="5" t="s">
        <v>145</v>
      </c>
      <c r="C69" s="5" t="s">
        <v>87</v>
      </c>
      <c r="D69" s="15">
        <f t="shared" si="1"/>
        <v>3.338850286</v>
      </c>
      <c r="E69" s="15">
        <f t="shared" si="2"/>
        <v>0.9668728711</v>
      </c>
      <c r="F69" s="15">
        <f t="shared" si="3"/>
        <v>2.338850286</v>
      </c>
      <c r="G69" s="10">
        <f t="shared" si="4"/>
        <v>0.7970761588</v>
      </c>
      <c r="H69" s="2" t="str">
        <f t="shared" si="5"/>
        <v/>
      </c>
      <c r="J69" s="10">
        <f>'Precinct Vote Data'!H250</f>
        <v>0.8734939759</v>
      </c>
      <c r="K69" s="10">
        <f>'Precinct Vote Data'!H251</f>
        <v>0.7774193548</v>
      </c>
      <c r="L69" s="10">
        <f>'Precinct Vote Data'!H252</f>
        <v>0.8</v>
      </c>
      <c r="M69" s="10">
        <f>'Precinct Vote Data'!H253</f>
        <v>0.7373913043</v>
      </c>
      <c r="N69" s="15">
        <f t="shared" si="6"/>
        <v>2.371977415</v>
      </c>
      <c r="O69" s="5">
        <f t="shared" si="7"/>
        <v>384</v>
      </c>
      <c r="Q69" s="5" t="str">
        <f t="shared" si="8"/>
        <v>Lehigh|ALLENTOWN|130</v>
      </c>
    </row>
    <row r="70" ht="15.0" customHeight="1">
      <c r="A70" s="5" t="s">
        <v>143</v>
      </c>
      <c r="B70" s="5" t="s">
        <v>145</v>
      </c>
      <c r="C70" s="5" t="s">
        <v>88</v>
      </c>
      <c r="D70" s="15">
        <f t="shared" si="1"/>
        <v>2.422286096</v>
      </c>
      <c r="E70" s="15">
        <f t="shared" si="2"/>
        <v>0.8256207179</v>
      </c>
      <c r="F70" s="15">
        <f t="shared" si="3"/>
        <v>1.422286096</v>
      </c>
      <c r="G70" s="10">
        <f t="shared" si="4"/>
        <v>0.7063786229</v>
      </c>
      <c r="H70" s="2" t="str">
        <f t="shared" si="5"/>
        <v/>
      </c>
      <c r="J70" s="10">
        <f>'Precinct Vote Data'!H254</f>
        <v>0.7703435805</v>
      </c>
      <c r="K70" s="10">
        <f>'Precinct Vote Data'!H255</f>
        <v>0.7040690506</v>
      </c>
      <c r="L70" s="10">
        <f>'Precinct Vote Data'!H256</f>
        <v>0.6800804829</v>
      </c>
      <c r="M70" s="10">
        <f>'Precinct Vote Data'!H257</f>
        <v>0.6710213777</v>
      </c>
      <c r="N70" s="15">
        <f t="shared" si="6"/>
        <v>1.596665378</v>
      </c>
      <c r="O70" s="5">
        <f t="shared" si="7"/>
        <v>295</v>
      </c>
      <c r="Q70" s="5" t="str">
        <f t="shared" si="8"/>
        <v>Lehigh|ALLENTOWN|140</v>
      </c>
    </row>
    <row r="71" ht="15.0" customHeight="1">
      <c r="A71" s="5" t="s">
        <v>143</v>
      </c>
      <c r="B71" s="5" t="s">
        <v>145</v>
      </c>
      <c r="C71" s="5" t="s">
        <v>89</v>
      </c>
      <c r="D71" s="15">
        <f t="shared" si="1"/>
        <v>2.686229798</v>
      </c>
      <c r="E71" s="15">
        <f t="shared" si="2"/>
        <v>0.7360979268</v>
      </c>
      <c r="F71" s="15">
        <f t="shared" si="3"/>
        <v>1.686229798</v>
      </c>
      <c r="G71" s="10">
        <f t="shared" si="4"/>
        <v>0.7426035821</v>
      </c>
      <c r="H71" s="2" t="str">
        <f t="shared" si="5"/>
        <v/>
      </c>
      <c r="J71" s="10">
        <f>'Precinct Vote Data'!H258</f>
        <v>0.8075471698</v>
      </c>
      <c r="K71" s="10">
        <f>'Precinct Vote Data'!H259</f>
        <v>0.7556818182</v>
      </c>
      <c r="L71" s="10">
        <f>'Precinct Vote Data'!H260</f>
        <v>0.7247706422</v>
      </c>
      <c r="M71" s="10">
        <f>'Precinct Vote Data'!H261</f>
        <v>0.6824146982</v>
      </c>
      <c r="N71" s="15">
        <f t="shared" si="6"/>
        <v>1.950131871</v>
      </c>
      <c r="O71" s="5">
        <f t="shared" si="7"/>
        <v>341</v>
      </c>
      <c r="Q71" s="5" t="str">
        <f t="shared" si="8"/>
        <v>Lehigh|ALLENTOWN|150</v>
      </c>
    </row>
    <row r="72" ht="15.0" customHeight="1">
      <c r="A72" s="5" t="s">
        <v>143</v>
      </c>
      <c r="B72" s="5" t="s">
        <v>145</v>
      </c>
      <c r="C72" s="5" t="s">
        <v>91</v>
      </c>
      <c r="D72" s="15">
        <f t="shared" si="1"/>
        <v>4.249905581</v>
      </c>
      <c r="E72" s="15">
        <f t="shared" si="2"/>
        <v>0.8215147177</v>
      </c>
      <c r="F72" s="15">
        <f t="shared" si="3"/>
        <v>3.249905581</v>
      </c>
      <c r="G72" s="10">
        <f t="shared" si="4"/>
        <v>0.7690003677</v>
      </c>
      <c r="H72" s="2" t="str">
        <f t="shared" si="5"/>
        <v/>
      </c>
      <c r="J72" s="10">
        <f>'Precinct Vote Data'!H262</f>
        <v>0.8680351906</v>
      </c>
      <c r="K72" s="10">
        <f>'Precinct Vote Data'!H263</f>
        <v>0.7757575758</v>
      </c>
      <c r="L72" s="10">
        <f>'Precinct Vote Data'!H264</f>
        <v>0.756302521</v>
      </c>
      <c r="M72" s="10">
        <f>'Precinct Vote Data'!H265</f>
        <v>0.6759061834</v>
      </c>
      <c r="N72" s="15">
        <f t="shared" si="6"/>
        <v>3.428390863</v>
      </c>
      <c r="O72" s="5">
        <f t="shared" si="7"/>
        <v>406</v>
      </c>
      <c r="Q72" s="5" t="str">
        <f t="shared" si="8"/>
        <v>Lehigh|ALLENTOWN|160</v>
      </c>
    </row>
    <row r="73" ht="15.0" customHeight="1">
      <c r="A73" s="5" t="s">
        <v>143</v>
      </c>
      <c r="B73" s="5" t="s">
        <v>145</v>
      </c>
      <c r="C73" s="5" t="s">
        <v>92</v>
      </c>
      <c r="D73" s="15">
        <f t="shared" si="1"/>
        <v>0.7119946832</v>
      </c>
      <c r="E73" s="15">
        <f t="shared" si="2"/>
        <v>0.4012313356</v>
      </c>
      <c r="F73" s="15">
        <f t="shared" si="3"/>
        <v>0.2880053168</v>
      </c>
      <c r="G73" s="10">
        <f t="shared" si="4"/>
        <v>0.630564431</v>
      </c>
      <c r="H73" s="2" t="str">
        <f t="shared" si="5"/>
        <v/>
      </c>
      <c r="J73" s="10">
        <f>'Precinct Vote Data'!H266</f>
        <v>0.6413255361</v>
      </c>
      <c r="K73" s="10">
        <f>'Precinct Vote Data'!H267</f>
        <v>0.6129943503</v>
      </c>
      <c r="L73" s="10">
        <f>'Precinct Vote Data'!H268</f>
        <v>0.6516587678</v>
      </c>
      <c r="M73" s="10">
        <f>'Precinct Vote Data'!H269</f>
        <v>0.6162790698</v>
      </c>
      <c r="N73" s="15">
        <f t="shared" si="6"/>
        <v>0.8867739812</v>
      </c>
      <c r="O73" s="5">
        <f t="shared" si="7"/>
        <v>169</v>
      </c>
      <c r="Q73" s="5" t="str">
        <f t="shared" si="8"/>
        <v>Lehigh|ALLENTOWN|170</v>
      </c>
    </row>
    <row r="74" ht="15.0" customHeight="1">
      <c r="A74" s="5" t="s">
        <v>143</v>
      </c>
      <c r="B74" s="5" t="s">
        <v>145</v>
      </c>
      <c r="C74" s="5" t="s">
        <v>94</v>
      </c>
      <c r="D74" s="15">
        <f t="shared" si="1"/>
        <v>4.025928464</v>
      </c>
      <c r="E74" s="15">
        <f t="shared" si="2"/>
        <v>0.864500392</v>
      </c>
      <c r="F74" s="15">
        <f t="shared" si="3"/>
        <v>3.025928464</v>
      </c>
      <c r="G74" s="10">
        <f t="shared" si="4"/>
        <v>0.7744768355</v>
      </c>
      <c r="H74" s="2" t="str">
        <f t="shared" si="5"/>
        <v/>
      </c>
      <c r="J74" s="10">
        <f>'Precinct Vote Data'!H270</f>
        <v>0.8591549296</v>
      </c>
      <c r="K74" s="10">
        <f>'Precinct Vote Data'!H271</f>
        <v>0.7557377049</v>
      </c>
      <c r="L74" s="10">
        <f>'Precinct Vote Data'!H272</f>
        <v>0.7973421927</v>
      </c>
      <c r="M74" s="10">
        <f>'Precinct Vote Data'!H273</f>
        <v>0.6856725146</v>
      </c>
      <c r="N74" s="15">
        <f t="shared" si="6"/>
        <v>3.161428072</v>
      </c>
      <c r="O74" s="5">
        <f t="shared" si="7"/>
        <v>404</v>
      </c>
      <c r="Q74" s="5" t="str">
        <f t="shared" si="8"/>
        <v>Lehigh|ALLENTOWN|180</v>
      </c>
    </row>
    <row r="75" ht="15.0" customHeight="1">
      <c r="A75" s="5" t="s">
        <v>143</v>
      </c>
      <c r="B75" s="5" t="s">
        <v>145</v>
      </c>
      <c r="C75" s="5" t="s">
        <v>95</v>
      </c>
      <c r="D75" s="15">
        <f t="shared" si="1"/>
        <v>3.621291519</v>
      </c>
      <c r="E75" s="15">
        <f t="shared" si="2"/>
        <v>0.8850288628</v>
      </c>
      <c r="F75" s="15">
        <f t="shared" si="3"/>
        <v>2.621291519</v>
      </c>
      <c r="G75" s="10">
        <f t="shared" si="4"/>
        <v>0.791583958</v>
      </c>
      <c r="H75" s="2" t="str">
        <f t="shared" si="5"/>
        <v/>
      </c>
      <c r="J75" s="10">
        <f>'Precinct Vote Data'!H274</f>
        <v>0.8746803069</v>
      </c>
      <c r="K75" s="10">
        <f>'Precinct Vote Data'!H275</f>
        <v>0.787202381</v>
      </c>
      <c r="L75" s="10">
        <f>'Precinct Vote Data'!H276</f>
        <v>0.7880597015</v>
      </c>
      <c r="M75" s="10">
        <f>'Precinct Vote Data'!H277</f>
        <v>0.7163934426</v>
      </c>
      <c r="N75" s="15">
        <f t="shared" si="6"/>
        <v>2.736262656</v>
      </c>
      <c r="O75" s="5">
        <f t="shared" si="7"/>
        <v>395</v>
      </c>
      <c r="Q75" s="5" t="str">
        <f t="shared" si="8"/>
        <v>Lehigh|ALLENTOWN|190</v>
      </c>
    </row>
    <row r="76" ht="15.0" customHeight="1">
      <c r="A76" s="5" t="s">
        <v>143</v>
      </c>
      <c r="B76" s="5" t="s">
        <v>145</v>
      </c>
      <c r="C76" s="5" t="s">
        <v>96</v>
      </c>
      <c r="D76" s="15">
        <f t="shared" si="1"/>
        <v>2.965502044</v>
      </c>
      <c r="E76" s="15">
        <f t="shared" si="2"/>
        <v>0.8148149668</v>
      </c>
      <c r="F76" s="15">
        <f t="shared" si="3"/>
        <v>1.965502044</v>
      </c>
      <c r="G76" s="10">
        <f t="shared" si="4"/>
        <v>0.7245774877</v>
      </c>
      <c r="H76" s="2" t="str">
        <f t="shared" si="5"/>
        <v/>
      </c>
      <c r="J76" s="10">
        <f>'Precinct Vote Data'!H278</f>
        <v>0.789968652</v>
      </c>
      <c r="K76" s="10">
        <f>'Precinct Vote Data'!H279</f>
        <v>0.7263779528</v>
      </c>
      <c r="L76" s="10">
        <f>'Precinct Vote Data'!H280</f>
        <v>0.7272727273</v>
      </c>
      <c r="M76" s="10">
        <f>'Precinct Vote Data'!H281</f>
        <v>0.6546906188</v>
      </c>
      <c r="N76" s="15">
        <f t="shared" si="6"/>
        <v>2.150687078</v>
      </c>
      <c r="O76" s="5">
        <f t="shared" si="7"/>
        <v>372</v>
      </c>
      <c r="Q76" s="5" t="str">
        <f t="shared" si="8"/>
        <v>Lehigh|ALLENTOWN|200</v>
      </c>
    </row>
    <row r="77" ht="15.0" customHeight="1">
      <c r="A77" s="5" t="s">
        <v>143</v>
      </c>
      <c r="B77" s="5" t="s">
        <v>145</v>
      </c>
      <c r="C77" s="5" t="s">
        <v>98</v>
      </c>
      <c r="D77" s="15">
        <f t="shared" si="1"/>
        <v>3.230204654</v>
      </c>
      <c r="E77" s="15">
        <f t="shared" si="2"/>
        <v>0.8064006886</v>
      </c>
      <c r="F77" s="15">
        <f t="shared" si="3"/>
        <v>2.230204654</v>
      </c>
      <c r="G77" s="10">
        <f t="shared" si="4"/>
        <v>0.780726442</v>
      </c>
      <c r="H77" s="2" t="str">
        <f t="shared" si="5"/>
        <v/>
      </c>
      <c r="J77" s="10">
        <f>'Precinct Vote Data'!H282</f>
        <v>0.8476190476</v>
      </c>
      <c r="K77" s="10">
        <f>'Precinct Vote Data'!H283</f>
        <v>0.7736943907</v>
      </c>
      <c r="L77" s="10">
        <f>'Precinct Vote Data'!H284</f>
        <v>0.7991631799</v>
      </c>
      <c r="M77" s="10">
        <f>'Precinct Vote Data'!H285</f>
        <v>0.7024291498</v>
      </c>
      <c r="N77" s="15">
        <f t="shared" si="6"/>
        <v>2.423803966</v>
      </c>
      <c r="O77" s="5">
        <f t="shared" si="7"/>
        <v>388</v>
      </c>
      <c r="Q77" s="5" t="str">
        <f t="shared" si="8"/>
        <v>Lehigh|ALLENTOWN|210</v>
      </c>
    </row>
    <row r="78" ht="15.0" customHeight="1">
      <c r="A78" s="5" t="s">
        <v>143</v>
      </c>
      <c r="B78" s="5" t="s">
        <v>145</v>
      </c>
      <c r="C78" s="5" t="s">
        <v>100</v>
      </c>
      <c r="D78" s="15">
        <f t="shared" si="1"/>
        <v>2.046285396</v>
      </c>
      <c r="E78" s="15">
        <f t="shared" si="2"/>
        <v>0.6397566456</v>
      </c>
      <c r="F78" s="15">
        <f t="shared" si="3"/>
        <v>1.046285396</v>
      </c>
      <c r="G78" s="10">
        <f t="shared" si="4"/>
        <v>0.7355619366</v>
      </c>
      <c r="H78" s="2" t="str">
        <f t="shared" si="5"/>
        <v/>
      </c>
      <c r="J78" s="10">
        <f>'Precinct Vote Data'!H286</f>
        <v>0.7722772277</v>
      </c>
      <c r="K78" s="10">
        <f>'Precinct Vote Data'!H287</f>
        <v>0.7270788913</v>
      </c>
      <c r="L78" s="10">
        <f>'Precinct Vote Data'!H288</f>
        <v>0.7647058824</v>
      </c>
      <c r="M78" s="10">
        <f>'Precinct Vote Data'!H289</f>
        <v>0.6781857451</v>
      </c>
      <c r="N78" s="15">
        <f t="shared" si="6"/>
        <v>1.40652875</v>
      </c>
      <c r="O78" s="5">
        <f t="shared" si="7"/>
        <v>266</v>
      </c>
      <c r="Q78" s="5" t="str">
        <f t="shared" si="8"/>
        <v>Lehigh|ALLENTOWN|220</v>
      </c>
    </row>
    <row r="79" ht="15.0" customHeight="1">
      <c r="A79" s="5" t="s">
        <v>143</v>
      </c>
      <c r="B79" s="5" t="s">
        <v>145</v>
      </c>
      <c r="C79" s="5" t="s">
        <v>102</v>
      </c>
      <c r="D79" s="15">
        <f t="shared" si="1"/>
        <v>2.574091947</v>
      </c>
      <c r="E79" s="15">
        <f t="shared" si="2"/>
        <v>0.9109572249</v>
      </c>
      <c r="F79" s="15">
        <f t="shared" si="3"/>
        <v>1.574091947</v>
      </c>
      <c r="G79" s="10">
        <f t="shared" si="4"/>
        <v>0.779430594</v>
      </c>
      <c r="H79" s="2" t="str">
        <f t="shared" si="5"/>
        <v/>
      </c>
      <c r="J79" s="10">
        <f>'Precinct Vote Data'!H290</f>
        <v>0.8366197183</v>
      </c>
      <c r="K79" s="10">
        <f>'Precinct Vote Data'!H291</f>
        <v>0.7700729927</v>
      </c>
      <c r="L79" s="10">
        <f>'Precinct Vote Data'!H292</f>
        <v>0.7844827586</v>
      </c>
      <c r="M79" s="10">
        <f>'Precinct Vote Data'!H293</f>
        <v>0.7265469062</v>
      </c>
      <c r="N79" s="15">
        <f t="shared" si="6"/>
        <v>1.663134722</v>
      </c>
      <c r="O79" s="5">
        <f t="shared" si="7"/>
        <v>307</v>
      </c>
      <c r="Q79" s="5" t="str">
        <f t="shared" si="8"/>
        <v>Lehigh|ALLENTOWN|230</v>
      </c>
    </row>
    <row r="80" ht="15.0" customHeight="1">
      <c r="A80" s="5" t="s">
        <v>143</v>
      </c>
      <c r="B80" s="5" t="s">
        <v>145</v>
      </c>
      <c r="C80" s="5" t="s">
        <v>103</v>
      </c>
      <c r="D80" s="15">
        <f t="shared" si="1"/>
        <v>2.43528044</v>
      </c>
      <c r="E80" s="15">
        <f t="shared" si="2"/>
        <v>0.9387366887</v>
      </c>
      <c r="F80" s="15">
        <f t="shared" si="3"/>
        <v>1.43528044</v>
      </c>
      <c r="G80" s="10">
        <f t="shared" si="4"/>
        <v>0.7356244257</v>
      </c>
      <c r="H80" s="2" t="str">
        <f t="shared" si="5"/>
        <v/>
      </c>
      <c r="J80" s="10">
        <f>'Precinct Vote Data'!H294</f>
        <v>0.7969432314</v>
      </c>
      <c r="K80" s="10">
        <f>'Precinct Vote Data'!H295</f>
        <v>0.7248840804</v>
      </c>
      <c r="L80" s="10">
        <f>'Precinct Vote Data'!H296</f>
        <v>0.7206703911</v>
      </c>
      <c r="M80" s="10">
        <f>'Precinct Vote Data'!H297</f>
        <v>0.7</v>
      </c>
      <c r="N80" s="15">
        <f t="shared" si="6"/>
        <v>1.496543751</v>
      </c>
      <c r="O80" s="5">
        <f t="shared" si="7"/>
        <v>277</v>
      </c>
      <c r="Q80" s="5" t="str">
        <f t="shared" si="8"/>
        <v>Lehigh|ALLENTOWN|240</v>
      </c>
    </row>
    <row r="81" ht="15.0" customHeight="1">
      <c r="A81" s="5" t="s">
        <v>143</v>
      </c>
      <c r="B81" s="5" t="s">
        <v>145</v>
      </c>
      <c r="C81" s="5" t="s">
        <v>104</v>
      </c>
      <c r="D81" s="15">
        <f t="shared" si="1"/>
        <v>1.170557131</v>
      </c>
      <c r="E81" s="15">
        <f t="shared" si="2"/>
        <v>0.6842847884</v>
      </c>
      <c r="F81" s="15">
        <f t="shared" si="3"/>
        <v>0.1705571307</v>
      </c>
      <c r="G81" s="10">
        <f t="shared" si="4"/>
        <v>0.7901212863</v>
      </c>
      <c r="H81" s="2" t="str">
        <f t="shared" si="5"/>
        <v/>
      </c>
      <c r="J81" s="10">
        <f>'Precinct Vote Data'!H298</f>
        <v>0.8170995671</v>
      </c>
      <c r="K81" s="10">
        <f>'Precinct Vote Data'!H299</f>
        <v>0.7607655502</v>
      </c>
      <c r="L81" s="10">
        <f>'Precinct Vote Data'!H300</f>
        <v>0.7986928105</v>
      </c>
      <c r="M81" s="10">
        <f>'Precinct Vote Data'!H301</f>
        <v>0.7839272176</v>
      </c>
      <c r="N81" s="15">
        <f t="shared" si="6"/>
        <v>0.4862723423</v>
      </c>
      <c r="O81" s="5">
        <f t="shared" si="7"/>
        <v>73</v>
      </c>
      <c r="Q81" s="5" t="str">
        <f t="shared" si="8"/>
        <v>Lehigh|ALLENTOWN|250</v>
      </c>
    </row>
    <row r="82" ht="15.0" customHeight="1">
      <c r="A82" s="5" t="s">
        <v>143</v>
      </c>
      <c r="B82" s="5" t="s">
        <v>145</v>
      </c>
      <c r="C82" s="5" t="s">
        <v>106</v>
      </c>
      <c r="D82" s="15">
        <f t="shared" si="1"/>
        <v>1.248253597</v>
      </c>
      <c r="E82" s="15">
        <f t="shared" si="2"/>
        <v>0.5149781643</v>
      </c>
      <c r="F82" s="15">
        <f t="shared" si="3"/>
        <v>0.2482535969</v>
      </c>
      <c r="G82" s="10">
        <f t="shared" si="4"/>
        <v>0.6776379953</v>
      </c>
      <c r="H82" s="2" t="str">
        <f t="shared" si="5"/>
        <v/>
      </c>
      <c r="J82" s="10">
        <f>'Precinct Vote Data'!H302</f>
        <v>0.7016317016</v>
      </c>
      <c r="K82" s="10">
        <f>'Precinct Vote Data'!H303</f>
        <v>0.6422628952</v>
      </c>
      <c r="L82" s="10">
        <f>'Precinct Vote Data'!H304</f>
        <v>0.701754386</v>
      </c>
      <c r="M82" s="10">
        <f>'Precinct Vote Data'!H305</f>
        <v>0.6649029982</v>
      </c>
      <c r="N82" s="15">
        <f t="shared" si="6"/>
        <v>0.7332754326</v>
      </c>
      <c r="O82" s="5">
        <f t="shared" si="7"/>
        <v>143</v>
      </c>
      <c r="Q82" s="5" t="str">
        <f t="shared" si="8"/>
        <v>Lehigh|ALLENTOWN|260</v>
      </c>
    </row>
    <row r="83" ht="15.0" customHeight="1">
      <c r="A83" s="5" t="s">
        <v>143</v>
      </c>
      <c r="B83" s="5" t="s">
        <v>145</v>
      </c>
      <c r="C83" s="5" t="s">
        <v>109</v>
      </c>
      <c r="D83" s="15">
        <f t="shared" si="1"/>
        <v>1.210935924</v>
      </c>
      <c r="E83" s="15">
        <f t="shared" si="2"/>
        <v>0.8437730923</v>
      </c>
      <c r="F83" s="15">
        <f t="shared" si="3"/>
        <v>0.2109359238</v>
      </c>
      <c r="G83" s="10">
        <f t="shared" si="4"/>
        <v>0.6275130493</v>
      </c>
      <c r="H83" s="2" t="str">
        <f t="shared" si="5"/>
        <v/>
      </c>
      <c r="J83" s="10">
        <f>'Precinct Vote Data'!H306</f>
        <v>0.6585034014</v>
      </c>
      <c r="K83" s="10">
        <f>'Precinct Vote Data'!H307</f>
        <v>0.627254509</v>
      </c>
      <c r="L83" s="10">
        <f>'Precinct Vote Data'!H308</f>
        <v>0.6168359942</v>
      </c>
      <c r="M83" s="10">
        <f>'Precinct Vote Data'!H309</f>
        <v>0.6074582924</v>
      </c>
      <c r="N83" s="15">
        <f t="shared" si="6"/>
        <v>0.3671628315</v>
      </c>
      <c r="O83" s="5">
        <f t="shared" si="7"/>
        <v>41</v>
      </c>
      <c r="Q83" s="5" t="str">
        <f t="shared" si="8"/>
        <v>Lehigh|ALLENTOWN|270</v>
      </c>
    </row>
    <row r="84" ht="15.0" customHeight="1">
      <c r="A84" s="5" t="s">
        <v>143</v>
      </c>
      <c r="B84" s="5" t="s">
        <v>145</v>
      </c>
      <c r="C84" s="5" t="s">
        <v>110</v>
      </c>
      <c r="D84" s="15">
        <f t="shared" si="1"/>
        <v>0.6300670943</v>
      </c>
      <c r="E84" s="15">
        <f t="shared" si="2"/>
        <v>0.7274278159</v>
      </c>
      <c r="F84" s="15">
        <f t="shared" si="3"/>
        <v>0.3699329057</v>
      </c>
      <c r="G84" s="10">
        <f t="shared" si="4"/>
        <v>0.6332609562</v>
      </c>
      <c r="H84" s="2" t="str">
        <f t="shared" si="5"/>
        <v/>
      </c>
      <c r="J84" s="10">
        <f>'Precinct Vote Data'!H310</f>
        <v>0.6513761468</v>
      </c>
      <c r="K84" s="10">
        <f>'Precinct Vote Data'!H311</f>
        <v>0.6300984529</v>
      </c>
      <c r="L84" s="10">
        <f>'Precinct Vote Data'!H312</f>
        <v>0.6231617647</v>
      </c>
      <c r="M84" s="10">
        <f>'Precinct Vote Data'!H313</f>
        <v>0.6284074605</v>
      </c>
      <c r="N84" s="15">
        <f t="shared" si="6"/>
        <v>0.6425050898</v>
      </c>
      <c r="O84" s="5">
        <f t="shared" si="7"/>
        <v>115</v>
      </c>
      <c r="Q84" s="5" t="str">
        <f t="shared" si="8"/>
        <v>Lehigh|ALLENTOWN|280</v>
      </c>
    </row>
    <row r="85" ht="15.0" customHeight="1">
      <c r="A85" s="5" t="s">
        <v>143</v>
      </c>
      <c r="B85" s="5" t="s">
        <v>145</v>
      </c>
      <c r="C85" s="5" t="s">
        <v>111</v>
      </c>
      <c r="D85" s="15">
        <f t="shared" si="1"/>
        <v>1.988008639</v>
      </c>
      <c r="E85" s="15">
        <f t="shared" si="2"/>
        <v>0.8386129019</v>
      </c>
      <c r="F85" s="15">
        <f t="shared" si="3"/>
        <v>0.9880086391</v>
      </c>
      <c r="G85" s="10">
        <f t="shared" si="4"/>
        <v>0.7284041001</v>
      </c>
      <c r="H85" s="2" t="str">
        <f t="shared" si="5"/>
        <v/>
      </c>
      <c r="J85" s="10">
        <f>'Precinct Vote Data'!H314</f>
        <v>0.7685774947</v>
      </c>
      <c r="K85" s="10">
        <f>'Precinct Vote Data'!H315</f>
        <v>0.7106446777</v>
      </c>
      <c r="L85" s="10">
        <f>'Precinct Vote Data'!H316</f>
        <v>0.7473958333</v>
      </c>
      <c r="M85" s="10">
        <f>'Precinct Vote Data'!H317</f>
        <v>0.6869983949</v>
      </c>
      <c r="N85" s="15">
        <f t="shared" si="6"/>
        <v>1.149395737</v>
      </c>
      <c r="O85" s="5">
        <f t="shared" si="7"/>
        <v>219</v>
      </c>
      <c r="Q85" s="5" t="str">
        <f t="shared" si="8"/>
        <v>Lehigh|ALLENTOWN|290</v>
      </c>
    </row>
    <row r="86" ht="15.0" customHeight="1">
      <c r="A86" s="5" t="s">
        <v>143</v>
      </c>
      <c r="B86" s="5" t="s">
        <v>145</v>
      </c>
      <c r="C86" s="5" t="s">
        <v>113</v>
      </c>
      <c r="D86" s="15">
        <f t="shared" si="1"/>
        <v>2.656108841</v>
      </c>
      <c r="E86" s="15">
        <f t="shared" si="2"/>
        <v>0.8533322754</v>
      </c>
      <c r="F86" s="15">
        <f t="shared" si="3"/>
        <v>1.656108841</v>
      </c>
      <c r="G86" s="10">
        <f t="shared" si="4"/>
        <v>0.6874638864</v>
      </c>
      <c r="H86" s="2" t="str">
        <f t="shared" si="5"/>
        <v/>
      </c>
      <c r="J86" s="10">
        <f>'Precinct Vote Data'!H318</f>
        <v>0.7520938023</v>
      </c>
      <c r="K86" s="10">
        <f>'Precinct Vote Data'!H319</f>
        <v>0.6887640449</v>
      </c>
      <c r="L86" s="10">
        <f>'Precinct Vote Data'!H320</f>
        <v>0.6728395062</v>
      </c>
      <c r="M86" s="10">
        <f>'Precinct Vote Data'!H321</f>
        <v>0.6361581921</v>
      </c>
      <c r="N86" s="15">
        <f t="shared" si="6"/>
        <v>1.802776565</v>
      </c>
      <c r="O86" s="5">
        <f t="shared" si="7"/>
        <v>327</v>
      </c>
      <c r="Q86" s="5" t="str">
        <f t="shared" si="8"/>
        <v>Lehigh|ALLENTOWN|300</v>
      </c>
    </row>
    <row r="87" ht="15.0" customHeight="1">
      <c r="A87" s="5" t="s">
        <v>143</v>
      </c>
      <c r="B87" s="5" t="s">
        <v>145</v>
      </c>
      <c r="C87" s="5" t="s">
        <v>114</v>
      </c>
      <c r="D87" s="15">
        <f t="shared" si="1"/>
        <v>0.4932611718</v>
      </c>
      <c r="E87" s="15">
        <f t="shared" si="2"/>
        <v>0.5556379725</v>
      </c>
      <c r="F87" s="15">
        <f t="shared" si="3"/>
        <v>0.5067388282</v>
      </c>
      <c r="G87" s="10">
        <f t="shared" si="4"/>
        <v>0.6333049258</v>
      </c>
      <c r="H87" s="2" t="str">
        <f t="shared" si="5"/>
        <v/>
      </c>
      <c r="J87" s="10">
        <f>'Precinct Vote Data'!H322</f>
        <v>0.6487025948</v>
      </c>
      <c r="K87" s="10">
        <f>'Precinct Vote Data'!H323</f>
        <v>0.6279761905</v>
      </c>
      <c r="L87" s="10">
        <f>'Precinct Vote Data'!H324</f>
        <v>0.622983871</v>
      </c>
      <c r="M87" s="10">
        <f>'Precinct Vote Data'!H325</f>
        <v>0.633557047</v>
      </c>
      <c r="N87" s="15">
        <f t="shared" si="6"/>
        <v>0.9511008557</v>
      </c>
      <c r="O87" s="5">
        <f t="shared" si="7"/>
        <v>182</v>
      </c>
      <c r="Q87" s="5" t="str">
        <f t="shared" si="8"/>
        <v>Lehigh|ALLENTOWN|310</v>
      </c>
    </row>
    <row r="88" ht="15.0" customHeight="1">
      <c r="A88" s="5" t="s">
        <v>143</v>
      </c>
      <c r="B88" s="5" t="s">
        <v>145</v>
      </c>
      <c r="C88" s="5" t="s">
        <v>116</v>
      </c>
      <c r="D88" s="15">
        <f t="shared" si="1"/>
        <v>1.319559902</v>
      </c>
      <c r="E88" s="15">
        <f t="shared" si="2"/>
        <v>0.963413009</v>
      </c>
      <c r="F88" s="15">
        <f t="shared" si="3"/>
        <v>0.319559902</v>
      </c>
      <c r="G88" s="10">
        <f t="shared" si="4"/>
        <v>0.584666444</v>
      </c>
      <c r="H88" s="2" t="str">
        <f t="shared" si="5"/>
        <v/>
      </c>
      <c r="J88" s="10">
        <f>'Precinct Vote Data'!H326</f>
        <v>0.614</v>
      </c>
      <c r="K88" s="10">
        <f>'Precinct Vote Data'!H327</f>
        <v>0.5718120805</v>
      </c>
      <c r="L88" s="10">
        <f>'Precinct Vote Data'!H328</f>
        <v>0.5901060071</v>
      </c>
      <c r="M88" s="10">
        <f>'Precinct Vote Data'!H329</f>
        <v>0.5627476882</v>
      </c>
      <c r="N88" s="15">
        <f t="shared" si="6"/>
        <v>0.356146893</v>
      </c>
      <c r="O88" s="5">
        <f t="shared" si="7"/>
        <v>38</v>
      </c>
      <c r="Q88" s="5" t="str">
        <f t="shared" si="8"/>
        <v>Lehigh|ALLENTOWN|320</v>
      </c>
    </row>
    <row r="89" ht="15.0" customHeight="1">
      <c r="A89" s="5" t="s">
        <v>143</v>
      </c>
      <c r="B89" s="5" t="s">
        <v>145</v>
      </c>
      <c r="C89" s="5" t="s">
        <v>118</v>
      </c>
      <c r="D89" s="15">
        <f t="shared" si="1"/>
        <v>2.618093684</v>
      </c>
      <c r="E89" s="15">
        <f t="shared" si="2"/>
        <v>0.8728973573</v>
      </c>
      <c r="F89" s="15">
        <f t="shared" si="3"/>
        <v>1.618093684</v>
      </c>
      <c r="G89" s="10">
        <f t="shared" si="4"/>
        <v>0.6441872256</v>
      </c>
      <c r="H89" s="2" t="str">
        <f t="shared" si="5"/>
        <v/>
      </c>
      <c r="J89" s="10">
        <f>'Precinct Vote Data'!H330</f>
        <v>0.7103004292</v>
      </c>
      <c r="K89" s="10">
        <f>'Precinct Vote Data'!H331</f>
        <v>0.6414835165</v>
      </c>
      <c r="L89" s="10">
        <f>'Precinct Vote Data'!H332</f>
        <v>0.6243902439</v>
      </c>
      <c r="M89" s="10">
        <f>'Precinct Vote Data'!H333</f>
        <v>0.6005747126</v>
      </c>
      <c r="N89" s="15">
        <f t="shared" si="6"/>
        <v>1.745196327</v>
      </c>
      <c r="O89" s="5">
        <f t="shared" si="7"/>
        <v>317</v>
      </c>
      <c r="Q89" s="5" t="str">
        <f t="shared" si="8"/>
        <v>Lehigh|ALLENTOWN|330</v>
      </c>
    </row>
    <row r="90" ht="15.0" customHeight="1">
      <c r="A90" s="5" t="s">
        <v>143</v>
      </c>
      <c r="B90" s="5" t="s">
        <v>145</v>
      </c>
      <c r="C90" s="5" t="s">
        <v>119</v>
      </c>
      <c r="D90" s="15">
        <f t="shared" si="1"/>
        <v>3.149144597</v>
      </c>
      <c r="E90" s="15">
        <f t="shared" si="2"/>
        <v>0.7726961834</v>
      </c>
      <c r="F90" s="15">
        <f t="shared" si="3"/>
        <v>2.149144597</v>
      </c>
      <c r="G90" s="10">
        <f t="shared" si="4"/>
        <v>0.7727724079</v>
      </c>
      <c r="H90" s="2" t="str">
        <f t="shared" si="5"/>
        <v/>
      </c>
      <c r="J90" s="10">
        <f>'Precinct Vote Data'!H334</f>
        <v>0.8383371824</v>
      </c>
      <c r="K90" s="10">
        <f>'Precinct Vote Data'!H335</f>
        <v>0.7725856698</v>
      </c>
      <c r="L90" s="10">
        <f>'Precinct Vote Data'!H336</f>
        <v>0.7873563218</v>
      </c>
      <c r="M90" s="10">
        <f>'Precinct Vote Data'!H337</f>
        <v>0.6928104575</v>
      </c>
      <c r="N90" s="15">
        <f t="shared" si="6"/>
        <v>2.376448413</v>
      </c>
      <c r="O90" s="5">
        <f t="shared" si="7"/>
        <v>385</v>
      </c>
      <c r="Q90" s="5" t="str">
        <f t="shared" si="8"/>
        <v>Lehigh|ALLENTOWN|340</v>
      </c>
    </row>
    <row r="91" ht="15.0" customHeight="1">
      <c r="A91" s="5" t="s">
        <v>143</v>
      </c>
      <c r="B91" s="5" t="s">
        <v>145</v>
      </c>
      <c r="C91" s="5" t="s">
        <v>120</v>
      </c>
      <c r="D91" s="15">
        <f t="shared" si="1"/>
        <v>2.395092631</v>
      </c>
      <c r="E91" s="15">
        <f t="shared" si="2"/>
        <v>0.725573325</v>
      </c>
      <c r="F91" s="15">
        <f t="shared" si="3"/>
        <v>1.395092631</v>
      </c>
      <c r="G91" s="10">
        <f t="shared" si="4"/>
        <v>0.6890139106</v>
      </c>
      <c r="H91" s="2" t="str">
        <f t="shared" si="5"/>
        <v/>
      </c>
      <c r="J91" s="10">
        <f>'Precinct Vote Data'!H338</f>
        <v>0.734375</v>
      </c>
      <c r="K91" s="10">
        <f>'Precinct Vote Data'!H339</f>
        <v>0.6754221388</v>
      </c>
      <c r="L91" s="10">
        <f>'Precinct Vote Data'!H340</f>
        <v>0.7176870748</v>
      </c>
      <c r="M91" s="10">
        <f>'Precinct Vote Data'!H341</f>
        <v>0.6285714286</v>
      </c>
      <c r="N91" s="15">
        <f t="shared" si="6"/>
        <v>1.669519306</v>
      </c>
      <c r="O91" s="5">
        <f t="shared" si="7"/>
        <v>308</v>
      </c>
      <c r="Q91" s="5" t="str">
        <f t="shared" si="8"/>
        <v>Lehigh|ALLENTOWN|350</v>
      </c>
    </row>
    <row r="92" ht="15.0" customHeight="1">
      <c r="A92" s="5" t="s">
        <v>143</v>
      </c>
      <c r="B92" s="5" t="s">
        <v>145</v>
      </c>
      <c r="C92" s="5" t="s">
        <v>122</v>
      </c>
      <c r="D92" s="15">
        <f t="shared" si="1"/>
        <v>2.083347201</v>
      </c>
      <c r="E92" s="15">
        <f t="shared" si="2"/>
        <v>0.8518509536</v>
      </c>
      <c r="F92" s="15">
        <f t="shared" si="3"/>
        <v>1.083347201</v>
      </c>
      <c r="G92" s="10">
        <f t="shared" si="4"/>
        <v>0.6915651747</v>
      </c>
      <c r="H92" s="2" t="str">
        <f t="shared" si="5"/>
        <v/>
      </c>
      <c r="J92" s="10">
        <f>'Precinct Vote Data'!H342</f>
        <v>0.7440347072</v>
      </c>
      <c r="K92" s="10">
        <f>'Precinct Vote Data'!H343</f>
        <v>0.6914893617</v>
      </c>
      <c r="L92" s="10">
        <f>'Precinct Vote Data'!H344</f>
        <v>0.6754617414</v>
      </c>
      <c r="M92" s="10">
        <f>'Precinct Vote Data'!H345</f>
        <v>0.6552748886</v>
      </c>
      <c r="N92" s="15">
        <f t="shared" si="6"/>
        <v>1.231496248</v>
      </c>
      <c r="O92" s="5">
        <f t="shared" si="7"/>
        <v>240</v>
      </c>
      <c r="Q92" s="5" t="str">
        <f t="shared" si="8"/>
        <v>Lehigh|ALLENTOWN|360</v>
      </c>
    </row>
    <row r="93" ht="15.0" customHeight="1">
      <c r="A93" s="5" t="s">
        <v>143</v>
      </c>
      <c r="B93" s="5" t="s">
        <v>145</v>
      </c>
      <c r="C93" s="5" t="s">
        <v>124</v>
      </c>
      <c r="D93" s="15">
        <f t="shared" si="1"/>
        <v>0.6355188421</v>
      </c>
      <c r="E93" s="15">
        <f t="shared" si="2"/>
        <v>0.2532376063</v>
      </c>
      <c r="F93" s="15">
        <f t="shared" si="3"/>
        <v>0.3644811579</v>
      </c>
      <c r="G93" s="10">
        <f t="shared" si="4"/>
        <v>0.6992379087</v>
      </c>
      <c r="H93" s="2" t="str">
        <f t="shared" si="5"/>
        <v/>
      </c>
      <c r="J93" s="10">
        <f>'Precinct Vote Data'!H346</f>
        <v>0.706231454</v>
      </c>
      <c r="K93" s="10">
        <f>'Precinct Vote Data'!H347</f>
        <v>0.7037037037</v>
      </c>
      <c r="L93" s="10">
        <f>'Precinct Vote Data'!H348</f>
        <v>0.7182130584</v>
      </c>
      <c r="M93" s="10">
        <f>'Precinct Vote Data'!H349</f>
        <v>0.6688034188</v>
      </c>
      <c r="N93" s="15">
        <f t="shared" si="6"/>
        <v>1.111243552</v>
      </c>
      <c r="O93" s="5">
        <f t="shared" si="7"/>
        <v>209</v>
      </c>
      <c r="Q93" s="5" t="str">
        <f t="shared" si="8"/>
        <v>Lehigh|ALLENTOWN|370</v>
      </c>
    </row>
    <row r="94" ht="15.0" customHeight="1">
      <c r="A94" s="5" t="s">
        <v>143</v>
      </c>
      <c r="B94" s="5" t="s">
        <v>145</v>
      </c>
      <c r="C94" s="5" t="s">
        <v>130</v>
      </c>
      <c r="D94" s="15">
        <f t="shared" si="1"/>
        <v>2.356045518</v>
      </c>
      <c r="E94" s="15">
        <f t="shared" si="2"/>
        <v>0.777802425</v>
      </c>
      <c r="F94" s="15">
        <f t="shared" si="3"/>
        <v>1.356045518</v>
      </c>
      <c r="G94" s="10">
        <f t="shared" si="4"/>
        <v>0.6709685925</v>
      </c>
      <c r="H94" s="2" t="str">
        <f t="shared" si="5"/>
        <v/>
      </c>
      <c r="J94" s="10">
        <f>'Precinct Vote Data'!H350</f>
        <v>0.734351145</v>
      </c>
      <c r="K94" s="10">
        <f>'Precinct Vote Data'!H351</f>
        <v>0.6714285714</v>
      </c>
      <c r="L94" s="10">
        <f>'Precinct Vote Data'!H352</f>
        <v>0.6411149826</v>
      </c>
      <c r="M94" s="10">
        <f>'Precinct Vote Data'!H353</f>
        <v>0.6369796709</v>
      </c>
      <c r="N94" s="15">
        <f t="shared" si="6"/>
        <v>1.578243093</v>
      </c>
      <c r="O94" s="5">
        <f t="shared" si="7"/>
        <v>291</v>
      </c>
      <c r="Q94" s="5" t="str">
        <f t="shared" si="8"/>
        <v>Lehigh|ALLENTOWN|380</v>
      </c>
    </row>
    <row r="95" ht="15.0" customHeight="1">
      <c r="A95" s="5" t="s">
        <v>143</v>
      </c>
      <c r="B95" s="5" t="s">
        <v>145</v>
      </c>
      <c r="C95" s="5" t="s">
        <v>131</v>
      </c>
      <c r="D95" s="15">
        <f t="shared" si="1"/>
        <v>3.640138488</v>
      </c>
      <c r="E95" s="15">
        <f t="shared" si="2"/>
        <v>0.8549540396</v>
      </c>
      <c r="F95" s="15">
        <f t="shared" si="3"/>
        <v>2.640138488</v>
      </c>
      <c r="G95" s="10">
        <f t="shared" si="4"/>
        <v>0.7129197743</v>
      </c>
      <c r="H95" s="2" t="str">
        <f t="shared" si="5"/>
        <v/>
      </c>
      <c r="J95" s="10">
        <f>'Precinct Vote Data'!H354</f>
        <v>0.8003220612</v>
      </c>
      <c r="K95" s="10">
        <f>'Precinct Vote Data'!H355</f>
        <v>0.714673913</v>
      </c>
      <c r="L95" s="10">
        <f>'Precinct Vote Data'!H356</f>
        <v>0.6962025316</v>
      </c>
      <c r="M95" s="10">
        <f>'Precinct Vote Data'!H357</f>
        <v>0.6404805915</v>
      </c>
      <c r="N95" s="15">
        <f t="shared" si="6"/>
        <v>2.785184448</v>
      </c>
      <c r="O95" s="5">
        <f t="shared" si="7"/>
        <v>397</v>
      </c>
      <c r="Q95" s="5" t="str">
        <f t="shared" si="8"/>
        <v>Lehigh|ALLENTOWN|390</v>
      </c>
    </row>
    <row r="96" ht="15.0" customHeight="1">
      <c r="A96" s="5" t="s">
        <v>143</v>
      </c>
      <c r="B96" s="5" t="s">
        <v>145</v>
      </c>
      <c r="C96" s="5" t="s">
        <v>132</v>
      </c>
      <c r="D96" s="15">
        <f t="shared" si="1"/>
        <v>2.818837038</v>
      </c>
      <c r="E96" s="15">
        <f t="shared" si="2"/>
        <v>0.7009158991</v>
      </c>
      <c r="F96" s="15">
        <f t="shared" si="3"/>
        <v>1.818837038</v>
      </c>
      <c r="G96" s="10">
        <f t="shared" si="4"/>
        <v>0.60599612</v>
      </c>
      <c r="H96" s="2" t="str">
        <f t="shared" si="5"/>
        <v/>
      </c>
      <c r="J96" s="10">
        <f>'Precinct Vote Data'!H358</f>
        <v>0.6731141199</v>
      </c>
      <c r="K96" s="10">
        <f>'Precinct Vote Data'!H359</f>
        <v>0.6233128834</v>
      </c>
      <c r="L96" s="10">
        <f>'Precinct Vote Data'!H360</f>
        <v>0.5889101338</v>
      </c>
      <c r="M96" s="10">
        <f>'Precinct Vote Data'!H361</f>
        <v>0.538647343</v>
      </c>
      <c r="N96" s="15">
        <f t="shared" si="6"/>
        <v>2.117921139</v>
      </c>
      <c r="O96" s="5">
        <f t="shared" si="7"/>
        <v>364</v>
      </c>
      <c r="Q96" s="5" t="str">
        <f t="shared" si="8"/>
        <v>Lehigh|ALLENTOWN|400</v>
      </c>
    </row>
    <row r="97" ht="15.0" customHeight="1">
      <c r="A97" s="5" t="s">
        <v>143</v>
      </c>
      <c r="B97" s="5" t="s">
        <v>145</v>
      </c>
      <c r="C97" s="5" t="s">
        <v>133</v>
      </c>
      <c r="D97" s="15">
        <f t="shared" si="1"/>
        <v>1.438137103</v>
      </c>
      <c r="E97" s="15">
        <f t="shared" si="2"/>
        <v>0.8948902428</v>
      </c>
      <c r="F97" s="15">
        <f t="shared" si="3"/>
        <v>0.4381371026</v>
      </c>
      <c r="G97" s="10">
        <f t="shared" si="4"/>
        <v>0.647621014</v>
      </c>
      <c r="H97" s="2" t="str">
        <f t="shared" si="5"/>
        <v/>
      </c>
      <c r="J97" s="10">
        <f>'Precinct Vote Data'!H362</f>
        <v>0.6791171477</v>
      </c>
      <c r="K97" s="10">
        <f>'Precinct Vote Data'!H363</f>
        <v>0.6425742574</v>
      </c>
      <c r="L97" s="10">
        <f>'Precinct Vote Data'!H364</f>
        <v>0.6516666667</v>
      </c>
      <c r="M97" s="10">
        <f>'Precinct Vote Data'!H365</f>
        <v>0.6171259843</v>
      </c>
      <c r="N97" s="15">
        <f t="shared" si="6"/>
        <v>0.5432468597</v>
      </c>
      <c r="O97" s="5">
        <f t="shared" si="7"/>
        <v>91</v>
      </c>
      <c r="Q97" s="5" t="str">
        <f t="shared" si="8"/>
        <v>Lehigh|ALLENTOWN|410</v>
      </c>
    </row>
    <row r="98" ht="15.0" customHeight="1">
      <c r="A98" s="5" t="s">
        <v>143</v>
      </c>
      <c r="B98" s="5" t="s">
        <v>145</v>
      </c>
      <c r="C98" s="5" t="s">
        <v>135</v>
      </c>
      <c r="D98" s="15">
        <f t="shared" si="1"/>
        <v>1.300028769</v>
      </c>
      <c r="E98" s="15">
        <f t="shared" si="2"/>
        <v>0.6223342434</v>
      </c>
      <c r="F98" s="15">
        <f t="shared" si="3"/>
        <v>0.300028769</v>
      </c>
      <c r="G98" s="10">
        <f t="shared" si="4"/>
        <v>0.6428110241</v>
      </c>
      <c r="H98" s="2" t="str">
        <f t="shared" si="5"/>
        <v/>
      </c>
      <c r="J98" s="10">
        <f>'Precinct Vote Data'!H366</f>
        <v>0.6721763085</v>
      </c>
      <c r="K98" s="10">
        <f>'Precinct Vote Data'!H367</f>
        <v>0.654028436</v>
      </c>
      <c r="L98" s="10">
        <f>'Precinct Vote Data'!H368</f>
        <v>0.6382660688</v>
      </c>
      <c r="M98" s="10">
        <f>'Precinct Vote Data'!H369</f>
        <v>0.6067732832</v>
      </c>
      <c r="N98" s="15">
        <f t="shared" si="6"/>
        <v>0.6776945255</v>
      </c>
      <c r="O98" s="5">
        <f t="shared" si="7"/>
        <v>123</v>
      </c>
      <c r="Q98" s="5" t="str">
        <f t="shared" si="8"/>
        <v>Lehigh|ALLENTOWN|420</v>
      </c>
    </row>
    <row r="99" ht="15.0" customHeight="1">
      <c r="A99" s="5" t="s">
        <v>143</v>
      </c>
      <c r="B99" s="5" t="s">
        <v>145</v>
      </c>
      <c r="C99" s="5" t="s">
        <v>136</v>
      </c>
      <c r="D99" s="15">
        <f t="shared" si="1"/>
        <v>2.829542716</v>
      </c>
      <c r="E99" s="15">
        <f t="shared" si="2"/>
        <v>0.6112932909</v>
      </c>
      <c r="F99" s="15">
        <f t="shared" si="3"/>
        <v>1.829542716</v>
      </c>
      <c r="G99" s="10">
        <f t="shared" si="4"/>
        <v>0.6427918816</v>
      </c>
      <c r="H99" s="2" t="str">
        <f t="shared" si="5"/>
        <v/>
      </c>
      <c r="J99" s="10">
        <f>'Precinct Vote Data'!H370</f>
        <v>0.7106918239</v>
      </c>
      <c r="K99" s="10">
        <f>'Precinct Vote Data'!H371</f>
        <v>0.6697986577</v>
      </c>
      <c r="L99" s="10">
        <f>'Precinct Vote Data'!H372</f>
        <v>0.6206896552</v>
      </c>
      <c r="M99" s="10">
        <f>'Precinct Vote Data'!H373</f>
        <v>0.5699873897</v>
      </c>
      <c r="N99" s="15">
        <f t="shared" si="6"/>
        <v>2.218249425</v>
      </c>
      <c r="O99" s="5">
        <f t="shared" si="7"/>
        <v>378</v>
      </c>
      <c r="Q99" s="5" t="str">
        <f t="shared" si="8"/>
        <v>Lehigh|ALLENTOWN|430</v>
      </c>
    </row>
    <row r="100" ht="15.0" customHeight="1">
      <c r="A100" s="5" t="s">
        <v>143</v>
      </c>
      <c r="B100" s="5" t="s">
        <v>145</v>
      </c>
      <c r="C100" s="5" t="s">
        <v>139</v>
      </c>
      <c r="D100" s="15">
        <f t="shared" si="1"/>
        <v>1.948471705</v>
      </c>
      <c r="E100" s="15">
        <f t="shared" si="2"/>
        <v>0.6610254819</v>
      </c>
      <c r="F100" s="15">
        <f t="shared" si="3"/>
        <v>0.9484717053</v>
      </c>
      <c r="G100" s="10">
        <f t="shared" si="4"/>
        <v>0.6650564726</v>
      </c>
      <c r="H100" s="2" t="str">
        <f t="shared" si="5"/>
        <v/>
      </c>
      <c r="J100" s="10">
        <f>'Precinct Vote Data'!H374</f>
        <v>0.7153419593</v>
      </c>
      <c r="K100" s="10">
        <f>'Precinct Vote Data'!H375</f>
        <v>0.6784492588</v>
      </c>
      <c r="L100" s="10">
        <f>'Precinct Vote Data'!H376</f>
        <v>0.641723356</v>
      </c>
      <c r="M100" s="10">
        <f>'Precinct Vote Data'!H377</f>
        <v>0.6247113164</v>
      </c>
      <c r="N100" s="15">
        <f t="shared" si="6"/>
        <v>1.287446223</v>
      </c>
      <c r="O100" s="5">
        <f t="shared" si="7"/>
        <v>250</v>
      </c>
      <c r="Q100" s="5" t="str">
        <f t="shared" si="8"/>
        <v>Lehigh|ALLENTOWN|440</v>
      </c>
    </row>
    <row r="101" ht="15.0" customHeight="1">
      <c r="A101" s="5" t="s">
        <v>143</v>
      </c>
      <c r="B101" s="5" t="s">
        <v>145</v>
      </c>
      <c r="C101" s="5" t="s">
        <v>140</v>
      </c>
      <c r="D101" s="15">
        <f t="shared" si="1"/>
        <v>2.521075306</v>
      </c>
      <c r="E101" s="15">
        <f t="shared" si="2"/>
        <v>0.9230386916</v>
      </c>
      <c r="F101" s="15">
        <f t="shared" si="3"/>
        <v>1.521075306</v>
      </c>
      <c r="G101" s="10">
        <f t="shared" si="4"/>
        <v>0.6248823607</v>
      </c>
      <c r="H101" s="2" t="str">
        <f t="shared" si="5"/>
        <v/>
      </c>
      <c r="J101" s="10">
        <f>'Precinct Vote Data'!H378</f>
        <v>0.6867321867</v>
      </c>
      <c r="K101" s="10">
        <f>'Precinct Vote Data'!H379</f>
        <v>0.6182380216</v>
      </c>
      <c r="L101" s="10">
        <f>'Precinct Vote Data'!H380</f>
        <v>0.6124031008</v>
      </c>
      <c r="M101" s="10">
        <f>'Precinct Vote Data'!H381</f>
        <v>0.5821561338</v>
      </c>
      <c r="N101" s="15">
        <f t="shared" si="6"/>
        <v>1.598036614</v>
      </c>
      <c r="O101" s="5">
        <f t="shared" si="7"/>
        <v>296</v>
      </c>
      <c r="Q101" s="5" t="str">
        <f t="shared" si="8"/>
        <v>Lehigh|ALLENTOWN|450</v>
      </c>
    </row>
    <row r="102" ht="15.0" customHeight="1">
      <c r="A102" s="5" t="s">
        <v>143</v>
      </c>
      <c r="B102" s="5" t="s">
        <v>145</v>
      </c>
      <c r="C102" s="5" t="s">
        <v>142</v>
      </c>
      <c r="D102" s="15">
        <f t="shared" si="1"/>
        <v>0.1864185198</v>
      </c>
      <c r="E102" s="15">
        <f t="shared" si="2"/>
        <v>0.0298095613</v>
      </c>
      <c r="F102" s="15">
        <f t="shared" si="3"/>
        <v>0.8135814802</v>
      </c>
      <c r="G102" s="10">
        <f t="shared" si="4"/>
        <v>0.6787277058</v>
      </c>
      <c r="H102" s="2" t="str">
        <f t="shared" si="5"/>
        <v/>
      </c>
      <c r="J102" s="10">
        <f>'Precinct Vote Data'!H382</f>
        <v>0.6767068273</v>
      </c>
      <c r="K102" s="10">
        <f>'Precinct Vote Data'!H383</f>
        <v>0.6593567251</v>
      </c>
      <c r="L102" s="10">
        <f>'Precinct Vote Data'!H384</f>
        <v>0.7032520325</v>
      </c>
      <c r="M102" s="10">
        <f>'Precinct Vote Data'!H385</f>
        <v>0.6755952381</v>
      </c>
      <c r="N102" s="15">
        <f t="shared" si="6"/>
        <v>1.783771919</v>
      </c>
      <c r="O102" s="5">
        <f t="shared" si="7"/>
        <v>324</v>
      </c>
      <c r="Q102" s="5" t="str">
        <f t="shared" si="8"/>
        <v>Lehigh|ALLENTOWN|460</v>
      </c>
    </row>
    <row r="103" ht="15.0" customHeight="1">
      <c r="A103" s="5" t="s">
        <v>143</v>
      </c>
      <c r="B103" s="5" t="s">
        <v>145</v>
      </c>
      <c r="C103" s="5" t="s">
        <v>148</v>
      </c>
      <c r="D103" s="15">
        <f t="shared" si="1"/>
        <v>0.4263526455</v>
      </c>
      <c r="E103" s="15">
        <f t="shared" si="2"/>
        <v>0.1501635383</v>
      </c>
      <c r="F103" s="15">
        <f t="shared" si="3"/>
        <v>0.5736473545</v>
      </c>
      <c r="G103" s="10">
        <f t="shared" si="4"/>
        <v>0.6433815525</v>
      </c>
      <c r="H103" s="2" t="str">
        <f t="shared" si="5"/>
        <v/>
      </c>
      <c r="J103" s="10">
        <f>'Precinct Vote Data'!H386</f>
        <v>0.6507666099</v>
      </c>
      <c r="K103" s="10">
        <f>'Precinct Vote Data'!H387</f>
        <v>0.6166883963</v>
      </c>
      <c r="L103" s="10">
        <f>'Precinct Vote Data'!H388</f>
        <v>0.6591639871</v>
      </c>
      <c r="M103" s="10">
        <f>'Precinct Vote Data'!H389</f>
        <v>0.6469072165</v>
      </c>
      <c r="N103" s="15">
        <f t="shared" si="6"/>
        <v>1.423483816</v>
      </c>
      <c r="O103" s="5">
        <f t="shared" si="7"/>
        <v>272</v>
      </c>
      <c r="Q103" s="5" t="str">
        <f t="shared" si="8"/>
        <v>Lehigh|ALLENTOWN|470</v>
      </c>
    </row>
    <row r="104" ht="15.0" customHeight="1">
      <c r="A104" s="5" t="s">
        <v>143</v>
      </c>
      <c r="B104" s="5" t="s">
        <v>145</v>
      </c>
      <c r="C104" s="5" t="s">
        <v>149</v>
      </c>
      <c r="D104" s="15">
        <f t="shared" si="1"/>
        <v>0.1485442006</v>
      </c>
      <c r="E104" s="15">
        <f t="shared" si="2"/>
        <v>0.04463116925</v>
      </c>
      <c r="F104" s="15">
        <f t="shared" si="3"/>
        <v>0.8514557994</v>
      </c>
      <c r="G104" s="10">
        <f t="shared" si="4"/>
        <v>0.637838398</v>
      </c>
      <c r="H104" s="2" t="str">
        <f t="shared" si="5"/>
        <v/>
      </c>
      <c r="J104" s="10">
        <f>'Precinct Vote Data'!H390</f>
        <v>0.6384615385</v>
      </c>
      <c r="K104" s="10">
        <f>'Precinct Vote Data'!H391</f>
        <v>0.6223067174</v>
      </c>
      <c r="L104" s="10">
        <f>'Precinct Vote Data'!H392</f>
        <v>0.6510948905</v>
      </c>
      <c r="M104" s="10">
        <f>'Precinct Vote Data'!H393</f>
        <v>0.6394904459</v>
      </c>
      <c r="N104" s="15">
        <f t="shared" si="6"/>
        <v>1.80682463</v>
      </c>
      <c r="O104" s="5">
        <f t="shared" si="7"/>
        <v>328</v>
      </c>
      <c r="Q104" s="5" t="str">
        <f t="shared" si="8"/>
        <v>Lehigh|ALLENTOWN|480</v>
      </c>
    </row>
    <row r="105" ht="15.0" customHeight="1">
      <c r="A105" s="5" t="s">
        <v>143</v>
      </c>
      <c r="B105" s="5" t="s">
        <v>145</v>
      </c>
      <c r="C105" s="5" t="s">
        <v>150</v>
      </c>
      <c r="D105" s="15">
        <f t="shared" si="1"/>
        <v>1.033353767</v>
      </c>
      <c r="E105" s="15">
        <f t="shared" si="2"/>
        <v>0.494515687</v>
      </c>
      <c r="F105" s="15">
        <f t="shared" si="3"/>
        <v>0.03335376707</v>
      </c>
      <c r="G105" s="10">
        <f t="shared" si="4"/>
        <v>0.6884473547</v>
      </c>
      <c r="H105" s="2" t="str">
        <f t="shared" si="5"/>
        <v/>
      </c>
      <c r="J105" s="10">
        <f>'Precinct Vote Data'!H394</f>
        <v>0.7044247788</v>
      </c>
      <c r="K105" s="10">
        <f>'Precinct Vote Data'!H395</f>
        <v>0.6768617021</v>
      </c>
      <c r="L105" s="10">
        <f>'Precinct Vote Data'!H396</f>
        <v>0.7130434783</v>
      </c>
      <c r="M105" s="10">
        <f>'Precinct Vote Data'!H397</f>
        <v>0.6594594595</v>
      </c>
      <c r="N105" s="15">
        <f t="shared" si="6"/>
        <v>0.53883808</v>
      </c>
      <c r="O105" s="5">
        <f t="shared" si="7"/>
        <v>90</v>
      </c>
      <c r="Q105" s="5" t="str">
        <f t="shared" si="8"/>
        <v>Lehigh|ALLENTOWN|500</v>
      </c>
    </row>
    <row r="106" ht="15.0" customHeight="1">
      <c r="A106" s="5" t="s">
        <v>143</v>
      </c>
      <c r="B106" s="5" t="s">
        <v>145</v>
      </c>
      <c r="C106" s="5" t="s">
        <v>151</v>
      </c>
      <c r="D106" s="15">
        <f t="shared" si="1"/>
        <v>2.977350399</v>
      </c>
      <c r="E106" s="15">
        <f t="shared" si="2"/>
        <v>0.7212605364</v>
      </c>
      <c r="F106" s="15">
        <f t="shared" si="3"/>
        <v>1.977350399</v>
      </c>
      <c r="G106" s="10">
        <f t="shared" si="4"/>
        <v>0.6089399323</v>
      </c>
      <c r="H106" s="2" t="str">
        <f t="shared" si="5"/>
        <v/>
      </c>
      <c r="J106" s="10">
        <f>'Precinct Vote Data'!H398</f>
        <v>0.6850393701</v>
      </c>
      <c r="K106" s="10">
        <f>'Precinct Vote Data'!H399</f>
        <v>0.6230636833</v>
      </c>
      <c r="L106" s="10">
        <f>'Precinct Vote Data'!H400</f>
        <v>0.5776566757</v>
      </c>
      <c r="M106" s="10">
        <f>'Precinct Vote Data'!H401</f>
        <v>0.55</v>
      </c>
      <c r="N106" s="15">
        <f t="shared" si="6"/>
        <v>2.256089863</v>
      </c>
      <c r="O106" s="5">
        <f t="shared" si="7"/>
        <v>381</v>
      </c>
      <c r="Q106" s="5" t="str">
        <f t="shared" si="8"/>
        <v>Lehigh|ALLENTOWN|520</v>
      </c>
    </row>
    <row r="107" ht="15.0" customHeight="1">
      <c r="A107" s="5" t="s">
        <v>143</v>
      </c>
      <c r="B107" s="5" t="s">
        <v>145</v>
      </c>
      <c r="C107" s="5" t="s">
        <v>152</v>
      </c>
      <c r="D107" s="15">
        <f t="shared" si="1"/>
        <v>2.196153393</v>
      </c>
      <c r="E107" s="15">
        <f t="shared" si="2"/>
        <v>0.6795419291</v>
      </c>
      <c r="F107" s="15">
        <f t="shared" si="3"/>
        <v>1.196153393</v>
      </c>
      <c r="G107" s="10">
        <f t="shared" si="4"/>
        <v>0.6992614209</v>
      </c>
      <c r="H107" s="2" t="str">
        <f t="shared" si="5"/>
        <v/>
      </c>
      <c r="J107" s="10">
        <f>'Precinct Vote Data'!H402</f>
        <v>0.7473363775</v>
      </c>
      <c r="K107" s="10">
        <f>'Precinct Vote Data'!H403</f>
        <v>0.7119170984</v>
      </c>
      <c r="L107" s="10">
        <f>'Precinct Vote Data'!H404</f>
        <v>0.6981818182</v>
      </c>
      <c r="M107" s="10">
        <f>'Precinct Vote Data'!H405</f>
        <v>0.6396103896</v>
      </c>
      <c r="N107" s="15">
        <f t="shared" si="6"/>
        <v>1.516611464</v>
      </c>
      <c r="O107" s="5">
        <f t="shared" si="7"/>
        <v>280</v>
      </c>
      <c r="Q107" s="5" t="str">
        <f t="shared" si="8"/>
        <v>Lehigh|ALLENTOWN|530</v>
      </c>
    </row>
    <row r="108" ht="15.0" customHeight="1">
      <c r="A108" s="5" t="s">
        <v>143</v>
      </c>
      <c r="B108" s="5" t="s">
        <v>145</v>
      </c>
      <c r="C108" s="5" t="s">
        <v>153</v>
      </c>
      <c r="D108" s="15">
        <f t="shared" si="1"/>
        <v>1.125935815</v>
      </c>
      <c r="E108" s="15">
        <f t="shared" si="2"/>
        <v>0.9534127685</v>
      </c>
      <c r="F108" s="15">
        <f t="shared" si="3"/>
        <v>0.1259358149</v>
      </c>
      <c r="G108" s="10">
        <f t="shared" si="4"/>
        <v>0.6008913155</v>
      </c>
      <c r="H108" s="2" t="str">
        <f t="shared" si="5"/>
        <v>YES</v>
      </c>
      <c r="J108" s="10">
        <f>'Precinct Vote Data'!H406</f>
        <v>0.6273584906</v>
      </c>
      <c r="K108" s="10">
        <f>'Precinct Vote Data'!H407</f>
        <v>0.5847457627</v>
      </c>
      <c r="L108" s="10">
        <f>'Precinct Vote Data'!H408</f>
        <v>0.6033254157</v>
      </c>
      <c r="M108" s="10">
        <f>'Precinct Vote Data'!H409</f>
        <v>0.5881355932</v>
      </c>
      <c r="N108" s="15">
        <f t="shared" si="6"/>
        <v>0.1725230465</v>
      </c>
      <c r="O108" s="5">
        <f t="shared" si="7"/>
        <v>7</v>
      </c>
      <c r="Q108" s="5" t="str">
        <f t="shared" si="8"/>
        <v>Lehigh|ALLENTOWN|540</v>
      </c>
    </row>
    <row r="109" ht="15.0" customHeight="1">
      <c r="A109" s="5" t="s">
        <v>143</v>
      </c>
      <c r="B109" s="5" t="s">
        <v>145</v>
      </c>
      <c r="C109" s="5" t="s">
        <v>154</v>
      </c>
      <c r="D109" s="15">
        <f t="shared" si="1"/>
        <v>1.852463852</v>
      </c>
      <c r="E109" s="15">
        <f t="shared" si="2"/>
        <v>0.6789508636</v>
      </c>
      <c r="F109" s="15">
        <f t="shared" si="3"/>
        <v>0.8524638524</v>
      </c>
      <c r="G109" s="10">
        <f t="shared" si="4"/>
        <v>0.6814394714</v>
      </c>
      <c r="H109" s="2" t="str">
        <f t="shared" si="5"/>
        <v/>
      </c>
      <c r="J109" s="10">
        <f>'Precinct Vote Data'!H410</f>
        <v>0.7201946472</v>
      </c>
      <c r="K109" s="10">
        <f>'Precinct Vote Data'!H411</f>
        <v>0.6895640687</v>
      </c>
      <c r="L109" s="10">
        <f>'Precinct Vote Data'!H412</f>
        <v>0.6865284974</v>
      </c>
      <c r="M109" s="10">
        <f>'Precinct Vote Data'!H413</f>
        <v>0.6294706724</v>
      </c>
      <c r="N109" s="15">
        <f t="shared" si="6"/>
        <v>1.173512989</v>
      </c>
      <c r="O109" s="5">
        <f t="shared" si="7"/>
        <v>224</v>
      </c>
      <c r="Q109" s="5" t="str">
        <f t="shared" si="8"/>
        <v>Lehigh|ALLENTOWN|550</v>
      </c>
    </row>
    <row r="110" ht="15.0" customHeight="1">
      <c r="A110" s="5" t="s">
        <v>143</v>
      </c>
      <c r="B110" s="5" t="s">
        <v>145</v>
      </c>
      <c r="C110" s="5" t="s">
        <v>155</v>
      </c>
      <c r="D110" s="15">
        <f t="shared" si="1"/>
        <v>0.2337112424</v>
      </c>
      <c r="E110" s="15">
        <f t="shared" si="2"/>
        <v>0.09149732765</v>
      </c>
      <c r="F110" s="15">
        <f t="shared" si="3"/>
        <v>0.7662887576</v>
      </c>
      <c r="G110" s="10">
        <f t="shared" si="4"/>
        <v>0.588895763</v>
      </c>
      <c r="H110" s="2" t="str">
        <f t="shared" si="5"/>
        <v/>
      </c>
      <c r="J110" s="10">
        <f>'Precinct Vote Data'!H414</f>
        <v>0.5986949429</v>
      </c>
      <c r="K110" s="10">
        <f>'Precinct Vote Data'!H415</f>
        <v>0.5746753247</v>
      </c>
      <c r="L110" s="10">
        <f>'Precinct Vote Data'!H416</f>
        <v>0.5811258278</v>
      </c>
      <c r="M110" s="10">
        <f>'Precinct Vote Data'!H417</f>
        <v>0.6010869565</v>
      </c>
      <c r="N110" s="15">
        <f t="shared" si="6"/>
        <v>1.67479143</v>
      </c>
      <c r="O110" s="5">
        <f t="shared" si="7"/>
        <v>309</v>
      </c>
      <c r="Q110" s="5" t="str">
        <f t="shared" si="8"/>
        <v>Lehigh|ALLENTOWN|560</v>
      </c>
    </row>
    <row r="111" ht="15.0" customHeight="1">
      <c r="A111" s="5" t="s">
        <v>143</v>
      </c>
      <c r="B111" s="5" t="s">
        <v>145</v>
      </c>
      <c r="C111" s="5" t="s">
        <v>156</v>
      </c>
      <c r="D111" s="15">
        <f t="shared" si="1"/>
        <v>2.046972392</v>
      </c>
      <c r="E111" s="15">
        <f t="shared" si="2"/>
        <v>0.6488905175</v>
      </c>
      <c r="F111" s="15">
        <f t="shared" si="3"/>
        <v>1.046972392</v>
      </c>
      <c r="G111" s="10">
        <f t="shared" si="4"/>
        <v>0.6638336731</v>
      </c>
      <c r="H111" s="2" t="str">
        <f t="shared" si="5"/>
        <v/>
      </c>
      <c r="J111" s="10">
        <f>'Precinct Vote Data'!H418</f>
        <v>0.716152019</v>
      </c>
      <c r="K111" s="10">
        <f>'Precinct Vote Data'!H419</f>
        <v>0.6793002915</v>
      </c>
      <c r="L111" s="10">
        <f>'Precinct Vote Data'!H420</f>
        <v>0.6402597403</v>
      </c>
      <c r="M111" s="10">
        <f>'Precinct Vote Data'!H421</f>
        <v>0.6196226415</v>
      </c>
      <c r="N111" s="15">
        <f t="shared" si="6"/>
        <v>1.398081875</v>
      </c>
      <c r="O111" s="5">
        <f t="shared" si="7"/>
        <v>262</v>
      </c>
      <c r="Q111" s="5" t="str">
        <f t="shared" si="8"/>
        <v>Lehigh|ALLENTOWN|570</v>
      </c>
    </row>
    <row r="112" ht="15.0" customHeight="1">
      <c r="A112" s="5" t="s">
        <v>143</v>
      </c>
      <c r="B112" s="5" t="s">
        <v>157</v>
      </c>
      <c r="C112" s="5" t="s">
        <v>158</v>
      </c>
      <c r="D112" s="15">
        <f t="shared" si="1"/>
        <v>1.200668915</v>
      </c>
      <c r="E112" s="15">
        <f t="shared" si="2"/>
        <v>0.733792358</v>
      </c>
      <c r="F112" s="15">
        <f t="shared" si="3"/>
        <v>0.2006689146</v>
      </c>
      <c r="G112" s="10">
        <f t="shared" si="4"/>
        <v>0.7309047186</v>
      </c>
      <c r="H112" s="2" t="str">
        <f t="shared" si="5"/>
        <v/>
      </c>
      <c r="J112" s="10">
        <f>'Precinct Vote Data'!H422</f>
        <v>0.7535460993</v>
      </c>
      <c r="K112" s="10">
        <f>'Precinct Vote Data'!H423</f>
        <v>0.7205346294</v>
      </c>
      <c r="L112" s="10">
        <f>'Precinct Vote Data'!H424</f>
        <v>0.746835443</v>
      </c>
      <c r="M112" s="10">
        <f>'Precinct Vote Data'!H425</f>
        <v>0.7027027027</v>
      </c>
      <c r="N112" s="15">
        <f t="shared" si="6"/>
        <v>0.4668765566</v>
      </c>
      <c r="O112" s="5">
        <f t="shared" si="7"/>
        <v>68</v>
      </c>
      <c r="Q112" s="5" t="str">
        <f t="shared" si="8"/>
        <v>Lehigh|BETHLEHEM|580</v>
      </c>
    </row>
    <row r="113" ht="15.0" customHeight="1">
      <c r="A113" s="5" t="s">
        <v>143</v>
      </c>
      <c r="B113" s="5" t="s">
        <v>157</v>
      </c>
      <c r="C113" s="5" t="s">
        <v>159</v>
      </c>
      <c r="D113" s="15">
        <f t="shared" si="1"/>
        <v>2.598827837</v>
      </c>
      <c r="E113" s="15">
        <f t="shared" si="2"/>
        <v>0.9543268014</v>
      </c>
      <c r="F113" s="15">
        <f t="shared" si="3"/>
        <v>1.598827837</v>
      </c>
      <c r="G113" s="10">
        <f t="shared" si="4"/>
        <v>0.6937406128</v>
      </c>
      <c r="H113" s="2" t="str">
        <f t="shared" si="5"/>
        <v/>
      </c>
      <c r="J113" s="10">
        <f>'Precinct Vote Data'!H426</f>
        <v>0.7540603248</v>
      </c>
      <c r="K113" s="10">
        <f>'Precinct Vote Data'!H427</f>
        <v>0.6571428571</v>
      </c>
      <c r="L113" s="10">
        <f>'Precinct Vote Data'!H428</f>
        <v>0.7012987013</v>
      </c>
      <c r="M113" s="10">
        <f>'Precinct Vote Data'!H429</f>
        <v>0.6624605678</v>
      </c>
      <c r="N113" s="15">
        <f t="shared" si="6"/>
        <v>1.644501036</v>
      </c>
      <c r="O113" s="5">
        <f t="shared" si="7"/>
        <v>304</v>
      </c>
      <c r="Q113" s="5" t="str">
        <f t="shared" si="8"/>
        <v>Lehigh|BETHLEHEM|590</v>
      </c>
    </row>
    <row r="114" ht="15.0" customHeight="1">
      <c r="A114" s="5" t="s">
        <v>143</v>
      </c>
      <c r="B114" s="5" t="s">
        <v>157</v>
      </c>
      <c r="C114" s="5" t="s">
        <v>160</v>
      </c>
      <c r="D114" s="15">
        <f t="shared" si="1"/>
        <v>1.130296786</v>
      </c>
      <c r="E114" s="15">
        <f t="shared" si="2"/>
        <v>0.637912853</v>
      </c>
      <c r="F114" s="15">
        <f t="shared" si="3"/>
        <v>0.1302967861</v>
      </c>
      <c r="G114" s="10">
        <f t="shared" si="4"/>
        <v>0.7284913543</v>
      </c>
      <c r="H114" s="2" t="str">
        <f t="shared" si="5"/>
        <v/>
      </c>
      <c r="J114" s="10">
        <f>'Precinct Vote Data'!H430</f>
        <v>0.7505720824</v>
      </c>
      <c r="K114" s="10">
        <f>'Precinct Vote Data'!H431</f>
        <v>0.7030995106</v>
      </c>
      <c r="L114" s="10">
        <f>'Precinct Vote Data'!H432</f>
        <v>0.7469387755</v>
      </c>
      <c r="M114" s="10">
        <f>'Precinct Vote Data'!H433</f>
        <v>0.7133550489</v>
      </c>
      <c r="N114" s="15">
        <f t="shared" si="6"/>
        <v>0.4923839331</v>
      </c>
      <c r="O114" s="5">
        <f t="shared" si="7"/>
        <v>75</v>
      </c>
      <c r="Q114" s="5" t="str">
        <f t="shared" si="8"/>
        <v>Lehigh|BETHLEHEM|600</v>
      </c>
    </row>
    <row r="115" ht="15.0" customHeight="1">
      <c r="A115" s="5" t="s">
        <v>143</v>
      </c>
      <c r="B115" s="5" t="s">
        <v>157</v>
      </c>
      <c r="C115" s="5" t="s">
        <v>161</v>
      </c>
      <c r="D115" s="15">
        <f t="shared" si="1"/>
        <v>1.434650233</v>
      </c>
      <c r="E115" s="15">
        <f t="shared" si="2"/>
        <v>0.9001279946</v>
      </c>
      <c r="F115" s="15">
        <f t="shared" si="3"/>
        <v>0.4346502328</v>
      </c>
      <c r="G115" s="10">
        <f t="shared" si="4"/>
        <v>0.7031335357</v>
      </c>
      <c r="H115" s="2" t="str">
        <f t="shared" si="5"/>
        <v/>
      </c>
      <c r="J115" s="10">
        <f>'Precinct Vote Data'!H434</f>
        <v>0.7336065574</v>
      </c>
      <c r="K115" s="10">
        <f>'Precinct Vote Data'!H435</f>
        <v>0.6857562408</v>
      </c>
      <c r="L115" s="10">
        <f>'Precinct Vote Data'!H436</f>
        <v>0.7142857143</v>
      </c>
      <c r="M115" s="10">
        <f>'Precinct Vote Data'!H437</f>
        <v>0.6788856305</v>
      </c>
      <c r="N115" s="15">
        <f t="shared" si="6"/>
        <v>0.5345222382</v>
      </c>
      <c r="O115" s="5">
        <f t="shared" si="7"/>
        <v>89</v>
      </c>
      <c r="Q115" s="5" t="str">
        <f t="shared" si="8"/>
        <v>Lehigh|BETHLEHEM|610</v>
      </c>
    </row>
    <row r="116" ht="15.0" customHeight="1">
      <c r="A116" s="5" t="s">
        <v>143</v>
      </c>
      <c r="B116" s="5" t="s">
        <v>157</v>
      </c>
      <c r="C116" s="5" t="s">
        <v>162</v>
      </c>
      <c r="D116" s="15">
        <f t="shared" si="1"/>
        <v>0.8091937489</v>
      </c>
      <c r="E116" s="15">
        <f t="shared" si="2"/>
        <v>0.9179072109</v>
      </c>
      <c r="F116" s="15">
        <f t="shared" si="3"/>
        <v>0.1908062511</v>
      </c>
      <c r="G116" s="10">
        <f t="shared" si="4"/>
        <v>0.6671417794</v>
      </c>
      <c r="H116" s="2" t="str">
        <f t="shared" si="5"/>
        <v>YES</v>
      </c>
      <c r="J116" s="10">
        <f>'Precinct Vote Data'!H438</f>
        <v>0.6884422111</v>
      </c>
      <c r="K116" s="10">
        <f>'Precinct Vote Data'!H439</f>
        <v>0.6598860862</v>
      </c>
      <c r="L116" s="10">
        <f>'Precinct Vote Data'!H440</f>
        <v>0.6608796296</v>
      </c>
      <c r="M116" s="10">
        <f>'Precinct Vote Data'!H441</f>
        <v>0.6593591906</v>
      </c>
      <c r="N116" s="15">
        <f t="shared" si="6"/>
        <v>0.2728990402</v>
      </c>
      <c r="O116" s="5">
        <f t="shared" si="7"/>
        <v>23</v>
      </c>
      <c r="Q116" s="5" t="str">
        <f t="shared" si="8"/>
        <v>Lehigh|BETHLEHEM|620</v>
      </c>
    </row>
    <row r="117" ht="15.0" customHeight="1">
      <c r="A117" s="5" t="s">
        <v>143</v>
      </c>
      <c r="B117" s="5" t="s">
        <v>157</v>
      </c>
      <c r="C117" s="5" t="s">
        <v>163</v>
      </c>
      <c r="D117" s="15">
        <f t="shared" si="1"/>
        <v>1.300815412</v>
      </c>
      <c r="E117" s="15">
        <f t="shared" si="2"/>
        <v>0.8888835422</v>
      </c>
      <c r="F117" s="15">
        <f t="shared" si="3"/>
        <v>0.3008154121</v>
      </c>
      <c r="G117" s="10">
        <f t="shared" si="4"/>
        <v>0.6343977543</v>
      </c>
      <c r="H117" s="2" t="str">
        <f t="shared" si="5"/>
        <v/>
      </c>
      <c r="J117" s="10">
        <f>'Precinct Vote Data'!H442</f>
        <v>0.6618962433</v>
      </c>
      <c r="K117" s="10">
        <f>'Precinct Vote Data'!H443</f>
        <v>0.617866005</v>
      </c>
      <c r="L117" s="10">
        <f>'Precinct Vote Data'!H444</f>
        <v>0.6451612903</v>
      </c>
      <c r="M117" s="10">
        <f>'Precinct Vote Data'!H445</f>
        <v>0.6126674787</v>
      </c>
      <c r="N117" s="15">
        <f t="shared" si="6"/>
        <v>0.41193187</v>
      </c>
      <c r="O117" s="5">
        <f t="shared" si="7"/>
        <v>57</v>
      </c>
      <c r="Q117" s="5" t="str">
        <f t="shared" si="8"/>
        <v>Lehigh|BETHLEHEM|630</v>
      </c>
    </row>
    <row r="118" ht="15.0" customHeight="1">
      <c r="A118" s="5" t="s">
        <v>143</v>
      </c>
      <c r="B118" s="5" t="s">
        <v>157</v>
      </c>
      <c r="C118" s="5" t="s">
        <v>164</v>
      </c>
      <c r="D118" s="15">
        <f t="shared" si="1"/>
        <v>0.135848732</v>
      </c>
      <c r="E118" s="15">
        <f t="shared" si="2"/>
        <v>0.01640304714</v>
      </c>
      <c r="F118" s="15">
        <f t="shared" si="3"/>
        <v>0.864151268</v>
      </c>
      <c r="G118" s="10">
        <f t="shared" si="4"/>
        <v>0.5996533465</v>
      </c>
      <c r="H118" s="2" t="str">
        <f t="shared" si="5"/>
        <v/>
      </c>
      <c r="J118" s="10">
        <f>'Precinct Vote Data'!H446</f>
        <v>0.5976676385</v>
      </c>
      <c r="K118" s="10">
        <f>'Precinct Vote Data'!H447</f>
        <v>0.5780795344</v>
      </c>
      <c r="L118" s="10">
        <f>'Precinct Vote Data'!H448</f>
        <v>0.621657754</v>
      </c>
      <c r="M118" s="10">
        <f>'Precinct Vote Data'!H449</f>
        <v>0.6012084592</v>
      </c>
      <c r="N118" s="15">
        <f t="shared" si="6"/>
        <v>1.847748221</v>
      </c>
      <c r="O118" s="5">
        <f t="shared" si="7"/>
        <v>333</v>
      </c>
      <c r="Q118" s="5" t="str">
        <f t="shared" si="8"/>
        <v>Lehigh|BETHLEHEM|640</v>
      </c>
    </row>
    <row r="119" ht="15.0" customHeight="1">
      <c r="A119" s="5" t="s">
        <v>143</v>
      </c>
      <c r="B119" s="5" t="s">
        <v>157</v>
      </c>
      <c r="C119" s="5" t="s">
        <v>165</v>
      </c>
      <c r="D119" s="15">
        <f t="shared" si="1"/>
        <v>0.8662468905</v>
      </c>
      <c r="E119" s="15">
        <f t="shared" si="2"/>
        <v>0.42285402</v>
      </c>
      <c r="F119" s="15">
        <f t="shared" si="3"/>
        <v>0.1337531095</v>
      </c>
      <c r="G119" s="10">
        <f t="shared" si="4"/>
        <v>0.6125010883</v>
      </c>
      <c r="H119" s="2" t="str">
        <f t="shared" si="5"/>
        <v/>
      </c>
      <c r="J119" s="10">
        <f>'Precinct Vote Data'!H450</f>
        <v>0.6271820449</v>
      </c>
      <c r="K119" s="10">
        <f>'Precinct Vote Data'!H451</f>
        <v>0.5872146119</v>
      </c>
      <c r="L119" s="10">
        <f>'Precinct Vote Data'!H452</f>
        <v>0.6350762527</v>
      </c>
      <c r="M119" s="10">
        <f>'Precinct Vote Data'!H453</f>
        <v>0.6005314438</v>
      </c>
      <c r="N119" s="15">
        <f t="shared" si="6"/>
        <v>0.7108990895</v>
      </c>
      <c r="O119" s="5">
        <f t="shared" si="7"/>
        <v>133</v>
      </c>
      <c r="Q119" s="5" t="str">
        <f t="shared" si="8"/>
        <v>Lehigh|BETHLEHEM|650</v>
      </c>
    </row>
    <row r="120" ht="15.0" customHeight="1">
      <c r="A120" s="5" t="s">
        <v>143</v>
      </c>
      <c r="B120" s="5" t="s">
        <v>157</v>
      </c>
      <c r="C120" s="5" t="s">
        <v>166</v>
      </c>
      <c r="D120" s="15">
        <f t="shared" si="1"/>
        <v>1.738077231</v>
      </c>
      <c r="E120" s="15">
        <f t="shared" si="2"/>
        <v>0.9833850731</v>
      </c>
      <c r="F120" s="15">
        <f t="shared" si="3"/>
        <v>0.738077231</v>
      </c>
      <c r="G120" s="10">
        <f t="shared" si="4"/>
        <v>0.6411495126</v>
      </c>
      <c r="H120" s="2" t="str">
        <f t="shared" si="5"/>
        <v/>
      </c>
      <c r="J120" s="10">
        <f>'Precinct Vote Data'!H454</f>
        <v>0.6836065574</v>
      </c>
      <c r="K120" s="10">
        <f>'Precinct Vote Data'!H455</f>
        <v>0.6297169811</v>
      </c>
      <c r="L120" s="10">
        <f>'Precinct Vote Data'!H456</f>
        <v>0.6355283308</v>
      </c>
      <c r="M120" s="10">
        <f>'Precinct Vote Data'!H457</f>
        <v>0.615746181</v>
      </c>
      <c r="N120" s="15">
        <f t="shared" si="6"/>
        <v>0.7546921579</v>
      </c>
      <c r="O120" s="5">
        <f t="shared" si="7"/>
        <v>148</v>
      </c>
      <c r="Q120" s="5" t="str">
        <f t="shared" si="8"/>
        <v>Lehigh|BETHLEHEM|660</v>
      </c>
    </row>
    <row r="121" ht="15.0" customHeight="1">
      <c r="A121" s="5" t="s">
        <v>143</v>
      </c>
      <c r="B121" s="5" t="s">
        <v>157</v>
      </c>
      <c r="C121" s="5" t="s">
        <v>167</v>
      </c>
      <c r="D121" s="15">
        <f t="shared" si="1"/>
        <v>1.147101238</v>
      </c>
      <c r="E121" s="15">
        <f t="shared" si="2"/>
        <v>0.9285633299</v>
      </c>
      <c r="F121" s="15">
        <f t="shared" si="3"/>
        <v>0.147101238</v>
      </c>
      <c r="G121" s="10">
        <f t="shared" si="4"/>
        <v>0.5689571466</v>
      </c>
      <c r="H121" s="2" t="str">
        <f t="shared" si="5"/>
        <v>YES</v>
      </c>
      <c r="J121" s="10">
        <f>'Precinct Vote Data'!H458</f>
        <v>0.5979591837</v>
      </c>
      <c r="K121" s="10">
        <f>'Precinct Vote Data'!H459</f>
        <v>0.552742616</v>
      </c>
      <c r="L121" s="10">
        <f>'Precinct Vote Data'!H460</f>
        <v>0.5655877342</v>
      </c>
      <c r="M121" s="10">
        <f>'Precinct Vote Data'!H461</f>
        <v>0.5595390525</v>
      </c>
      <c r="N121" s="15">
        <f t="shared" si="6"/>
        <v>0.218537908</v>
      </c>
      <c r="O121" s="5">
        <f t="shared" si="7"/>
        <v>14</v>
      </c>
      <c r="Q121" s="5" t="str">
        <f t="shared" si="8"/>
        <v>Lehigh|BETHLEHEM|670</v>
      </c>
    </row>
    <row r="122" ht="15.0" customHeight="1">
      <c r="A122" s="5" t="s">
        <v>143</v>
      </c>
      <c r="B122" s="5" t="s">
        <v>157</v>
      </c>
      <c r="C122" s="5" t="s">
        <v>168</v>
      </c>
      <c r="D122" s="15">
        <f t="shared" si="1"/>
        <v>0.8223700825</v>
      </c>
      <c r="E122" s="15">
        <f t="shared" si="2"/>
        <v>0.8521374918</v>
      </c>
      <c r="F122" s="15">
        <f t="shared" si="3"/>
        <v>0.1776299175</v>
      </c>
      <c r="G122" s="10">
        <f t="shared" si="4"/>
        <v>0.6451488617</v>
      </c>
      <c r="H122" s="2" t="str">
        <f t="shared" si="5"/>
        <v/>
      </c>
      <c r="J122" s="10">
        <f>'Precinct Vote Data'!H462</f>
        <v>0.6619469027</v>
      </c>
      <c r="K122" s="10">
        <f>'Precinct Vote Data'!H463</f>
        <v>0.6360544218</v>
      </c>
      <c r="L122" s="10">
        <f>'Precinct Vote Data'!H464</f>
        <v>0.653125</v>
      </c>
      <c r="M122" s="10">
        <f>'Precinct Vote Data'!H465</f>
        <v>0.6294691224</v>
      </c>
      <c r="N122" s="15">
        <f t="shared" si="6"/>
        <v>0.3254924258</v>
      </c>
      <c r="O122" s="5">
        <f t="shared" si="7"/>
        <v>31</v>
      </c>
      <c r="Q122" s="5" t="str">
        <f t="shared" si="8"/>
        <v>Lehigh|BETHLEHEM|680</v>
      </c>
    </row>
    <row r="123" ht="15.0" customHeight="1">
      <c r="A123" s="5" t="s">
        <v>143</v>
      </c>
      <c r="B123" s="5" t="s">
        <v>157</v>
      </c>
      <c r="C123" s="5" t="s">
        <v>169</v>
      </c>
      <c r="D123" s="15">
        <f t="shared" si="1"/>
        <v>0.3790380688</v>
      </c>
      <c r="E123" s="15">
        <f t="shared" si="2"/>
        <v>0.3294197523</v>
      </c>
      <c r="F123" s="15">
        <f t="shared" si="3"/>
        <v>0.6209619312</v>
      </c>
      <c r="G123" s="10">
        <f t="shared" si="4"/>
        <v>0.6025079285</v>
      </c>
      <c r="H123" s="2" t="str">
        <f t="shared" si="5"/>
        <v/>
      </c>
      <c r="J123" s="10">
        <f>'Precinct Vote Data'!H466</f>
        <v>0.6101398601</v>
      </c>
      <c r="K123" s="10">
        <f>'Precinct Vote Data'!H467</f>
        <v>0.5868131868</v>
      </c>
      <c r="L123" s="10">
        <f>'Precinct Vote Data'!H468</f>
        <v>0.6106321839</v>
      </c>
      <c r="M123" s="10">
        <f>'Precinct Vote Data'!H469</f>
        <v>0.6024464832</v>
      </c>
      <c r="N123" s="15">
        <f t="shared" si="6"/>
        <v>1.291542179</v>
      </c>
      <c r="O123" s="5">
        <f t="shared" si="7"/>
        <v>251</v>
      </c>
      <c r="Q123" s="5" t="str">
        <f t="shared" si="8"/>
        <v>Lehigh|BETHLEHEM|690</v>
      </c>
    </row>
    <row r="124" ht="15.0" customHeight="1">
      <c r="A124" s="5" t="s">
        <v>143</v>
      </c>
      <c r="B124" s="5" t="s">
        <v>170</v>
      </c>
      <c r="C124" s="5" t="s">
        <v>171</v>
      </c>
      <c r="D124" s="15">
        <f t="shared" si="1"/>
        <v>2.325077165</v>
      </c>
      <c r="E124" s="15">
        <f t="shared" si="2"/>
        <v>0.9899283749</v>
      </c>
      <c r="F124" s="15">
        <f t="shared" si="3"/>
        <v>1.325077165</v>
      </c>
      <c r="G124" s="10">
        <f t="shared" si="4"/>
        <v>0.5865901402</v>
      </c>
      <c r="H124" s="2" t="str">
        <f t="shared" si="5"/>
        <v/>
      </c>
      <c r="J124" s="10">
        <f>'Precinct Vote Data'!H470</f>
        <v>0.6422628952</v>
      </c>
      <c r="K124" s="10">
        <f>'Precinct Vote Data'!H471</f>
        <v>0.5706914345</v>
      </c>
      <c r="L124" s="10">
        <f>'Precinct Vote Data'!H472</f>
        <v>0.5824665676</v>
      </c>
      <c r="M124" s="10">
        <f>'Precinct Vote Data'!H473</f>
        <v>0.5509396637</v>
      </c>
      <c r="N124" s="15">
        <f t="shared" si="6"/>
        <v>1.33514879</v>
      </c>
      <c r="O124" s="5">
        <f t="shared" si="7"/>
        <v>256</v>
      </c>
      <c r="Q124" s="5" t="str">
        <f t="shared" si="8"/>
        <v>Lehigh|CATASAUQUA|700</v>
      </c>
    </row>
    <row r="125" ht="15.0" customHeight="1">
      <c r="A125" s="5" t="s">
        <v>143</v>
      </c>
      <c r="B125" s="5" t="s">
        <v>170</v>
      </c>
      <c r="C125" s="5" t="s">
        <v>172</v>
      </c>
      <c r="D125" s="15">
        <f t="shared" si="1"/>
        <v>1.019583019</v>
      </c>
      <c r="E125" s="15">
        <f t="shared" si="2"/>
        <v>0.8587290802</v>
      </c>
      <c r="F125" s="15">
        <f t="shared" si="3"/>
        <v>0.01958301927</v>
      </c>
      <c r="G125" s="10">
        <f t="shared" si="4"/>
        <v>0.491568679</v>
      </c>
      <c r="H125" s="2" t="str">
        <f t="shared" si="5"/>
        <v>YES</v>
      </c>
      <c r="J125" s="10">
        <f>'Precinct Vote Data'!H474</f>
        <v>0.5132192846</v>
      </c>
      <c r="K125" s="10">
        <f>'Precinct Vote Data'!H475</f>
        <v>0.4757751938</v>
      </c>
      <c r="L125" s="10">
        <f>'Precinct Vote Data'!H476</f>
        <v>0.5007496252</v>
      </c>
      <c r="M125" s="10">
        <f>'Precinct Vote Data'!H477</f>
        <v>0.4765306122</v>
      </c>
      <c r="N125" s="15">
        <f t="shared" si="6"/>
        <v>0.160853939</v>
      </c>
      <c r="O125" s="5">
        <f t="shared" si="7"/>
        <v>6</v>
      </c>
      <c r="Q125" s="5" t="str">
        <f t="shared" si="8"/>
        <v>Lehigh|CATASAUQUA|710</v>
      </c>
    </row>
    <row r="126" ht="15.0" customHeight="1">
      <c r="A126" s="5" t="s">
        <v>143</v>
      </c>
      <c r="B126" s="5" t="s">
        <v>170</v>
      </c>
      <c r="C126" s="5" t="s">
        <v>173</v>
      </c>
      <c r="D126" s="15">
        <f t="shared" si="1"/>
        <v>2.403561494</v>
      </c>
      <c r="E126" s="15">
        <f t="shared" si="2"/>
        <v>0.9683401185</v>
      </c>
      <c r="F126" s="15">
        <f t="shared" si="3"/>
        <v>1.403561494</v>
      </c>
      <c r="G126" s="10">
        <f t="shared" si="4"/>
        <v>0.5315002026</v>
      </c>
      <c r="H126" s="2" t="str">
        <f t="shared" si="5"/>
        <v/>
      </c>
      <c r="J126" s="10">
        <f>'Precinct Vote Data'!H478</f>
        <v>0.5896358543</v>
      </c>
      <c r="K126" s="10">
        <f>'Precinct Vote Data'!H479</f>
        <v>0.4995357474</v>
      </c>
      <c r="L126" s="10">
        <f>'Precinct Vote Data'!H480</f>
        <v>0.5311688312</v>
      </c>
      <c r="M126" s="10">
        <f>'Precinct Vote Data'!H481</f>
        <v>0.5056603774</v>
      </c>
      <c r="N126" s="15">
        <f t="shared" si="6"/>
        <v>1.435221376</v>
      </c>
      <c r="O126" s="5">
        <f t="shared" si="7"/>
        <v>274</v>
      </c>
      <c r="Q126" s="5" t="str">
        <f t="shared" si="8"/>
        <v>Lehigh|CATASAUQUA|720</v>
      </c>
    </row>
    <row r="127" ht="15.0" customHeight="1">
      <c r="A127" s="5" t="s">
        <v>143</v>
      </c>
      <c r="B127" s="5" t="s">
        <v>174</v>
      </c>
      <c r="C127" s="5" t="s">
        <v>175</v>
      </c>
      <c r="D127" s="15">
        <f t="shared" si="1"/>
        <v>1.657758017</v>
      </c>
      <c r="E127" s="15">
        <f t="shared" si="2"/>
        <v>0.8826208741</v>
      </c>
      <c r="F127" s="15">
        <f t="shared" si="3"/>
        <v>0.6577580169</v>
      </c>
      <c r="G127" s="10">
        <f t="shared" si="4"/>
        <v>0.4982130098</v>
      </c>
      <c r="H127" s="2" t="str">
        <f t="shared" si="5"/>
        <v/>
      </c>
      <c r="J127" s="10">
        <f>'Precinct Vote Data'!H482</f>
        <v>0.5349322211</v>
      </c>
      <c r="K127" s="10">
        <f>'Precinct Vote Data'!H483</f>
        <v>0.47090301</v>
      </c>
      <c r="L127" s="10">
        <f>'Precinct Vote Data'!H484</f>
        <v>0.5094339623</v>
      </c>
      <c r="M127" s="10">
        <f>'Precinct Vote Data'!H485</f>
        <v>0.477582846</v>
      </c>
      <c r="N127" s="15">
        <f t="shared" si="6"/>
        <v>0.7751371429</v>
      </c>
      <c r="O127" s="5">
        <f t="shared" si="7"/>
        <v>151</v>
      </c>
      <c r="Q127" s="5" t="str">
        <f t="shared" si="8"/>
        <v>Lehigh|COOPERSBURG|730</v>
      </c>
    </row>
    <row r="128" ht="15.0" customHeight="1">
      <c r="A128" s="5" t="s">
        <v>143</v>
      </c>
      <c r="B128" s="5" t="s">
        <v>176</v>
      </c>
      <c r="C128" s="5" t="s">
        <v>177</v>
      </c>
      <c r="D128" s="15">
        <f t="shared" si="1"/>
        <v>2.066422962</v>
      </c>
      <c r="E128" s="15">
        <f t="shared" si="2"/>
        <v>0.9742980679</v>
      </c>
      <c r="F128" s="15">
        <f t="shared" si="3"/>
        <v>1.066422962</v>
      </c>
      <c r="G128" s="10">
        <f t="shared" si="4"/>
        <v>0.5200666876</v>
      </c>
      <c r="H128" s="2" t="str">
        <f t="shared" si="5"/>
        <v/>
      </c>
      <c r="J128" s="10">
        <f>'Precinct Vote Data'!H486</f>
        <v>0.5678294574</v>
      </c>
      <c r="K128" s="10">
        <f>'Precinct Vote Data'!H487</f>
        <v>0.4942675159</v>
      </c>
      <c r="L128" s="10">
        <f>'Precinct Vote Data'!H488</f>
        <v>0.5254545455</v>
      </c>
      <c r="M128" s="10">
        <f>'Precinct Vote Data'!H489</f>
        <v>0.4927152318</v>
      </c>
      <c r="N128" s="15">
        <f t="shared" si="6"/>
        <v>1.092124894</v>
      </c>
      <c r="O128" s="5">
        <f t="shared" si="7"/>
        <v>208</v>
      </c>
      <c r="Q128" s="5" t="str">
        <f t="shared" si="8"/>
        <v>Lehigh|COPLAY|740</v>
      </c>
    </row>
    <row r="129" ht="15.0" customHeight="1">
      <c r="A129" s="5" t="s">
        <v>143</v>
      </c>
      <c r="B129" s="5" t="s">
        <v>176</v>
      </c>
      <c r="C129" s="5" t="s">
        <v>178</v>
      </c>
      <c r="D129" s="15">
        <f t="shared" si="1"/>
        <v>1.377754512</v>
      </c>
      <c r="E129" s="15">
        <f t="shared" si="2"/>
        <v>0.8963211082</v>
      </c>
      <c r="F129" s="15">
        <f t="shared" si="3"/>
        <v>0.3777545116</v>
      </c>
      <c r="G129" s="10">
        <f t="shared" si="4"/>
        <v>0.527410438</v>
      </c>
      <c r="H129" s="2" t="str">
        <f t="shared" si="5"/>
        <v/>
      </c>
      <c r="J129" s="10">
        <f>'Precinct Vote Data'!H490</f>
        <v>0.5569044006</v>
      </c>
      <c r="K129" s="10">
        <f>'Precinct Vote Data'!H491</f>
        <v>0.5088265836</v>
      </c>
      <c r="L129" s="10">
        <f>'Precinct Vote Data'!H492</f>
        <v>0.5381526104</v>
      </c>
      <c r="M129" s="10">
        <f>'Precinct Vote Data'!H493</f>
        <v>0.5057581574</v>
      </c>
      <c r="N129" s="15">
        <f t="shared" si="6"/>
        <v>0.4814334033</v>
      </c>
      <c r="O129" s="5">
        <f t="shared" si="7"/>
        <v>70</v>
      </c>
      <c r="Q129" s="5" t="str">
        <f t="shared" si="8"/>
        <v>Lehigh|COPLAY|750</v>
      </c>
    </row>
    <row r="130" ht="15.0" customHeight="1">
      <c r="A130" s="5" t="s">
        <v>143</v>
      </c>
      <c r="B130" s="5" t="s">
        <v>179</v>
      </c>
      <c r="C130" s="5" t="s">
        <v>180</v>
      </c>
      <c r="D130" s="15">
        <f t="shared" si="1"/>
        <v>0.9481412051</v>
      </c>
      <c r="E130" s="15">
        <f t="shared" si="2"/>
        <v>0.8282391373</v>
      </c>
      <c r="F130" s="15">
        <f t="shared" si="3"/>
        <v>0.05185879485</v>
      </c>
      <c r="G130" s="10">
        <f t="shared" si="4"/>
        <v>0.553015312</v>
      </c>
      <c r="H130" s="2" t="str">
        <f t="shared" si="5"/>
        <v>YES</v>
      </c>
      <c r="J130" s="10">
        <f>'Precinct Vote Data'!H494</f>
        <v>0.573313783</v>
      </c>
      <c r="K130" s="10">
        <f>'Precinct Vote Data'!H495</f>
        <v>0.5518234165</v>
      </c>
      <c r="L130" s="10">
        <f>'Precinct Vote Data'!H496</f>
        <v>0.5562347188</v>
      </c>
      <c r="M130" s="10">
        <f>'Precinct Vote Data'!H497</f>
        <v>0.5306893296</v>
      </c>
      <c r="N130" s="15">
        <f t="shared" si="6"/>
        <v>0.2236196576</v>
      </c>
      <c r="O130" s="5">
        <f t="shared" si="7"/>
        <v>15</v>
      </c>
      <c r="Q130" s="5" t="str">
        <f t="shared" si="8"/>
        <v>Lehigh|EMMAUS|760</v>
      </c>
    </row>
    <row r="131" ht="15.0" customHeight="1">
      <c r="A131" s="5" t="s">
        <v>143</v>
      </c>
      <c r="B131" s="5" t="s">
        <v>179</v>
      </c>
      <c r="C131" s="5" t="s">
        <v>181</v>
      </c>
      <c r="D131" s="15">
        <f t="shared" si="1"/>
        <v>0.3649914645</v>
      </c>
      <c r="E131" s="15">
        <f t="shared" si="2"/>
        <v>0.2237687351</v>
      </c>
      <c r="F131" s="15">
        <f t="shared" si="3"/>
        <v>0.6350085355</v>
      </c>
      <c r="G131" s="10">
        <f t="shared" si="4"/>
        <v>0.5383887213</v>
      </c>
      <c r="H131" s="2" t="str">
        <f t="shared" si="5"/>
        <v/>
      </c>
      <c r="J131" s="10">
        <f>'Precinct Vote Data'!H498</f>
        <v>0.5416666667</v>
      </c>
      <c r="K131" s="10">
        <f>'Precinct Vote Data'!H499</f>
        <v>0.5300970874</v>
      </c>
      <c r="L131" s="10">
        <f>'Precinct Vote Data'!H500</f>
        <v>0.5552795031</v>
      </c>
      <c r="M131" s="10">
        <f>'Precinct Vote Data'!H501</f>
        <v>0.5265116279</v>
      </c>
      <c r="N131" s="15">
        <f t="shared" si="6"/>
        <v>1.4112398</v>
      </c>
      <c r="O131" s="5">
        <f t="shared" si="7"/>
        <v>268</v>
      </c>
      <c r="Q131" s="5" t="str">
        <f t="shared" si="8"/>
        <v>Lehigh|EMMAUS|770</v>
      </c>
    </row>
    <row r="132" ht="15.0" customHeight="1">
      <c r="A132" s="5" t="s">
        <v>143</v>
      </c>
      <c r="B132" s="5" t="s">
        <v>179</v>
      </c>
      <c r="C132" s="5" t="s">
        <v>182</v>
      </c>
      <c r="D132" s="15">
        <f t="shared" si="1"/>
        <v>0.2067835216</v>
      </c>
      <c r="E132" s="15">
        <f t="shared" si="2"/>
        <v>0.04175187961</v>
      </c>
      <c r="F132" s="15">
        <f t="shared" si="3"/>
        <v>0.7932164784</v>
      </c>
      <c r="G132" s="10">
        <f t="shared" si="4"/>
        <v>0.5011972373</v>
      </c>
      <c r="H132" s="2" t="str">
        <f t="shared" si="5"/>
        <v/>
      </c>
      <c r="J132" s="10">
        <f>'Precinct Vote Data'!H502</f>
        <v>0.5034562212</v>
      </c>
      <c r="K132" s="10">
        <f>'Precinct Vote Data'!H503</f>
        <v>0.4770158252</v>
      </c>
      <c r="L132" s="10">
        <f>'Precinct Vote Data'!H504</f>
        <v>0.5166340509</v>
      </c>
      <c r="M132" s="10">
        <f>'Precinct Vote Data'!H505</f>
        <v>0.5076828519</v>
      </c>
      <c r="N132" s="15">
        <f t="shared" si="6"/>
        <v>1.751464599</v>
      </c>
      <c r="O132" s="5">
        <f t="shared" si="7"/>
        <v>319</v>
      </c>
      <c r="Q132" s="5" t="str">
        <f t="shared" si="8"/>
        <v>Lehigh|EMMAUS|780</v>
      </c>
    </row>
    <row r="133" ht="15.0" customHeight="1">
      <c r="A133" s="5" t="s">
        <v>143</v>
      </c>
      <c r="B133" s="5" t="s">
        <v>179</v>
      </c>
      <c r="C133" s="5" t="s">
        <v>183</v>
      </c>
      <c r="D133" s="15">
        <f t="shared" si="1"/>
        <v>1.314637981</v>
      </c>
      <c r="E133" s="15">
        <f t="shared" si="2"/>
        <v>0.7637247355</v>
      </c>
      <c r="F133" s="15">
        <f t="shared" si="3"/>
        <v>0.3146379807</v>
      </c>
      <c r="G133" s="10">
        <f t="shared" si="4"/>
        <v>0.570006486</v>
      </c>
      <c r="H133" s="2" t="str">
        <f t="shared" si="5"/>
        <v/>
      </c>
      <c r="J133" s="10">
        <f>'Precinct Vote Data'!H506</f>
        <v>0.5953038674</v>
      </c>
      <c r="K133" s="10">
        <f>'Precinct Vote Data'!H507</f>
        <v>0.5558272209</v>
      </c>
      <c r="L133" s="10">
        <f>'Precinct Vote Data'!H508</f>
        <v>0.5870307167</v>
      </c>
      <c r="M133" s="10">
        <f>'Precinct Vote Data'!H509</f>
        <v>0.541864139</v>
      </c>
      <c r="N133" s="15">
        <f t="shared" si="6"/>
        <v>0.5509132452</v>
      </c>
      <c r="O133" s="5">
        <f t="shared" si="7"/>
        <v>94</v>
      </c>
      <c r="Q133" s="5" t="str">
        <f t="shared" si="8"/>
        <v>Lehigh|EMMAUS|790</v>
      </c>
    </row>
    <row r="134" ht="15.0" customHeight="1">
      <c r="A134" s="5" t="s">
        <v>143</v>
      </c>
      <c r="B134" s="5" t="s">
        <v>179</v>
      </c>
      <c r="C134" s="5" t="s">
        <v>184</v>
      </c>
      <c r="D134" s="15">
        <f t="shared" si="1"/>
        <v>0.9509008488</v>
      </c>
      <c r="E134" s="15">
        <f t="shared" si="2"/>
        <v>0.5910067276</v>
      </c>
      <c r="F134" s="15">
        <f t="shared" si="3"/>
        <v>0.04909915116</v>
      </c>
      <c r="G134" s="10">
        <f t="shared" si="4"/>
        <v>0.51161911</v>
      </c>
      <c r="H134" s="2" t="str">
        <f t="shared" si="5"/>
        <v/>
      </c>
      <c r="J134" s="10">
        <f>'Precinct Vote Data'!H510</f>
        <v>0.5285714286</v>
      </c>
      <c r="K134" s="10">
        <f>'Precinct Vote Data'!H511</f>
        <v>0.4931714719</v>
      </c>
      <c r="L134" s="10">
        <f>'Precinct Vote Data'!H512</f>
        <v>0.5306859206</v>
      </c>
      <c r="M134" s="10">
        <f>'Precinct Vote Data'!H513</f>
        <v>0.494047619</v>
      </c>
      <c r="N134" s="15">
        <f t="shared" si="6"/>
        <v>0.4580924236</v>
      </c>
      <c r="O134" s="5">
        <f t="shared" si="7"/>
        <v>66</v>
      </c>
      <c r="Q134" s="5" t="str">
        <f t="shared" si="8"/>
        <v>Lehigh|EMMAUS|800</v>
      </c>
    </row>
    <row r="135" ht="15.0" customHeight="1">
      <c r="A135" s="5" t="s">
        <v>143</v>
      </c>
      <c r="B135" s="5" t="s">
        <v>179</v>
      </c>
      <c r="C135" s="5" t="s">
        <v>185</v>
      </c>
      <c r="D135" s="15">
        <f t="shared" si="1"/>
        <v>0.6051574607</v>
      </c>
      <c r="E135" s="15">
        <f t="shared" si="2"/>
        <v>0.1590942441</v>
      </c>
      <c r="F135" s="15">
        <f t="shared" si="3"/>
        <v>0.3948425393</v>
      </c>
      <c r="G135" s="10">
        <f t="shared" si="4"/>
        <v>0.5700974255</v>
      </c>
      <c r="H135" s="2" t="str">
        <f t="shared" si="5"/>
        <v/>
      </c>
      <c r="J135" s="10">
        <f>'Precinct Vote Data'!H514</f>
        <v>0.5812154696</v>
      </c>
      <c r="K135" s="10">
        <f>'Precinct Vote Data'!H515</f>
        <v>0.5328836425</v>
      </c>
      <c r="L135" s="10">
        <f>'Precinct Vote Data'!H516</f>
        <v>0.5904572565</v>
      </c>
      <c r="M135" s="10">
        <f>'Precinct Vote Data'!H517</f>
        <v>0.5758333333</v>
      </c>
      <c r="N135" s="15">
        <f t="shared" si="6"/>
        <v>1.235748295</v>
      </c>
      <c r="O135" s="5">
        <f t="shared" si="7"/>
        <v>241</v>
      </c>
      <c r="Q135" s="5" t="str">
        <f t="shared" si="8"/>
        <v>Lehigh|EMMAUS|810</v>
      </c>
    </row>
    <row r="136" ht="15.0" customHeight="1">
      <c r="A136" s="5" t="s">
        <v>143</v>
      </c>
      <c r="B136" s="5" t="s">
        <v>186</v>
      </c>
      <c r="C136" s="5" t="s">
        <v>187</v>
      </c>
      <c r="D136" s="15">
        <f t="shared" si="1"/>
        <v>1.532411159</v>
      </c>
      <c r="E136" s="15">
        <f t="shared" si="2"/>
        <v>0.7054068058</v>
      </c>
      <c r="F136" s="15">
        <f t="shared" si="3"/>
        <v>0.5324111592</v>
      </c>
      <c r="G136" s="10">
        <f t="shared" si="4"/>
        <v>0.7048913043</v>
      </c>
      <c r="H136" s="2" t="str">
        <f t="shared" si="5"/>
        <v/>
      </c>
      <c r="J136" s="10">
        <f>'Precinct Vote Data'!H518</f>
        <v>0.733686067</v>
      </c>
      <c r="K136" s="10">
        <f>'Precinct Vote Data'!H519</f>
        <v>0.6978335234</v>
      </c>
      <c r="L136" s="10">
        <f>'Precinct Vote Data'!H520</f>
        <v>0.7232924694</v>
      </c>
      <c r="M136" s="10">
        <f>'Precinct Vote Data'!H521</f>
        <v>0.6647531573</v>
      </c>
      <c r="N136" s="15">
        <f t="shared" si="6"/>
        <v>0.8270043534</v>
      </c>
      <c r="O136" s="5">
        <f t="shared" si="7"/>
        <v>162</v>
      </c>
      <c r="Q136" s="5" t="str">
        <f t="shared" si="8"/>
        <v>Lehigh|FOUNTAIN HILL|820</v>
      </c>
    </row>
    <row r="137" ht="15.0" customHeight="1">
      <c r="A137" s="5" t="s">
        <v>143</v>
      </c>
      <c r="B137" s="5" t="s">
        <v>186</v>
      </c>
      <c r="C137" s="5" t="s">
        <v>188</v>
      </c>
      <c r="D137" s="15">
        <f t="shared" si="1"/>
        <v>0.9002391117</v>
      </c>
      <c r="E137" s="15">
        <f t="shared" si="2"/>
        <v>0.7130384617</v>
      </c>
      <c r="F137" s="15">
        <f t="shared" si="3"/>
        <v>0.09976088829</v>
      </c>
      <c r="G137" s="10">
        <f t="shared" si="4"/>
        <v>0.6477372028</v>
      </c>
      <c r="H137" s="2" t="str">
        <f t="shared" si="5"/>
        <v/>
      </c>
      <c r="J137" s="10">
        <f>'Precinct Vote Data'!H522</f>
        <v>0.6693386774</v>
      </c>
      <c r="K137" s="10">
        <f>'Precinct Vote Data'!H523</f>
        <v>0.6528803545</v>
      </c>
      <c r="L137" s="10">
        <f>'Precinct Vote Data'!H524</f>
        <v>0.6419491525</v>
      </c>
      <c r="M137" s="10">
        <f>'Precinct Vote Data'!H525</f>
        <v>0.6267806268</v>
      </c>
      <c r="N137" s="15">
        <f t="shared" si="6"/>
        <v>0.3867224266</v>
      </c>
      <c r="O137" s="5">
        <f t="shared" si="7"/>
        <v>51</v>
      </c>
      <c r="Q137" s="5" t="str">
        <f t="shared" si="8"/>
        <v>Lehigh|FOUNTAIN HILL|830</v>
      </c>
    </row>
    <row r="138" ht="15.0" customHeight="1">
      <c r="A138" s="5" t="s">
        <v>143</v>
      </c>
      <c r="B138" s="5" t="s">
        <v>186</v>
      </c>
      <c r="C138" s="5" t="s">
        <v>189</v>
      </c>
      <c r="D138" s="15">
        <f t="shared" si="1"/>
        <v>1.420712392</v>
      </c>
      <c r="E138" s="15">
        <f t="shared" si="2"/>
        <v>0.5281182387</v>
      </c>
      <c r="F138" s="15">
        <f t="shared" si="3"/>
        <v>0.4207123921</v>
      </c>
      <c r="G138" s="10">
        <f t="shared" si="4"/>
        <v>0.6666368468</v>
      </c>
      <c r="H138" s="2" t="str">
        <f t="shared" si="5"/>
        <v/>
      </c>
      <c r="J138" s="10">
        <f>'Precinct Vote Data'!H526</f>
        <v>0.6898734177</v>
      </c>
      <c r="K138" s="10">
        <f>'Precinct Vote Data'!H527</f>
        <v>0.6430722892</v>
      </c>
      <c r="L138" s="10">
        <f>'Precinct Vote Data'!H528</f>
        <v>0.6996047431</v>
      </c>
      <c r="M138" s="10">
        <f>'Precinct Vote Data'!H529</f>
        <v>0.6339969372</v>
      </c>
      <c r="N138" s="15">
        <f t="shared" si="6"/>
        <v>0.8925941533</v>
      </c>
      <c r="O138" s="5">
        <f t="shared" si="7"/>
        <v>172</v>
      </c>
      <c r="Q138" s="5" t="str">
        <f t="shared" si="8"/>
        <v>Lehigh|FOUNTAIN HILL|840</v>
      </c>
    </row>
    <row r="139" ht="15.0" customHeight="1">
      <c r="A139" s="5" t="s">
        <v>143</v>
      </c>
      <c r="B139" s="5" t="s">
        <v>190</v>
      </c>
      <c r="C139" s="5" t="s">
        <v>191</v>
      </c>
      <c r="D139" s="15">
        <f t="shared" si="1"/>
        <v>1.351082554</v>
      </c>
      <c r="E139" s="15">
        <f t="shared" si="2"/>
        <v>0.7614989699</v>
      </c>
      <c r="F139" s="15">
        <f t="shared" si="3"/>
        <v>0.3510825544</v>
      </c>
      <c r="G139" s="10">
        <f t="shared" si="4"/>
        <v>0.5660929014</v>
      </c>
      <c r="H139" s="2" t="str">
        <f t="shared" si="5"/>
        <v/>
      </c>
      <c r="J139" s="10">
        <f>'Precinct Vote Data'!H530</f>
        <v>0.5975609756</v>
      </c>
      <c r="K139" s="10">
        <f>'Precinct Vote Data'!H531</f>
        <v>0.5712270804</v>
      </c>
      <c r="L139" s="10">
        <f>'Precinct Vote Data'!H532</f>
        <v>0.5610278373</v>
      </c>
      <c r="M139" s="10">
        <f>'Precinct Vote Data'!H533</f>
        <v>0.5345557123</v>
      </c>
      <c r="N139" s="15">
        <f t="shared" si="6"/>
        <v>0.5895835845</v>
      </c>
      <c r="O139" s="5">
        <f t="shared" si="7"/>
        <v>101</v>
      </c>
      <c r="Q139" s="5" t="str">
        <f t="shared" si="8"/>
        <v>Lehigh|HANOVER|850</v>
      </c>
    </row>
    <row r="140" ht="15.0" customHeight="1">
      <c r="A140" s="5" t="s">
        <v>143</v>
      </c>
      <c r="B140" s="5" t="s">
        <v>192</v>
      </c>
      <c r="C140" s="5" t="s">
        <v>193</v>
      </c>
      <c r="D140" s="15">
        <f t="shared" si="1"/>
        <v>1.412454271</v>
      </c>
      <c r="E140" s="15">
        <f t="shared" si="2"/>
        <v>0.9638135479</v>
      </c>
      <c r="F140" s="15">
        <f t="shared" si="3"/>
        <v>0.4124542714</v>
      </c>
      <c r="G140" s="10">
        <f t="shared" si="4"/>
        <v>0.3293912402</v>
      </c>
      <c r="H140" s="2" t="str">
        <f t="shared" si="5"/>
        <v/>
      </c>
      <c r="J140" s="10">
        <f>'Precinct Vote Data'!H534</f>
        <v>0.3624454148</v>
      </c>
      <c r="K140" s="10">
        <f>'Precinct Vote Data'!H535</f>
        <v>0.3101494075</v>
      </c>
      <c r="L140" s="10">
        <f>'Precinct Vote Data'!H536</f>
        <v>0.3325</v>
      </c>
      <c r="M140" s="10">
        <f>'Precinct Vote Data'!H537</f>
        <v>0.3124701386</v>
      </c>
      <c r="N140" s="15">
        <f t="shared" si="6"/>
        <v>0.4486407235</v>
      </c>
      <c r="O140" s="5">
        <f t="shared" si="7"/>
        <v>61</v>
      </c>
      <c r="Q140" s="5" t="str">
        <f t="shared" si="8"/>
        <v>Lehigh|HEIDELBERG|860</v>
      </c>
    </row>
    <row r="141" ht="15.0" customHeight="1">
      <c r="A141" s="5" t="s">
        <v>143</v>
      </c>
      <c r="B141" s="5" t="s">
        <v>194</v>
      </c>
      <c r="C141" s="5" t="s">
        <v>195</v>
      </c>
      <c r="D141" s="15">
        <f t="shared" si="1"/>
        <v>0.2045066366</v>
      </c>
      <c r="E141" s="15">
        <f t="shared" si="2"/>
        <v>0.08098880313</v>
      </c>
      <c r="F141" s="15">
        <f t="shared" si="3"/>
        <v>0.7954933634</v>
      </c>
      <c r="G141" s="10">
        <f t="shared" si="4"/>
        <v>0.5035297008</v>
      </c>
      <c r="H141" s="2" t="str">
        <f t="shared" si="5"/>
        <v/>
      </c>
      <c r="J141" s="10">
        <f>'Precinct Vote Data'!H538</f>
        <v>0.5031806616</v>
      </c>
      <c r="K141" s="10">
        <f>'Precinct Vote Data'!H539</f>
        <v>0.4945553539</v>
      </c>
      <c r="L141" s="10">
        <f>'Precinct Vote Data'!H540</f>
        <v>0.5207345972</v>
      </c>
      <c r="M141" s="10">
        <f>'Precinct Vote Data'!H541</f>
        <v>0.4956481906</v>
      </c>
      <c r="N141" s="15">
        <f t="shared" si="6"/>
        <v>1.71450456</v>
      </c>
      <c r="O141" s="5">
        <f t="shared" si="7"/>
        <v>313</v>
      </c>
      <c r="Q141" s="5" t="str">
        <f t="shared" si="8"/>
        <v>Lehigh|LOWER MACUNGIE|870</v>
      </c>
    </row>
    <row r="142" ht="15.0" customHeight="1">
      <c r="A142" s="5" t="s">
        <v>143</v>
      </c>
      <c r="B142" s="5" t="s">
        <v>194</v>
      </c>
      <c r="C142" s="5" t="s">
        <v>196</v>
      </c>
      <c r="D142" s="15">
        <f t="shared" si="1"/>
        <v>0.2763543993</v>
      </c>
      <c r="E142" s="15">
        <f t="shared" si="2"/>
        <v>0.241294435</v>
      </c>
      <c r="F142" s="15">
        <f t="shared" si="3"/>
        <v>0.7236456007</v>
      </c>
      <c r="G142" s="10">
        <f t="shared" si="4"/>
        <v>0.5038933099</v>
      </c>
      <c r="H142" s="2" t="str">
        <f t="shared" si="5"/>
        <v/>
      </c>
      <c r="J142" s="10">
        <f>'Precinct Vote Data'!H542</f>
        <v>0.5071752266</v>
      </c>
      <c r="K142" s="10">
        <f>'Precinct Vote Data'!H543</f>
        <v>0.4943181818</v>
      </c>
      <c r="L142" s="10">
        <f>'Precinct Vote Data'!H544</f>
        <v>0.5156037992</v>
      </c>
      <c r="M142" s="10">
        <f>'Precinct Vote Data'!H545</f>
        <v>0.4984760321</v>
      </c>
      <c r="N142" s="15">
        <f t="shared" si="6"/>
        <v>1.482351166</v>
      </c>
      <c r="O142" s="5">
        <f t="shared" si="7"/>
        <v>276</v>
      </c>
      <c r="Q142" s="5" t="str">
        <f t="shared" si="8"/>
        <v>Lehigh|LOWER MACUNGIE|880</v>
      </c>
    </row>
    <row r="143" ht="15.0" customHeight="1">
      <c r="A143" s="5" t="s">
        <v>143</v>
      </c>
      <c r="B143" s="5" t="s">
        <v>194</v>
      </c>
      <c r="C143" s="5" t="s">
        <v>197</v>
      </c>
      <c r="D143" s="15">
        <f t="shared" si="1"/>
        <v>0.6793062594</v>
      </c>
      <c r="E143" s="15">
        <f t="shared" si="2"/>
        <v>0.5539923972</v>
      </c>
      <c r="F143" s="15">
        <f t="shared" si="3"/>
        <v>0.3206937406</v>
      </c>
      <c r="G143" s="10">
        <f t="shared" si="4"/>
        <v>0.4932928478</v>
      </c>
      <c r="H143" s="2" t="str">
        <f t="shared" si="5"/>
        <v/>
      </c>
      <c r="J143" s="10">
        <f>'Precinct Vote Data'!H546</f>
        <v>0.5050583658</v>
      </c>
      <c r="K143" s="10">
        <f>'Precinct Vote Data'!H547</f>
        <v>0.4796883695</v>
      </c>
      <c r="L143" s="10">
        <f>'Precinct Vote Data'!H548</f>
        <v>0.5080428954</v>
      </c>
      <c r="M143" s="10">
        <f>'Precinct Vote Data'!H549</f>
        <v>0.4803817603</v>
      </c>
      <c r="N143" s="15">
        <f t="shared" si="6"/>
        <v>0.7667013434</v>
      </c>
      <c r="O143" s="5">
        <f t="shared" si="7"/>
        <v>150</v>
      </c>
      <c r="Q143" s="5" t="str">
        <f t="shared" si="8"/>
        <v>Lehigh|LOWER MACUNGIE|890</v>
      </c>
    </row>
    <row r="144" ht="15.0" customHeight="1">
      <c r="A144" s="5" t="s">
        <v>143</v>
      </c>
      <c r="B144" s="5" t="s">
        <v>194</v>
      </c>
      <c r="C144" s="5" t="s">
        <v>198</v>
      </c>
      <c r="D144" s="15">
        <f t="shared" si="1"/>
        <v>0.7645955611</v>
      </c>
      <c r="E144" s="15">
        <f t="shared" si="2"/>
        <v>0.6856458635</v>
      </c>
      <c r="F144" s="15">
        <f t="shared" si="3"/>
        <v>0.2354044389</v>
      </c>
      <c r="G144" s="10">
        <f t="shared" si="4"/>
        <v>0.4945122944</v>
      </c>
      <c r="H144" s="2" t="str">
        <f t="shared" si="5"/>
        <v/>
      </c>
      <c r="J144" s="10">
        <f>'Precinct Vote Data'!H550</f>
        <v>0.5094488189</v>
      </c>
      <c r="K144" s="10">
        <f>'Precinct Vote Data'!H551</f>
        <v>0.4793340987</v>
      </c>
      <c r="L144" s="10">
        <f>'Precinct Vote Data'!H552</f>
        <v>0.5062730627</v>
      </c>
      <c r="M144" s="10">
        <f>'Precinct Vote Data'!H553</f>
        <v>0.4829931973</v>
      </c>
      <c r="N144" s="15">
        <f t="shared" si="6"/>
        <v>0.5497585754</v>
      </c>
      <c r="O144" s="5">
        <f t="shared" si="7"/>
        <v>92</v>
      </c>
      <c r="Q144" s="5" t="str">
        <f t="shared" si="8"/>
        <v>Lehigh|LOWER MACUNGIE|900</v>
      </c>
    </row>
    <row r="145" ht="15.0" customHeight="1">
      <c r="A145" s="5" t="s">
        <v>143</v>
      </c>
      <c r="B145" s="5" t="s">
        <v>194</v>
      </c>
      <c r="C145" s="5" t="s">
        <v>199</v>
      </c>
      <c r="D145" s="15">
        <f t="shared" si="1"/>
        <v>-0.2854071762</v>
      </c>
      <c r="E145" s="15">
        <f t="shared" si="2"/>
        <v>0.08509671495</v>
      </c>
      <c r="F145" s="15">
        <f t="shared" si="3"/>
        <v>1.285407176</v>
      </c>
      <c r="G145" s="10">
        <f t="shared" si="4"/>
        <v>0.5033681868</v>
      </c>
      <c r="H145" s="2" t="str">
        <f t="shared" si="5"/>
        <v/>
      </c>
      <c r="J145" s="10">
        <f>'Precinct Vote Data'!H554</f>
        <v>0.4930232558</v>
      </c>
      <c r="K145" s="10">
        <f>'Precinct Vote Data'!H555</f>
        <v>0.4860703812</v>
      </c>
      <c r="L145" s="10">
        <f>'Precinct Vote Data'!H556</f>
        <v>0.5207296849</v>
      </c>
      <c r="M145" s="10">
        <f>'Precinct Vote Data'!H557</f>
        <v>0.5136494253</v>
      </c>
      <c r="N145" s="15">
        <f t="shared" si="6"/>
        <v>2.200310461</v>
      </c>
      <c r="O145" s="5">
        <f t="shared" si="7"/>
        <v>376</v>
      </c>
      <c r="Q145" s="5" t="str">
        <f t="shared" si="8"/>
        <v>Lehigh|LOWER MACUNGIE|910</v>
      </c>
    </row>
    <row r="146" ht="15.0" customHeight="1">
      <c r="A146" s="5" t="s">
        <v>143</v>
      </c>
      <c r="B146" s="5" t="s">
        <v>194</v>
      </c>
      <c r="C146" s="5" t="s">
        <v>200</v>
      </c>
      <c r="D146" s="15">
        <f t="shared" si="1"/>
        <v>1.997278723</v>
      </c>
      <c r="E146" s="15">
        <f t="shared" si="2"/>
        <v>0.9213256937</v>
      </c>
      <c r="F146" s="15">
        <f t="shared" si="3"/>
        <v>0.9972787227</v>
      </c>
      <c r="G146" s="10">
        <f t="shared" si="4"/>
        <v>0.5212096865</v>
      </c>
      <c r="H146" s="2" t="str">
        <f t="shared" si="5"/>
        <v/>
      </c>
      <c r="J146" s="10">
        <f>'Precinct Vote Data'!H558</f>
        <v>0.5642176108</v>
      </c>
      <c r="K146" s="10">
        <f>'Precinct Vote Data'!H559</f>
        <v>0.5065766086</v>
      </c>
      <c r="L146" s="10">
        <f>'Precinct Vote Data'!H560</f>
        <v>0.5316455696</v>
      </c>
      <c r="M146" s="10">
        <f>'Precinct Vote Data'!H561</f>
        <v>0.482398957</v>
      </c>
      <c r="N146" s="15">
        <f t="shared" si="6"/>
        <v>1.075953029</v>
      </c>
      <c r="O146" s="5">
        <f t="shared" si="7"/>
        <v>203</v>
      </c>
      <c r="Q146" s="5" t="str">
        <f t="shared" si="8"/>
        <v>Lehigh|LOWER MACUNGIE|920</v>
      </c>
    </row>
    <row r="147" ht="15.0" customHeight="1">
      <c r="A147" s="5" t="s">
        <v>143</v>
      </c>
      <c r="B147" s="5" t="s">
        <v>194</v>
      </c>
      <c r="C147" s="5" t="s">
        <v>201</v>
      </c>
      <c r="D147" s="15">
        <f t="shared" si="1"/>
        <v>0.1169792857</v>
      </c>
      <c r="E147" s="15">
        <f t="shared" si="2"/>
        <v>0.01084160422</v>
      </c>
      <c r="F147" s="15">
        <f t="shared" si="3"/>
        <v>0.8830207143</v>
      </c>
      <c r="G147" s="10">
        <f t="shared" si="4"/>
        <v>0.5358484023</v>
      </c>
      <c r="H147" s="2" t="str">
        <f t="shared" si="5"/>
        <v/>
      </c>
      <c r="J147" s="10">
        <f>'Precinct Vote Data'!H562</f>
        <v>0.5309584394</v>
      </c>
      <c r="K147" s="10">
        <f>'Precinct Vote Data'!H563</f>
        <v>0.5192878338</v>
      </c>
      <c r="L147" s="10">
        <f>'Precinct Vote Data'!H564</f>
        <v>0.5630699088</v>
      </c>
      <c r="M147" s="10">
        <f>'Precinct Vote Data'!H565</f>
        <v>0.530077427</v>
      </c>
      <c r="N147" s="15">
        <f t="shared" si="6"/>
        <v>1.87217911</v>
      </c>
      <c r="O147" s="5">
        <f t="shared" si="7"/>
        <v>334</v>
      </c>
      <c r="Q147" s="5" t="str">
        <f t="shared" si="8"/>
        <v>Lehigh|LOWER MACUNGIE|922</v>
      </c>
    </row>
    <row r="148" ht="15.0" customHeight="1">
      <c r="A148" s="5" t="s">
        <v>143</v>
      </c>
      <c r="B148" s="5" t="s">
        <v>194</v>
      </c>
      <c r="C148" s="5" t="s">
        <v>202</v>
      </c>
      <c r="D148" s="15">
        <f t="shared" si="1"/>
        <v>-0.4038190886</v>
      </c>
      <c r="E148" s="15">
        <f t="shared" si="2"/>
        <v>0.1167383263</v>
      </c>
      <c r="F148" s="15">
        <f t="shared" si="3"/>
        <v>1.403819089</v>
      </c>
      <c r="G148" s="10">
        <f t="shared" si="4"/>
        <v>0.5075238693</v>
      </c>
      <c r="H148" s="2" t="str">
        <f t="shared" si="5"/>
        <v/>
      </c>
      <c r="J148" s="10">
        <f>'Precinct Vote Data'!H566</f>
        <v>0.4896115628</v>
      </c>
      <c r="K148" s="10">
        <f>'Precinct Vote Data'!H567</f>
        <v>0.4989676531</v>
      </c>
      <c r="L148" s="10">
        <f>'Precinct Vote Data'!H568</f>
        <v>0.5356339085</v>
      </c>
      <c r="M148" s="10">
        <f>'Precinct Vote Data'!H569</f>
        <v>0.5058823529</v>
      </c>
      <c r="N148" s="15">
        <f t="shared" si="6"/>
        <v>2.287080762</v>
      </c>
      <c r="O148" s="5">
        <f t="shared" si="7"/>
        <v>382</v>
      </c>
      <c r="Q148" s="5" t="str">
        <f t="shared" si="8"/>
        <v>Lehigh|LOWER MACUNGIE|924</v>
      </c>
    </row>
    <row r="149" ht="15.0" customHeight="1">
      <c r="A149" s="5" t="s">
        <v>143</v>
      </c>
      <c r="B149" s="5" t="s">
        <v>194</v>
      </c>
      <c r="C149" s="5" t="s">
        <v>203</v>
      </c>
      <c r="D149" s="15">
        <f t="shared" si="1"/>
        <v>0.3908578806</v>
      </c>
      <c r="E149" s="15">
        <f t="shared" si="2"/>
        <v>0.07104196386</v>
      </c>
      <c r="F149" s="15">
        <f t="shared" si="3"/>
        <v>0.6091421194</v>
      </c>
      <c r="G149" s="10">
        <f t="shared" si="4"/>
        <v>0.5139059802</v>
      </c>
      <c r="H149" s="2" t="str">
        <f t="shared" si="5"/>
        <v/>
      </c>
      <c r="J149" s="10">
        <f>'Precinct Vote Data'!H570</f>
        <v>0.5125148987</v>
      </c>
      <c r="K149" s="10">
        <f>'Precinct Vote Data'!H571</f>
        <v>0.495697074</v>
      </c>
      <c r="L149" s="10">
        <f>'Precinct Vote Data'!H572</f>
        <v>0.5492170022</v>
      </c>
      <c r="M149" s="10">
        <f>'Precinct Vote Data'!H573</f>
        <v>0.4981949458</v>
      </c>
      <c r="N149" s="15">
        <f t="shared" si="6"/>
        <v>1.538100156</v>
      </c>
      <c r="O149" s="5">
        <f t="shared" si="7"/>
        <v>284</v>
      </c>
      <c r="Q149" s="5" t="str">
        <f t="shared" si="8"/>
        <v>Lehigh|LOWER MACUNGIE|926</v>
      </c>
    </row>
    <row r="150" ht="15.0" customHeight="1">
      <c r="A150" s="5" t="s">
        <v>143</v>
      </c>
      <c r="B150" s="5" t="s">
        <v>194</v>
      </c>
      <c r="C150" s="5" t="s">
        <v>204</v>
      </c>
      <c r="D150" s="15">
        <f t="shared" si="1"/>
        <v>0.6722192345</v>
      </c>
      <c r="E150" s="15">
        <f t="shared" si="2"/>
        <v>0.6250066499</v>
      </c>
      <c r="F150" s="15">
        <f t="shared" si="3"/>
        <v>0.3277807655</v>
      </c>
      <c r="G150" s="10">
        <f t="shared" si="4"/>
        <v>0.4949261411</v>
      </c>
      <c r="H150" s="2" t="str">
        <f t="shared" si="5"/>
        <v/>
      </c>
      <c r="J150" s="10">
        <f>'Precinct Vote Data'!H574</f>
        <v>0.5075528701</v>
      </c>
      <c r="K150" s="10">
        <f>'Precinct Vote Data'!H575</f>
        <v>0.4808510638</v>
      </c>
      <c r="L150" s="10">
        <f>'Precinct Vote Data'!H576</f>
        <v>0.5069582505</v>
      </c>
      <c r="M150" s="10">
        <f>'Precinct Vote Data'!H577</f>
        <v>0.48434238</v>
      </c>
      <c r="N150" s="15">
        <f t="shared" si="6"/>
        <v>0.7027741157</v>
      </c>
      <c r="O150" s="5">
        <f t="shared" si="7"/>
        <v>132</v>
      </c>
      <c r="Q150" s="5" t="str">
        <f t="shared" si="8"/>
        <v>Lehigh|LOWER MACUNGIE|928</v>
      </c>
    </row>
    <row r="151" ht="15.0" customHeight="1">
      <c r="A151" s="5" t="s">
        <v>143</v>
      </c>
      <c r="B151" s="5" t="s">
        <v>205</v>
      </c>
      <c r="C151" s="5" t="s">
        <v>206</v>
      </c>
      <c r="D151" s="15">
        <f t="shared" si="1"/>
        <v>0.6126596639</v>
      </c>
      <c r="E151" s="15">
        <f t="shared" si="2"/>
        <v>0.5071202361</v>
      </c>
      <c r="F151" s="15">
        <f t="shared" si="3"/>
        <v>0.3873403361</v>
      </c>
      <c r="G151" s="10">
        <f t="shared" si="4"/>
        <v>0.3851509314</v>
      </c>
      <c r="H151" s="2" t="str">
        <f t="shared" si="5"/>
        <v/>
      </c>
      <c r="J151" s="10">
        <f>'Precinct Vote Data'!H578</f>
        <v>0.398488121</v>
      </c>
      <c r="K151" s="10">
        <f>'Precinct Vote Data'!H579</f>
        <v>0.3656597774</v>
      </c>
      <c r="L151" s="10">
        <f>'Precinct Vote Data'!H580</f>
        <v>0.3933364183</v>
      </c>
      <c r="M151" s="10">
        <f>'Precinct Vote Data'!H581</f>
        <v>0.3831194088</v>
      </c>
      <c r="N151" s="15">
        <f t="shared" si="6"/>
        <v>0.8802201</v>
      </c>
      <c r="O151" s="5">
        <f t="shared" si="7"/>
        <v>168</v>
      </c>
      <c r="Q151" s="5" t="str">
        <f t="shared" si="8"/>
        <v>Lehigh|LOWER MILFORD|930</v>
      </c>
    </row>
    <row r="152" ht="15.0" customHeight="1">
      <c r="A152" s="5" t="s">
        <v>143</v>
      </c>
      <c r="B152" s="5" t="s">
        <v>207</v>
      </c>
      <c r="C152" s="5" t="s">
        <v>208</v>
      </c>
      <c r="D152" s="15">
        <f t="shared" si="1"/>
        <v>0.5725537522</v>
      </c>
      <c r="E152" s="15">
        <f t="shared" si="2"/>
        <v>0.6874016279</v>
      </c>
      <c r="F152" s="15">
        <f t="shared" si="3"/>
        <v>0.4274462478</v>
      </c>
      <c r="G152" s="10">
        <f t="shared" si="4"/>
        <v>0.3661596315</v>
      </c>
      <c r="H152" s="2" t="str">
        <f t="shared" si="5"/>
        <v/>
      </c>
      <c r="J152" s="10">
        <f>'Precinct Vote Data'!H582</f>
        <v>0.3767186068</v>
      </c>
      <c r="K152" s="10">
        <f>'Precinct Vote Data'!H583</f>
        <v>0.3581989247</v>
      </c>
      <c r="L152" s="10">
        <f>'Precinct Vote Data'!H584</f>
        <v>0.3755135579</v>
      </c>
      <c r="M152" s="10">
        <f>'Precinct Vote Data'!H585</f>
        <v>0.3542074364</v>
      </c>
      <c r="N152" s="15">
        <f t="shared" si="6"/>
        <v>0.7400446199</v>
      </c>
      <c r="O152" s="5">
        <f t="shared" si="7"/>
        <v>145</v>
      </c>
      <c r="Q152" s="5" t="str">
        <f t="shared" si="8"/>
        <v>Lehigh|LOWHILL|940</v>
      </c>
    </row>
    <row r="153" ht="15.0" customHeight="1">
      <c r="A153" s="5" t="s">
        <v>143</v>
      </c>
      <c r="B153" s="5" t="s">
        <v>209</v>
      </c>
      <c r="C153" s="5" t="s">
        <v>210</v>
      </c>
      <c r="D153" s="15">
        <f t="shared" si="1"/>
        <v>-0.006075327497</v>
      </c>
      <c r="E153" s="15">
        <f t="shared" si="2"/>
        <v>0.0001211181974</v>
      </c>
      <c r="F153" s="15">
        <f t="shared" si="3"/>
        <v>1.006075327</v>
      </c>
      <c r="G153" s="10">
        <f t="shared" si="4"/>
        <v>0.2823049989</v>
      </c>
      <c r="H153" s="2" t="str">
        <f t="shared" si="5"/>
        <v/>
      </c>
      <c r="J153" s="10">
        <f>'Precinct Vote Data'!H586</f>
        <v>0.2776470588</v>
      </c>
      <c r="K153" s="10">
        <f>'Precinct Vote Data'!H587</f>
        <v>0.2841269841</v>
      </c>
      <c r="L153" s="10">
        <f>'Precinct Vote Data'!H588</f>
        <v>0.2944444444</v>
      </c>
      <c r="M153" s="10">
        <f>'Precinct Vote Data'!H589</f>
        <v>0.2730015083</v>
      </c>
      <c r="N153" s="15">
        <f t="shared" si="6"/>
        <v>2.005954209</v>
      </c>
      <c r="O153" s="5">
        <f t="shared" si="7"/>
        <v>350</v>
      </c>
      <c r="Q153" s="5" t="str">
        <f t="shared" si="8"/>
        <v>Lehigh|LYNN|950</v>
      </c>
    </row>
    <row r="154" ht="15.0" customHeight="1">
      <c r="A154" s="5" t="s">
        <v>143</v>
      </c>
      <c r="B154" s="5" t="s">
        <v>209</v>
      </c>
      <c r="C154" s="5" t="s">
        <v>211</v>
      </c>
      <c r="D154" s="15">
        <f t="shared" si="1"/>
        <v>0.7187527631</v>
      </c>
      <c r="E154" s="15">
        <f t="shared" si="2"/>
        <v>0.5600172678</v>
      </c>
      <c r="F154" s="15">
        <f t="shared" si="3"/>
        <v>0.2812472369</v>
      </c>
      <c r="G154" s="10">
        <f t="shared" si="4"/>
        <v>0.3185985231</v>
      </c>
      <c r="H154" s="2" t="str">
        <f t="shared" si="5"/>
        <v/>
      </c>
      <c r="J154" s="10">
        <f>'Precinct Vote Data'!H590</f>
        <v>0.3361823362</v>
      </c>
      <c r="K154" s="10">
        <f>'Precinct Vote Data'!H591</f>
        <v>0.2971175166</v>
      </c>
      <c r="L154" s="10">
        <f>'Precinct Vote Data'!H592</f>
        <v>0.3222222222</v>
      </c>
      <c r="M154" s="10">
        <f>'Precinct Vote Data'!H593</f>
        <v>0.3188720174</v>
      </c>
      <c r="N154" s="15">
        <f t="shared" si="6"/>
        <v>0.7212299691</v>
      </c>
      <c r="O154" s="5">
        <f t="shared" si="7"/>
        <v>138</v>
      </c>
      <c r="Q154" s="5" t="str">
        <f t="shared" si="8"/>
        <v>Lehigh|LYNN|960</v>
      </c>
    </row>
    <row r="155" ht="15.0" customHeight="1">
      <c r="A155" s="5" t="s">
        <v>143</v>
      </c>
      <c r="B155" s="5" t="s">
        <v>209</v>
      </c>
      <c r="C155" s="5" t="s">
        <v>212</v>
      </c>
      <c r="D155" s="15">
        <f t="shared" si="1"/>
        <v>0.6224968024</v>
      </c>
      <c r="E155" s="15">
        <f t="shared" si="2"/>
        <v>0.6864023315</v>
      </c>
      <c r="F155" s="15">
        <f t="shared" si="3"/>
        <v>0.3775031976</v>
      </c>
      <c r="G155" s="10">
        <f t="shared" si="4"/>
        <v>0.3467400533</v>
      </c>
      <c r="H155" s="2" t="str">
        <f t="shared" si="5"/>
        <v/>
      </c>
      <c r="J155" s="10">
        <f>'Precinct Vote Data'!H594</f>
        <v>0.3583333333</v>
      </c>
      <c r="K155" s="10">
        <f>'Precinct Vote Data'!H595</f>
        <v>0.3443152455</v>
      </c>
      <c r="L155" s="10">
        <f>'Precinct Vote Data'!H596</f>
        <v>0.3543495611</v>
      </c>
      <c r="M155" s="10">
        <f>'Precinct Vote Data'!H597</f>
        <v>0.3299620733</v>
      </c>
      <c r="N155" s="15">
        <f t="shared" si="6"/>
        <v>0.6911008661</v>
      </c>
      <c r="O155" s="5">
        <f t="shared" si="7"/>
        <v>128</v>
      </c>
      <c r="Q155" s="5" t="str">
        <f t="shared" si="8"/>
        <v>Lehigh|LYNN|970</v>
      </c>
    </row>
    <row r="156" ht="15.0" customHeight="1">
      <c r="A156" s="5" t="s">
        <v>143</v>
      </c>
      <c r="B156" s="5" t="s">
        <v>213</v>
      </c>
      <c r="C156" s="5" t="s">
        <v>214</v>
      </c>
      <c r="D156" s="15">
        <f t="shared" si="1"/>
        <v>0.2551912238</v>
      </c>
      <c r="E156" s="15">
        <f t="shared" si="2"/>
        <v>0.1389698306</v>
      </c>
      <c r="F156" s="15">
        <f t="shared" si="3"/>
        <v>0.7448087762</v>
      </c>
      <c r="G156" s="10">
        <f t="shared" si="4"/>
        <v>0.5411257699</v>
      </c>
      <c r="H156" s="2" t="str">
        <f t="shared" si="5"/>
        <v/>
      </c>
      <c r="J156" s="10">
        <f>'Precinct Vote Data'!H598</f>
        <v>0.5419607843</v>
      </c>
      <c r="K156" s="10">
        <f>'Precinct Vote Data'!H599</f>
        <v>0.5368874529</v>
      </c>
      <c r="L156" s="10">
        <f>'Precinct Vote Data'!H600</f>
        <v>0.5564971751</v>
      </c>
      <c r="M156" s="10">
        <f>'Precinct Vote Data'!H601</f>
        <v>0.5291576674</v>
      </c>
      <c r="N156" s="15">
        <f t="shared" si="6"/>
        <v>1.605838946</v>
      </c>
      <c r="O156" s="5">
        <f t="shared" si="7"/>
        <v>300</v>
      </c>
      <c r="Q156" s="5" t="str">
        <f t="shared" si="8"/>
        <v>Lehigh|MACUNGIE|980</v>
      </c>
    </row>
    <row r="157" ht="15.0" customHeight="1">
      <c r="A157" s="5" t="s">
        <v>143</v>
      </c>
      <c r="B157" s="5" t="s">
        <v>215</v>
      </c>
      <c r="C157" s="5" t="s">
        <v>216</v>
      </c>
      <c r="D157" s="15">
        <f t="shared" si="1"/>
        <v>0.4585610682</v>
      </c>
      <c r="E157" s="15">
        <f t="shared" si="2"/>
        <v>0.227819001</v>
      </c>
      <c r="F157" s="15">
        <f t="shared" si="3"/>
        <v>0.5414389318</v>
      </c>
      <c r="G157" s="10">
        <f t="shared" si="4"/>
        <v>0.4297316353</v>
      </c>
      <c r="H157" s="2" t="str">
        <f t="shared" si="5"/>
        <v/>
      </c>
      <c r="J157" s="10">
        <f>'Precinct Vote Data'!H602</f>
        <v>0.4382157926</v>
      </c>
      <c r="K157" s="10">
        <f>'Precinct Vote Data'!H603</f>
        <v>0.4066840278</v>
      </c>
      <c r="L157" s="10">
        <f>'Precinct Vote Data'!H604</f>
        <v>0.4431393486</v>
      </c>
      <c r="M157" s="10">
        <f>'Precinct Vote Data'!H605</f>
        <v>0.430887372</v>
      </c>
      <c r="N157" s="15">
        <f t="shared" si="6"/>
        <v>1.313619931</v>
      </c>
      <c r="O157" s="5">
        <f t="shared" si="7"/>
        <v>253</v>
      </c>
      <c r="Q157" s="5" t="str">
        <f t="shared" si="8"/>
        <v>Lehigh|NORTH WHITEHALL|990</v>
      </c>
    </row>
    <row r="158" ht="15.0" customHeight="1">
      <c r="A158" s="5" t="s">
        <v>143</v>
      </c>
      <c r="B158" s="5" t="s">
        <v>215</v>
      </c>
      <c r="C158" s="5" t="s">
        <v>217</v>
      </c>
      <c r="D158" s="15">
        <f t="shared" si="1"/>
        <v>0.82937258</v>
      </c>
      <c r="E158" s="15">
        <f t="shared" si="2"/>
        <v>0.9209359916</v>
      </c>
      <c r="F158" s="15">
        <f t="shared" si="3"/>
        <v>0.17062742</v>
      </c>
      <c r="G158" s="10">
        <f t="shared" si="4"/>
        <v>0.4059137919</v>
      </c>
      <c r="H158" s="2" t="str">
        <f t="shared" si="5"/>
        <v>YES</v>
      </c>
      <c r="J158" s="10">
        <f>'Precinct Vote Data'!H606</f>
        <v>0.4238128987</v>
      </c>
      <c r="K158" s="10">
        <f>'Precinct Vote Data'!H607</f>
        <v>0.395988806</v>
      </c>
      <c r="L158" s="10">
        <f>'Precinct Vote Data'!H608</f>
        <v>0.4115176965</v>
      </c>
      <c r="M158" s="10">
        <f>'Precinct Vote Data'!H609</f>
        <v>0.3923357664</v>
      </c>
      <c r="N158" s="15">
        <f t="shared" si="6"/>
        <v>0.2496914284</v>
      </c>
      <c r="O158" s="5">
        <f t="shared" si="7"/>
        <v>18</v>
      </c>
      <c r="Q158" s="5" t="str">
        <f t="shared" si="8"/>
        <v>Lehigh|NORTH WHITEHALL|1000</v>
      </c>
    </row>
    <row r="159" ht="15.0" customHeight="1">
      <c r="A159" s="5" t="s">
        <v>143</v>
      </c>
      <c r="B159" s="5" t="s">
        <v>215</v>
      </c>
      <c r="C159" s="5" t="s">
        <v>218</v>
      </c>
      <c r="D159" s="15">
        <f t="shared" si="1"/>
        <v>0.268979788</v>
      </c>
      <c r="E159" s="15">
        <f t="shared" si="2"/>
        <v>0.14918506</v>
      </c>
      <c r="F159" s="15">
        <f t="shared" si="3"/>
        <v>0.731020212</v>
      </c>
      <c r="G159" s="10">
        <f t="shared" si="4"/>
        <v>0.4003649748</v>
      </c>
      <c r="H159" s="2" t="str">
        <f t="shared" si="5"/>
        <v/>
      </c>
      <c r="J159" s="10">
        <f>'Precinct Vote Data'!H610</f>
        <v>0.4015345269</v>
      </c>
      <c r="K159" s="10">
        <f>'Precinct Vote Data'!H611</f>
        <v>0.3946459413</v>
      </c>
      <c r="L159" s="10">
        <f>'Precinct Vote Data'!H612</f>
        <v>0.4161979753</v>
      </c>
      <c r="M159" s="10">
        <f>'Precinct Vote Data'!H613</f>
        <v>0.3890814558</v>
      </c>
      <c r="N159" s="15">
        <f t="shared" si="6"/>
        <v>1.581835152</v>
      </c>
      <c r="O159" s="5">
        <f t="shared" si="7"/>
        <v>292</v>
      </c>
      <c r="Q159" s="5" t="str">
        <f t="shared" si="8"/>
        <v>Lehigh|NORTH WHITEHALL|1010</v>
      </c>
    </row>
    <row r="160" ht="15.0" customHeight="1">
      <c r="A160" s="5" t="s">
        <v>143</v>
      </c>
      <c r="B160" s="5" t="s">
        <v>215</v>
      </c>
      <c r="C160" s="5" t="s">
        <v>219</v>
      </c>
      <c r="D160" s="15">
        <f t="shared" si="1"/>
        <v>-0.08353975605</v>
      </c>
      <c r="E160" s="15">
        <f t="shared" si="2"/>
        <v>0.0477358198</v>
      </c>
      <c r="F160" s="15">
        <f t="shared" si="3"/>
        <v>1.083539756</v>
      </c>
      <c r="G160" s="10">
        <f t="shared" si="4"/>
        <v>0.3989406628</v>
      </c>
      <c r="H160" s="2" t="str">
        <f t="shared" si="5"/>
        <v/>
      </c>
      <c r="J160" s="10">
        <f>'Precinct Vote Data'!H614</f>
        <v>0.3948374761</v>
      </c>
      <c r="K160" s="10">
        <f>'Precinct Vote Data'!H615</f>
        <v>0.3930857875</v>
      </c>
      <c r="L160" s="10">
        <f>'Precinct Vote Data'!H616</f>
        <v>0.4073494918</v>
      </c>
      <c r="M160" s="10">
        <f>'Precinct Vote Data'!H617</f>
        <v>0.4004898959</v>
      </c>
      <c r="N160" s="15">
        <f t="shared" si="6"/>
        <v>2.035803936</v>
      </c>
      <c r="O160" s="5">
        <f t="shared" si="7"/>
        <v>356</v>
      </c>
      <c r="Q160" s="5" t="str">
        <f t="shared" si="8"/>
        <v>Lehigh|NORTH WHITEHALL|1020</v>
      </c>
    </row>
    <row r="161" ht="15.0" customHeight="1">
      <c r="A161" s="5" t="s">
        <v>143</v>
      </c>
      <c r="B161" s="5" t="s">
        <v>215</v>
      </c>
      <c r="C161" s="5" t="s">
        <v>220</v>
      </c>
      <c r="D161" s="15">
        <f t="shared" si="1"/>
        <v>-0.2448557311</v>
      </c>
      <c r="E161" s="15">
        <f t="shared" si="2"/>
        <v>0.1460673992</v>
      </c>
      <c r="F161" s="15">
        <f t="shared" si="3"/>
        <v>1.244855731</v>
      </c>
      <c r="G161" s="10">
        <f t="shared" si="4"/>
        <v>0.3873034915</v>
      </c>
      <c r="H161" s="2" t="str">
        <f t="shared" si="5"/>
        <v/>
      </c>
      <c r="J161" s="10">
        <f>'Precinct Vote Data'!H618</f>
        <v>0.376753507</v>
      </c>
      <c r="K161" s="10">
        <f>'Precinct Vote Data'!H619</f>
        <v>0.3851492019</v>
      </c>
      <c r="L161" s="10">
        <f>'Precinct Vote Data'!H620</f>
        <v>0.40237691</v>
      </c>
      <c r="M161" s="10">
        <f>'Precinct Vote Data'!H621</f>
        <v>0.3849343469</v>
      </c>
      <c r="N161" s="15">
        <f t="shared" si="6"/>
        <v>2.098788332</v>
      </c>
      <c r="O161" s="5">
        <f t="shared" si="7"/>
        <v>362</v>
      </c>
      <c r="Q161" s="5" t="str">
        <f t="shared" si="8"/>
        <v>Lehigh|NORTH WHITEHALL|1022</v>
      </c>
    </row>
    <row r="162" ht="15.0" customHeight="1">
      <c r="A162" s="5" t="s">
        <v>143</v>
      </c>
      <c r="B162" s="5" t="s">
        <v>215</v>
      </c>
      <c r="C162" s="5" t="s">
        <v>221</v>
      </c>
      <c r="D162" s="15">
        <f t="shared" si="1"/>
        <v>1.593911917</v>
      </c>
      <c r="E162" s="15">
        <f t="shared" si="2"/>
        <v>0.9651192458</v>
      </c>
      <c r="F162" s="15">
        <f t="shared" si="3"/>
        <v>0.5939119167</v>
      </c>
      <c r="G162" s="10">
        <f t="shared" si="4"/>
        <v>0.4440550265</v>
      </c>
      <c r="H162" s="2" t="str">
        <f t="shared" si="5"/>
        <v/>
      </c>
      <c r="J162" s="10">
        <f>'Precinct Vote Data'!H622</f>
        <v>0.480218281</v>
      </c>
      <c r="K162" s="10">
        <f>'Precinct Vote Data'!H623</f>
        <v>0.4243478261</v>
      </c>
      <c r="L162" s="10">
        <f>'Precinct Vote Data'!H624</f>
        <v>0.4500601685</v>
      </c>
      <c r="M162" s="10">
        <f>'Precinct Vote Data'!H625</f>
        <v>0.4215938303</v>
      </c>
      <c r="N162" s="15">
        <f t="shared" si="6"/>
        <v>0.6287926709</v>
      </c>
      <c r="O162" s="5">
        <f t="shared" si="7"/>
        <v>111</v>
      </c>
      <c r="Q162" s="5" t="str">
        <f t="shared" si="8"/>
        <v>Lehigh|NORTH WHITEHALL|1025</v>
      </c>
    </row>
    <row r="163" ht="15.0" customHeight="1">
      <c r="A163" s="5" t="s">
        <v>143</v>
      </c>
      <c r="B163" s="5" t="s">
        <v>222</v>
      </c>
      <c r="C163" s="5" t="s">
        <v>223</v>
      </c>
      <c r="D163" s="15">
        <f t="shared" si="1"/>
        <v>1.32210787</v>
      </c>
      <c r="E163" s="15">
        <f t="shared" si="2"/>
        <v>0.9427911088</v>
      </c>
      <c r="F163" s="15">
        <f t="shared" si="3"/>
        <v>0.3221078697</v>
      </c>
      <c r="G163" s="10">
        <f t="shared" si="4"/>
        <v>0.5096384874</v>
      </c>
      <c r="H163" s="2" t="str">
        <f t="shared" si="5"/>
        <v/>
      </c>
      <c r="J163" s="10">
        <f>'Precinct Vote Data'!H626</f>
        <v>0.5430107527</v>
      </c>
      <c r="K163" s="10">
        <f>'Precinct Vote Data'!H627</f>
        <v>0.5032350827</v>
      </c>
      <c r="L163" s="10">
        <f>'Precinct Vote Data'!H628</f>
        <v>0.5014925373</v>
      </c>
      <c r="M163" s="10">
        <f>'Precinct Vote Data'!H629</f>
        <v>0.4908155768</v>
      </c>
      <c r="N163" s="15">
        <f t="shared" si="6"/>
        <v>0.3793167609</v>
      </c>
      <c r="O163" s="5">
        <f t="shared" si="7"/>
        <v>46</v>
      </c>
      <c r="Q163" s="5" t="str">
        <f t="shared" si="8"/>
        <v>Lehigh|SALISBURY|1030</v>
      </c>
    </row>
    <row r="164" ht="15.0" customHeight="1">
      <c r="A164" s="5" t="s">
        <v>143</v>
      </c>
      <c r="B164" s="5" t="s">
        <v>222</v>
      </c>
      <c r="C164" s="5" t="s">
        <v>224</v>
      </c>
      <c r="D164" s="15">
        <f t="shared" si="1"/>
        <v>1.261983789</v>
      </c>
      <c r="E164" s="15">
        <f t="shared" si="2"/>
        <v>0.998038748</v>
      </c>
      <c r="F164" s="15">
        <f t="shared" si="3"/>
        <v>0.2619837888</v>
      </c>
      <c r="G164" s="10">
        <f t="shared" si="4"/>
        <v>0.5127840534</v>
      </c>
      <c r="H164" s="2" t="str">
        <f t="shared" si="5"/>
        <v>YES</v>
      </c>
      <c r="J164" s="10">
        <f>'Precinct Vote Data'!H630</f>
        <v>0.5432692308</v>
      </c>
      <c r="K164" s="10">
        <f>'Precinct Vote Data'!H631</f>
        <v>0.5018915511</v>
      </c>
      <c r="L164" s="10">
        <f>'Precinct Vote Data'!H632</f>
        <v>0.5106022053</v>
      </c>
      <c r="M164" s="10">
        <f>'Precinct Vote Data'!H633</f>
        <v>0.4953732264</v>
      </c>
      <c r="N164" s="15">
        <f t="shared" si="6"/>
        <v>0.2639450408</v>
      </c>
      <c r="O164" s="5">
        <f t="shared" si="7"/>
        <v>19</v>
      </c>
      <c r="Q164" s="5" t="str">
        <f t="shared" si="8"/>
        <v>Lehigh|SALISBURY|1040</v>
      </c>
    </row>
    <row r="165" ht="15.0" customHeight="1">
      <c r="A165" s="5" t="s">
        <v>143</v>
      </c>
      <c r="B165" s="5" t="s">
        <v>222</v>
      </c>
      <c r="C165" s="5" t="s">
        <v>225</v>
      </c>
      <c r="D165" s="15">
        <f t="shared" si="1"/>
        <v>0.7651748427</v>
      </c>
      <c r="E165" s="15">
        <f t="shared" si="2"/>
        <v>0.5500787839</v>
      </c>
      <c r="F165" s="15">
        <f t="shared" si="3"/>
        <v>0.2348251573</v>
      </c>
      <c r="G165" s="10">
        <f t="shared" si="4"/>
        <v>0.5044857323</v>
      </c>
      <c r="H165" s="2" t="str">
        <f t="shared" si="5"/>
        <v/>
      </c>
      <c r="J165" s="10">
        <f>'Precinct Vote Data'!H634</f>
        <v>0.5174537988</v>
      </c>
      <c r="K165" s="10">
        <f>'Precinct Vote Data'!H635</f>
        <v>0.4904891304</v>
      </c>
      <c r="L165" s="10">
        <f>'Precinct Vote Data'!H636</f>
        <v>0.5214285714</v>
      </c>
      <c r="M165" s="10">
        <f>'Precinct Vote Data'!H637</f>
        <v>0.4885714286</v>
      </c>
      <c r="N165" s="15">
        <f t="shared" si="6"/>
        <v>0.6847463734</v>
      </c>
      <c r="O165" s="5">
        <f t="shared" si="7"/>
        <v>125</v>
      </c>
      <c r="Q165" s="5" t="str">
        <f t="shared" si="8"/>
        <v>Lehigh|SALISBURY|1050</v>
      </c>
    </row>
    <row r="166" ht="15.0" customHeight="1">
      <c r="A166" s="5" t="s">
        <v>143</v>
      </c>
      <c r="B166" s="5" t="s">
        <v>222</v>
      </c>
      <c r="C166" s="5" t="s">
        <v>226</v>
      </c>
      <c r="D166" s="15">
        <f t="shared" si="1"/>
        <v>0.5798654027</v>
      </c>
      <c r="E166" s="15">
        <f t="shared" si="2"/>
        <v>0.4927836796</v>
      </c>
      <c r="F166" s="15">
        <f t="shared" si="3"/>
        <v>0.4201345973</v>
      </c>
      <c r="G166" s="10">
        <f t="shared" si="4"/>
        <v>0.5146028444</v>
      </c>
      <c r="H166" s="2" t="str">
        <f t="shared" si="5"/>
        <v/>
      </c>
      <c r="J166" s="10">
        <f>'Precinct Vote Data'!H638</f>
        <v>0.5236294896</v>
      </c>
      <c r="K166" s="10">
        <f>'Precinct Vote Data'!H639</f>
        <v>0.5113350126</v>
      </c>
      <c r="L166" s="10">
        <f>'Precinct Vote Data'!H640</f>
        <v>0.5270700637</v>
      </c>
      <c r="M166" s="10">
        <f>'Precinct Vote Data'!H641</f>
        <v>0.4963768116</v>
      </c>
      <c r="N166" s="15">
        <f t="shared" si="6"/>
        <v>0.9273509177</v>
      </c>
      <c r="O166" s="5">
        <f t="shared" si="7"/>
        <v>178</v>
      </c>
      <c r="Q166" s="5" t="str">
        <f t="shared" si="8"/>
        <v>Lehigh|SALISBURY|1055</v>
      </c>
    </row>
    <row r="167" ht="15.0" customHeight="1">
      <c r="A167" s="5" t="s">
        <v>143</v>
      </c>
      <c r="B167" s="5" t="s">
        <v>222</v>
      </c>
      <c r="C167" s="5" t="s">
        <v>227</v>
      </c>
      <c r="D167" s="15">
        <f t="shared" si="1"/>
        <v>-0.2913458072</v>
      </c>
      <c r="E167" s="15">
        <f t="shared" si="2"/>
        <v>0.6296048434</v>
      </c>
      <c r="F167" s="15">
        <f t="shared" si="3"/>
        <v>1.291345807</v>
      </c>
      <c r="G167" s="10">
        <f t="shared" si="4"/>
        <v>0.480978906</v>
      </c>
      <c r="H167" s="2" t="str">
        <f t="shared" si="5"/>
        <v/>
      </c>
      <c r="J167" s="10">
        <f>'Precinct Vote Data'!H642</f>
        <v>0.4735547355</v>
      </c>
      <c r="K167" s="10">
        <f>'Precinct Vote Data'!H643</f>
        <v>0.4785388128</v>
      </c>
      <c r="L167" s="10">
        <f>'Precinct Vote Data'!H644</f>
        <v>0.4843568946</v>
      </c>
      <c r="M167" s="10">
        <f>'Precinct Vote Data'!H645</f>
        <v>0.4874651811</v>
      </c>
      <c r="N167" s="15">
        <f t="shared" si="6"/>
        <v>1.661740964</v>
      </c>
      <c r="O167" s="5">
        <f t="shared" si="7"/>
        <v>306</v>
      </c>
      <c r="Q167" s="5" t="str">
        <f t="shared" si="8"/>
        <v>Lehigh|SALISBURY|1060</v>
      </c>
    </row>
    <row r="168" ht="15.0" customHeight="1">
      <c r="A168" s="5" t="s">
        <v>143</v>
      </c>
      <c r="B168" s="5" t="s">
        <v>222</v>
      </c>
      <c r="C168" s="5" t="s">
        <v>228</v>
      </c>
      <c r="D168" s="15">
        <f t="shared" si="1"/>
        <v>0.4524005947</v>
      </c>
      <c r="E168" s="15">
        <f t="shared" si="2"/>
        <v>0.7961460542</v>
      </c>
      <c r="F168" s="15">
        <f t="shared" si="3"/>
        <v>0.5475994053</v>
      </c>
      <c r="G168" s="10">
        <f t="shared" si="4"/>
        <v>0.475874162</v>
      </c>
      <c r="H168" s="2" t="str">
        <f t="shared" si="5"/>
        <v/>
      </c>
      <c r="J168" s="10">
        <f>'Precinct Vote Data'!H646</f>
        <v>0.4859437751</v>
      </c>
      <c r="K168" s="10">
        <f>'Precinct Vote Data'!H647</f>
        <v>0.4766214178</v>
      </c>
      <c r="L168" s="10">
        <f>'Precinct Vote Data'!H648</f>
        <v>0.4758497317</v>
      </c>
      <c r="M168" s="10">
        <f>'Precinct Vote Data'!H649</f>
        <v>0.4650817236</v>
      </c>
      <c r="N168" s="15">
        <f t="shared" si="6"/>
        <v>0.7514533511</v>
      </c>
      <c r="O168" s="5">
        <f t="shared" si="7"/>
        <v>147</v>
      </c>
      <c r="Q168" s="5" t="str">
        <f t="shared" si="8"/>
        <v>Lehigh|SALISBURY|1070</v>
      </c>
    </row>
    <row r="169" ht="15.0" customHeight="1">
      <c r="A169" s="5" t="s">
        <v>143</v>
      </c>
      <c r="B169" s="5" t="s">
        <v>222</v>
      </c>
      <c r="C169" s="5" t="s">
        <v>229</v>
      </c>
      <c r="D169" s="15">
        <f t="shared" si="1"/>
        <v>-1.114681146</v>
      </c>
      <c r="E169" s="15">
        <f t="shared" si="2"/>
        <v>0.3387383762</v>
      </c>
      <c r="F169" s="15">
        <f t="shared" si="3"/>
        <v>2.114681146</v>
      </c>
      <c r="G169" s="10">
        <f t="shared" si="4"/>
        <v>0.507430571</v>
      </c>
      <c r="H169" s="2" t="str">
        <f t="shared" si="5"/>
        <v/>
      </c>
      <c r="J169" s="10">
        <f>'Precinct Vote Data'!H650</f>
        <v>0.4730639731</v>
      </c>
      <c r="K169" s="10">
        <f>'Precinct Vote Data'!H651</f>
        <v>0.4877102199</v>
      </c>
      <c r="L169" s="10">
        <f>'Precinct Vote Data'!H652</f>
        <v>0.5409582689</v>
      </c>
      <c r="M169" s="10">
        <f>'Precinct Vote Data'!H653</f>
        <v>0.5279898219</v>
      </c>
      <c r="N169" s="15">
        <f t="shared" si="6"/>
        <v>2.77594277</v>
      </c>
      <c r="O169" s="5">
        <f t="shared" si="7"/>
        <v>396</v>
      </c>
      <c r="Q169" s="5" t="str">
        <f t="shared" si="8"/>
        <v>Lehigh|SALISBURY|1085</v>
      </c>
    </row>
    <row r="170" ht="15.0" customHeight="1">
      <c r="A170" s="5" t="s">
        <v>143</v>
      </c>
      <c r="B170" s="5" t="s">
        <v>222</v>
      </c>
      <c r="C170" s="5" t="s">
        <v>230</v>
      </c>
      <c r="D170" s="15">
        <f t="shared" si="1"/>
        <v>-0.1664429578</v>
      </c>
      <c r="E170" s="15">
        <f t="shared" si="2"/>
        <v>0.0449168895</v>
      </c>
      <c r="F170" s="15">
        <f t="shared" si="3"/>
        <v>1.166442958</v>
      </c>
      <c r="G170" s="10">
        <f t="shared" si="4"/>
        <v>0.4961063924</v>
      </c>
      <c r="H170" s="2" t="str">
        <f t="shared" si="5"/>
        <v/>
      </c>
      <c r="J170" s="10">
        <f>'Precinct Vote Data'!H654</f>
        <v>0.4877505568</v>
      </c>
      <c r="K170" s="10">
        <f>'Precinct Vote Data'!H655</f>
        <v>0.4841269841</v>
      </c>
      <c r="L170" s="10">
        <f>'Precinct Vote Data'!H656</f>
        <v>0.5134843581</v>
      </c>
      <c r="M170" s="10">
        <f>'Precinct Vote Data'!H657</f>
        <v>0.4990636704</v>
      </c>
      <c r="N170" s="15">
        <f t="shared" si="6"/>
        <v>2.121526068</v>
      </c>
      <c r="O170" s="5">
        <f t="shared" si="7"/>
        <v>365</v>
      </c>
      <c r="Q170" s="5" t="str">
        <f t="shared" si="8"/>
        <v>Lehigh|SALISBURY|1090</v>
      </c>
    </row>
    <row r="171" ht="15.0" customHeight="1">
      <c r="A171" s="5" t="s">
        <v>143</v>
      </c>
      <c r="B171" s="5" t="s">
        <v>231</v>
      </c>
      <c r="C171" s="5" t="s">
        <v>232</v>
      </c>
      <c r="D171" s="15">
        <f t="shared" si="1"/>
        <v>1.667220367</v>
      </c>
      <c r="E171" s="15">
        <f t="shared" si="2"/>
        <v>0.4610192643</v>
      </c>
      <c r="F171" s="15">
        <f t="shared" si="3"/>
        <v>0.6672203675</v>
      </c>
      <c r="G171" s="10">
        <f t="shared" si="4"/>
        <v>0.4406687645</v>
      </c>
      <c r="H171" s="2" t="str">
        <f t="shared" si="5"/>
        <v/>
      </c>
      <c r="J171" s="10">
        <f>'Precinct Vote Data'!H658</f>
        <v>0.4698795181</v>
      </c>
      <c r="K171" s="10">
        <f>'Precinct Vote Data'!H659</f>
        <v>0.3942133816</v>
      </c>
      <c r="L171" s="10">
        <f>'Precinct Vote Data'!H660</f>
        <v>0.480620155</v>
      </c>
      <c r="M171" s="10">
        <f>'Precinct Vote Data'!H661</f>
        <v>0.4179620035</v>
      </c>
      <c r="N171" s="15">
        <f t="shared" si="6"/>
        <v>1.206201103</v>
      </c>
      <c r="O171" s="5">
        <f t="shared" si="7"/>
        <v>237</v>
      </c>
      <c r="Q171" s="5" t="str">
        <f t="shared" si="8"/>
        <v>Lehigh|SLATINGTON|1100</v>
      </c>
    </row>
    <row r="172" ht="15.0" customHeight="1">
      <c r="A172" s="5" t="s">
        <v>143</v>
      </c>
      <c r="B172" s="5" t="s">
        <v>231</v>
      </c>
      <c r="C172" s="5" t="s">
        <v>233</v>
      </c>
      <c r="D172" s="15">
        <f t="shared" si="1"/>
        <v>2.273416357</v>
      </c>
      <c r="E172" s="15">
        <f t="shared" si="2"/>
        <v>0.852565038</v>
      </c>
      <c r="F172" s="15">
        <f t="shared" si="3"/>
        <v>1.273416357</v>
      </c>
      <c r="G172" s="10">
        <f t="shared" si="4"/>
        <v>0.4230714943</v>
      </c>
      <c r="H172" s="2" t="str">
        <f t="shared" si="5"/>
        <v/>
      </c>
      <c r="J172" s="10">
        <f>'Precinct Vote Data'!H662</f>
        <v>0.4714285714</v>
      </c>
      <c r="K172" s="10">
        <f>'Precinct Vote Data'!H663</f>
        <v>0.3867521368</v>
      </c>
      <c r="L172" s="10">
        <f>'Precinct Vote Data'!H664</f>
        <v>0.4437086093</v>
      </c>
      <c r="M172" s="10">
        <f>'Precinct Vote Data'!H665</f>
        <v>0.3903966597</v>
      </c>
      <c r="N172" s="15">
        <f t="shared" si="6"/>
        <v>1.420851319</v>
      </c>
      <c r="O172" s="5">
        <f t="shared" si="7"/>
        <v>271</v>
      </c>
      <c r="Q172" s="5" t="str">
        <f t="shared" si="8"/>
        <v>Lehigh|SLATINGTON|1110</v>
      </c>
    </row>
    <row r="173" ht="15.0" customHeight="1">
      <c r="A173" s="5" t="s">
        <v>143</v>
      </c>
      <c r="B173" s="5" t="s">
        <v>231</v>
      </c>
      <c r="C173" s="5" t="s">
        <v>234</v>
      </c>
      <c r="D173" s="15">
        <f t="shared" si="1"/>
        <v>1.227598669</v>
      </c>
      <c r="E173" s="15">
        <f t="shared" si="2"/>
        <v>0.7184776502</v>
      </c>
      <c r="F173" s="15">
        <f t="shared" si="3"/>
        <v>0.2275986692</v>
      </c>
      <c r="G173" s="10">
        <f t="shared" si="4"/>
        <v>0.4257562009</v>
      </c>
      <c r="H173" s="2" t="str">
        <f t="shared" si="5"/>
        <v/>
      </c>
      <c r="J173" s="10">
        <f>'Precinct Vote Data'!H666</f>
        <v>0.4519056261</v>
      </c>
      <c r="K173" s="10">
        <f>'Precinct Vote Data'!H667</f>
        <v>0.3984018265</v>
      </c>
      <c r="L173" s="10">
        <f>'Precinct Vote Data'!H668</f>
        <v>0.4395770393</v>
      </c>
      <c r="M173" s="10">
        <f>'Precinct Vote Data'!H669</f>
        <v>0.4131403118</v>
      </c>
      <c r="N173" s="15">
        <f t="shared" si="6"/>
        <v>0.509121019</v>
      </c>
      <c r="O173" s="5">
        <f t="shared" si="7"/>
        <v>80</v>
      </c>
      <c r="Q173" s="5" t="str">
        <f t="shared" si="8"/>
        <v>Lehigh|SLATINGTON|1120</v>
      </c>
    </row>
    <row r="174" ht="15.0" customHeight="1">
      <c r="A174" s="5" t="s">
        <v>143</v>
      </c>
      <c r="B174" s="5" t="s">
        <v>235</v>
      </c>
      <c r="C174" s="5" t="s">
        <v>236</v>
      </c>
      <c r="D174" s="15">
        <f t="shared" si="1"/>
        <v>1.676897652</v>
      </c>
      <c r="E174" s="15">
        <f t="shared" si="2"/>
        <v>0.8900771149</v>
      </c>
      <c r="F174" s="15">
        <f t="shared" si="3"/>
        <v>0.676897652</v>
      </c>
      <c r="G174" s="10">
        <f t="shared" si="4"/>
        <v>0.5114348982</v>
      </c>
      <c r="H174" s="2" t="str">
        <f t="shared" si="5"/>
        <v/>
      </c>
      <c r="J174" s="10">
        <f>'Precinct Vote Data'!H670</f>
        <v>0.5474509804</v>
      </c>
      <c r="K174" s="10">
        <f>'Precinct Vote Data'!H671</f>
        <v>0.4875</v>
      </c>
      <c r="L174" s="10">
        <f>'Precinct Vote Data'!H672</f>
        <v>0.5246478873</v>
      </c>
      <c r="M174" s="10">
        <f>'Precinct Vote Data'!H673</f>
        <v>0.4861407249</v>
      </c>
      <c r="N174" s="15">
        <f t="shared" si="6"/>
        <v>0.7868205372</v>
      </c>
      <c r="O174" s="5">
        <f t="shared" si="7"/>
        <v>155</v>
      </c>
      <c r="Q174" s="5" t="str">
        <f t="shared" si="8"/>
        <v>Lehigh|SOUTH WHITEHALL|1130</v>
      </c>
    </row>
    <row r="175" ht="15.0" customHeight="1">
      <c r="A175" s="5" t="s">
        <v>143</v>
      </c>
      <c r="B175" s="5" t="s">
        <v>235</v>
      </c>
      <c r="C175" s="5" t="s">
        <v>237</v>
      </c>
      <c r="D175" s="15">
        <f t="shared" si="1"/>
        <v>2.201555385</v>
      </c>
      <c r="E175" s="15">
        <f t="shared" si="2"/>
        <v>0.9986254058</v>
      </c>
      <c r="F175" s="15">
        <f t="shared" si="3"/>
        <v>1.201555385</v>
      </c>
      <c r="G175" s="10">
        <f t="shared" si="4"/>
        <v>0.5329582131</v>
      </c>
      <c r="H175" s="2" t="str">
        <f t="shared" si="5"/>
        <v/>
      </c>
      <c r="J175" s="10">
        <f>'Precinct Vote Data'!H674</f>
        <v>0.5848142165</v>
      </c>
      <c r="K175" s="10">
        <f>'Precinct Vote Data'!H675</f>
        <v>0.5133333333</v>
      </c>
      <c r="L175" s="10">
        <f>'Precinct Vote Data'!H676</f>
        <v>0.5331278891</v>
      </c>
      <c r="M175" s="10">
        <f>'Precinct Vote Data'!H677</f>
        <v>0.5005574136</v>
      </c>
      <c r="N175" s="15">
        <f t="shared" si="6"/>
        <v>1.20292998</v>
      </c>
      <c r="O175" s="5">
        <f t="shared" si="7"/>
        <v>235</v>
      </c>
      <c r="Q175" s="5" t="str">
        <f t="shared" si="8"/>
        <v>Lehigh|SOUTH WHITEHALL|1140</v>
      </c>
    </row>
    <row r="176" ht="15.0" customHeight="1">
      <c r="A176" s="5" t="s">
        <v>143</v>
      </c>
      <c r="B176" s="5" t="s">
        <v>235</v>
      </c>
      <c r="C176" s="5" t="s">
        <v>238</v>
      </c>
      <c r="D176" s="15">
        <f t="shared" si="1"/>
        <v>0.1367664575</v>
      </c>
      <c r="E176" s="15">
        <f t="shared" si="2"/>
        <v>0.01871412335</v>
      </c>
      <c r="F176" s="15">
        <f t="shared" si="3"/>
        <v>0.8632335425</v>
      </c>
      <c r="G176" s="10">
        <f t="shared" si="4"/>
        <v>0.5724005694</v>
      </c>
      <c r="H176" s="2" t="str">
        <f t="shared" si="5"/>
        <v/>
      </c>
      <c r="J176" s="10">
        <f>'Precinct Vote Data'!H678</f>
        <v>0.5676088617</v>
      </c>
      <c r="K176" s="10">
        <f>'Precinct Vote Data'!H679</f>
        <v>0.5656822811</v>
      </c>
      <c r="L176" s="10">
        <f>'Precinct Vote Data'!H680</f>
        <v>0.5970625798</v>
      </c>
      <c r="M176" s="10">
        <f>'Precinct Vote Data'!H681</f>
        <v>0.5592485549</v>
      </c>
      <c r="N176" s="15">
        <f t="shared" si="6"/>
        <v>1.844519419</v>
      </c>
      <c r="O176" s="5">
        <f t="shared" si="7"/>
        <v>332</v>
      </c>
      <c r="Q176" s="5" t="str">
        <f t="shared" si="8"/>
        <v>Lehigh|SOUTH WHITEHALL|1150</v>
      </c>
    </row>
    <row r="177" ht="15.0" customHeight="1">
      <c r="A177" s="5" t="s">
        <v>143</v>
      </c>
      <c r="B177" s="5" t="s">
        <v>235</v>
      </c>
      <c r="C177" s="5" t="s">
        <v>239</v>
      </c>
      <c r="D177" s="15">
        <f t="shared" si="1"/>
        <v>0.9777461558</v>
      </c>
      <c r="E177" s="15">
        <f t="shared" si="2"/>
        <v>0.9924515097</v>
      </c>
      <c r="F177" s="15">
        <f t="shared" si="3"/>
        <v>0.02225384422</v>
      </c>
      <c r="G177" s="10">
        <f t="shared" si="4"/>
        <v>0.4928168605</v>
      </c>
      <c r="H177" s="2" t="str">
        <f t="shared" si="5"/>
        <v>YES</v>
      </c>
      <c r="J177" s="10">
        <f>'Precinct Vote Data'!H682</f>
        <v>0.5162846803</v>
      </c>
      <c r="K177" s="10">
        <f>'Precinct Vote Data'!H683</f>
        <v>0.481884058</v>
      </c>
      <c r="L177" s="10">
        <f>'Precinct Vote Data'!H684</f>
        <v>0.4924506388</v>
      </c>
      <c r="M177" s="10">
        <f>'Precinct Vote Data'!H685</f>
        <v>0.4806480648</v>
      </c>
      <c r="N177" s="15">
        <f t="shared" si="6"/>
        <v>0.0298023345</v>
      </c>
      <c r="O177" s="5">
        <f t="shared" si="7"/>
        <v>1</v>
      </c>
      <c r="Q177" s="5" t="str">
        <f t="shared" si="8"/>
        <v>Lehigh|SOUTH WHITEHALL|1160</v>
      </c>
    </row>
    <row r="178" ht="15.0" customHeight="1">
      <c r="A178" s="5" t="s">
        <v>143</v>
      </c>
      <c r="B178" s="5" t="s">
        <v>235</v>
      </c>
      <c r="C178" s="5" t="s">
        <v>240</v>
      </c>
      <c r="D178" s="15">
        <f t="shared" si="1"/>
        <v>0.5401376485</v>
      </c>
      <c r="E178" s="15">
        <f t="shared" si="2"/>
        <v>0.3992536407</v>
      </c>
      <c r="F178" s="15">
        <f t="shared" si="3"/>
        <v>0.4598623515</v>
      </c>
      <c r="G178" s="10">
        <f t="shared" si="4"/>
        <v>0.6047538507</v>
      </c>
      <c r="H178" s="2" t="str">
        <f t="shared" si="5"/>
        <v/>
      </c>
      <c r="J178" s="10">
        <f>'Precinct Vote Data'!H686</f>
        <v>0.6154422789</v>
      </c>
      <c r="K178" s="10">
        <f>'Precinct Vote Data'!H687</f>
        <v>0.5852861035</v>
      </c>
      <c r="L178" s="10">
        <f>'Precinct Vote Data'!H688</f>
        <v>0.615819209</v>
      </c>
      <c r="M178" s="10">
        <f>'Precinct Vote Data'!H689</f>
        <v>0.6024678112</v>
      </c>
      <c r="N178" s="15">
        <f t="shared" si="6"/>
        <v>1.060608711</v>
      </c>
      <c r="O178" s="5">
        <f t="shared" si="7"/>
        <v>202</v>
      </c>
      <c r="Q178" s="5" t="str">
        <f t="shared" si="8"/>
        <v>Lehigh|SOUTH WHITEHALL|1170</v>
      </c>
    </row>
    <row r="179" ht="15.0" customHeight="1">
      <c r="A179" s="5" t="s">
        <v>143</v>
      </c>
      <c r="B179" s="5" t="s">
        <v>235</v>
      </c>
      <c r="C179" s="5" t="s">
        <v>241</v>
      </c>
      <c r="D179" s="15">
        <f t="shared" si="1"/>
        <v>0.4346377127</v>
      </c>
      <c r="E179" s="15">
        <f t="shared" si="2"/>
        <v>0.23429036</v>
      </c>
      <c r="F179" s="15">
        <f t="shared" si="3"/>
        <v>0.5653622873</v>
      </c>
      <c r="G179" s="10">
        <f t="shared" si="4"/>
        <v>0.6098488336</v>
      </c>
      <c r="H179" s="2" t="str">
        <f t="shared" si="5"/>
        <v/>
      </c>
      <c r="J179" s="10">
        <f>'Precinct Vote Data'!H690</f>
        <v>0.6144</v>
      </c>
      <c r="K179" s="10">
        <f>'Precinct Vote Data'!H691</f>
        <v>0.5968944099</v>
      </c>
      <c r="L179" s="10">
        <f>'Precinct Vote Data'!H692</f>
        <v>0.6292372881</v>
      </c>
      <c r="M179" s="10">
        <f>'Precinct Vote Data'!H693</f>
        <v>0.5988636364</v>
      </c>
      <c r="N179" s="15">
        <f t="shared" si="6"/>
        <v>1.331071927</v>
      </c>
      <c r="O179" s="5">
        <f t="shared" si="7"/>
        <v>255</v>
      </c>
      <c r="Q179" s="5" t="str">
        <f t="shared" si="8"/>
        <v>Lehigh|SOUTH WHITEHALL|1180</v>
      </c>
    </row>
    <row r="180" ht="15.0" customHeight="1">
      <c r="A180" s="5" t="s">
        <v>143</v>
      </c>
      <c r="B180" s="5" t="s">
        <v>235</v>
      </c>
      <c r="C180" s="5" t="s">
        <v>242</v>
      </c>
      <c r="D180" s="15">
        <f t="shared" si="1"/>
        <v>0.9457927131</v>
      </c>
      <c r="E180" s="15">
        <f t="shared" si="2"/>
        <v>0.38087414</v>
      </c>
      <c r="F180" s="15">
        <f t="shared" si="3"/>
        <v>0.05420728692</v>
      </c>
      <c r="G180" s="10">
        <f t="shared" si="4"/>
        <v>0.5311004775</v>
      </c>
      <c r="H180" s="2" t="str">
        <f t="shared" si="5"/>
        <v/>
      </c>
      <c r="J180" s="10">
        <f>'Precinct Vote Data'!H694</f>
        <v>0.5436447167</v>
      </c>
      <c r="K180" s="10">
        <f>'Precinct Vote Data'!H695</f>
        <v>0.5208568207</v>
      </c>
      <c r="L180" s="10">
        <f>'Precinct Vote Data'!H696</f>
        <v>0.5593667546</v>
      </c>
      <c r="M180" s="10">
        <f>'Precinct Vote Data'!H697</f>
        <v>0.5005336179</v>
      </c>
      <c r="N180" s="15">
        <f t="shared" si="6"/>
        <v>0.6733331469</v>
      </c>
      <c r="O180" s="5">
        <f t="shared" si="7"/>
        <v>121</v>
      </c>
      <c r="Q180" s="5" t="str">
        <f t="shared" si="8"/>
        <v>Lehigh|SOUTH WHITEHALL|1190</v>
      </c>
    </row>
    <row r="181" ht="15.0" customHeight="1">
      <c r="A181" s="5" t="s">
        <v>143</v>
      </c>
      <c r="B181" s="5" t="s">
        <v>235</v>
      </c>
      <c r="C181" s="5" t="s">
        <v>243</v>
      </c>
      <c r="D181" s="15">
        <f t="shared" si="1"/>
        <v>0.7963743987</v>
      </c>
      <c r="E181" s="15">
        <f t="shared" si="2"/>
        <v>0.6079774677</v>
      </c>
      <c r="F181" s="15">
        <f t="shared" si="3"/>
        <v>0.2036256013</v>
      </c>
      <c r="G181" s="10">
        <f t="shared" si="4"/>
        <v>0.5114750309</v>
      </c>
      <c r="H181" s="2" t="str">
        <f t="shared" si="5"/>
        <v/>
      </c>
      <c r="J181" s="10">
        <f>'Precinct Vote Data'!H698</f>
        <v>0.5281823939</v>
      </c>
      <c r="K181" s="10">
        <f>'Precinct Vote Data'!H699</f>
        <v>0.490352349</v>
      </c>
      <c r="L181" s="10">
        <f>'Precinct Vote Data'!H700</f>
        <v>0.5223807182</v>
      </c>
      <c r="M181" s="10">
        <f>'Precinct Vote Data'!H701</f>
        <v>0.5049846626</v>
      </c>
      <c r="N181" s="15">
        <f t="shared" si="6"/>
        <v>0.5956481336</v>
      </c>
      <c r="O181" s="5">
        <f t="shared" si="7"/>
        <v>105</v>
      </c>
      <c r="Q181" s="5" t="str">
        <f t="shared" si="8"/>
        <v>Lehigh|SOUTH WHITEHALL|1200</v>
      </c>
    </row>
    <row r="182" ht="15.0" customHeight="1">
      <c r="A182" s="5" t="s">
        <v>143</v>
      </c>
      <c r="B182" s="5" t="s">
        <v>244</v>
      </c>
      <c r="C182" s="5" t="s">
        <v>245</v>
      </c>
      <c r="D182" s="15">
        <f t="shared" si="1"/>
        <v>0.4291554582</v>
      </c>
      <c r="E182" s="15">
        <f t="shared" si="2"/>
        <v>0.2092792645</v>
      </c>
      <c r="F182" s="15">
        <f t="shared" si="3"/>
        <v>0.5708445418</v>
      </c>
      <c r="G182" s="10">
        <f t="shared" si="4"/>
        <v>0.5152000076</v>
      </c>
      <c r="H182" s="2" t="str">
        <f t="shared" si="5"/>
        <v/>
      </c>
      <c r="J182" s="10">
        <f>'Precinct Vote Data'!H702</f>
        <v>0.5189692198</v>
      </c>
      <c r="K182" s="10">
        <f>'Precinct Vote Data'!H703</f>
        <v>0.5035787321</v>
      </c>
      <c r="L182" s="10">
        <f>'Precinct Vote Data'!H704</f>
        <v>0.5359735974</v>
      </c>
      <c r="M182" s="10">
        <f>'Precinct Vote Data'!H705</f>
        <v>0.502278481</v>
      </c>
      <c r="N182" s="15">
        <f t="shared" si="6"/>
        <v>1.361565277</v>
      </c>
      <c r="O182" s="5">
        <f t="shared" si="7"/>
        <v>258</v>
      </c>
      <c r="Q182" s="5" t="str">
        <f t="shared" si="8"/>
        <v>Lehigh|UPPER MACUNGIE|1210</v>
      </c>
    </row>
    <row r="183" ht="15.0" customHeight="1">
      <c r="A183" s="5" t="s">
        <v>143</v>
      </c>
      <c r="B183" s="5" t="s">
        <v>244</v>
      </c>
      <c r="C183" s="5" t="s">
        <v>246</v>
      </c>
      <c r="D183" s="15">
        <f t="shared" si="1"/>
        <v>0.3230167022</v>
      </c>
      <c r="E183" s="15">
        <f t="shared" si="2"/>
        <v>0.2396937463</v>
      </c>
      <c r="F183" s="15">
        <f t="shared" si="3"/>
        <v>0.6769832978</v>
      </c>
      <c r="G183" s="10">
        <f t="shared" si="4"/>
        <v>0.5105652274</v>
      </c>
      <c r="H183" s="2" t="str">
        <f t="shared" si="5"/>
        <v/>
      </c>
      <c r="J183" s="10">
        <f>'Precinct Vote Data'!H706</f>
        <v>0.5162454874</v>
      </c>
      <c r="K183" s="10">
        <f>'Precinct Vote Data'!H707</f>
        <v>0.4951456311</v>
      </c>
      <c r="L183" s="10">
        <f>'Precinct Vote Data'!H708</f>
        <v>0.5205544933</v>
      </c>
      <c r="M183" s="10">
        <f>'Precinct Vote Data'!H709</f>
        <v>0.5103152978</v>
      </c>
      <c r="N183" s="15">
        <f t="shared" si="6"/>
        <v>1.437289551</v>
      </c>
      <c r="O183" s="5">
        <f t="shared" si="7"/>
        <v>275</v>
      </c>
      <c r="Q183" s="5" t="str">
        <f t="shared" si="8"/>
        <v>Lehigh|UPPER MACUNGIE|1220</v>
      </c>
    </row>
    <row r="184" ht="15.0" customHeight="1">
      <c r="A184" s="5" t="s">
        <v>143</v>
      </c>
      <c r="B184" s="5" t="s">
        <v>244</v>
      </c>
      <c r="C184" s="5" t="s">
        <v>247</v>
      </c>
      <c r="D184" s="15">
        <f t="shared" si="1"/>
        <v>0.8474671739</v>
      </c>
      <c r="E184" s="15">
        <f t="shared" si="2"/>
        <v>0.8850864352</v>
      </c>
      <c r="F184" s="15">
        <f t="shared" si="3"/>
        <v>0.1525328261</v>
      </c>
      <c r="G184" s="10">
        <f t="shared" si="4"/>
        <v>0.4767485923</v>
      </c>
      <c r="H184" s="2" t="str">
        <f t="shared" si="5"/>
        <v>YES</v>
      </c>
      <c r="J184" s="10">
        <f>'Precinct Vote Data'!H710</f>
        <v>0.4944774851</v>
      </c>
      <c r="K184" s="10">
        <f>'Precinct Vote Data'!H711</f>
        <v>0.4702308627</v>
      </c>
      <c r="L184" s="10">
        <f>'Precinct Vote Data'!H712</f>
        <v>0.4827586207</v>
      </c>
      <c r="M184" s="10">
        <f>'Precinct Vote Data'!H713</f>
        <v>0.4595274007</v>
      </c>
      <c r="N184" s="15">
        <f t="shared" si="6"/>
        <v>0.2674463909</v>
      </c>
      <c r="O184" s="5">
        <f t="shared" si="7"/>
        <v>21</v>
      </c>
      <c r="Q184" s="5" t="str">
        <f t="shared" si="8"/>
        <v>Lehigh|UPPER MACUNGIE|1230</v>
      </c>
    </row>
    <row r="185" ht="15.0" customHeight="1">
      <c r="A185" s="5" t="s">
        <v>143</v>
      </c>
      <c r="B185" s="5" t="s">
        <v>244</v>
      </c>
      <c r="C185" s="5" t="s">
        <v>248</v>
      </c>
      <c r="D185" s="15">
        <f t="shared" si="1"/>
        <v>2.073566891</v>
      </c>
      <c r="E185" s="15">
        <f t="shared" si="2"/>
        <v>0.811895112</v>
      </c>
      <c r="F185" s="15">
        <f t="shared" si="3"/>
        <v>1.073566891</v>
      </c>
      <c r="G185" s="10">
        <f t="shared" si="4"/>
        <v>0.5733965699</v>
      </c>
      <c r="H185" s="2" t="str">
        <f t="shared" si="5"/>
        <v/>
      </c>
      <c r="J185" s="10">
        <f>'Precinct Vote Data'!H714</f>
        <v>0.6229508197</v>
      </c>
      <c r="K185" s="10">
        <f>'Precinct Vote Data'!H715</f>
        <v>0.5777777778</v>
      </c>
      <c r="L185" s="10">
        <f>'Precinct Vote Data'!H716</f>
        <v>0.5633187773</v>
      </c>
      <c r="M185" s="10">
        <f>'Precinct Vote Data'!H717</f>
        <v>0.5295389049</v>
      </c>
      <c r="N185" s="15">
        <f t="shared" si="6"/>
        <v>1.261671779</v>
      </c>
      <c r="O185" s="5">
        <f t="shared" si="7"/>
        <v>243</v>
      </c>
      <c r="Q185" s="5" t="str">
        <f t="shared" si="8"/>
        <v>Lehigh|UPPER MACUNGIE|1240</v>
      </c>
    </row>
    <row r="186" ht="15.0" customHeight="1">
      <c r="A186" s="5" t="s">
        <v>143</v>
      </c>
      <c r="B186" s="5" t="s">
        <v>244</v>
      </c>
      <c r="C186" s="5" t="s">
        <v>249</v>
      </c>
      <c r="D186" s="15">
        <f t="shared" si="1"/>
        <v>-0.1913411912</v>
      </c>
      <c r="E186" s="15">
        <f t="shared" si="2"/>
        <v>0.06217897835</v>
      </c>
      <c r="F186" s="15">
        <f t="shared" si="3"/>
        <v>1.191341191</v>
      </c>
      <c r="G186" s="10">
        <f t="shared" si="4"/>
        <v>0.5342188846</v>
      </c>
      <c r="H186" s="2" t="str">
        <f t="shared" si="5"/>
        <v/>
      </c>
      <c r="J186" s="10">
        <f>'Precinct Vote Data'!H718</f>
        <v>0.5246636771</v>
      </c>
      <c r="K186" s="10">
        <f>'Precinct Vote Data'!H719</f>
        <v>0.5252342097</v>
      </c>
      <c r="L186" s="10">
        <f>'Precinct Vote Data'!H720</f>
        <v>0.5523324187</v>
      </c>
      <c r="M186" s="10">
        <f>'Precinct Vote Data'!H721</f>
        <v>0.5346452328</v>
      </c>
      <c r="N186" s="15">
        <f t="shared" si="6"/>
        <v>2.129162213</v>
      </c>
      <c r="O186" s="5">
        <f t="shared" si="7"/>
        <v>367</v>
      </c>
      <c r="Q186" s="5" t="str">
        <f t="shared" si="8"/>
        <v>Lehigh|UPPER MACUNGIE|1245</v>
      </c>
    </row>
    <row r="187" ht="15.0" customHeight="1">
      <c r="A187" s="5" t="s">
        <v>143</v>
      </c>
      <c r="B187" s="5" t="s">
        <v>244</v>
      </c>
      <c r="C187" s="5" t="s">
        <v>250</v>
      </c>
      <c r="D187" s="15">
        <f t="shared" si="1"/>
        <v>1.367287024</v>
      </c>
      <c r="E187" s="15">
        <f t="shared" si="2"/>
        <v>0.6804918986</v>
      </c>
      <c r="F187" s="15">
        <f t="shared" si="3"/>
        <v>0.3672870243</v>
      </c>
      <c r="G187" s="10">
        <f t="shared" si="4"/>
        <v>0.5473342625</v>
      </c>
      <c r="H187" s="2" t="str">
        <f t="shared" si="5"/>
        <v/>
      </c>
      <c r="J187" s="10">
        <f>'Precinct Vote Data'!H722</f>
        <v>0.5779220779</v>
      </c>
      <c r="K187" s="10">
        <f>'Precinct Vote Data'!H723</f>
        <v>0.5558157689</v>
      </c>
      <c r="L187" s="10">
        <f>'Precinct Vote Data'!H724</f>
        <v>0.5445859873</v>
      </c>
      <c r="M187" s="10">
        <f>'Precinct Vote Data'!H725</f>
        <v>0.5110132159</v>
      </c>
      <c r="N187" s="15">
        <f t="shared" si="6"/>
        <v>0.6867951258</v>
      </c>
      <c r="O187" s="5">
        <f t="shared" si="7"/>
        <v>126</v>
      </c>
      <c r="Q187" s="5" t="str">
        <f t="shared" si="8"/>
        <v>Lehigh|UPPER MACUNGIE|1246</v>
      </c>
    </row>
    <row r="188" ht="15.0" customHeight="1">
      <c r="A188" s="5" t="s">
        <v>143</v>
      </c>
      <c r="B188" s="5" t="s">
        <v>244</v>
      </c>
      <c r="C188" s="5" t="s">
        <v>251</v>
      </c>
      <c r="D188" s="15">
        <f t="shared" si="1"/>
        <v>0.4101148958</v>
      </c>
      <c r="E188" s="15">
        <f t="shared" si="2"/>
        <v>0.1759612966</v>
      </c>
      <c r="F188" s="15">
        <f t="shared" si="3"/>
        <v>0.5898851042</v>
      </c>
      <c r="G188" s="10">
        <f t="shared" si="4"/>
        <v>0.5386771372</v>
      </c>
      <c r="H188" s="2" t="str">
        <f t="shared" si="5"/>
        <v/>
      </c>
      <c r="J188" s="10">
        <f>'Precinct Vote Data'!H726</f>
        <v>0.5469336671</v>
      </c>
      <c r="K188" s="10">
        <f>'Precinct Vote Data'!H727</f>
        <v>0.5143504532</v>
      </c>
      <c r="L188" s="10">
        <f>'Precinct Vote Data'!H728</f>
        <v>0.5501113586</v>
      </c>
      <c r="M188" s="10">
        <f>'Precinct Vote Data'!H729</f>
        <v>0.5433130699</v>
      </c>
      <c r="N188" s="15">
        <f t="shared" si="6"/>
        <v>1.413923808</v>
      </c>
      <c r="O188" s="5">
        <f t="shared" si="7"/>
        <v>269</v>
      </c>
      <c r="Q188" s="5" t="str">
        <f t="shared" si="8"/>
        <v>Lehigh|UPPER MACUNGIE|1247</v>
      </c>
    </row>
    <row r="189" ht="15.0" customHeight="1">
      <c r="A189" s="5" t="s">
        <v>143</v>
      </c>
      <c r="B189" s="5" t="s">
        <v>244</v>
      </c>
      <c r="C189" s="5" t="s">
        <v>252</v>
      </c>
      <c r="D189" s="15">
        <f t="shared" si="1"/>
        <v>0.5854954351</v>
      </c>
      <c r="E189" s="15">
        <f t="shared" si="2"/>
        <v>0.7502980025</v>
      </c>
      <c r="F189" s="15">
        <f t="shared" si="3"/>
        <v>0.4145045649</v>
      </c>
      <c r="G189" s="10">
        <f t="shared" si="4"/>
        <v>0.5263375914</v>
      </c>
      <c r="H189" s="2" t="str">
        <f t="shared" si="5"/>
        <v/>
      </c>
      <c r="J189" s="10">
        <f>'Precinct Vote Data'!H730</f>
        <v>0.5400739827</v>
      </c>
      <c r="K189" s="10">
        <f>'Precinct Vote Data'!H731</f>
        <v>0.5288389513</v>
      </c>
      <c r="L189" s="10">
        <f>'Precinct Vote Data'!H732</f>
        <v>0.5237613751</v>
      </c>
      <c r="M189" s="10">
        <f>'Precinct Vote Data'!H733</f>
        <v>0.5126760563</v>
      </c>
      <c r="N189" s="15">
        <f t="shared" si="6"/>
        <v>0.6642065624</v>
      </c>
      <c r="O189" s="5">
        <f t="shared" si="7"/>
        <v>119</v>
      </c>
      <c r="Q189" s="5" t="str">
        <f t="shared" si="8"/>
        <v>Lehigh|UPPER MACUNGIE|1248</v>
      </c>
    </row>
    <row r="190" ht="15.0" customHeight="1">
      <c r="A190" s="5" t="s">
        <v>143</v>
      </c>
      <c r="B190" s="5" t="s">
        <v>253</v>
      </c>
      <c r="C190" s="5" t="s">
        <v>254</v>
      </c>
      <c r="D190" s="15">
        <f t="shared" si="1"/>
        <v>0.6884241093</v>
      </c>
      <c r="E190" s="15">
        <f t="shared" si="2"/>
        <v>0.6588666216</v>
      </c>
      <c r="F190" s="15">
        <f t="shared" si="3"/>
        <v>0.3115758907</v>
      </c>
      <c r="G190" s="10">
        <f t="shared" si="4"/>
        <v>0.4751437353</v>
      </c>
      <c r="H190" s="2" t="str">
        <f t="shared" si="5"/>
        <v/>
      </c>
      <c r="J190" s="10">
        <f>'Precinct Vote Data'!H734</f>
        <v>0.4886663152</v>
      </c>
      <c r="K190" s="10">
        <f>'Precinct Vote Data'!H735</f>
        <v>0.4602451839</v>
      </c>
      <c r="L190" s="10">
        <f>'Precinct Vote Data'!H736</f>
        <v>0.4859663192</v>
      </c>
      <c r="M190" s="10">
        <f>'Precinct Vote Data'!H737</f>
        <v>0.465697123</v>
      </c>
      <c r="N190" s="15">
        <f t="shared" si="6"/>
        <v>0.6527092691</v>
      </c>
      <c r="O190" s="5">
        <f t="shared" si="7"/>
        <v>117</v>
      </c>
      <c r="Q190" s="5" t="str">
        <f t="shared" si="8"/>
        <v>Lehigh|UPPER MILFORD|1250</v>
      </c>
    </row>
    <row r="191" ht="15.0" customHeight="1">
      <c r="A191" s="5" t="s">
        <v>143</v>
      </c>
      <c r="B191" s="5" t="s">
        <v>253</v>
      </c>
      <c r="C191" s="5" t="s">
        <v>255</v>
      </c>
      <c r="D191" s="15">
        <f t="shared" si="1"/>
        <v>0.9696562929</v>
      </c>
      <c r="E191" s="15">
        <f t="shared" si="2"/>
        <v>0.8553312041</v>
      </c>
      <c r="F191" s="15">
        <f t="shared" si="3"/>
        <v>0.03034370707</v>
      </c>
      <c r="G191" s="10">
        <f t="shared" si="4"/>
        <v>0.4030337029</v>
      </c>
      <c r="H191" s="2" t="str">
        <f t="shared" si="5"/>
        <v>YES</v>
      </c>
      <c r="J191" s="10">
        <f>'Precinct Vote Data'!H738</f>
        <v>0.4229885057</v>
      </c>
      <c r="K191" s="10">
        <f>'Precinct Vote Data'!H739</f>
        <v>0.391042205</v>
      </c>
      <c r="L191" s="10">
        <f>'Precinct Vote Data'!H740</f>
        <v>0.4124748491</v>
      </c>
      <c r="M191" s="10">
        <f>'Precinct Vote Data'!H741</f>
        <v>0.3856292517</v>
      </c>
      <c r="N191" s="15">
        <f t="shared" si="6"/>
        <v>0.175012503</v>
      </c>
      <c r="O191" s="5">
        <f t="shared" si="7"/>
        <v>8</v>
      </c>
      <c r="Q191" s="5" t="str">
        <f t="shared" si="8"/>
        <v>Lehigh|UPPER MILFORD|1260</v>
      </c>
    </row>
    <row r="192" ht="15.0" customHeight="1">
      <c r="A192" s="5" t="s">
        <v>143</v>
      </c>
      <c r="B192" s="5" t="s">
        <v>256</v>
      </c>
      <c r="C192" s="5" t="s">
        <v>257</v>
      </c>
      <c r="D192" s="15">
        <f t="shared" si="1"/>
        <v>0.09380788729</v>
      </c>
      <c r="E192" s="15">
        <f t="shared" si="2"/>
        <v>0.01187259395</v>
      </c>
      <c r="F192" s="15">
        <f t="shared" si="3"/>
        <v>0.9061921127</v>
      </c>
      <c r="G192" s="10">
        <f t="shared" si="4"/>
        <v>0.4883939392</v>
      </c>
      <c r="H192" s="2" t="str">
        <f t="shared" si="5"/>
        <v/>
      </c>
      <c r="J192" s="10">
        <f>'Precinct Vote Data'!H742</f>
        <v>0.4853503185</v>
      </c>
      <c r="K192" s="10">
        <f>'Precinct Vote Data'!H743</f>
        <v>0.4735553379</v>
      </c>
      <c r="L192" s="10">
        <f>'Precinct Vote Data'!H744</f>
        <v>0.5082999428</v>
      </c>
      <c r="M192" s="10">
        <f>'Precinct Vote Data'!H745</f>
        <v>0.4863701578</v>
      </c>
      <c r="N192" s="15">
        <f t="shared" si="6"/>
        <v>1.894319519</v>
      </c>
      <c r="O192" s="5">
        <f t="shared" si="7"/>
        <v>336</v>
      </c>
      <c r="Q192" s="5" t="str">
        <f t="shared" si="8"/>
        <v>Lehigh|UPPER SAUCON|1270</v>
      </c>
    </row>
    <row r="193" ht="15.0" customHeight="1">
      <c r="A193" s="5" t="s">
        <v>143</v>
      </c>
      <c r="B193" s="5" t="s">
        <v>256</v>
      </c>
      <c r="C193" s="5" t="s">
        <v>258</v>
      </c>
      <c r="D193" s="15">
        <f t="shared" si="1"/>
        <v>0.5286378706</v>
      </c>
      <c r="E193" s="15">
        <f t="shared" si="2"/>
        <v>0.1857121217</v>
      </c>
      <c r="F193" s="15">
        <f t="shared" si="3"/>
        <v>0.4713621294</v>
      </c>
      <c r="G193" s="10">
        <f t="shared" si="4"/>
        <v>0.463547364</v>
      </c>
      <c r="H193" s="2" t="str">
        <f t="shared" si="5"/>
        <v/>
      </c>
      <c r="J193" s="10">
        <f>'Precinct Vote Data'!H746</f>
        <v>0.4744232698</v>
      </c>
      <c r="K193" s="10">
        <f>'Precinct Vote Data'!H747</f>
        <v>0.4329685363</v>
      </c>
      <c r="L193" s="10">
        <f>'Precinct Vote Data'!H748</f>
        <v>0.4773462783</v>
      </c>
      <c r="M193" s="10">
        <f>'Precinct Vote Data'!H749</f>
        <v>0.4694513716</v>
      </c>
      <c r="N193" s="15">
        <f t="shared" si="6"/>
        <v>1.285650008</v>
      </c>
      <c r="O193" s="5">
        <f t="shared" si="7"/>
        <v>248</v>
      </c>
      <c r="Q193" s="5" t="str">
        <f t="shared" si="8"/>
        <v>Lehigh|UPPER SAUCON|1280</v>
      </c>
    </row>
    <row r="194" ht="15.0" customHeight="1">
      <c r="A194" s="5" t="s">
        <v>143</v>
      </c>
      <c r="B194" s="5" t="s">
        <v>256</v>
      </c>
      <c r="C194" s="5" t="s">
        <v>259</v>
      </c>
      <c r="D194" s="15">
        <f t="shared" si="1"/>
        <v>0.4451194896</v>
      </c>
      <c r="E194" s="15">
        <f t="shared" si="2"/>
        <v>0.338577609</v>
      </c>
      <c r="F194" s="15">
        <f t="shared" si="3"/>
        <v>0.5548805104</v>
      </c>
      <c r="G194" s="10">
        <f t="shared" si="4"/>
        <v>0.4826575417</v>
      </c>
      <c r="H194" s="2" t="str">
        <f t="shared" si="5"/>
        <v/>
      </c>
      <c r="J194" s="10">
        <f>'Precinct Vote Data'!H750</f>
        <v>0.4898989899</v>
      </c>
      <c r="K194" s="10">
        <f>'Precinct Vote Data'!H751</f>
        <v>0.4671532847</v>
      </c>
      <c r="L194" s="10">
        <f>'Precinct Vote Data'!H752</f>
        <v>0.4960159363</v>
      </c>
      <c r="M194" s="10">
        <f>'Precinct Vote Data'!H753</f>
        <v>0.4775619558</v>
      </c>
      <c r="N194" s="15">
        <f t="shared" si="6"/>
        <v>1.216302901</v>
      </c>
      <c r="O194" s="5">
        <f t="shared" si="7"/>
        <v>238</v>
      </c>
      <c r="Q194" s="5" t="str">
        <f t="shared" si="8"/>
        <v>Lehigh|UPPER SAUCON|1290</v>
      </c>
    </row>
    <row r="195" ht="15.0" customHeight="1">
      <c r="A195" s="5" t="s">
        <v>143</v>
      </c>
      <c r="B195" s="5" t="s">
        <v>256</v>
      </c>
      <c r="C195" s="5" t="s">
        <v>260</v>
      </c>
      <c r="D195" s="15">
        <f t="shared" si="1"/>
        <v>0.2707322128</v>
      </c>
      <c r="E195" s="15">
        <f t="shared" si="2"/>
        <v>0.1209481929</v>
      </c>
      <c r="F195" s="15">
        <f t="shared" si="3"/>
        <v>0.7292677872</v>
      </c>
      <c r="G195" s="10">
        <f t="shared" si="4"/>
        <v>0.4766578427</v>
      </c>
      <c r="H195" s="2" t="str">
        <f t="shared" si="5"/>
        <v/>
      </c>
      <c r="J195" s="10">
        <f>'Precinct Vote Data'!H754</f>
        <v>0.4810242341</v>
      </c>
      <c r="K195" s="10">
        <f>'Precinct Vote Data'!H755</f>
        <v>0.4578616352</v>
      </c>
      <c r="L195" s="10">
        <f>'Precinct Vote Data'!H756</f>
        <v>0.4882575758</v>
      </c>
      <c r="M195" s="10">
        <f>'Precinct Vote Data'!H757</f>
        <v>0.4794879255</v>
      </c>
      <c r="N195" s="15">
        <f t="shared" si="6"/>
        <v>1.608319594</v>
      </c>
      <c r="O195" s="5">
        <f t="shared" si="7"/>
        <v>301</v>
      </c>
      <c r="Q195" s="5" t="str">
        <f t="shared" si="8"/>
        <v>Lehigh|UPPER SAUCON|1300</v>
      </c>
    </row>
    <row r="196" ht="15.0" customHeight="1">
      <c r="A196" s="5" t="s">
        <v>143</v>
      </c>
      <c r="B196" s="5" t="s">
        <v>256</v>
      </c>
      <c r="C196" s="5" t="s">
        <v>261</v>
      </c>
      <c r="D196" s="15">
        <f t="shared" si="1"/>
        <v>-0.1585340336</v>
      </c>
      <c r="E196" s="15">
        <f t="shared" si="2"/>
        <v>0.01751578857</v>
      </c>
      <c r="F196" s="15">
        <f t="shared" si="3"/>
        <v>1.158534034</v>
      </c>
      <c r="G196" s="10">
        <f t="shared" si="4"/>
        <v>0.496672889</v>
      </c>
      <c r="H196" s="2" t="str">
        <f t="shared" si="5"/>
        <v/>
      </c>
      <c r="J196" s="10">
        <f>'Precinct Vote Data'!H758</f>
        <v>0.4886128364</v>
      </c>
      <c r="K196" s="10">
        <f>'Precinct Vote Data'!H759</f>
        <v>0.4725770098</v>
      </c>
      <c r="L196" s="10">
        <f>'Precinct Vote Data'!H760</f>
        <v>0.5180722892</v>
      </c>
      <c r="M196" s="10">
        <f>'Precinct Vote Data'!H761</f>
        <v>0.5074294205</v>
      </c>
      <c r="N196" s="15">
        <f t="shared" si="6"/>
        <v>2.141018245</v>
      </c>
      <c r="O196" s="5">
        <f t="shared" si="7"/>
        <v>369</v>
      </c>
      <c r="Q196" s="5" t="str">
        <f t="shared" si="8"/>
        <v>Lehigh|UPPER SAUCON|1302</v>
      </c>
    </row>
    <row r="197" ht="15.0" customHeight="1">
      <c r="A197" s="5" t="s">
        <v>143</v>
      </c>
      <c r="B197" s="5" t="s">
        <v>256</v>
      </c>
      <c r="C197" s="5" t="s">
        <v>262</v>
      </c>
      <c r="D197" s="15">
        <f t="shared" si="1"/>
        <v>0.959614391</v>
      </c>
      <c r="E197" s="15">
        <f t="shared" si="2"/>
        <v>0.7341161377</v>
      </c>
      <c r="F197" s="15">
        <f t="shared" si="3"/>
        <v>0.04038560903</v>
      </c>
      <c r="G197" s="10">
        <f t="shared" si="4"/>
        <v>0.535168252</v>
      </c>
      <c r="H197" s="2" t="str">
        <f t="shared" si="5"/>
        <v>YES</v>
      </c>
      <c r="J197" s="10">
        <f>'Precinct Vote Data'!H762</f>
        <v>0.5561674009</v>
      </c>
      <c r="K197" s="10">
        <f>'Precinct Vote Data'!H763</f>
        <v>0.5136702568</v>
      </c>
      <c r="L197" s="10">
        <f>'Precinct Vote Data'!H764</f>
        <v>0.5444340505</v>
      </c>
      <c r="M197" s="10">
        <f>'Precinct Vote Data'!H765</f>
        <v>0.5264012998</v>
      </c>
      <c r="N197" s="15">
        <f t="shared" si="6"/>
        <v>0.3062694713</v>
      </c>
      <c r="O197" s="5">
        <f t="shared" si="7"/>
        <v>26</v>
      </c>
      <c r="Q197" s="5" t="str">
        <f t="shared" si="8"/>
        <v>Lehigh|UPPER SAUCON|1305</v>
      </c>
    </row>
    <row r="198" ht="15.0" customHeight="1">
      <c r="A198" s="5" t="s">
        <v>143</v>
      </c>
      <c r="B198" s="5" t="s">
        <v>263</v>
      </c>
      <c r="C198" s="5" t="s">
        <v>264</v>
      </c>
      <c r="D198" s="15">
        <f t="shared" si="1"/>
        <v>0.4275363133</v>
      </c>
      <c r="E198" s="15">
        <f t="shared" si="2"/>
        <v>0.391519093</v>
      </c>
      <c r="F198" s="15">
        <f t="shared" si="3"/>
        <v>0.5724636867</v>
      </c>
      <c r="G198" s="10">
        <f t="shared" si="4"/>
        <v>0.3144289287</v>
      </c>
      <c r="H198" s="2" t="str">
        <f t="shared" si="5"/>
        <v/>
      </c>
      <c r="J198" s="10">
        <f>'Precinct Vote Data'!H766</f>
        <v>0.3232104121</v>
      </c>
      <c r="K198" s="10">
        <f>'Precinct Vote Data'!H767</f>
        <v>0.2984869326</v>
      </c>
      <c r="L198" s="10">
        <f>'Precinct Vote Data'!H768</f>
        <v>0.3224699828</v>
      </c>
      <c r="M198" s="10">
        <f>'Precinct Vote Data'!H769</f>
        <v>0.3135483871</v>
      </c>
      <c r="N198" s="15">
        <f t="shared" si="6"/>
        <v>1.180944594</v>
      </c>
      <c r="O198" s="5">
        <f t="shared" si="7"/>
        <v>225</v>
      </c>
      <c r="Q198" s="5" t="str">
        <f t="shared" si="8"/>
        <v>Lehigh|WASHINGTON|1310</v>
      </c>
    </row>
    <row r="199" ht="15.0" customHeight="1">
      <c r="A199" s="5" t="s">
        <v>143</v>
      </c>
      <c r="B199" s="5" t="s">
        <v>263</v>
      </c>
      <c r="C199" s="5" t="s">
        <v>265</v>
      </c>
      <c r="D199" s="15">
        <f t="shared" si="1"/>
        <v>0.9857567468</v>
      </c>
      <c r="E199" s="15">
        <f t="shared" si="2"/>
        <v>0.6758038809</v>
      </c>
      <c r="F199" s="15">
        <f t="shared" si="3"/>
        <v>0.01424325319</v>
      </c>
      <c r="G199" s="10">
        <f t="shared" si="4"/>
        <v>0.3499160125</v>
      </c>
      <c r="H199" s="2" t="str">
        <f t="shared" si="5"/>
        <v/>
      </c>
      <c r="J199" s="10">
        <f>'Precinct Vote Data'!H770</f>
        <v>0.3696741855</v>
      </c>
      <c r="K199" s="10">
        <f>'Precinct Vote Data'!H771</f>
        <v>0.3284313725</v>
      </c>
      <c r="L199" s="10">
        <f>'Precinct Vote Data'!H772</f>
        <v>0.3643491898</v>
      </c>
      <c r="M199" s="10">
        <f>'Precinct Vote Data'!H773</f>
        <v>0.3372093023</v>
      </c>
      <c r="N199" s="15">
        <f t="shared" si="6"/>
        <v>0.3384393723</v>
      </c>
      <c r="O199" s="5">
        <f t="shared" si="7"/>
        <v>34</v>
      </c>
      <c r="Q199" s="5" t="str">
        <f t="shared" si="8"/>
        <v>Lehigh|WASHINGTON|1320</v>
      </c>
    </row>
    <row r="200" ht="15.0" customHeight="1">
      <c r="A200" s="5" t="s">
        <v>143</v>
      </c>
      <c r="B200" s="5" t="s">
        <v>263</v>
      </c>
      <c r="C200" s="5" t="s">
        <v>266</v>
      </c>
      <c r="D200" s="15">
        <f t="shared" si="1"/>
        <v>0.9688076011</v>
      </c>
      <c r="E200" s="15">
        <f t="shared" si="2"/>
        <v>0.3143094</v>
      </c>
      <c r="F200" s="15">
        <f t="shared" si="3"/>
        <v>0.03119239895</v>
      </c>
      <c r="G200" s="10">
        <f t="shared" si="4"/>
        <v>0.3168958558</v>
      </c>
      <c r="H200" s="2" t="str">
        <f t="shared" si="5"/>
        <v/>
      </c>
      <c r="J200" s="10">
        <f>'Precinct Vote Data'!H774</f>
        <v>0.3317073171</v>
      </c>
      <c r="K200" s="10">
        <f>'Precinct Vote Data'!H775</f>
        <v>0.3312302839</v>
      </c>
      <c r="L200" s="10">
        <f>'Precinct Vote Data'!H776</f>
        <v>0.331372549</v>
      </c>
      <c r="M200" s="10">
        <f>'Precinct Vote Data'!H777</f>
        <v>0.2732732733</v>
      </c>
      <c r="N200" s="15">
        <f t="shared" si="6"/>
        <v>0.716882999</v>
      </c>
      <c r="O200" s="5">
        <f t="shared" si="7"/>
        <v>134</v>
      </c>
      <c r="Q200" s="5" t="str">
        <f t="shared" si="8"/>
        <v>Lehigh|WASHINGTON|1330</v>
      </c>
    </row>
    <row r="201" ht="15.0" customHeight="1">
      <c r="A201" s="5" t="s">
        <v>143</v>
      </c>
      <c r="B201" s="5" t="s">
        <v>267</v>
      </c>
      <c r="C201" s="5" t="s">
        <v>268</v>
      </c>
      <c r="D201" s="15">
        <f t="shared" si="1"/>
        <v>0.2544554099</v>
      </c>
      <c r="E201" s="15">
        <f t="shared" si="2"/>
        <v>0.1051523229</v>
      </c>
      <c r="F201" s="15">
        <f t="shared" si="3"/>
        <v>0.7455445901</v>
      </c>
      <c r="G201" s="10">
        <f t="shared" si="4"/>
        <v>0.3488278143</v>
      </c>
      <c r="H201" s="2" t="str">
        <f t="shared" si="5"/>
        <v/>
      </c>
      <c r="J201" s="10">
        <f>'Precinct Vote Data'!H778</f>
        <v>0.3511319949</v>
      </c>
      <c r="K201" s="10">
        <f>'Precinct Vote Data'!H779</f>
        <v>0.332301022</v>
      </c>
      <c r="L201" s="10">
        <f>'Precinct Vote Data'!H780</f>
        <v>0.3644130758</v>
      </c>
      <c r="M201" s="10">
        <f>'Precinct Vote Data'!H781</f>
        <v>0.3474651645</v>
      </c>
      <c r="N201" s="15">
        <f t="shared" si="6"/>
        <v>1.640392267</v>
      </c>
      <c r="O201" s="5">
        <f t="shared" si="7"/>
        <v>303</v>
      </c>
      <c r="Q201" s="5" t="str">
        <f t="shared" si="8"/>
        <v>Lehigh|WEISENBERG|1340</v>
      </c>
    </row>
    <row r="202" ht="15.0" customHeight="1">
      <c r="A202" s="5" t="s">
        <v>143</v>
      </c>
      <c r="B202" s="5" t="s">
        <v>269</v>
      </c>
      <c r="C202" s="5" t="s">
        <v>270</v>
      </c>
      <c r="D202" s="15">
        <f t="shared" si="1"/>
        <v>1.6779815</v>
      </c>
      <c r="E202" s="15">
        <f t="shared" si="2"/>
        <v>0.7779951778</v>
      </c>
      <c r="F202" s="15">
        <f t="shared" si="3"/>
        <v>0.6779815004</v>
      </c>
      <c r="G202" s="10">
        <f t="shared" si="4"/>
        <v>0.6236942456</v>
      </c>
      <c r="H202" s="2" t="str">
        <f t="shared" si="5"/>
        <v/>
      </c>
      <c r="J202" s="10">
        <f>'Precinct Vote Data'!H782</f>
        <v>0.6631355932</v>
      </c>
      <c r="K202" s="10">
        <f>'Precinct Vote Data'!H783</f>
        <v>0.6291980809</v>
      </c>
      <c r="L202" s="10">
        <f>'Precinct Vote Data'!H784</f>
        <v>0.6167002012</v>
      </c>
      <c r="M202" s="10">
        <f>'Precinct Vote Data'!H785</f>
        <v>0.5857431069</v>
      </c>
      <c r="N202" s="15">
        <f t="shared" si="6"/>
        <v>0.8999863226</v>
      </c>
      <c r="O202" s="5">
        <f t="shared" si="7"/>
        <v>174</v>
      </c>
      <c r="Q202" s="5" t="str">
        <f t="shared" si="8"/>
        <v>Lehigh|WHITEHALL|1350</v>
      </c>
    </row>
    <row r="203" ht="15.0" customHeight="1">
      <c r="A203" s="5" t="s">
        <v>143</v>
      </c>
      <c r="B203" s="5" t="s">
        <v>269</v>
      </c>
      <c r="C203" s="5" t="s">
        <v>271</v>
      </c>
      <c r="D203" s="15">
        <f t="shared" si="1"/>
        <v>1.572088655</v>
      </c>
      <c r="E203" s="15">
        <f t="shared" si="2"/>
        <v>0.9128719385</v>
      </c>
      <c r="F203" s="15">
        <f t="shared" si="3"/>
        <v>0.5720886549</v>
      </c>
      <c r="G203" s="10">
        <f t="shared" si="4"/>
        <v>0.5611362096</v>
      </c>
      <c r="H203" s="2" t="str">
        <f t="shared" si="5"/>
        <v/>
      </c>
      <c r="J203" s="10">
        <f>'Precinct Vote Data'!H786</f>
        <v>0.5954198473</v>
      </c>
      <c r="K203" s="10">
        <f>'Precinct Vote Data'!H787</f>
        <v>0.5394045534</v>
      </c>
      <c r="L203" s="10">
        <f>'Precinct Vote Data'!H788</f>
        <v>0.5718015666</v>
      </c>
      <c r="M203" s="10">
        <f>'Precinct Vote Data'!H789</f>
        <v>0.5379188713</v>
      </c>
      <c r="N203" s="15">
        <f t="shared" si="6"/>
        <v>0.6592167164</v>
      </c>
      <c r="O203" s="5">
        <f t="shared" si="7"/>
        <v>118</v>
      </c>
      <c r="Q203" s="5" t="str">
        <f t="shared" si="8"/>
        <v>Lehigh|WHITEHALL|1360</v>
      </c>
    </row>
    <row r="204" ht="15.0" customHeight="1">
      <c r="A204" s="5" t="s">
        <v>143</v>
      </c>
      <c r="B204" s="5" t="s">
        <v>269</v>
      </c>
      <c r="C204" s="5" t="s">
        <v>272</v>
      </c>
      <c r="D204" s="15">
        <f t="shared" si="1"/>
        <v>2.230146842</v>
      </c>
      <c r="E204" s="15">
        <f t="shared" si="2"/>
        <v>0.5271013714</v>
      </c>
      <c r="F204" s="15">
        <f t="shared" si="3"/>
        <v>1.230146842</v>
      </c>
      <c r="G204" s="10">
        <f t="shared" si="4"/>
        <v>0.6694308007</v>
      </c>
      <c r="H204" s="2" t="str">
        <f t="shared" si="5"/>
        <v/>
      </c>
      <c r="J204" s="10">
        <f>'Precinct Vote Data'!H790</f>
        <v>0.7137176938</v>
      </c>
      <c r="K204" s="10">
        <f>'Precinct Vote Data'!H791</f>
        <v>0.6908045977</v>
      </c>
      <c r="L204" s="10">
        <f>'Precinct Vote Data'!H792</f>
        <v>0.6780952381</v>
      </c>
      <c r="M204" s="10">
        <f>'Precinct Vote Data'!H793</f>
        <v>0.595105673</v>
      </c>
      <c r="N204" s="15">
        <f t="shared" si="6"/>
        <v>1.703045471</v>
      </c>
      <c r="O204" s="5">
        <f t="shared" si="7"/>
        <v>312</v>
      </c>
      <c r="Q204" s="5" t="str">
        <f t="shared" si="8"/>
        <v>Lehigh|WHITEHALL|1370</v>
      </c>
    </row>
    <row r="205" ht="15.0" customHeight="1">
      <c r="A205" s="5" t="s">
        <v>143</v>
      </c>
      <c r="B205" s="5" t="s">
        <v>269</v>
      </c>
      <c r="C205" s="5" t="s">
        <v>273</v>
      </c>
      <c r="D205" s="15">
        <f t="shared" si="1"/>
        <v>1.041621719</v>
      </c>
      <c r="E205" s="15">
        <f t="shared" si="2"/>
        <v>0.6586268072</v>
      </c>
      <c r="F205" s="15">
        <f t="shared" si="3"/>
        <v>0.04162171947</v>
      </c>
      <c r="G205" s="10">
        <f t="shared" si="4"/>
        <v>0.5610695241</v>
      </c>
      <c r="H205" s="2" t="str">
        <f t="shared" si="5"/>
        <v/>
      </c>
      <c r="J205" s="10">
        <f>'Precinct Vote Data'!H794</f>
        <v>0.5848142165</v>
      </c>
      <c r="K205" s="10">
        <f>'Precinct Vote Data'!H795</f>
        <v>0.5340314136</v>
      </c>
      <c r="L205" s="10">
        <f>'Precinct Vote Data'!H796</f>
        <v>0.5697674419</v>
      </c>
      <c r="M205" s="10">
        <f>'Precinct Vote Data'!H797</f>
        <v>0.5556650246</v>
      </c>
      <c r="N205" s="15">
        <f t="shared" si="6"/>
        <v>0.3829949122</v>
      </c>
      <c r="O205" s="5">
        <f t="shared" si="7"/>
        <v>49</v>
      </c>
      <c r="Q205" s="5" t="str">
        <f t="shared" si="8"/>
        <v>Lehigh|WHITEHALL|1380</v>
      </c>
    </row>
    <row r="206" ht="15.0" customHeight="1">
      <c r="A206" s="5" t="s">
        <v>143</v>
      </c>
      <c r="B206" s="5" t="s">
        <v>269</v>
      </c>
      <c r="C206" s="5" t="s">
        <v>274</v>
      </c>
      <c r="D206" s="15">
        <f t="shared" si="1"/>
        <v>2.567591943</v>
      </c>
      <c r="E206" s="15">
        <f t="shared" si="2"/>
        <v>0.9940947736</v>
      </c>
      <c r="F206" s="15">
        <f t="shared" si="3"/>
        <v>1.567591943</v>
      </c>
      <c r="G206" s="10">
        <f t="shared" si="4"/>
        <v>0.5005978774</v>
      </c>
      <c r="H206" s="2" t="str">
        <f t="shared" si="5"/>
        <v/>
      </c>
      <c r="J206" s="10">
        <f>'Precinct Vote Data'!H798</f>
        <v>0.5634517766</v>
      </c>
      <c r="K206" s="10">
        <f>'Precinct Vote Data'!H799</f>
        <v>0.4774305556</v>
      </c>
      <c r="L206" s="10">
        <f>'Precinct Vote Data'!H800</f>
        <v>0.4941724942</v>
      </c>
      <c r="M206" s="10">
        <f>'Precinct Vote Data'!H801</f>
        <v>0.4673366834</v>
      </c>
      <c r="N206" s="15">
        <f t="shared" si="6"/>
        <v>1.573497169</v>
      </c>
      <c r="O206" s="5">
        <f t="shared" si="7"/>
        <v>290</v>
      </c>
      <c r="Q206" s="5" t="str">
        <f t="shared" si="8"/>
        <v>Lehigh|WHITEHALL|1390</v>
      </c>
    </row>
    <row r="207" ht="15.0" customHeight="1">
      <c r="A207" s="5" t="s">
        <v>143</v>
      </c>
      <c r="B207" s="5" t="s">
        <v>269</v>
      </c>
      <c r="C207" s="5" t="s">
        <v>275</v>
      </c>
      <c r="D207" s="15">
        <f t="shared" si="1"/>
        <v>1.303730575</v>
      </c>
      <c r="E207" s="15">
        <f t="shared" si="2"/>
        <v>0.7104052499</v>
      </c>
      <c r="F207" s="15">
        <f t="shared" si="3"/>
        <v>0.3037305752</v>
      </c>
      <c r="G207" s="10">
        <f t="shared" si="4"/>
        <v>0.5468832958</v>
      </c>
      <c r="H207" s="2" t="str">
        <f t="shared" si="5"/>
        <v/>
      </c>
      <c r="J207" s="10">
        <f>'Precinct Vote Data'!H802</f>
        <v>0.5750394945</v>
      </c>
      <c r="K207" s="10">
        <f>'Precinct Vote Data'!H803</f>
        <v>0.5523091423</v>
      </c>
      <c r="L207" s="10">
        <f>'Precinct Vote Data'!H804</f>
        <v>0.5480769231</v>
      </c>
      <c r="M207" s="10">
        <f>'Precinct Vote Data'!H805</f>
        <v>0.5121076233</v>
      </c>
      <c r="N207" s="15">
        <f t="shared" si="6"/>
        <v>0.5933253252</v>
      </c>
      <c r="O207" s="5">
        <f t="shared" si="7"/>
        <v>104</v>
      </c>
      <c r="Q207" s="5" t="str">
        <f t="shared" si="8"/>
        <v>Lehigh|WHITEHALL|1400</v>
      </c>
    </row>
    <row r="208" ht="15.0" customHeight="1">
      <c r="A208" s="5" t="s">
        <v>143</v>
      </c>
      <c r="B208" s="5" t="s">
        <v>269</v>
      </c>
      <c r="C208" s="5" t="s">
        <v>276</v>
      </c>
      <c r="D208" s="15">
        <f t="shared" si="1"/>
        <v>0.8789103477</v>
      </c>
      <c r="E208" s="15">
        <f t="shared" si="2"/>
        <v>0.8741997423</v>
      </c>
      <c r="F208" s="15">
        <f t="shared" si="3"/>
        <v>0.1210896523</v>
      </c>
      <c r="G208" s="10">
        <f t="shared" si="4"/>
        <v>0.4758101664</v>
      </c>
      <c r="H208" s="2" t="str">
        <f t="shared" si="5"/>
        <v>YES</v>
      </c>
      <c r="J208" s="10">
        <f>'Precinct Vote Data'!H806</f>
        <v>0.4942810458</v>
      </c>
      <c r="K208" s="10">
        <f>'Precinct Vote Data'!H807</f>
        <v>0.4640226629</v>
      </c>
      <c r="L208" s="10">
        <f>'Precinct Vote Data'!H808</f>
        <v>0.4836125273</v>
      </c>
      <c r="M208" s="10">
        <f>'Precinct Vote Data'!H809</f>
        <v>0.4613244296</v>
      </c>
      <c r="N208" s="15">
        <f t="shared" si="6"/>
        <v>0.24688991</v>
      </c>
      <c r="O208" s="5">
        <f t="shared" si="7"/>
        <v>17</v>
      </c>
      <c r="Q208" s="5" t="str">
        <f t="shared" si="8"/>
        <v>Lehigh|WHITEHALL|1410</v>
      </c>
    </row>
    <row r="209" ht="15.0" customHeight="1">
      <c r="A209" s="5" t="s">
        <v>143</v>
      </c>
      <c r="B209" s="5" t="s">
        <v>269</v>
      </c>
      <c r="C209" s="5" t="s">
        <v>277</v>
      </c>
      <c r="D209" s="15">
        <f t="shared" si="1"/>
        <v>1.145215889</v>
      </c>
      <c r="E209" s="15">
        <f t="shared" si="2"/>
        <v>0.6985615659</v>
      </c>
      <c r="F209" s="15">
        <f t="shared" si="3"/>
        <v>0.1452158894</v>
      </c>
      <c r="G209" s="10">
        <f t="shared" si="4"/>
        <v>0.4924450305</v>
      </c>
      <c r="H209" s="2" t="str">
        <f t="shared" si="5"/>
        <v/>
      </c>
      <c r="J209" s="10">
        <f>'Precinct Vote Data'!H810</f>
        <v>0.5173867229</v>
      </c>
      <c r="K209" s="10">
        <f>'Precinct Vote Data'!H811</f>
        <v>0.465311843</v>
      </c>
      <c r="L209" s="10">
        <f>'Precinct Vote Data'!H812</f>
        <v>0.5043706294</v>
      </c>
      <c r="M209" s="10">
        <f>'Precinct Vote Data'!H813</f>
        <v>0.4827109267</v>
      </c>
      <c r="N209" s="15">
        <f t="shared" si="6"/>
        <v>0.4466543235</v>
      </c>
      <c r="O209" s="5">
        <f t="shared" si="7"/>
        <v>60</v>
      </c>
      <c r="Q209" s="5" t="str">
        <f t="shared" si="8"/>
        <v>Lehigh|WHITEHALL|1420</v>
      </c>
    </row>
    <row r="210" ht="15.0" customHeight="1">
      <c r="A210" s="5" t="s">
        <v>143</v>
      </c>
      <c r="B210" s="5" t="s">
        <v>269</v>
      </c>
      <c r="C210" s="5" t="s">
        <v>278</v>
      </c>
      <c r="D210" s="15">
        <f t="shared" si="1"/>
        <v>1.185659135</v>
      </c>
      <c r="E210" s="15">
        <f t="shared" si="2"/>
        <v>0.8486426506</v>
      </c>
      <c r="F210" s="15">
        <f t="shared" si="3"/>
        <v>0.1856591348</v>
      </c>
      <c r="G210" s="10">
        <f t="shared" si="4"/>
        <v>0.5330426063</v>
      </c>
      <c r="H210" s="2" t="str">
        <f t="shared" si="5"/>
        <v/>
      </c>
      <c r="J210" s="10">
        <f>'Precinct Vote Data'!H814</f>
        <v>0.5571600481</v>
      </c>
      <c r="K210" s="10">
        <f>'Precinct Vote Data'!H815</f>
        <v>0.5222876367</v>
      </c>
      <c r="L210" s="10">
        <f>'Precinct Vote Data'!H816</f>
        <v>0.5439814815</v>
      </c>
      <c r="M210" s="10">
        <f>'Precinct Vote Data'!H817</f>
        <v>0.5087412587</v>
      </c>
      <c r="N210" s="15">
        <f t="shared" si="6"/>
        <v>0.3370164842</v>
      </c>
      <c r="O210" s="5">
        <f t="shared" si="7"/>
        <v>33</v>
      </c>
      <c r="Q210" s="5" t="str">
        <f t="shared" si="8"/>
        <v>Lehigh|WHITEHALL|1430</v>
      </c>
    </row>
    <row r="211" ht="15.0" customHeight="1">
      <c r="A211" s="5" t="s">
        <v>143</v>
      </c>
      <c r="B211" s="5" t="s">
        <v>269</v>
      </c>
      <c r="C211" s="5" t="s">
        <v>279</v>
      </c>
      <c r="D211" s="15">
        <f t="shared" si="1"/>
        <v>0.3424599753</v>
      </c>
      <c r="E211" s="15">
        <f t="shared" si="2"/>
        <v>0.1017596569</v>
      </c>
      <c r="F211" s="15">
        <f t="shared" si="3"/>
        <v>0.6575400247</v>
      </c>
      <c r="G211" s="10">
        <f t="shared" si="4"/>
        <v>0.4612210508</v>
      </c>
      <c r="H211" s="2" t="str">
        <f t="shared" si="5"/>
        <v/>
      </c>
      <c r="J211" s="10">
        <f>'Precinct Vote Data'!H818</f>
        <v>0.4679891794</v>
      </c>
      <c r="K211" s="10">
        <f>'Precinct Vote Data'!H819</f>
        <v>0.4343558282</v>
      </c>
      <c r="L211" s="10">
        <f>'Precinct Vote Data'!H820</f>
        <v>0.473481937</v>
      </c>
      <c r="M211" s="10">
        <f>'Precinct Vote Data'!H821</f>
        <v>0.4690572585</v>
      </c>
      <c r="N211" s="15">
        <f t="shared" si="6"/>
        <v>1.555780368</v>
      </c>
      <c r="O211" s="5">
        <f t="shared" si="7"/>
        <v>285</v>
      </c>
      <c r="Q211" s="5" t="str">
        <f t="shared" si="8"/>
        <v>Lehigh|WHITEHALL|1440</v>
      </c>
    </row>
    <row r="212" ht="15.0" customHeight="1">
      <c r="A212" s="5" t="s">
        <v>143</v>
      </c>
      <c r="B212" s="5" t="s">
        <v>269</v>
      </c>
      <c r="C212" s="5" t="s">
        <v>280</v>
      </c>
      <c r="D212" s="15">
        <f t="shared" si="1"/>
        <v>0.9732476476</v>
      </c>
      <c r="E212" s="15">
        <f t="shared" si="2"/>
        <v>0.6462933569</v>
      </c>
      <c r="F212" s="15">
        <f t="shared" si="3"/>
        <v>0.02675235238</v>
      </c>
      <c r="G212" s="10">
        <f t="shared" si="4"/>
        <v>0.4818962931</v>
      </c>
      <c r="H212" s="2" t="str">
        <f t="shared" si="5"/>
        <v/>
      </c>
      <c r="J212" s="10">
        <f>'Precinct Vote Data'!H822</f>
        <v>0.5108280255</v>
      </c>
      <c r="K212" s="10">
        <f>'Precinct Vote Data'!H823</f>
        <v>0.4783269962</v>
      </c>
      <c r="L212" s="10">
        <f>'Precinct Vote Data'!H824</f>
        <v>0.4631360332</v>
      </c>
      <c r="M212" s="10">
        <f>'Precinct Vote Data'!H825</f>
        <v>0.4752941176</v>
      </c>
      <c r="N212" s="15">
        <f t="shared" si="6"/>
        <v>0.3804589955</v>
      </c>
      <c r="O212" s="5">
        <f t="shared" si="7"/>
        <v>47</v>
      </c>
      <c r="Q212" s="5" t="str">
        <f t="shared" si="8"/>
        <v>Lehigh|WHITEHALL|1450</v>
      </c>
    </row>
    <row r="213" ht="15.0" customHeight="1">
      <c r="A213" s="5" t="s">
        <v>143</v>
      </c>
      <c r="B213" s="5" t="s">
        <v>269</v>
      </c>
      <c r="C213" s="5" t="s">
        <v>281</v>
      </c>
      <c r="D213" s="15">
        <f t="shared" si="1"/>
        <v>1.614144321</v>
      </c>
      <c r="E213" s="15">
        <f t="shared" si="2"/>
        <v>0.6231303225</v>
      </c>
      <c r="F213" s="15">
        <f t="shared" si="3"/>
        <v>0.614144321</v>
      </c>
      <c r="G213" s="10">
        <f t="shared" si="4"/>
        <v>0.5920002088</v>
      </c>
      <c r="H213" s="2" t="str">
        <f t="shared" si="5"/>
        <v/>
      </c>
      <c r="J213" s="10">
        <f>'Precinct Vote Data'!H826</f>
        <v>0.6231555051</v>
      </c>
      <c r="K213" s="10">
        <f>'Precinct Vote Data'!H827</f>
        <v>0.5973741794</v>
      </c>
      <c r="L213" s="10">
        <f>'Precinct Vote Data'!H828</f>
        <v>0.6044444444</v>
      </c>
      <c r="M213" s="10">
        <f>'Precinct Vote Data'!H829</f>
        <v>0.5430267062</v>
      </c>
      <c r="N213" s="15">
        <f t="shared" si="6"/>
        <v>0.9910139984</v>
      </c>
      <c r="O213" s="5">
        <f t="shared" si="7"/>
        <v>187</v>
      </c>
      <c r="Q213" s="5" t="str">
        <f t="shared" si="8"/>
        <v>Lehigh|WHITEHALL|1460</v>
      </c>
    </row>
    <row r="214" ht="15.0" customHeight="1">
      <c r="A214" s="5" t="s">
        <v>282</v>
      </c>
      <c r="B214" s="5" t="s">
        <v>283</v>
      </c>
      <c r="C214" s="5" t="s">
        <v>284</v>
      </c>
      <c r="D214" s="15">
        <f t="shared" si="1"/>
        <v>-0.203137681</v>
      </c>
      <c r="E214" s="15">
        <f t="shared" si="2"/>
        <v>0.4444803143</v>
      </c>
      <c r="F214" s="15">
        <f t="shared" si="3"/>
        <v>1.203137681</v>
      </c>
      <c r="G214" s="10">
        <f t="shared" si="4"/>
        <v>0.4780217054</v>
      </c>
      <c r="H214" s="2" t="str">
        <f t="shared" si="5"/>
        <v/>
      </c>
      <c r="J214" s="10">
        <f>'Precinct Vote Data'!H830</f>
        <v>0.4716312057</v>
      </c>
      <c r="K214" s="10">
        <f>'Precinct Vote Data'!H831</f>
        <v>0.4766899767</v>
      </c>
      <c r="L214" s="10">
        <f>'Precinct Vote Data'!H832</f>
        <v>0.4836795252</v>
      </c>
      <c r="M214" s="10">
        <f>'Precinct Vote Data'!H833</f>
        <v>0.4800861141</v>
      </c>
      <c r="N214" s="15">
        <f t="shared" si="6"/>
        <v>1.758657367</v>
      </c>
      <c r="O214" s="5">
        <f t="shared" si="7"/>
        <v>322</v>
      </c>
      <c r="Q214" s="5" t="str">
        <f t="shared" si="8"/>
        <v>Monroe|BARRETT|5</v>
      </c>
    </row>
    <row r="215" ht="15.0" customHeight="1">
      <c r="A215" s="5" t="s">
        <v>282</v>
      </c>
      <c r="B215" s="5" t="s">
        <v>283</v>
      </c>
      <c r="C215" s="5" t="s">
        <v>285</v>
      </c>
      <c r="D215" s="15">
        <f t="shared" si="1"/>
        <v>0.566405979</v>
      </c>
      <c r="E215" s="15">
        <f t="shared" si="2"/>
        <v>0.4448457725</v>
      </c>
      <c r="F215" s="15">
        <f t="shared" si="3"/>
        <v>0.433594021</v>
      </c>
      <c r="G215" s="10">
        <f t="shared" si="4"/>
        <v>0.4772620827</v>
      </c>
      <c r="H215" s="2" t="str">
        <f t="shared" si="5"/>
        <v/>
      </c>
      <c r="J215" s="10">
        <f>'Precinct Vote Data'!H834</f>
        <v>0.4872037915</v>
      </c>
      <c r="K215" s="10">
        <f>'Precinct Vote Data'!H835</f>
        <v>0.4826147427</v>
      </c>
      <c r="L215" s="10">
        <f>'Precinct Vote Data'!H836</f>
        <v>0.4831858407</v>
      </c>
      <c r="M215" s="10">
        <f>'Precinct Vote Data'!H837</f>
        <v>0.456043956</v>
      </c>
      <c r="N215" s="15">
        <f t="shared" si="6"/>
        <v>0.9887482485</v>
      </c>
      <c r="O215" s="5">
        <f t="shared" si="7"/>
        <v>186</v>
      </c>
      <c r="Q215" s="5" t="str">
        <f t="shared" si="8"/>
        <v>Monroe|BARRETT|15</v>
      </c>
    </row>
    <row r="216" ht="15.0" customHeight="1">
      <c r="A216" s="5" t="s">
        <v>282</v>
      </c>
      <c r="B216" s="5" t="s">
        <v>286</v>
      </c>
      <c r="C216" s="5" t="s">
        <v>287</v>
      </c>
      <c r="D216" s="15">
        <f t="shared" si="1"/>
        <v>1.143102228</v>
      </c>
      <c r="E216" s="15">
        <f t="shared" si="2"/>
        <v>0.6150517334</v>
      </c>
      <c r="F216" s="15">
        <f t="shared" si="3"/>
        <v>0.1431022283</v>
      </c>
      <c r="G216" s="10">
        <f t="shared" si="4"/>
        <v>0.4692924502</v>
      </c>
      <c r="H216" s="2" t="str">
        <f t="shared" si="5"/>
        <v/>
      </c>
      <c r="J216" s="10">
        <f>'Precinct Vote Data'!H838</f>
        <v>0.4975096846</v>
      </c>
      <c r="K216" s="10">
        <f>'Precinct Vote Data'!H839</f>
        <v>0.4799426934</v>
      </c>
      <c r="L216" s="10">
        <f>'Precinct Vote Data'!H840</f>
        <v>0.4582315584</v>
      </c>
      <c r="M216" s="10">
        <f>'Precinct Vote Data'!H841</f>
        <v>0.4414858646</v>
      </c>
      <c r="N216" s="15">
        <f t="shared" si="6"/>
        <v>0.5280504949</v>
      </c>
      <c r="O216" s="5">
        <f t="shared" si="7"/>
        <v>88</v>
      </c>
      <c r="Q216" s="5" t="str">
        <f t="shared" si="8"/>
        <v>Monroe|CHESTNUTHILL|23</v>
      </c>
    </row>
    <row r="217" ht="15.0" customHeight="1">
      <c r="A217" s="5" t="s">
        <v>282</v>
      </c>
      <c r="B217" s="5" t="s">
        <v>286</v>
      </c>
      <c r="C217" s="5" t="s">
        <v>288</v>
      </c>
      <c r="D217" s="15">
        <f t="shared" si="1"/>
        <v>1.035761507</v>
      </c>
      <c r="E217" s="15">
        <f t="shared" si="2"/>
        <v>0.6688421019</v>
      </c>
      <c r="F217" s="15">
        <f t="shared" si="3"/>
        <v>0.03576150678</v>
      </c>
      <c r="G217" s="10">
        <f t="shared" si="4"/>
        <v>0.452686037</v>
      </c>
      <c r="H217" s="2" t="str">
        <f t="shared" si="5"/>
        <v/>
      </c>
      <c r="J217" s="10">
        <f>'Precinct Vote Data'!H842</f>
        <v>0.4783404515</v>
      </c>
      <c r="K217" s="10">
        <f>'Precinct Vote Data'!H843</f>
        <v>0.4601585315</v>
      </c>
      <c r="L217" s="10">
        <f>'Precinct Vote Data'!H844</f>
        <v>0.4432008954</v>
      </c>
      <c r="M217" s="10">
        <f>'Precinct Vote Data'!H845</f>
        <v>0.4290442698</v>
      </c>
      <c r="N217" s="15">
        <f t="shared" si="6"/>
        <v>0.3669194049</v>
      </c>
      <c r="O217" s="5">
        <f t="shared" si="7"/>
        <v>39</v>
      </c>
      <c r="Q217" s="5" t="str">
        <f t="shared" si="8"/>
        <v>Monroe|CHESTNUTHILL|26</v>
      </c>
    </row>
    <row r="218" ht="15.0" customHeight="1">
      <c r="A218" s="5" t="s">
        <v>282</v>
      </c>
      <c r="B218" s="5" t="s">
        <v>286</v>
      </c>
      <c r="C218" s="5" t="s">
        <v>289</v>
      </c>
      <c r="D218" s="15">
        <f t="shared" si="1"/>
        <v>1.291229163</v>
      </c>
      <c r="E218" s="15">
        <f t="shared" si="2"/>
        <v>0.9096620285</v>
      </c>
      <c r="F218" s="15">
        <f t="shared" si="3"/>
        <v>0.2912291629</v>
      </c>
      <c r="G218" s="10">
        <f t="shared" si="4"/>
        <v>0.4768679835</v>
      </c>
      <c r="H218" s="2" t="str">
        <f t="shared" si="5"/>
        <v/>
      </c>
      <c r="J218" s="10">
        <f>'Precinct Vote Data'!H846</f>
        <v>0.5064794816</v>
      </c>
      <c r="K218" s="10">
        <f>'Precinct Vote Data'!H847</f>
        <v>0.4738351254</v>
      </c>
      <c r="L218" s="10">
        <f>'Precinct Vote Data'!H848</f>
        <v>0.4761904762</v>
      </c>
      <c r="M218" s="10">
        <f>'Precinct Vote Data'!H849</f>
        <v>0.4509668508</v>
      </c>
      <c r="N218" s="15">
        <f t="shared" si="6"/>
        <v>0.3815671344</v>
      </c>
      <c r="O218" s="5">
        <f t="shared" si="7"/>
        <v>48</v>
      </c>
      <c r="Q218" s="5" t="str">
        <f t="shared" si="8"/>
        <v>Monroe|CHESTNUTHILL|33</v>
      </c>
    </row>
    <row r="219" ht="15.0" customHeight="1">
      <c r="A219" s="5" t="s">
        <v>282</v>
      </c>
      <c r="B219" s="5" t="s">
        <v>286</v>
      </c>
      <c r="C219" s="5" t="s">
        <v>290</v>
      </c>
      <c r="D219" s="15">
        <f t="shared" si="1"/>
        <v>0.5710584667</v>
      </c>
      <c r="E219" s="15">
        <f t="shared" si="2"/>
        <v>0.6112644519</v>
      </c>
      <c r="F219" s="15">
        <f t="shared" si="3"/>
        <v>0.4289415333</v>
      </c>
      <c r="G219" s="10">
        <f t="shared" si="4"/>
        <v>0.3940991867</v>
      </c>
      <c r="H219" s="2" t="str">
        <f t="shared" si="5"/>
        <v/>
      </c>
      <c r="J219" s="10">
        <f>'Precinct Vote Data'!H850</f>
        <v>0.4097714736</v>
      </c>
      <c r="K219" s="10">
        <f>'Precinct Vote Data'!H851</f>
        <v>0.3980263158</v>
      </c>
      <c r="L219" s="10">
        <f>'Precinct Vote Data'!H852</f>
        <v>0.3846153846</v>
      </c>
      <c r="M219" s="10">
        <f>'Precinct Vote Data'!H853</f>
        <v>0.3839835729</v>
      </c>
      <c r="N219" s="15">
        <f t="shared" si="6"/>
        <v>0.8176770814</v>
      </c>
      <c r="O219" s="5">
        <f t="shared" si="7"/>
        <v>159</v>
      </c>
      <c r="Q219" s="5" t="str">
        <f t="shared" si="8"/>
        <v>Monroe|CHESTNUTHILL|36</v>
      </c>
    </row>
    <row r="220" ht="15.0" customHeight="1">
      <c r="A220" s="5" t="s">
        <v>282</v>
      </c>
      <c r="B220" s="5" t="s">
        <v>291</v>
      </c>
      <c r="C220" s="5" t="s">
        <v>292</v>
      </c>
      <c r="D220" s="15">
        <f t="shared" si="1"/>
        <v>0.5854119422</v>
      </c>
      <c r="E220" s="15">
        <f t="shared" si="2"/>
        <v>0.6837288496</v>
      </c>
      <c r="F220" s="15">
        <f t="shared" si="3"/>
        <v>0.4145880578</v>
      </c>
      <c r="G220" s="10">
        <f t="shared" si="4"/>
        <v>0.5344180992</v>
      </c>
      <c r="H220" s="2" t="str">
        <f t="shared" si="5"/>
        <v/>
      </c>
      <c r="J220" s="10">
        <f>'Precinct Vote Data'!H854</f>
        <v>0.5515418502</v>
      </c>
      <c r="K220" s="10">
        <f>'Precinct Vote Data'!H855</f>
        <v>0.5266821346</v>
      </c>
      <c r="L220" s="10">
        <f>'Precinct Vote Data'!H856</f>
        <v>0.5259319287</v>
      </c>
      <c r="M220" s="10">
        <f>'Precinct Vote Data'!H857</f>
        <v>0.5335164835</v>
      </c>
      <c r="N220" s="15">
        <f t="shared" si="6"/>
        <v>0.7308592082</v>
      </c>
      <c r="O220" s="5">
        <f t="shared" si="7"/>
        <v>141</v>
      </c>
      <c r="Q220" s="5" t="str">
        <f t="shared" si="8"/>
        <v>Monroe|COOLBAUGH|43</v>
      </c>
    </row>
    <row r="221" ht="15.0" customHeight="1">
      <c r="A221" s="5" t="s">
        <v>282</v>
      </c>
      <c r="B221" s="5" t="s">
        <v>291</v>
      </c>
      <c r="C221" s="5" t="s">
        <v>293</v>
      </c>
      <c r="D221" s="15">
        <f t="shared" si="1"/>
        <v>0.3132731294</v>
      </c>
      <c r="E221" s="15">
        <f t="shared" si="2"/>
        <v>0.163556878</v>
      </c>
      <c r="F221" s="15">
        <f t="shared" si="3"/>
        <v>0.6867268706</v>
      </c>
      <c r="G221" s="10">
        <f t="shared" si="4"/>
        <v>0.6060149564</v>
      </c>
      <c r="H221" s="2" t="str">
        <f t="shared" si="5"/>
        <v/>
      </c>
      <c r="J221" s="10">
        <f>'Precinct Vote Data'!H858</f>
        <v>0.6091015169</v>
      </c>
      <c r="K221" s="10">
        <f>'Precinct Vote Data'!H859</f>
        <v>0.6137873754</v>
      </c>
      <c r="L221" s="10">
        <f>'Precinct Vote Data'!H860</f>
        <v>0.6143867925</v>
      </c>
      <c r="M221" s="10">
        <f>'Precinct Vote Data'!H861</f>
        <v>0.586784141</v>
      </c>
      <c r="N221" s="15">
        <f t="shared" si="6"/>
        <v>1.523169993</v>
      </c>
      <c r="O221" s="5">
        <f t="shared" si="7"/>
        <v>281</v>
      </c>
      <c r="Q221" s="5" t="str">
        <f t="shared" si="8"/>
        <v>Monroe|COOLBAUGH|46</v>
      </c>
    </row>
    <row r="222" ht="15.0" customHeight="1">
      <c r="A222" s="5" t="s">
        <v>282</v>
      </c>
      <c r="B222" s="5" t="s">
        <v>291</v>
      </c>
      <c r="C222" s="5" t="s">
        <v>294</v>
      </c>
      <c r="D222" s="15">
        <f t="shared" si="1"/>
        <v>1.097907452</v>
      </c>
      <c r="E222" s="15">
        <f t="shared" si="2"/>
        <v>0.4606033968</v>
      </c>
      <c r="F222" s="15">
        <f t="shared" si="3"/>
        <v>0.09790745209</v>
      </c>
      <c r="G222" s="10">
        <f t="shared" si="4"/>
        <v>0.7477834671</v>
      </c>
      <c r="H222" s="2" t="str">
        <f t="shared" si="5"/>
        <v/>
      </c>
      <c r="J222" s="10">
        <f>'Precinct Vote Data'!H862</f>
        <v>0.7765108324</v>
      </c>
      <c r="K222" s="10">
        <f>'Precinct Vote Data'!H863</f>
        <v>0.7649006623</v>
      </c>
      <c r="L222" s="10">
        <f>'Precinct Vote Data'!H864</f>
        <v>0.7300832342</v>
      </c>
      <c r="M222" s="10">
        <f>'Precinct Vote Data'!H865</f>
        <v>0.7196391395</v>
      </c>
      <c r="N222" s="15">
        <f t="shared" si="6"/>
        <v>0.6373040553</v>
      </c>
      <c r="O222" s="5">
        <f t="shared" si="7"/>
        <v>113</v>
      </c>
      <c r="Q222" s="5" t="str">
        <f t="shared" si="8"/>
        <v>Monroe|COOLBAUGH|53</v>
      </c>
    </row>
    <row r="223" ht="15.0" customHeight="1">
      <c r="A223" s="5" t="s">
        <v>282</v>
      </c>
      <c r="B223" s="5" t="s">
        <v>291</v>
      </c>
      <c r="C223" s="5" t="s">
        <v>295</v>
      </c>
      <c r="D223" s="15">
        <f t="shared" si="1"/>
        <v>0.9016046876</v>
      </c>
      <c r="E223" s="15">
        <f t="shared" si="2"/>
        <v>0.7308756823</v>
      </c>
      <c r="F223" s="15">
        <f t="shared" si="3"/>
        <v>0.09839531244</v>
      </c>
      <c r="G223" s="10">
        <f t="shared" si="4"/>
        <v>0.6849762335</v>
      </c>
      <c r="H223" s="2" t="str">
        <f t="shared" si="5"/>
        <v/>
      </c>
      <c r="J223" s="10">
        <f>'Precinct Vote Data'!H866</f>
        <v>0.7073342736</v>
      </c>
      <c r="K223" s="10">
        <f>'Precinct Vote Data'!H867</f>
        <v>0.6893874029</v>
      </c>
      <c r="L223" s="10">
        <f>'Precinct Vote Data'!H868</f>
        <v>0.6773972603</v>
      </c>
      <c r="M223" s="10">
        <f>'Precinct Vote Data'!H869</f>
        <v>0.6657859974</v>
      </c>
      <c r="N223" s="15">
        <f t="shared" si="6"/>
        <v>0.3675196302</v>
      </c>
      <c r="O223" s="5">
        <f t="shared" si="7"/>
        <v>42</v>
      </c>
      <c r="Q223" s="5" t="str">
        <f t="shared" si="8"/>
        <v>Monroe|COOLBAUGH|56</v>
      </c>
    </row>
    <row r="224" ht="15.0" customHeight="1">
      <c r="A224" s="5" t="s">
        <v>282</v>
      </c>
      <c r="B224" s="5" t="s">
        <v>296</v>
      </c>
      <c r="C224" s="5" t="s">
        <v>59</v>
      </c>
      <c r="D224" s="15">
        <f t="shared" si="1"/>
        <v>0.0000978860177</v>
      </c>
      <c r="E224" s="15">
        <f t="shared" si="2"/>
        <v>0.00000000257347116</v>
      </c>
      <c r="F224" s="15">
        <f t="shared" si="3"/>
        <v>0.999902114</v>
      </c>
      <c r="G224" s="10">
        <f t="shared" si="4"/>
        <v>0.6341039316</v>
      </c>
      <c r="H224" s="2" t="str">
        <f t="shared" si="5"/>
        <v/>
      </c>
      <c r="J224" s="10">
        <f>'Precinct Vote Data'!H870</f>
        <v>0.6314102564</v>
      </c>
      <c r="K224" s="10">
        <f>'Precinct Vote Data'!H871</f>
        <v>0.5891472868</v>
      </c>
      <c r="L224" s="10">
        <f>'Precinct Vote Data'!H872</f>
        <v>0.6578947368</v>
      </c>
      <c r="M224" s="10">
        <f>'Precinct Vote Data'!H873</f>
        <v>0.6579634465</v>
      </c>
      <c r="N224" s="15">
        <f t="shared" si="6"/>
        <v>1.999902111</v>
      </c>
      <c r="O224" s="5">
        <f t="shared" si="7"/>
        <v>348</v>
      </c>
      <c r="Q224" s="5" t="str">
        <f t="shared" si="8"/>
        <v>Monroe|DELAWARE WATER GAP|60</v>
      </c>
    </row>
    <row r="225" ht="15.0" customHeight="1">
      <c r="A225" s="5" t="s">
        <v>282</v>
      </c>
      <c r="B225" s="5" t="s">
        <v>297</v>
      </c>
      <c r="C225" s="5" t="s">
        <v>63</v>
      </c>
      <c r="D225" s="15">
        <f t="shared" si="1"/>
        <v>0.7353397246</v>
      </c>
      <c r="E225" s="15">
        <f t="shared" si="2"/>
        <v>0.765572998</v>
      </c>
      <c r="F225" s="15">
        <f t="shared" si="3"/>
        <v>0.2646602754</v>
      </c>
      <c r="G225" s="10">
        <f t="shared" si="4"/>
        <v>0.696581684</v>
      </c>
      <c r="H225" s="2" t="str">
        <f t="shared" si="5"/>
        <v/>
      </c>
      <c r="J225" s="10">
        <f>'Precinct Vote Data'!H874</f>
        <v>0.7122093023</v>
      </c>
      <c r="K225" s="10">
        <f>'Precinct Vote Data'!H875</f>
        <v>0.6975206612</v>
      </c>
      <c r="L225" s="10">
        <f>'Precinct Vote Data'!H876</f>
        <v>0.6987341772</v>
      </c>
      <c r="M225" s="10">
        <f>'Precinct Vote Data'!H877</f>
        <v>0.6778625954</v>
      </c>
      <c r="N225" s="15">
        <f t="shared" si="6"/>
        <v>0.4990872773</v>
      </c>
      <c r="O225" s="5">
        <f t="shared" si="7"/>
        <v>79</v>
      </c>
      <c r="Q225" s="5" t="str">
        <f t="shared" si="8"/>
        <v>Monroe|EAST STROUDSBURG|70</v>
      </c>
    </row>
    <row r="226" ht="15.0" customHeight="1">
      <c r="A226" s="5" t="s">
        <v>282</v>
      </c>
      <c r="B226" s="5" t="s">
        <v>297</v>
      </c>
      <c r="C226" s="5" t="s">
        <v>73</v>
      </c>
      <c r="D226" s="15">
        <f t="shared" si="1"/>
        <v>2.185282788</v>
      </c>
      <c r="E226" s="15">
        <f t="shared" si="2"/>
        <v>0.9018038781</v>
      </c>
      <c r="F226" s="15">
        <f t="shared" si="3"/>
        <v>1.185282788</v>
      </c>
      <c r="G226" s="10">
        <f t="shared" si="4"/>
        <v>0.7426194809</v>
      </c>
      <c r="H226" s="2" t="str">
        <f t="shared" si="5"/>
        <v/>
      </c>
      <c r="J226" s="10">
        <f>'Precinct Vote Data'!H878</f>
        <v>0.8005698006</v>
      </c>
      <c r="K226" s="10">
        <f>'Precinct Vote Data'!H879</f>
        <v>0.7195402299</v>
      </c>
      <c r="L226" s="10">
        <f>'Precinct Vote Data'!H880</f>
        <v>0.7257525084</v>
      </c>
      <c r="M226" s="10">
        <f>'Precinct Vote Data'!H881</f>
        <v>0.7246153846</v>
      </c>
      <c r="N226" s="15">
        <f t="shared" si="6"/>
        <v>1.28347891</v>
      </c>
      <c r="O226" s="5">
        <f t="shared" si="7"/>
        <v>247</v>
      </c>
      <c r="Q226" s="5" t="str">
        <f t="shared" si="8"/>
        <v>Monroe|EAST STROUDSBURG|80</v>
      </c>
    </row>
    <row r="227" ht="15.0" customHeight="1">
      <c r="A227" s="5" t="s">
        <v>282</v>
      </c>
      <c r="B227" s="5" t="s">
        <v>297</v>
      </c>
      <c r="C227" s="5" t="s">
        <v>74</v>
      </c>
      <c r="D227" s="15">
        <f t="shared" si="1"/>
        <v>0.9186650604</v>
      </c>
      <c r="E227" s="15">
        <f t="shared" si="2"/>
        <v>0.8925511997</v>
      </c>
      <c r="F227" s="15">
        <f t="shared" si="3"/>
        <v>0.08133493959</v>
      </c>
      <c r="G227" s="10">
        <f t="shared" si="4"/>
        <v>0.6243515338</v>
      </c>
      <c r="H227" s="2" t="str">
        <f t="shared" si="5"/>
        <v>YES</v>
      </c>
      <c r="J227" s="10">
        <f>'Precinct Vote Data'!H882</f>
        <v>0.6475770925</v>
      </c>
      <c r="K227" s="10">
        <f>'Precinct Vote Data'!H883</f>
        <v>0.6225165563</v>
      </c>
      <c r="L227" s="10">
        <f>'Precinct Vote Data'!H884</f>
        <v>0.6176470588</v>
      </c>
      <c r="M227" s="10">
        <f>'Precinct Vote Data'!H885</f>
        <v>0.6096654275</v>
      </c>
      <c r="N227" s="15">
        <f t="shared" si="6"/>
        <v>0.1887837399</v>
      </c>
      <c r="O227" s="5">
        <f t="shared" si="7"/>
        <v>11</v>
      </c>
      <c r="Q227" s="5" t="str">
        <f t="shared" si="8"/>
        <v>Monroe|EAST STROUDSBURG|90</v>
      </c>
    </row>
    <row r="228" ht="15.0" customHeight="1">
      <c r="A228" s="5" t="s">
        <v>282</v>
      </c>
      <c r="B228" s="5" t="s">
        <v>297</v>
      </c>
      <c r="C228" s="5" t="s">
        <v>76</v>
      </c>
      <c r="D228" s="15">
        <f t="shared" si="1"/>
        <v>1.265224525</v>
      </c>
      <c r="E228" s="15">
        <f t="shared" si="2"/>
        <v>0.6810420846</v>
      </c>
      <c r="F228" s="15">
        <f t="shared" si="3"/>
        <v>0.2652245249</v>
      </c>
      <c r="G228" s="10">
        <f t="shared" si="4"/>
        <v>0.6011917562</v>
      </c>
      <c r="H228" s="2" t="str">
        <f t="shared" si="5"/>
        <v/>
      </c>
      <c r="J228" s="10">
        <f>'Precinct Vote Data'!H886</f>
        <v>0.6381709742</v>
      </c>
      <c r="K228" s="10">
        <f>'Precinct Vote Data'!H887</f>
        <v>0.5966850829</v>
      </c>
      <c r="L228" s="10">
        <f>'Precinct Vote Data'!H888</f>
        <v>0.5785440613</v>
      </c>
      <c r="M228" s="10">
        <f>'Precinct Vote Data'!H889</f>
        <v>0.5913669065</v>
      </c>
      <c r="N228" s="15">
        <f t="shared" si="6"/>
        <v>0.5841824403</v>
      </c>
      <c r="O228" s="5">
        <f t="shared" si="7"/>
        <v>99</v>
      </c>
      <c r="Q228" s="5" t="str">
        <f t="shared" si="8"/>
        <v>Monroe|EAST STROUDSBURG|100</v>
      </c>
    </row>
    <row r="229" ht="15.0" customHeight="1">
      <c r="A229" s="5" t="s">
        <v>282</v>
      </c>
      <c r="B229" s="5" t="s">
        <v>297</v>
      </c>
      <c r="C229" s="5" t="s">
        <v>78</v>
      </c>
      <c r="D229" s="15">
        <f t="shared" si="1"/>
        <v>2.188153534</v>
      </c>
      <c r="E229" s="15">
        <f t="shared" si="2"/>
        <v>0.8101744825</v>
      </c>
      <c r="F229" s="15">
        <f t="shared" si="3"/>
        <v>1.188153534</v>
      </c>
      <c r="G229" s="10">
        <f t="shared" si="4"/>
        <v>0.6053745826</v>
      </c>
      <c r="H229" s="2" t="str">
        <f t="shared" si="5"/>
        <v/>
      </c>
      <c r="J229" s="10">
        <f>'Precinct Vote Data'!H890</f>
        <v>0.6514423077</v>
      </c>
      <c r="K229" s="10">
        <f>'Precinct Vote Data'!H891</f>
        <v>0.6025437202</v>
      </c>
      <c r="L229" s="10">
        <f>'Precinct Vote Data'!H892</f>
        <v>0.6150341686</v>
      </c>
      <c r="M229" s="10">
        <f>'Precinct Vote Data'!H893</f>
        <v>0.5524781341</v>
      </c>
      <c r="N229" s="15">
        <f t="shared" si="6"/>
        <v>1.377979052</v>
      </c>
      <c r="O229" s="5">
        <f t="shared" si="7"/>
        <v>260</v>
      </c>
      <c r="Q229" s="5" t="str">
        <f t="shared" si="8"/>
        <v>Monroe|EAST STROUDSBURG|110</v>
      </c>
    </row>
    <row r="230" ht="15.0" customHeight="1">
      <c r="A230" s="5" t="s">
        <v>282</v>
      </c>
      <c r="B230" s="5" t="s">
        <v>297</v>
      </c>
      <c r="C230" s="5" t="s">
        <v>79</v>
      </c>
      <c r="D230" s="15">
        <f t="shared" si="1"/>
        <v>0.9215515024</v>
      </c>
      <c r="E230" s="15">
        <f t="shared" si="2"/>
        <v>0.6272378697</v>
      </c>
      <c r="F230" s="15">
        <f t="shared" si="3"/>
        <v>0.0784484976</v>
      </c>
      <c r="G230" s="10">
        <f t="shared" si="4"/>
        <v>0.6115896145</v>
      </c>
      <c r="H230" s="2" t="str">
        <f t="shared" si="5"/>
        <v/>
      </c>
      <c r="J230" s="10">
        <f>'Precinct Vote Data'!H894</f>
        <v>0.6394557823</v>
      </c>
      <c r="K230" s="10">
        <f>'Precinct Vote Data'!H895</f>
        <v>0.6038514443</v>
      </c>
      <c r="L230" s="10">
        <f>'Precinct Vote Data'!H896</f>
        <v>0.5940594059</v>
      </c>
      <c r="M230" s="10">
        <f>'Precinct Vote Data'!H897</f>
        <v>0.6089918256</v>
      </c>
      <c r="N230" s="15">
        <f t="shared" si="6"/>
        <v>0.4512106279</v>
      </c>
      <c r="O230" s="5">
        <f t="shared" si="7"/>
        <v>63</v>
      </c>
      <c r="Q230" s="5" t="str">
        <f t="shared" si="8"/>
        <v>Monroe|EAST STROUDSBURG|120</v>
      </c>
    </row>
    <row r="231" ht="15.0" customHeight="1">
      <c r="A231" s="5" t="s">
        <v>282</v>
      </c>
      <c r="B231" s="5" t="s">
        <v>298</v>
      </c>
      <c r="C231" s="5" t="s">
        <v>87</v>
      </c>
      <c r="D231" s="15">
        <f t="shared" si="1"/>
        <v>0.9771801022</v>
      </c>
      <c r="E231" s="15">
        <f t="shared" si="2"/>
        <v>0.5702940983</v>
      </c>
      <c r="F231" s="15">
        <f t="shared" si="3"/>
        <v>0.02281989782</v>
      </c>
      <c r="G231" s="10">
        <f t="shared" si="4"/>
        <v>0.3177722156</v>
      </c>
      <c r="H231" s="2" t="str">
        <f t="shared" si="5"/>
        <v/>
      </c>
      <c r="J231" s="10">
        <f>'Precinct Vote Data'!H898</f>
        <v>0.343035343</v>
      </c>
      <c r="K231" s="10">
        <f>'Precinct Vote Data'!H899</f>
        <v>0.3281143635</v>
      </c>
      <c r="L231" s="10">
        <f>'Precinct Vote Data'!H900</f>
        <v>0.3046413502</v>
      </c>
      <c r="M231" s="10">
        <f>'Precinct Vote Data'!H901</f>
        <v>0.2952978056</v>
      </c>
      <c r="N231" s="15">
        <f t="shared" si="6"/>
        <v>0.4525257995</v>
      </c>
      <c r="O231" s="5">
        <f t="shared" si="7"/>
        <v>64</v>
      </c>
      <c r="Q231" s="5" t="str">
        <f t="shared" si="8"/>
        <v>Monroe|ELDRED|130</v>
      </c>
    </row>
    <row r="232" ht="15.0" customHeight="1">
      <c r="A232" s="5" t="s">
        <v>282</v>
      </c>
      <c r="B232" s="5" t="s">
        <v>299</v>
      </c>
      <c r="C232" s="5" t="s">
        <v>88</v>
      </c>
      <c r="D232" s="15">
        <f t="shared" si="1"/>
        <v>-0.1626941965</v>
      </c>
      <c r="E232" s="15">
        <f t="shared" si="2"/>
        <v>0.0185998003</v>
      </c>
      <c r="F232" s="15">
        <f t="shared" si="3"/>
        <v>1.162694196</v>
      </c>
      <c r="G232" s="10">
        <f t="shared" si="4"/>
        <v>0.4649669525</v>
      </c>
      <c r="H232" s="2" t="str">
        <f t="shared" si="5"/>
        <v/>
      </c>
      <c r="J232" s="10">
        <f>'Precinct Vote Data'!H902</f>
        <v>0.4554108216</v>
      </c>
      <c r="K232" s="10">
        <f>'Precinct Vote Data'!H903</f>
        <v>0.443254818</v>
      </c>
      <c r="L232" s="10">
        <f>'Precinct Vote Data'!H904</f>
        <v>0.4894784995</v>
      </c>
      <c r="M232" s="10">
        <f>'Precinct Vote Data'!H905</f>
        <v>0.4717236708</v>
      </c>
      <c r="N232" s="15">
        <f t="shared" si="6"/>
        <v>2.144094396</v>
      </c>
      <c r="O232" s="5">
        <f t="shared" si="7"/>
        <v>371</v>
      </c>
      <c r="Q232" s="5" t="str">
        <f t="shared" si="8"/>
        <v>Monroe|HAMILTON|140</v>
      </c>
    </row>
    <row r="233" ht="15.0" customHeight="1">
      <c r="A233" s="5" t="s">
        <v>282</v>
      </c>
      <c r="B233" s="5" t="s">
        <v>299</v>
      </c>
      <c r="C233" s="5" t="s">
        <v>89</v>
      </c>
      <c r="D233" s="15">
        <f t="shared" si="1"/>
        <v>0.5821168206</v>
      </c>
      <c r="E233" s="15">
        <f t="shared" si="2"/>
        <v>0.8920636946</v>
      </c>
      <c r="F233" s="15">
        <f t="shared" si="3"/>
        <v>0.4178831794</v>
      </c>
      <c r="G233" s="10">
        <f t="shared" si="4"/>
        <v>0.4449878119</v>
      </c>
      <c r="H233" s="2" t="str">
        <f t="shared" si="5"/>
        <v/>
      </c>
      <c r="J233" s="10">
        <f>'Precinct Vote Data'!H906</f>
        <v>0.4605462822</v>
      </c>
      <c r="K233" s="10">
        <f>'Precinct Vote Data'!H907</f>
        <v>0.4397126732</v>
      </c>
      <c r="L233" s="10">
        <f>'Precinct Vote Data'!H908</f>
        <v>0.4398368457</v>
      </c>
      <c r="M233" s="10">
        <f>'Precinct Vote Data'!H909</f>
        <v>0.4398554466</v>
      </c>
      <c r="N233" s="15">
        <f t="shared" si="6"/>
        <v>0.5258194848</v>
      </c>
      <c r="O233" s="5">
        <f t="shared" si="7"/>
        <v>87</v>
      </c>
      <c r="Q233" s="5" t="str">
        <f t="shared" si="8"/>
        <v>Monroe|HAMILTON|150</v>
      </c>
    </row>
    <row r="234" ht="15.0" customHeight="1">
      <c r="A234" s="5" t="s">
        <v>282</v>
      </c>
      <c r="B234" s="5" t="s">
        <v>300</v>
      </c>
      <c r="C234" s="5" t="s">
        <v>91</v>
      </c>
      <c r="D234" s="15">
        <f t="shared" si="1"/>
        <v>0.5288553688</v>
      </c>
      <c r="E234" s="15">
        <f t="shared" si="2"/>
        <v>0.2856532365</v>
      </c>
      <c r="F234" s="15">
        <f t="shared" si="3"/>
        <v>0.4711446312</v>
      </c>
      <c r="G234" s="10">
        <f t="shared" si="4"/>
        <v>0.4923646292</v>
      </c>
      <c r="H234" s="2" t="str">
        <f t="shared" si="5"/>
        <v/>
      </c>
      <c r="J234" s="10">
        <f>'Precinct Vote Data'!H910</f>
        <v>0.5077829196</v>
      </c>
      <c r="K234" s="10">
        <f>'Precinct Vote Data'!H911</f>
        <v>0.5057471264</v>
      </c>
      <c r="L234" s="10">
        <f>'Precinct Vote Data'!H912</f>
        <v>0.4775193798</v>
      </c>
      <c r="M234" s="10">
        <f>'Precinct Vote Data'!H913</f>
        <v>0.4784090909</v>
      </c>
      <c r="N234" s="15">
        <f t="shared" si="6"/>
        <v>1.185491395</v>
      </c>
      <c r="O234" s="5">
        <f t="shared" si="7"/>
        <v>227</v>
      </c>
      <c r="Q234" s="5" t="str">
        <f t="shared" si="8"/>
        <v>Monroe|JACKSON|160</v>
      </c>
    </row>
    <row r="235" ht="15.0" customHeight="1">
      <c r="A235" s="5" t="s">
        <v>282</v>
      </c>
      <c r="B235" s="5" t="s">
        <v>301</v>
      </c>
      <c r="C235" s="5" t="s">
        <v>302</v>
      </c>
      <c r="D235" s="15">
        <f t="shared" si="1"/>
        <v>1.002331265</v>
      </c>
      <c r="E235" s="15">
        <f t="shared" si="2"/>
        <v>0.2814402269</v>
      </c>
      <c r="F235" s="15">
        <f t="shared" si="3"/>
        <v>0.002331264961</v>
      </c>
      <c r="G235" s="10">
        <f t="shared" si="4"/>
        <v>0.6149685689</v>
      </c>
      <c r="H235" s="2" t="str">
        <f t="shared" si="5"/>
        <v/>
      </c>
      <c r="J235" s="10">
        <f>'Precinct Vote Data'!H914</f>
        <v>0.6343253159</v>
      </c>
      <c r="K235" s="10">
        <f>'Precinct Vote Data'!H915</f>
        <v>0.6406543309</v>
      </c>
      <c r="L235" s="10">
        <f>'Precinct Vote Data'!H916</f>
        <v>0.6146322379</v>
      </c>
      <c r="M235" s="10">
        <f>'Precinct Vote Data'!H917</f>
        <v>0.5702623907</v>
      </c>
      <c r="N235" s="15">
        <f t="shared" si="6"/>
        <v>0.7208910381</v>
      </c>
      <c r="O235" s="5">
        <f t="shared" si="7"/>
        <v>137</v>
      </c>
      <c r="Q235" s="5" t="str">
        <f t="shared" si="8"/>
        <v>Monroe|MIDDLE SMITHFIELD|173</v>
      </c>
    </row>
    <row r="236" ht="15.0" customHeight="1">
      <c r="A236" s="5" t="s">
        <v>282</v>
      </c>
      <c r="B236" s="5" t="s">
        <v>303</v>
      </c>
      <c r="C236" s="5" t="s">
        <v>94</v>
      </c>
      <c r="D236" s="15">
        <f t="shared" si="1"/>
        <v>-0.2713623178</v>
      </c>
      <c r="E236" s="15">
        <f t="shared" si="2"/>
        <v>0.03330190069</v>
      </c>
      <c r="F236" s="15">
        <f t="shared" si="3"/>
        <v>1.271362318</v>
      </c>
      <c r="G236" s="10">
        <f t="shared" si="4"/>
        <v>0.6178930445</v>
      </c>
      <c r="H236" s="2" t="str">
        <f t="shared" si="5"/>
        <v/>
      </c>
      <c r="J236" s="10">
        <f>'Precinct Vote Data'!H918</f>
        <v>0.6072572038</v>
      </c>
      <c r="K236" s="10">
        <f>'Precinct Vote Data'!H919</f>
        <v>0.6522309711</v>
      </c>
      <c r="L236" s="10">
        <f>'Precinct Vote Data'!H920</f>
        <v>0.6184062851</v>
      </c>
      <c r="M236" s="10">
        <f>'Precinct Vote Data'!H921</f>
        <v>0.5936777178</v>
      </c>
      <c r="N236" s="15">
        <f t="shared" si="6"/>
        <v>2.238060417</v>
      </c>
      <c r="O236" s="5">
        <f t="shared" si="7"/>
        <v>379</v>
      </c>
      <c r="Q236" s="5" t="str">
        <f t="shared" si="8"/>
        <v>Monroe|MT POCONO|180</v>
      </c>
    </row>
    <row r="237" ht="15.0" customHeight="1">
      <c r="A237" s="5" t="s">
        <v>282</v>
      </c>
      <c r="B237" s="5" t="s">
        <v>304</v>
      </c>
      <c r="C237" s="5" t="s">
        <v>95</v>
      </c>
      <c r="D237" s="15">
        <f t="shared" si="1"/>
        <v>0.8026529551</v>
      </c>
      <c r="E237" s="15">
        <f t="shared" si="2"/>
        <v>0.9269149161</v>
      </c>
      <c r="F237" s="15">
        <f t="shared" si="3"/>
        <v>0.1973470449</v>
      </c>
      <c r="G237" s="10">
        <f t="shared" si="4"/>
        <v>0.4744898875</v>
      </c>
      <c r="H237" s="2" t="str">
        <f t="shared" si="5"/>
        <v>YES</v>
      </c>
      <c r="J237" s="10">
        <f>'Precinct Vote Data'!H922</f>
        <v>0.4937133277</v>
      </c>
      <c r="K237" s="10">
        <f>'Precinct Vote Data'!H923</f>
        <v>0.4724035608</v>
      </c>
      <c r="L237" s="10">
        <f>'Precinct Vote Data'!H924</f>
        <v>0.4718309859</v>
      </c>
      <c r="M237" s="10">
        <f>'Precinct Vote Data'!H925</f>
        <v>0.4600116754</v>
      </c>
      <c r="N237" s="15">
        <f t="shared" si="6"/>
        <v>0.2704321288</v>
      </c>
      <c r="O237" s="5">
        <f t="shared" si="7"/>
        <v>22</v>
      </c>
      <c r="Q237" s="5" t="str">
        <f t="shared" si="8"/>
        <v>Monroe|PARADISE|190</v>
      </c>
    </row>
    <row r="238" ht="15.0" customHeight="1">
      <c r="A238" s="5" t="s">
        <v>282</v>
      </c>
      <c r="B238" s="5" t="s">
        <v>305</v>
      </c>
      <c r="C238" s="5" t="s">
        <v>306</v>
      </c>
      <c r="D238" s="15">
        <f t="shared" si="1"/>
        <v>0.02371511601</v>
      </c>
      <c r="E238" s="15">
        <f t="shared" si="2"/>
        <v>0.0194119218</v>
      </c>
      <c r="F238" s="15">
        <f t="shared" si="3"/>
        <v>0.976284884</v>
      </c>
      <c r="G238" s="10">
        <f t="shared" si="4"/>
        <v>0.5107889391</v>
      </c>
      <c r="H238" s="2" t="str">
        <f t="shared" si="5"/>
        <v/>
      </c>
      <c r="J238" s="10">
        <f>'Precinct Vote Data'!H926</f>
        <v>0.5127516779</v>
      </c>
      <c r="K238" s="10">
        <f>'Precinct Vote Data'!H927</f>
        <v>0.5105363985</v>
      </c>
      <c r="L238" s="10">
        <f>'Precinct Vote Data'!H928</f>
        <v>0.5068322981</v>
      </c>
      <c r="M238" s="10">
        <f>'Precinct Vote Data'!H929</f>
        <v>0.5130353818</v>
      </c>
      <c r="N238" s="15">
        <f t="shared" si="6"/>
        <v>1.956872962</v>
      </c>
      <c r="O238" s="5">
        <f t="shared" si="7"/>
        <v>342</v>
      </c>
      <c r="Q238" s="5" t="str">
        <f t="shared" si="8"/>
        <v>Monroe|POCONO|197</v>
      </c>
    </row>
    <row r="239" ht="15.0" customHeight="1">
      <c r="A239" s="5" t="s">
        <v>282</v>
      </c>
      <c r="B239" s="5" t="s">
        <v>305</v>
      </c>
      <c r="C239" s="5" t="s">
        <v>307</v>
      </c>
      <c r="D239" s="15">
        <f t="shared" si="1"/>
        <v>0.3172069639</v>
      </c>
      <c r="E239" s="15">
        <f t="shared" si="2"/>
        <v>0.27183358</v>
      </c>
      <c r="F239" s="15">
        <f t="shared" si="3"/>
        <v>0.6827930361</v>
      </c>
      <c r="G239" s="10">
        <f t="shared" si="4"/>
        <v>0.5412237414</v>
      </c>
      <c r="H239" s="2" t="str">
        <f t="shared" si="5"/>
        <v/>
      </c>
      <c r="J239" s="10">
        <f>'Precinct Vote Data'!H930</f>
        <v>0.5516853933</v>
      </c>
      <c r="K239" s="10">
        <f>'Precinct Vote Data'!H931</f>
        <v>0.5476190476</v>
      </c>
      <c r="L239" s="10">
        <f>'Precinct Vote Data'!H932</f>
        <v>0.5294715447</v>
      </c>
      <c r="M239" s="10">
        <f>'Precinct Vote Data'!H933</f>
        <v>0.5361189802</v>
      </c>
      <c r="N239" s="15">
        <f t="shared" si="6"/>
        <v>1.410959456</v>
      </c>
      <c r="O239" s="5">
        <f t="shared" si="7"/>
        <v>267</v>
      </c>
      <c r="Q239" s="5" t="str">
        <f t="shared" si="8"/>
        <v>Monroe|POCONO|204</v>
      </c>
    </row>
    <row r="240" ht="15.0" customHeight="1">
      <c r="A240" s="5" t="s">
        <v>282</v>
      </c>
      <c r="B240" s="5" t="s">
        <v>305</v>
      </c>
      <c r="C240" s="5" t="s">
        <v>308</v>
      </c>
      <c r="D240" s="15">
        <f t="shared" si="1"/>
        <v>0.8732161124</v>
      </c>
      <c r="E240" s="15">
        <f t="shared" si="2"/>
        <v>0.7799806655</v>
      </c>
      <c r="F240" s="15">
        <f t="shared" si="3"/>
        <v>0.1267838876</v>
      </c>
      <c r="G240" s="10">
        <f t="shared" si="4"/>
        <v>0.5325582904</v>
      </c>
      <c r="H240" s="2" t="str">
        <f t="shared" si="5"/>
        <v/>
      </c>
      <c r="J240" s="10">
        <f>'Precinct Vote Data'!H934</f>
        <v>0.5504587156</v>
      </c>
      <c r="K240" s="10">
        <f>'Precinct Vote Data'!H935</f>
        <v>0.5313351499</v>
      </c>
      <c r="L240" s="10">
        <f>'Precinct Vote Data'!H936</f>
        <v>0.5378151261</v>
      </c>
      <c r="M240" s="10">
        <f>'Precinct Vote Data'!H937</f>
        <v>0.51062417</v>
      </c>
      <c r="N240" s="15">
        <f t="shared" si="6"/>
        <v>0.3468032221</v>
      </c>
      <c r="O240" s="5">
        <f t="shared" si="7"/>
        <v>36</v>
      </c>
      <c r="Q240" s="5" t="str">
        <f t="shared" si="8"/>
        <v>Monroe|POCONO|211</v>
      </c>
    </row>
    <row r="241" ht="15.0" customHeight="1">
      <c r="A241" s="5" t="s">
        <v>282</v>
      </c>
      <c r="B241" s="5" t="s">
        <v>305</v>
      </c>
      <c r="C241" s="5" t="s">
        <v>309</v>
      </c>
      <c r="D241" s="15">
        <f t="shared" si="1"/>
        <v>-0.2218967464</v>
      </c>
      <c r="E241" s="15">
        <f t="shared" si="2"/>
        <v>0.1562820532</v>
      </c>
      <c r="F241" s="15">
        <f t="shared" si="3"/>
        <v>1.221896746</v>
      </c>
      <c r="G241" s="10">
        <f t="shared" si="4"/>
        <v>0.538190172</v>
      </c>
      <c r="H241" s="2" t="str">
        <f t="shared" si="5"/>
        <v/>
      </c>
      <c r="J241" s="10">
        <f>'Precinct Vote Data'!H938</f>
        <v>0.5287356322</v>
      </c>
      <c r="K241" s="10">
        <f>'Precinct Vote Data'!H939</f>
        <v>0.5425935974</v>
      </c>
      <c r="L241" s="10">
        <f>'Precinct Vote Data'!H940</f>
        <v>0.5492647059</v>
      </c>
      <c r="M241" s="10">
        <f>'Precinct Vote Data'!H941</f>
        <v>0.5321667524</v>
      </c>
      <c r="N241" s="15">
        <f t="shared" si="6"/>
        <v>2.065614693</v>
      </c>
      <c r="O241" s="5">
        <f t="shared" si="7"/>
        <v>358</v>
      </c>
      <c r="Q241" s="5" t="str">
        <f t="shared" si="8"/>
        <v>Monroe|POCONO|218</v>
      </c>
    </row>
    <row r="242" ht="15.0" customHeight="1">
      <c r="A242" s="5" t="s">
        <v>282</v>
      </c>
      <c r="B242" s="5" t="s">
        <v>310</v>
      </c>
      <c r="C242" s="5" t="s">
        <v>100</v>
      </c>
      <c r="D242" s="15">
        <f t="shared" si="1"/>
        <v>1.811454594</v>
      </c>
      <c r="E242" s="15">
        <f t="shared" si="2"/>
        <v>0.7682922293</v>
      </c>
      <c r="F242" s="15">
        <f t="shared" si="3"/>
        <v>0.8114545939</v>
      </c>
      <c r="G242" s="10">
        <f t="shared" si="4"/>
        <v>0.3596850438</v>
      </c>
      <c r="H242" s="2" t="str">
        <f t="shared" si="5"/>
        <v/>
      </c>
      <c r="J242" s="10">
        <f>'Precinct Vote Data'!H942</f>
        <v>0.4068548387</v>
      </c>
      <c r="K242" s="10">
        <f>'Precinct Vote Data'!H943</f>
        <v>0.3638917263</v>
      </c>
      <c r="L242" s="10">
        <f>'Precinct Vote Data'!H944</f>
        <v>0.3397670549</v>
      </c>
      <c r="M242" s="10">
        <f>'Precinct Vote Data'!H945</f>
        <v>0.3282265552</v>
      </c>
      <c r="N242" s="15">
        <f t="shared" si="6"/>
        <v>1.043162365</v>
      </c>
      <c r="O242" s="5">
        <f t="shared" si="7"/>
        <v>198</v>
      </c>
      <c r="Q242" s="5" t="str">
        <f t="shared" si="8"/>
        <v>Monroe|POLK|220</v>
      </c>
    </row>
    <row r="243" ht="15.0" customHeight="1">
      <c r="A243" s="5" t="s">
        <v>282</v>
      </c>
      <c r="B243" s="5" t="s">
        <v>311</v>
      </c>
      <c r="C243" s="5" t="s">
        <v>102</v>
      </c>
      <c r="D243" s="15">
        <f t="shared" si="1"/>
        <v>0.8309635652</v>
      </c>
      <c r="E243" s="15">
        <f t="shared" si="2"/>
        <v>0.2816085159</v>
      </c>
      <c r="F243" s="15">
        <f t="shared" si="3"/>
        <v>0.1690364348</v>
      </c>
      <c r="G243" s="10">
        <f t="shared" si="4"/>
        <v>0.5441935976</v>
      </c>
      <c r="H243" s="2" t="str">
        <f t="shared" si="5"/>
        <v/>
      </c>
      <c r="J243" s="10">
        <f>'Precinct Vote Data'!H946</f>
        <v>0.5705931495</v>
      </c>
      <c r="K243" s="10">
        <f>'Precinct Vote Data'!H947</f>
        <v>0.5621970921</v>
      </c>
      <c r="L243" s="10">
        <f>'Precinct Vote Data'!H948</f>
        <v>0.5158045977</v>
      </c>
      <c r="M243" s="10">
        <f>'Precinct Vote Data'!H949</f>
        <v>0.5281795511</v>
      </c>
      <c r="N243" s="15">
        <f t="shared" si="6"/>
        <v>0.8874279188</v>
      </c>
      <c r="O243" s="5">
        <f t="shared" si="7"/>
        <v>170</v>
      </c>
      <c r="Q243" s="5" t="str">
        <f t="shared" si="8"/>
        <v>Monroe|PRICE|230</v>
      </c>
    </row>
    <row r="244" ht="15.0" customHeight="1">
      <c r="A244" s="5" t="s">
        <v>282</v>
      </c>
      <c r="B244" s="5" t="s">
        <v>312</v>
      </c>
      <c r="C244" s="5" t="s">
        <v>313</v>
      </c>
      <c r="D244" s="15">
        <f t="shared" si="1"/>
        <v>0.2508798592</v>
      </c>
      <c r="E244" s="15">
        <f t="shared" si="2"/>
        <v>0.2210566224</v>
      </c>
      <c r="F244" s="15">
        <f t="shared" si="3"/>
        <v>0.7491201408</v>
      </c>
      <c r="G244" s="10">
        <f t="shared" si="4"/>
        <v>0.594588298</v>
      </c>
      <c r="H244" s="2" t="str">
        <f t="shared" si="5"/>
        <v/>
      </c>
      <c r="J244" s="10">
        <f>'Precinct Vote Data'!H950</f>
        <v>0.6040868455</v>
      </c>
      <c r="K244" s="10">
        <f>'Precinct Vote Data'!H951</f>
        <v>0.5878107458</v>
      </c>
      <c r="L244" s="10">
        <f>'Precinct Vote Data'!H952</f>
        <v>0.5860838537</v>
      </c>
      <c r="M244" s="10">
        <f>'Precinct Vote Data'!H953</f>
        <v>0.6003717472</v>
      </c>
      <c r="N244" s="15">
        <f t="shared" si="6"/>
        <v>1.528063518</v>
      </c>
      <c r="O244" s="5">
        <f t="shared" si="7"/>
        <v>282</v>
      </c>
      <c r="Q244" s="5" t="str">
        <f t="shared" si="8"/>
        <v>Monroe|SMITHFIELD|253</v>
      </c>
    </row>
    <row r="245" ht="15.0" customHeight="1">
      <c r="A245" s="5" t="s">
        <v>282</v>
      </c>
      <c r="B245" s="5" t="s">
        <v>312</v>
      </c>
      <c r="C245" s="5" t="s">
        <v>314</v>
      </c>
      <c r="D245" s="15">
        <f t="shared" si="1"/>
        <v>2.487876427</v>
      </c>
      <c r="E245" s="15">
        <f t="shared" si="2"/>
        <v>0.9538610561</v>
      </c>
      <c r="F245" s="15">
        <f t="shared" si="3"/>
        <v>1.487876427</v>
      </c>
      <c r="G245" s="10">
        <f t="shared" si="4"/>
        <v>0.5795402631</v>
      </c>
      <c r="H245" s="2" t="str">
        <f t="shared" si="5"/>
        <v/>
      </c>
      <c r="J245" s="10">
        <f>'Precinct Vote Data'!H954</f>
        <v>0.6384758364</v>
      </c>
      <c r="K245" s="10">
        <f>'Precinct Vote Data'!H955</f>
        <v>0.5694239291</v>
      </c>
      <c r="L245" s="10">
        <f>'Precinct Vote Data'!H956</f>
        <v>0.5744466801</v>
      </c>
      <c r="M245" s="10">
        <f>'Precinct Vote Data'!H957</f>
        <v>0.5358146067</v>
      </c>
      <c r="N245" s="15">
        <f t="shared" si="6"/>
        <v>1.534015371</v>
      </c>
      <c r="O245" s="5">
        <f t="shared" si="7"/>
        <v>283</v>
      </c>
      <c r="Q245" s="5" t="str">
        <f t="shared" si="8"/>
        <v>Monroe|SMITHFIELD|254</v>
      </c>
    </row>
    <row r="246" ht="15.0" customHeight="1">
      <c r="A246" s="5" t="s">
        <v>282</v>
      </c>
      <c r="B246" s="5" t="s">
        <v>312</v>
      </c>
      <c r="C246" s="5" t="s">
        <v>315</v>
      </c>
      <c r="D246" s="15">
        <f t="shared" si="1"/>
        <v>0.3649951697</v>
      </c>
      <c r="E246" s="15">
        <f t="shared" si="2"/>
        <v>0.2181834813</v>
      </c>
      <c r="F246" s="15">
        <f t="shared" si="3"/>
        <v>0.6350048303</v>
      </c>
      <c r="G246" s="10">
        <f t="shared" si="4"/>
        <v>0.604775022</v>
      </c>
      <c r="H246" s="2" t="str">
        <f t="shared" si="5"/>
        <v/>
      </c>
      <c r="J246" s="10">
        <f>'Precinct Vote Data'!H958</f>
        <v>0.6188197767</v>
      </c>
      <c r="K246" s="10">
        <f>'Precinct Vote Data'!H959</f>
        <v>0.6078431373</v>
      </c>
      <c r="L246" s="10">
        <f>'Precinct Vote Data'!H960</f>
        <v>0.5871156662</v>
      </c>
      <c r="M246" s="10">
        <f>'Precinct Vote Data'!H961</f>
        <v>0.6053215078</v>
      </c>
      <c r="N246" s="15">
        <f t="shared" si="6"/>
        <v>1.416821349</v>
      </c>
      <c r="O246" s="5">
        <f t="shared" si="7"/>
        <v>270</v>
      </c>
      <c r="Q246" s="5" t="str">
        <f t="shared" si="8"/>
        <v>Monroe|SMITHFIELD|256</v>
      </c>
    </row>
    <row r="247" ht="15.0" customHeight="1">
      <c r="A247" s="5" t="s">
        <v>282</v>
      </c>
      <c r="B247" s="5" t="s">
        <v>316</v>
      </c>
      <c r="C247" s="5" t="s">
        <v>317</v>
      </c>
      <c r="D247" s="15">
        <f t="shared" si="1"/>
        <v>0.5577273333</v>
      </c>
      <c r="E247" s="15">
        <f t="shared" si="2"/>
        <v>0.830733796</v>
      </c>
      <c r="F247" s="15">
        <f t="shared" si="3"/>
        <v>0.4422726667</v>
      </c>
      <c r="G247" s="10">
        <f t="shared" si="4"/>
        <v>0.658748837</v>
      </c>
      <c r="H247" s="2" t="str">
        <f t="shared" si="5"/>
        <v/>
      </c>
      <c r="J247" s="10">
        <f>'Precinct Vote Data'!H962</f>
        <v>0.672010688</v>
      </c>
      <c r="K247" s="10">
        <f>'Precinct Vote Data'!H963</f>
        <v>0.659527972</v>
      </c>
      <c r="L247" s="10">
        <f>'Precinct Vote Data'!H964</f>
        <v>0.6563706564</v>
      </c>
      <c r="M247" s="10">
        <f>'Precinct Vote Data'!H965</f>
        <v>0.6470860315</v>
      </c>
      <c r="N247" s="15">
        <f t="shared" si="6"/>
        <v>0.6115388708</v>
      </c>
      <c r="O247" s="5">
        <f t="shared" si="7"/>
        <v>108</v>
      </c>
      <c r="Q247" s="5" t="str">
        <f t="shared" si="8"/>
        <v>Monroe|STROUD|261</v>
      </c>
    </row>
    <row r="248" ht="15.0" customHeight="1">
      <c r="A248" s="5" t="s">
        <v>282</v>
      </c>
      <c r="B248" s="5" t="s">
        <v>316</v>
      </c>
      <c r="C248" s="5" t="s">
        <v>318</v>
      </c>
      <c r="D248" s="15">
        <f t="shared" si="1"/>
        <v>0.959161822</v>
      </c>
      <c r="E248" s="15">
        <f t="shared" si="2"/>
        <v>0.5209872398</v>
      </c>
      <c r="F248" s="15">
        <f t="shared" si="3"/>
        <v>0.04083817805</v>
      </c>
      <c r="G248" s="10">
        <f t="shared" si="4"/>
        <v>0.6923987101</v>
      </c>
      <c r="H248" s="2" t="str">
        <f t="shared" si="5"/>
        <v/>
      </c>
      <c r="J248" s="10">
        <f>'Precinct Vote Data'!H966</f>
        <v>0.7184986595</v>
      </c>
      <c r="K248" s="10">
        <f>'Precinct Vote Data'!H967</f>
        <v>0.7034728406</v>
      </c>
      <c r="L248" s="10">
        <f>'Precinct Vote Data'!H968</f>
        <v>0.6754921928</v>
      </c>
      <c r="M248" s="10">
        <f>'Precinct Vote Data'!H969</f>
        <v>0.6721311475</v>
      </c>
      <c r="N248" s="15">
        <f t="shared" si="6"/>
        <v>0.5198509382</v>
      </c>
      <c r="O248" s="5">
        <f t="shared" si="7"/>
        <v>83</v>
      </c>
      <c r="Q248" s="5" t="str">
        <f t="shared" si="8"/>
        <v>Monroe|STROUD|267</v>
      </c>
    </row>
    <row r="249" ht="15.0" customHeight="1">
      <c r="A249" s="5" t="s">
        <v>282</v>
      </c>
      <c r="B249" s="5" t="s">
        <v>316</v>
      </c>
      <c r="C249" s="5" t="s">
        <v>319</v>
      </c>
      <c r="D249" s="15">
        <f t="shared" si="1"/>
        <v>1.087073745</v>
      </c>
      <c r="E249" s="15">
        <f t="shared" si="2"/>
        <v>0.8892237347</v>
      </c>
      <c r="F249" s="15">
        <f t="shared" si="3"/>
        <v>0.08707374547</v>
      </c>
      <c r="G249" s="10">
        <f t="shared" si="4"/>
        <v>0.6115744037</v>
      </c>
      <c r="H249" s="2" t="str">
        <f t="shared" si="5"/>
        <v>YES</v>
      </c>
      <c r="J249" s="10">
        <f>'Precinct Vote Data'!H970</f>
        <v>0.6357856494</v>
      </c>
      <c r="K249" s="10">
        <f>'Precinct Vote Data'!H971</f>
        <v>0.5937912814</v>
      </c>
      <c r="L249" s="10">
        <f>'Precinct Vote Data'!H972</f>
        <v>0.6185121107</v>
      </c>
      <c r="M249" s="10">
        <f>'Precinct Vote Data'!H973</f>
        <v>0.5982085733</v>
      </c>
      <c r="N249" s="15">
        <f t="shared" si="6"/>
        <v>0.1978500108</v>
      </c>
      <c r="O249" s="5">
        <f t="shared" si="7"/>
        <v>12</v>
      </c>
      <c r="Q249" s="5" t="str">
        <f t="shared" si="8"/>
        <v>Monroe|STROUD|273</v>
      </c>
    </row>
    <row r="250" ht="15.0" customHeight="1">
      <c r="A250" s="5" t="s">
        <v>282</v>
      </c>
      <c r="B250" s="5" t="s">
        <v>316</v>
      </c>
      <c r="C250" s="5" t="s">
        <v>320</v>
      </c>
      <c r="D250" s="15">
        <f t="shared" si="1"/>
        <v>0.5245978365</v>
      </c>
      <c r="E250" s="15">
        <f t="shared" si="2"/>
        <v>0.849942543</v>
      </c>
      <c r="F250" s="15">
        <f t="shared" si="3"/>
        <v>0.4754021635</v>
      </c>
      <c r="G250" s="10">
        <f t="shared" si="4"/>
        <v>0.5405296817</v>
      </c>
      <c r="H250" s="2" t="str">
        <f t="shared" si="5"/>
        <v/>
      </c>
      <c r="J250" s="10">
        <f>'Precinct Vote Data'!H974</f>
        <v>0.5538461538</v>
      </c>
      <c r="K250" s="10">
        <f>'Precinct Vote Data'!H975</f>
        <v>0.5311406578</v>
      </c>
      <c r="L250" s="10">
        <f>'Precinct Vote Data'!H976</f>
        <v>0.5395480226</v>
      </c>
      <c r="M250" s="10">
        <f>'Precinct Vote Data'!H977</f>
        <v>0.5375838926</v>
      </c>
      <c r="N250" s="15">
        <f t="shared" si="6"/>
        <v>0.6254596205</v>
      </c>
      <c r="O250" s="5">
        <f t="shared" si="7"/>
        <v>110</v>
      </c>
      <c r="Q250" s="5" t="str">
        <f t="shared" si="8"/>
        <v>Monroe|STROUD|279</v>
      </c>
    </row>
    <row r="251" ht="15.0" customHeight="1">
      <c r="A251" s="5" t="s">
        <v>282</v>
      </c>
      <c r="B251" s="5" t="s">
        <v>316</v>
      </c>
      <c r="C251" s="5" t="s">
        <v>321</v>
      </c>
      <c r="D251" s="15">
        <f t="shared" si="1"/>
        <v>1.309201886</v>
      </c>
      <c r="E251" s="15">
        <f t="shared" si="2"/>
        <v>0.9411997402</v>
      </c>
      <c r="F251" s="15">
        <f t="shared" si="3"/>
        <v>0.309201886</v>
      </c>
      <c r="G251" s="10">
        <f t="shared" si="4"/>
        <v>0.5836506578</v>
      </c>
      <c r="H251" s="2" t="str">
        <f t="shared" si="5"/>
        <v/>
      </c>
      <c r="J251" s="10">
        <f>'Precinct Vote Data'!H978</f>
        <v>0.6172465961</v>
      </c>
      <c r="K251" s="10">
        <f>'Precinct Vote Data'!H979</f>
        <v>0.5681581686</v>
      </c>
      <c r="L251" s="10">
        <f>'Precinct Vote Data'!H980</f>
        <v>0.5773195876</v>
      </c>
      <c r="M251" s="10">
        <f>'Precinct Vote Data'!H981</f>
        <v>0.5718782791</v>
      </c>
      <c r="N251" s="15">
        <f t="shared" si="6"/>
        <v>0.3680021457</v>
      </c>
      <c r="O251" s="5">
        <f t="shared" si="7"/>
        <v>43</v>
      </c>
      <c r="Q251" s="5" t="str">
        <f t="shared" si="8"/>
        <v>Monroe|STROUD|285</v>
      </c>
    </row>
    <row r="252" ht="15.0" customHeight="1">
      <c r="A252" s="5" t="s">
        <v>282</v>
      </c>
      <c r="B252" s="5" t="s">
        <v>316</v>
      </c>
      <c r="C252" s="5" t="s">
        <v>322</v>
      </c>
      <c r="D252" s="15">
        <f t="shared" si="1"/>
        <v>0.1221201878</v>
      </c>
      <c r="E252" s="15">
        <f t="shared" si="2"/>
        <v>0.05152114374</v>
      </c>
      <c r="F252" s="15">
        <f t="shared" si="3"/>
        <v>0.8778798122</v>
      </c>
      <c r="G252" s="10">
        <f t="shared" si="4"/>
        <v>0.5503674192</v>
      </c>
      <c r="H252" s="2" t="str">
        <f t="shared" si="5"/>
        <v/>
      </c>
      <c r="J252" s="10">
        <f>'Precinct Vote Data'!H982</f>
        <v>0.5576251455</v>
      </c>
      <c r="K252" s="10">
        <f>'Precinct Vote Data'!H983</f>
        <v>0.5500420521</v>
      </c>
      <c r="L252" s="10">
        <f>'Precinct Vote Data'!H984</f>
        <v>0.537704918</v>
      </c>
      <c r="M252" s="10">
        <f>'Precinct Vote Data'!H985</f>
        <v>0.556097561</v>
      </c>
      <c r="N252" s="15">
        <f t="shared" si="6"/>
        <v>1.826358668</v>
      </c>
      <c r="O252" s="5">
        <f t="shared" si="7"/>
        <v>330</v>
      </c>
      <c r="Q252" s="5" t="str">
        <f t="shared" si="8"/>
        <v>Monroe|STROUD|291</v>
      </c>
    </row>
    <row r="253" ht="15.0" customHeight="1">
      <c r="A253" s="5" t="s">
        <v>282</v>
      </c>
      <c r="B253" s="5" t="s">
        <v>316</v>
      </c>
      <c r="C253" s="5" t="s">
        <v>323</v>
      </c>
      <c r="D253" s="15">
        <f t="shared" si="1"/>
        <v>1.267176748</v>
      </c>
      <c r="E253" s="15">
        <f t="shared" si="2"/>
        <v>0.7450280352</v>
      </c>
      <c r="F253" s="15">
        <f t="shared" si="3"/>
        <v>0.2671767478</v>
      </c>
      <c r="G253" s="10">
        <f t="shared" si="4"/>
        <v>0.506909433</v>
      </c>
      <c r="H253" s="2" t="str">
        <f t="shared" si="5"/>
        <v/>
      </c>
      <c r="J253" s="10">
        <f>'Precinct Vote Data'!H986</f>
        <v>0.5322033898</v>
      </c>
      <c r="K253" s="10">
        <f>'Precinct Vote Data'!H987</f>
        <v>0.4842931937</v>
      </c>
      <c r="L253" s="10">
        <f>'Precinct Vote Data'!H988</f>
        <v>0.5239616613</v>
      </c>
      <c r="M253" s="10">
        <f>'Precinct Vote Data'!H989</f>
        <v>0.4871794872</v>
      </c>
      <c r="N253" s="15">
        <f t="shared" si="6"/>
        <v>0.5221487126</v>
      </c>
      <c r="O253" s="5">
        <f t="shared" si="7"/>
        <v>84</v>
      </c>
      <c r="Q253" s="5" t="str">
        <f t="shared" si="8"/>
        <v>Monroe|STROUD|297</v>
      </c>
    </row>
    <row r="254" ht="15.0" customHeight="1">
      <c r="A254" s="5" t="s">
        <v>282</v>
      </c>
      <c r="B254" s="5" t="s">
        <v>324</v>
      </c>
      <c r="C254" s="5" t="s">
        <v>113</v>
      </c>
      <c r="D254" s="15">
        <f t="shared" si="1"/>
        <v>0.7046831969</v>
      </c>
      <c r="E254" s="15">
        <f t="shared" si="2"/>
        <v>0.1119886204</v>
      </c>
      <c r="F254" s="15">
        <f t="shared" si="3"/>
        <v>0.2953168031</v>
      </c>
      <c r="G254" s="10">
        <f t="shared" si="4"/>
        <v>0.7732648603</v>
      </c>
      <c r="H254" s="2" t="str">
        <f t="shared" si="5"/>
        <v/>
      </c>
      <c r="J254" s="10">
        <f>'Precinct Vote Data'!H990</f>
        <v>0.7737226277</v>
      </c>
      <c r="K254" s="10">
        <f>'Precinct Vote Data'!H991</f>
        <v>0.7594339623</v>
      </c>
      <c r="L254" s="10">
        <f>'Precinct Vote Data'!H992</f>
        <v>0.8217054264</v>
      </c>
      <c r="M254" s="10">
        <f>'Precinct Vote Data'!H993</f>
        <v>0.7381974249</v>
      </c>
      <c r="N254" s="15">
        <f t="shared" si="6"/>
        <v>1.183328183</v>
      </c>
      <c r="O254" s="5">
        <f t="shared" si="7"/>
        <v>226</v>
      </c>
      <c r="Q254" s="5" t="str">
        <f t="shared" si="8"/>
        <v>Monroe|STROUDSBURG|300</v>
      </c>
    </row>
    <row r="255" ht="15.0" customHeight="1">
      <c r="A255" s="5" t="s">
        <v>282</v>
      </c>
      <c r="B255" s="5" t="s">
        <v>324</v>
      </c>
      <c r="C255" s="5" t="s">
        <v>114</v>
      </c>
      <c r="D255" s="15">
        <f t="shared" si="1"/>
        <v>0.6984995959</v>
      </c>
      <c r="E255" s="15">
        <f t="shared" si="2"/>
        <v>0.778684215</v>
      </c>
      <c r="F255" s="15">
        <f t="shared" si="3"/>
        <v>0.3015004041</v>
      </c>
      <c r="G255" s="10">
        <f t="shared" si="4"/>
        <v>0.7152480785</v>
      </c>
      <c r="H255" s="2" t="str">
        <f t="shared" si="5"/>
        <v/>
      </c>
      <c r="J255" s="10">
        <f>'Precinct Vote Data'!H994</f>
        <v>0.7288135593</v>
      </c>
      <c r="K255" s="10">
        <f>'Precinct Vote Data'!H995</f>
        <v>0.7088607595</v>
      </c>
      <c r="L255" s="10">
        <f>'Precinct Vote Data'!H996</f>
        <v>0.7235294118</v>
      </c>
      <c r="M255" s="10">
        <f>'Precinct Vote Data'!H997</f>
        <v>0.6997885835</v>
      </c>
      <c r="N255" s="15">
        <f t="shared" si="6"/>
        <v>0.5228161891</v>
      </c>
      <c r="O255" s="5">
        <f t="shared" si="7"/>
        <v>85</v>
      </c>
      <c r="Q255" s="5" t="str">
        <f t="shared" si="8"/>
        <v>Monroe|STROUDSBURG|310</v>
      </c>
    </row>
    <row r="256" ht="15.0" customHeight="1">
      <c r="A256" s="5" t="s">
        <v>282</v>
      </c>
      <c r="B256" s="5" t="s">
        <v>324</v>
      </c>
      <c r="C256" s="5" t="s">
        <v>116</v>
      </c>
      <c r="D256" s="15">
        <f t="shared" si="1"/>
        <v>0.7365937972</v>
      </c>
      <c r="E256" s="15">
        <f t="shared" si="2"/>
        <v>0.8773254203</v>
      </c>
      <c r="F256" s="15">
        <f t="shared" si="3"/>
        <v>0.2634062028</v>
      </c>
      <c r="G256" s="10">
        <f t="shared" si="4"/>
        <v>0.6374873821</v>
      </c>
      <c r="H256" s="2" t="str">
        <f t="shared" si="5"/>
        <v/>
      </c>
      <c r="J256" s="10">
        <f>'Precinct Vote Data'!H998</f>
        <v>0.6558441558</v>
      </c>
      <c r="K256" s="10">
        <f>'Precinct Vote Data'!H999</f>
        <v>0.6247240618</v>
      </c>
      <c r="L256" s="10">
        <f>'Precinct Vote Data'!H1000</f>
        <v>0.6369230769</v>
      </c>
      <c r="M256" s="10">
        <f>'Precinct Vote Data'!H1001</f>
        <v>0.6324582339</v>
      </c>
      <c r="N256" s="15">
        <f t="shared" si="6"/>
        <v>0.3860807825</v>
      </c>
      <c r="O256" s="5">
        <f t="shared" si="7"/>
        <v>50</v>
      </c>
      <c r="Q256" s="5" t="str">
        <f t="shared" si="8"/>
        <v>Monroe|STROUDSBURG|320</v>
      </c>
    </row>
    <row r="257" ht="15.0" customHeight="1">
      <c r="A257" s="5" t="s">
        <v>282</v>
      </c>
      <c r="B257" s="5" t="s">
        <v>324</v>
      </c>
      <c r="C257" s="5" t="s">
        <v>118</v>
      </c>
      <c r="D257" s="15">
        <f t="shared" si="1"/>
        <v>0.7849833348</v>
      </c>
      <c r="E257" s="15">
        <f t="shared" si="2"/>
        <v>0.6472020653</v>
      </c>
      <c r="F257" s="15">
        <f t="shared" si="3"/>
        <v>0.2150166652</v>
      </c>
      <c r="G257" s="10">
        <f t="shared" si="4"/>
        <v>0.7094948435</v>
      </c>
      <c r="H257" s="2" t="str">
        <f t="shared" si="5"/>
        <v/>
      </c>
      <c r="J257" s="10">
        <f>'Precinct Vote Data'!H1002</f>
        <v>0.7239583333</v>
      </c>
      <c r="K257" s="10">
        <f>'Precinct Vote Data'!H1003</f>
        <v>0.7082111437</v>
      </c>
      <c r="L257" s="10">
        <f>'Precinct Vote Data'!H1004</f>
        <v>0.7188940092</v>
      </c>
      <c r="M257" s="10">
        <f>'Precinct Vote Data'!H1005</f>
        <v>0.6869158879</v>
      </c>
      <c r="N257" s="15">
        <f t="shared" si="6"/>
        <v>0.5678145999</v>
      </c>
      <c r="O257" s="5">
        <f t="shared" si="7"/>
        <v>96</v>
      </c>
      <c r="Q257" s="5" t="str">
        <f t="shared" si="8"/>
        <v>Monroe|STROUDSBURG|330</v>
      </c>
    </row>
    <row r="258" ht="15.0" customHeight="1">
      <c r="A258" s="5" t="s">
        <v>282</v>
      </c>
      <c r="B258" s="5" t="s">
        <v>324</v>
      </c>
      <c r="C258" s="5" t="s">
        <v>119</v>
      </c>
      <c r="D258" s="15">
        <f t="shared" si="1"/>
        <v>-0.2798062528</v>
      </c>
      <c r="E258" s="15">
        <f t="shared" si="2"/>
        <v>0.1782714488</v>
      </c>
      <c r="F258" s="15">
        <f t="shared" si="3"/>
        <v>1.279806253</v>
      </c>
      <c r="G258" s="10">
        <f t="shared" si="4"/>
        <v>0.6385996424</v>
      </c>
      <c r="H258" s="2" t="str">
        <f t="shared" si="5"/>
        <v/>
      </c>
      <c r="J258" s="10">
        <f>'Precinct Vote Data'!H1006</f>
        <v>0.6357142857</v>
      </c>
      <c r="K258" s="10">
        <f>'Precinct Vote Data'!H1007</f>
        <v>0.6323713927</v>
      </c>
      <c r="L258" s="10">
        <f>'Precinct Vote Data'!H1008</f>
        <v>0.6312292359</v>
      </c>
      <c r="M258" s="10">
        <f>'Precinct Vote Data'!H1009</f>
        <v>0.6550836551</v>
      </c>
      <c r="N258" s="15">
        <f t="shared" si="6"/>
        <v>2.101534804</v>
      </c>
      <c r="O258" s="5">
        <f t="shared" si="7"/>
        <v>363</v>
      </c>
      <c r="Q258" s="5" t="str">
        <f t="shared" si="8"/>
        <v>Monroe|STROUDSBURG|340</v>
      </c>
    </row>
    <row r="259" ht="15.0" customHeight="1">
      <c r="A259" s="5" t="s">
        <v>282</v>
      </c>
      <c r="B259" s="5" t="s">
        <v>325</v>
      </c>
      <c r="C259" s="5" t="s">
        <v>120</v>
      </c>
      <c r="D259" s="15">
        <f t="shared" si="1"/>
        <v>-0.3383615616</v>
      </c>
      <c r="E259" s="15">
        <f t="shared" si="2"/>
        <v>0.7796916872</v>
      </c>
      <c r="F259" s="15">
        <f t="shared" si="3"/>
        <v>1.338361562</v>
      </c>
      <c r="G259" s="10">
        <f t="shared" si="4"/>
        <v>0.5775414296</v>
      </c>
      <c r="H259" s="2" t="str">
        <f t="shared" si="5"/>
        <v/>
      </c>
      <c r="J259" s="10">
        <f>'Precinct Vote Data'!H1010</f>
        <v>0.5686383929</v>
      </c>
      <c r="K259" s="10">
        <f>'Precinct Vote Data'!H1011</f>
        <v>0.5840707965</v>
      </c>
      <c r="L259" s="10">
        <f>'Precinct Vote Data'!H1012</f>
        <v>0.5788929126</v>
      </c>
      <c r="M259" s="10">
        <f>'Precinct Vote Data'!H1013</f>
        <v>0.5785636165</v>
      </c>
      <c r="N259" s="15">
        <f t="shared" si="6"/>
        <v>1.558669874</v>
      </c>
      <c r="O259" s="5">
        <f t="shared" si="7"/>
        <v>287</v>
      </c>
      <c r="Q259" s="5" t="str">
        <f t="shared" si="8"/>
        <v>Monroe|TOBYHANNA|350</v>
      </c>
    </row>
    <row r="260" ht="15.0" customHeight="1">
      <c r="A260" s="5" t="s">
        <v>282</v>
      </c>
      <c r="B260" s="5" t="s">
        <v>325</v>
      </c>
      <c r="C260" s="5" t="s">
        <v>122</v>
      </c>
      <c r="D260" s="15">
        <f t="shared" si="1"/>
        <v>1.008947536</v>
      </c>
      <c r="E260" s="15">
        <f t="shared" si="2"/>
        <v>0.5496002402</v>
      </c>
      <c r="F260" s="15">
        <f t="shared" si="3"/>
        <v>0.008947535552</v>
      </c>
      <c r="G260" s="10">
        <f t="shared" si="4"/>
        <v>0.4481301485</v>
      </c>
      <c r="H260" s="2" t="str">
        <f t="shared" si="5"/>
        <v/>
      </c>
      <c r="J260" s="10">
        <f>'Precinct Vote Data'!H1014</f>
        <v>0.4777777778</v>
      </c>
      <c r="K260" s="10">
        <f>'Precinct Vote Data'!H1015</f>
        <v>0.4538914323</v>
      </c>
      <c r="L260" s="10">
        <f>'Precinct Vote Data'!H1016</f>
        <v>0.4262574595</v>
      </c>
      <c r="M260" s="10">
        <f>'Precinct Vote Data'!H1017</f>
        <v>0.4345939244</v>
      </c>
      <c r="N260" s="15">
        <f t="shared" si="6"/>
        <v>0.4593472953</v>
      </c>
      <c r="O260" s="5">
        <f t="shared" si="7"/>
        <v>67</v>
      </c>
      <c r="Q260" s="5" t="str">
        <f t="shared" si="8"/>
        <v>Monroe|TOBYHANNA|360</v>
      </c>
    </row>
    <row r="261" ht="15.0" customHeight="1">
      <c r="A261" s="5" t="s">
        <v>282</v>
      </c>
      <c r="B261" s="5" t="s">
        <v>326</v>
      </c>
      <c r="C261" s="5" t="s">
        <v>124</v>
      </c>
      <c r="D261" s="15">
        <f t="shared" si="1"/>
        <v>0.8633776893</v>
      </c>
      <c r="E261" s="15">
        <f t="shared" si="2"/>
        <v>0.4351179049</v>
      </c>
      <c r="F261" s="15">
        <f t="shared" si="3"/>
        <v>0.1366223107</v>
      </c>
      <c r="G261" s="10">
        <f t="shared" si="4"/>
        <v>0.5297989329</v>
      </c>
      <c r="H261" s="2" t="str">
        <f t="shared" si="5"/>
        <v/>
      </c>
      <c r="J261" s="10">
        <f>'Precinct Vote Data'!H1018</f>
        <v>0.5557251908</v>
      </c>
      <c r="K261" s="10">
        <f>'Precinct Vote Data'!H1019</f>
        <v>0.5398676332</v>
      </c>
      <c r="L261" s="10">
        <f>'Precinct Vote Data'!H1020</f>
        <v>0.5076608784</v>
      </c>
      <c r="M261" s="10">
        <f>'Precinct Vote Data'!H1021</f>
        <v>0.515942029</v>
      </c>
      <c r="N261" s="15">
        <f t="shared" si="6"/>
        <v>0.7015044058</v>
      </c>
      <c r="O261" s="5">
        <f t="shared" si="7"/>
        <v>131</v>
      </c>
      <c r="Q261" s="5" t="str">
        <f t="shared" si="8"/>
        <v>Monroe|TUNKHANNOCK|370</v>
      </c>
    </row>
    <row r="262" ht="15.0" customHeight="1">
      <c r="A262" s="5" t="s">
        <v>327</v>
      </c>
      <c r="B262" s="5" t="s">
        <v>328</v>
      </c>
      <c r="C262" s="5" t="s">
        <v>18</v>
      </c>
      <c r="D262" s="15">
        <f t="shared" si="1"/>
        <v>0.9479779779</v>
      </c>
      <c r="E262" s="15">
        <f t="shared" si="2"/>
        <v>0.7009323805</v>
      </c>
      <c r="F262" s="15">
        <f t="shared" si="3"/>
        <v>0.05202202212</v>
      </c>
      <c r="G262" s="10">
        <f t="shared" si="4"/>
        <v>0.4088569596</v>
      </c>
      <c r="H262" s="2" t="str">
        <f t="shared" si="5"/>
        <v/>
      </c>
      <c r="J262" s="10">
        <f>'Precinct Vote Data'!H1022</f>
        <v>0.4315589354</v>
      </c>
      <c r="K262" s="10">
        <f>'Precinct Vote Data'!H1023</f>
        <v>0.3856009762</v>
      </c>
      <c r="L262" s="10">
        <f>'Precinct Vote Data'!H1024</f>
        <v>0.413197172</v>
      </c>
      <c r="M262" s="10">
        <f>'Precinct Vote Data'!H1025</f>
        <v>0.4050707547</v>
      </c>
      <c r="N262" s="15">
        <f t="shared" si="6"/>
        <v>0.3510896416</v>
      </c>
      <c r="O262" s="5">
        <f t="shared" si="7"/>
        <v>37</v>
      </c>
      <c r="Q262" s="5" t="str">
        <f t="shared" si="8"/>
        <v>Northampton|ALLEN|10</v>
      </c>
    </row>
    <row r="263" ht="15.0" customHeight="1">
      <c r="A263" s="5" t="s">
        <v>327</v>
      </c>
      <c r="B263" s="5" t="s">
        <v>329</v>
      </c>
      <c r="C263" s="5" t="s">
        <v>146</v>
      </c>
      <c r="D263" s="15">
        <f t="shared" si="1"/>
        <v>1.778603352</v>
      </c>
      <c r="E263" s="15">
        <f t="shared" si="2"/>
        <v>0.8837476121</v>
      </c>
      <c r="F263" s="15">
        <f t="shared" si="3"/>
        <v>0.778603352</v>
      </c>
      <c r="G263" s="10">
        <f t="shared" si="4"/>
        <v>0.4477744415</v>
      </c>
      <c r="H263" s="2" t="str">
        <f t="shared" si="5"/>
        <v/>
      </c>
      <c r="J263" s="10">
        <f>'Precinct Vote Data'!H1026</f>
        <v>0.486631016</v>
      </c>
      <c r="K263" s="10">
        <f>'Precinct Vote Data'!H1027</f>
        <v>0.4424040067</v>
      </c>
      <c r="L263" s="10">
        <f>'Precinct Vote Data'!H1028</f>
        <v>0.4527363184</v>
      </c>
      <c r="M263" s="10">
        <f>'Precinct Vote Data'!H1029</f>
        <v>0.4093264249</v>
      </c>
      <c r="N263" s="15">
        <f t="shared" si="6"/>
        <v>0.8948557399</v>
      </c>
      <c r="O263" s="5">
        <f t="shared" si="7"/>
        <v>173</v>
      </c>
      <c r="Q263" s="5" t="str">
        <f t="shared" si="8"/>
        <v>Northampton|BANGOR|20</v>
      </c>
    </row>
    <row r="264" ht="15.0" customHeight="1">
      <c r="A264" s="5" t="s">
        <v>327</v>
      </c>
      <c r="B264" s="5" t="s">
        <v>329</v>
      </c>
      <c r="C264" s="5" t="s">
        <v>147</v>
      </c>
      <c r="D264" s="15">
        <f t="shared" si="1"/>
        <v>2.986296866</v>
      </c>
      <c r="E264" s="15">
        <f t="shared" si="2"/>
        <v>0.9471261109</v>
      </c>
      <c r="F264" s="15">
        <f t="shared" si="3"/>
        <v>1.986296866</v>
      </c>
      <c r="G264" s="10">
        <f t="shared" si="4"/>
        <v>0.462953431</v>
      </c>
      <c r="H264" s="2" t="str">
        <f t="shared" si="5"/>
        <v/>
      </c>
      <c r="J264" s="10">
        <f>'Precinct Vote Data'!H1030</f>
        <v>0.5347432024</v>
      </c>
      <c r="K264" s="10">
        <f>'Precinct Vote Data'!H1031</f>
        <v>0.419047619</v>
      </c>
      <c r="L264" s="10">
        <f>'Precinct Vote Data'!H1032</f>
        <v>0.4652956298</v>
      </c>
      <c r="M264" s="10">
        <f>'Precinct Vote Data'!H1033</f>
        <v>0.4327272727</v>
      </c>
      <c r="N264" s="15">
        <f t="shared" si="6"/>
        <v>2.039170755</v>
      </c>
      <c r="O264" s="5">
        <f t="shared" si="7"/>
        <v>357</v>
      </c>
      <c r="Q264" s="5" t="str">
        <f t="shared" si="8"/>
        <v>Northampton|BANGOR|30</v>
      </c>
    </row>
    <row r="265" ht="15.0" customHeight="1">
      <c r="A265" s="5" t="s">
        <v>327</v>
      </c>
      <c r="B265" s="5" t="s">
        <v>329</v>
      </c>
      <c r="C265" s="5" t="s">
        <v>55</v>
      </c>
      <c r="D265" s="15">
        <f t="shared" si="1"/>
        <v>1.001029169</v>
      </c>
      <c r="E265" s="15">
        <f t="shared" si="2"/>
        <v>0.6025435962</v>
      </c>
      <c r="F265" s="15">
        <f t="shared" si="3"/>
        <v>0.00102916875</v>
      </c>
      <c r="G265" s="10">
        <f t="shared" si="4"/>
        <v>0.4321941401</v>
      </c>
      <c r="H265" s="2" t="str">
        <f t="shared" si="5"/>
        <v/>
      </c>
      <c r="J265" s="10">
        <f>'Precinct Vote Data'!H1034</f>
        <v>0.4506329114</v>
      </c>
      <c r="K265" s="10">
        <f>'Precinct Vote Data'!H1035</f>
        <v>0.4110929853</v>
      </c>
      <c r="L265" s="10">
        <f>'Precinct Vote Data'!H1036</f>
        <v>0.4511930586</v>
      </c>
      <c r="M265" s="10">
        <f>'Precinct Vote Data'!H1037</f>
        <v>0.4158576052</v>
      </c>
      <c r="N265" s="15">
        <f t="shared" si="6"/>
        <v>0.3984855725</v>
      </c>
      <c r="O265" s="5">
        <f t="shared" si="7"/>
        <v>54</v>
      </c>
      <c r="Q265" s="5" t="str">
        <f t="shared" si="8"/>
        <v>Northampton|BANGOR|40</v>
      </c>
    </row>
    <row r="266" ht="15.0" customHeight="1">
      <c r="A266" s="5" t="s">
        <v>327</v>
      </c>
      <c r="B266" s="5" t="s">
        <v>329</v>
      </c>
      <c r="C266" s="5" t="s">
        <v>57</v>
      </c>
      <c r="D266" s="15">
        <f t="shared" si="1"/>
        <v>0.9589507342</v>
      </c>
      <c r="E266" s="15">
        <f t="shared" si="2"/>
        <v>0.7770341875</v>
      </c>
      <c r="F266" s="15">
        <f t="shared" si="3"/>
        <v>0.04104926579</v>
      </c>
      <c r="G266" s="10">
        <f t="shared" si="4"/>
        <v>0.4036667183</v>
      </c>
      <c r="H266" s="2" t="str">
        <f t="shared" si="5"/>
        <v>YES</v>
      </c>
      <c r="J266" s="10">
        <f>'Precinct Vote Data'!H1038</f>
        <v>0.4304461942</v>
      </c>
      <c r="K266" s="10">
        <f>'Precinct Vote Data'!H1039</f>
        <v>0.4</v>
      </c>
      <c r="L266" s="10">
        <f>'Precinct Vote Data'!H1040</f>
        <v>0.3901234568</v>
      </c>
      <c r="M266" s="10">
        <f>'Precinct Vote Data'!H1041</f>
        <v>0.3940972222</v>
      </c>
      <c r="N266" s="15">
        <f t="shared" si="6"/>
        <v>0.2640150782</v>
      </c>
      <c r="O266" s="5">
        <f t="shared" si="7"/>
        <v>20</v>
      </c>
      <c r="Q266" s="5" t="str">
        <f t="shared" si="8"/>
        <v>Northampton|BANGOR|50</v>
      </c>
    </row>
    <row r="267" ht="15.0" customHeight="1">
      <c r="A267" s="5" t="s">
        <v>327</v>
      </c>
      <c r="B267" s="5" t="s">
        <v>330</v>
      </c>
      <c r="C267" s="5" t="s">
        <v>59</v>
      </c>
      <c r="D267" s="15">
        <f t="shared" si="1"/>
        <v>0.4272650584</v>
      </c>
      <c r="E267" s="15">
        <f t="shared" si="2"/>
        <v>0.7736421062</v>
      </c>
      <c r="F267" s="15">
        <f t="shared" si="3"/>
        <v>0.5727349416</v>
      </c>
      <c r="G267" s="10">
        <f t="shared" si="4"/>
        <v>0.4631971564</v>
      </c>
      <c r="H267" s="2" t="str">
        <f t="shared" si="5"/>
        <v/>
      </c>
      <c r="J267" s="10">
        <f>'Precinct Vote Data'!H1042</f>
        <v>0.4742268041</v>
      </c>
      <c r="K267" s="10">
        <f>'Precinct Vote Data'!H1043</f>
        <v>0.4544740973</v>
      </c>
      <c r="L267" s="10">
        <f>'Precinct Vote Data'!H1044</f>
        <v>0.4622641509</v>
      </c>
      <c r="M267" s="10">
        <f>'Precinct Vote Data'!H1045</f>
        <v>0.461823573</v>
      </c>
      <c r="N267" s="15">
        <f t="shared" si="6"/>
        <v>0.7990928354</v>
      </c>
      <c r="O267" s="5">
        <f t="shared" si="7"/>
        <v>156</v>
      </c>
      <c r="Q267" s="5" t="str">
        <f t="shared" si="8"/>
        <v>Northampton|BATH|60</v>
      </c>
    </row>
    <row r="268" ht="15.0" customHeight="1">
      <c r="A268" s="5" t="s">
        <v>327</v>
      </c>
      <c r="B268" s="5" t="s">
        <v>157</v>
      </c>
      <c r="C268" s="5" t="s">
        <v>60</v>
      </c>
      <c r="D268" s="15">
        <f t="shared" si="1"/>
        <v>2.400852933</v>
      </c>
      <c r="E268" s="15">
        <f t="shared" si="2"/>
        <v>0.7979189491</v>
      </c>
      <c r="F268" s="15">
        <f t="shared" si="3"/>
        <v>1.400852933</v>
      </c>
      <c r="G268" s="10">
        <f t="shared" si="4"/>
        <v>0.7725689408</v>
      </c>
      <c r="H268" s="2" t="str">
        <f t="shared" si="5"/>
        <v/>
      </c>
      <c r="J268" s="10">
        <f>'Precinct Vote Data'!H1046</f>
        <v>0.8206278027</v>
      </c>
      <c r="K268" s="10">
        <f>'Precinct Vote Data'!H1047</f>
        <v>0.76096823</v>
      </c>
      <c r="L268" s="10">
        <f>'Precinct Vote Data'!H1048</f>
        <v>0.793258427</v>
      </c>
      <c r="M268" s="10">
        <f>'Precinct Vote Data'!H1049</f>
        <v>0.7154213037</v>
      </c>
      <c r="N268" s="15">
        <f t="shared" si="6"/>
        <v>1.602933983</v>
      </c>
      <c r="O268" s="5">
        <f t="shared" si="7"/>
        <v>299</v>
      </c>
      <c r="Q268" s="5" t="str">
        <f t="shared" si="8"/>
        <v>Northampton|BETHLEHEM|65</v>
      </c>
    </row>
    <row r="269" ht="15.0" customHeight="1">
      <c r="A269" s="5" t="s">
        <v>327</v>
      </c>
      <c r="B269" s="5" t="s">
        <v>157</v>
      </c>
      <c r="C269" s="5" t="s">
        <v>63</v>
      </c>
      <c r="D269" s="15">
        <f t="shared" si="1"/>
        <v>1.876826884</v>
      </c>
      <c r="E269" s="15">
        <f t="shared" si="2"/>
        <v>0.838660938</v>
      </c>
      <c r="F269" s="15">
        <f t="shared" si="3"/>
        <v>0.8768268836</v>
      </c>
      <c r="G269" s="10">
        <f t="shared" si="4"/>
        <v>0.7663208425</v>
      </c>
      <c r="H269" s="2" t="str">
        <f t="shared" si="5"/>
        <v/>
      </c>
      <c r="J269" s="10">
        <f>'Precinct Vote Data'!H1050</f>
        <v>0.8136020151</v>
      </c>
      <c r="K269" s="10">
        <f>'Precinct Vote Data'!H1051</f>
        <v>0.7672672673</v>
      </c>
      <c r="L269" s="10">
        <f>'Precinct Vote Data'!H1052</f>
        <v>0.7514124294</v>
      </c>
      <c r="M269" s="10">
        <f>'Precinct Vote Data'!H1053</f>
        <v>0.7330016584</v>
      </c>
      <c r="N269" s="15">
        <f t="shared" si="6"/>
        <v>1.038165946</v>
      </c>
      <c r="O269" s="5">
        <f t="shared" si="7"/>
        <v>197</v>
      </c>
      <c r="Q269" s="5" t="str">
        <f t="shared" si="8"/>
        <v>Northampton|BETHLEHEM|70</v>
      </c>
    </row>
    <row r="270" ht="15.0" customHeight="1">
      <c r="A270" s="5" t="s">
        <v>327</v>
      </c>
      <c r="B270" s="5" t="s">
        <v>157</v>
      </c>
      <c r="C270" s="5" t="s">
        <v>331</v>
      </c>
      <c r="D270" s="15">
        <f t="shared" si="1"/>
        <v>2.08243618</v>
      </c>
      <c r="E270" s="15">
        <f t="shared" si="2"/>
        <v>0.8583670717</v>
      </c>
      <c r="F270" s="15">
        <f t="shared" si="3"/>
        <v>1.08243618</v>
      </c>
      <c r="G270" s="10">
        <f t="shared" si="4"/>
        <v>0.7937991555</v>
      </c>
      <c r="H270" s="2" t="str">
        <f t="shared" si="5"/>
        <v/>
      </c>
      <c r="J270" s="10">
        <f>'Precinct Vote Data'!H1054</f>
        <v>0.8387978142</v>
      </c>
      <c r="K270" s="10">
        <f>'Precinct Vote Data'!H1055</f>
        <v>0.7890625</v>
      </c>
      <c r="L270" s="10">
        <f>'Precinct Vote Data'!H1056</f>
        <v>0.8004535147</v>
      </c>
      <c r="M270" s="10">
        <f>'Precinct Vote Data'!H1057</f>
        <v>0.746882793</v>
      </c>
      <c r="N270" s="15">
        <f t="shared" si="6"/>
        <v>1.224069108</v>
      </c>
      <c r="O270" s="5">
        <f t="shared" si="7"/>
        <v>239</v>
      </c>
      <c r="Q270" s="5" t="str">
        <f t="shared" si="8"/>
        <v>Northampton|BETHLEHEM|83</v>
      </c>
    </row>
    <row r="271" ht="15.0" customHeight="1">
      <c r="A271" s="5" t="s">
        <v>327</v>
      </c>
      <c r="B271" s="5" t="s">
        <v>157</v>
      </c>
      <c r="C271" s="5" t="s">
        <v>74</v>
      </c>
      <c r="D271" s="15">
        <f t="shared" si="1"/>
        <v>1.134079238</v>
      </c>
      <c r="E271" s="15">
        <f t="shared" si="2"/>
        <v>0.4616289207</v>
      </c>
      <c r="F271" s="15">
        <f t="shared" si="3"/>
        <v>0.1340792383</v>
      </c>
      <c r="G271" s="10">
        <f t="shared" si="4"/>
        <v>0.8457815106</v>
      </c>
      <c r="H271" s="2" t="str">
        <f t="shared" si="5"/>
        <v/>
      </c>
      <c r="J271" s="10">
        <f>'Precinct Vote Data'!H1058</f>
        <v>0.862932062</v>
      </c>
      <c r="K271" s="10">
        <f>'Precinct Vote Data'!H1059</f>
        <v>0.8276990185</v>
      </c>
      <c r="L271" s="10">
        <f>'Precinct Vote Data'!H1060</f>
        <v>0.875792142</v>
      </c>
      <c r="M271" s="10">
        <f>'Precinct Vote Data'!H1061</f>
        <v>0.81670282</v>
      </c>
      <c r="N271" s="15">
        <f t="shared" si="6"/>
        <v>0.6724503176</v>
      </c>
      <c r="O271" s="5">
        <f t="shared" si="7"/>
        <v>120</v>
      </c>
      <c r="Q271" s="5" t="str">
        <f t="shared" si="8"/>
        <v>Northampton|BETHLEHEM|90</v>
      </c>
    </row>
    <row r="272" ht="15.0" customHeight="1">
      <c r="A272" s="5" t="s">
        <v>327</v>
      </c>
      <c r="B272" s="5" t="s">
        <v>157</v>
      </c>
      <c r="C272" s="5" t="s">
        <v>332</v>
      </c>
      <c r="D272" s="15">
        <f t="shared" si="1"/>
        <v>2.5419885</v>
      </c>
      <c r="E272" s="15">
        <f t="shared" si="2"/>
        <v>0.864252988</v>
      </c>
      <c r="F272" s="15">
        <f t="shared" si="3"/>
        <v>1.5419885</v>
      </c>
      <c r="G272" s="10">
        <f t="shared" si="4"/>
        <v>0.7830403927</v>
      </c>
      <c r="H272" s="2" t="str">
        <f t="shared" si="5"/>
        <v/>
      </c>
      <c r="J272" s="10">
        <f>'Precinct Vote Data'!H1062</f>
        <v>0.8373205742</v>
      </c>
      <c r="K272" s="10">
        <f>'Precinct Vote Data'!H1063</f>
        <v>0.774498229</v>
      </c>
      <c r="L272" s="10">
        <f>'Precinct Vote Data'!H1064</f>
        <v>0.7939914163</v>
      </c>
      <c r="M272" s="10">
        <f>'Precinct Vote Data'!H1065</f>
        <v>0.7263513514</v>
      </c>
      <c r="N272" s="15">
        <f t="shared" si="6"/>
        <v>1.677735512</v>
      </c>
      <c r="O272" s="5">
        <f t="shared" si="7"/>
        <v>310</v>
      </c>
      <c r="Q272" s="5" t="str">
        <f t="shared" si="8"/>
        <v>Northampton|BETHLEHEM|115</v>
      </c>
    </row>
    <row r="273" ht="15.0" customHeight="1">
      <c r="A273" s="5" t="s">
        <v>327</v>
      </c>
      <c r="B273" s="5" t="s">
        <v>157</v>
      </c>
      <c r="C273" s="5" t="s">
        <v>87</v>
      </c>
      <c r="D273" s="15">
        <f t="shared" si="1"/>
        <v>4.007615206</v>
      </c>
      <c r="E273" s="15">
        <f t="shared" si="2"/>
        <v>0.9697632577</v>
      </c>
      <c r="F273" s="15">
        <f t="shared" si="3"/>
        <v>3.007615206</v>
      </c>
      <c r="G273" s="10">
        <f t="shared" si="4"/>
        <v>0.7686962735</v>
      </c>
      <c r="H273" s="2" t="str">
        <f t="shared" si="5"/>
        <v/>
      </c>
      <c r="J273" s="10">
        <f>'Precinct Vote Data'!H1066</f>
        <v>0.8641114983</v>
      </c>
      <c r="K273" s="10">
        <f>'Precinct Vote Data'!H1067</f>
        <v>0.748434238</v>
      </c>
      <c r="L273" s="10">
        <f>'Precinct Vote Data'!H1068</f>
        <v>0.7605633803</v>
      </c>
      <c r="M273" s="10">
        <f>'Precinct Vote Data'!H1069</f>
        <v>0.7016759777</v>
      </c>
      <c r="N273" s="15">
        <f t="shared" si="6"/>
        <v>3.037851948</v>
      </c>
      <c r="O273" s="5">
        <f t="shared" si="7"/>
        <v>403</v>
      </c>
      <c r="Q273" s="5" t="str">
        <f t="shared" si="8"/>
        <v>Northampton|BETHLEHEM|130</v>
      </c>
    </row>
    <row r="274" ht="15.0" customHeight="1">
      <c r="A274" s="5" t="s">
        <v>327</v>
      </c>
      <c r="B274" s="5" t="s">
        <v>157</v>
      </c>
      <c r="C274" s="5" t="s">
        <v>88</v>
      </c>
      <c r="D274" s="15">
        <f t="shared" si="1"/>
        <v>0.002196276366</v>
      </c>
      <c r="E274" s="15">
        <f t="shared" si="2"/>
        <v>0.000005880659685</v>
      </c>
      <c r="F274" s="15">
        <f t="shared" si="3"/>
        <v>0.9978037236</v>
      </c>
      <c r="G274" s="10">
        <f t="shared" si="4"/>
        <v>0.7368173383</v>
      </c>
      <c r="H274" s="2" t="str">
        <f t="shared" si="5"/>
        <v/>
      </c>
      <c r="J274" s="10">
        <f>'Precinct Vote Data'!H1070</f>
        <v>0.7412451362</v>
      </c>
      <c r="K274" s="10">
        <f>'Precinct Vote Data'!H1071</f>
        <v>0.7199367089</v>
      </c>
      <c r="L274" s="10">
        <f>'Precinct Vote Data'!H1072</f>
        <v>0.7304964539</v>
      </c>
      <c r="M274" s="10">
        <f>'Precinct Vote Data'!H1073</f>
        <v>0.7555910543</v>
      </c>
      <c r="N274" s="15">
        <f t="shared" si="6"/>
        <v>1.997797843</v>
      </c>
      <c r="O274" s="5">
        <f t="shared" si="7"/>
        <v>347</v>
      </c>
      <c r="Q274" s="5" t="str">
        <f t="shared" si="8"/>
        <v>Northampton|BETHLEHEM|140</v>
      </c>
    </row>
    <row r="275" ht="15.0" customHeight="1">
      <c r="A275" s="5" t="s">
        <v>327</v>
      </c>
      <c r="B275" s="5" t="s">
        <v>157</v>
      </c>
      <c r="C275" s="5" t="s">
        <v>89</v>
      </c>
      <c r="D275" s="15">
        <f t="shared" si="1"/>
        <v>1.464021969</v>
      </c>
      <c r="E275" s="15">
        <f t="shared" si="2"/>
        <v>0.9657363729</v>
      </c>
      <c r="F275" s="15">
        <f t="shared" si="3"/>
        <v>0.4640219695</v>
      </c>
      <c r="G275" s="10">
        <f t="shared" si="4"/>
        <v>0.7358847862</v>
      </c>
      <c r="H275" s="2" t="str">
        <f t="shared" si="5"/>
        <v/>
      </c>
      <c r="J275" s="10">
        <f>'Precinct Vote Data'!H1074</f>
        <v>0.7685459941</v>
      </c>
      <c r="K275" s="10">
        <f>'Precinct Vote Data'!H1075</f>
        <v>0.7209082308</v>
      </c>
      <c r="L275" s="10">
        <f>'Precinct Vote Data'!H1076</f>
        <v>0.7418478261</v>
      </c>
      <c r="M275" s="10">
        <f>'Precinct Vote Data'!H1077</f>
        <v>0.7122370937</v>
      </c>
      <c r="N275" s="15">
        <f t="shared" si="6"/>
        <v>0.4982855966</v>
      </c>
      <c r="O275" s="5">
        <f t="shared" si="7"/>
        <v>78</v>
      </c>
      <c r="Q275" s="5" t="str">
        <f t="shared" si="8"/>
        <v>Northampton|BETHLEHEM|150</v>
      </c>
    </row>
    <row r="276" ht="15.0" customHeight="1">
      <c r="A276" s="5" t="s">
        <v>327</v>
      </c>
      <c r="B276" s="5" t="s">
        <v>157</v>
      </c>
      <c r="C276" s="5" t="s">
        <v>91</v>
      </c>
      <c r="D276" s="15">
        <f t="shared" si="1"/>
        <v>1.878499942</v>
      </c>
      <c r="E276" s="15">
        <f t="shared" si="2"/>
        <v>0.8432788106</v>
      </c>
      <c r="F276" s="15">
        <f t="shared" si="3"/>
        <v>0.8784999423</v>
      </c>
      <c r="G276" s="10">
        <f t="shared" si="4"/>
        <v>0.7237963666</v>
      </c>
      <c r="H276" s="2" t="str">
        <f t="shared" si="5"/>
        <v/>
      </c>
      <c r="J276" s="10">
        <f>'Precinct Vote Data'!H1078</f>
        <v>0.7686567164</v>
      </c>
      <c r="K276" s="10">
        <f>'Precinct Vote Data'!H1079</f>
        <v>0.7255460589</v>
      </c>
      <c r="L276" s="10">
        <f>'Precinct Vote Data'!H1080</f>
        <v>0.7155555556</v>
      </c>
      <c r="M276" s="10">
        <f>'Precinct Vote Data'!H1081</f>
        <v>0.6854271357</v>
      </c>
      <c r="N276" s="15">
        <f t="shared" si="6"/>
        <v>1.035221132</v>
      </c>
      <c r="O276" s="5">
        <f t="shared" si="7"/>
        <v>195</v>
      </c>
      <c r="Q276" s="5" t="str">
        <f t="shared" si="8"/>
        <v>Northampton|BETHLEHEM|160</v>
      </c>
    </row>
    <row r="277" ht="15.0" customHeight="1">
      <c r="A277" s="5" t="s">
        <v>327</v>
      </c>
      <c r="B277" s="5" t="s">
        <v>157</v>
      </c>
      <c r="C277" s="5" t="s">
        <v>92</v>
      </c>
      <c r="D277" s="15">
        <f t="shared" si="1"/>
        <v>2.518167794</v>
      </c>
      <c r="E277" s="15">
        <f t="shared" si="2"/>
        <v>0.9346394199</v>
      </c>
      <c r="F277" s="15">
        <f t="shared" si="3"/>
        <v>1.518167794</v>
      </c>
      <c r="G277" s="10">
        <f t="shared" si="4"/>
        <v>0.6978936863</v>
      </c>
      <c r="H277" s="2" t="str">
        <f t="shared" si="5"/>
        <v/>
      </c>
      <c r="J277" s="10">
        <f>'Precinct Vote Data'!H1082</f>
        <v>0.754491018</v>
      </c>
      <c r="K277" s="10">
        <f>'Precinct Vote Data'!H1083</f>
        <v>0.6866267465</v>
      </c>
      <c r="L277" s="10">
        <f>'Precinct Vote Data'!H1084</f>
        <v>0.701754386</v>
      </c>
      <c r="M277" s="10">
        <f>'Precinct Vote Data'!H1085</f>
        <v>0.6487025948</v>
      </c>
      <c r="N277" s="15">
        <f t="shared" si="6"/>
        <v>1.583528374</v>
      </c>
      <c r="O277" s="5">
        <f t="shared" si="7"/>
        <v>293</v>
      </c>
      <c r="Q277" s="5" t="str">
        <f t="shared" si="8"/>
        <v>Northampton|BETHLEHEM|170</v>
      </c>
    </row>
    <row r="278" ht="15.0" customHeight="1">
      <c r="A278" s="5" t="s">
        <v>327</v>
      </c>
      <c r="B278" s="5" t="s">
        <v>157</v>
      </c>
      <c r="C278" s="5" t="s">
        <v>94</v>
      </c>
      <c r="D278" s="15">
        <f t="shared" si="1"/>
        <v>1.417781942</v>
      </c>
      <c r="E278" s="15">
        <f t="shared" si="2"/>
        <v>0.9055035504</v>
      </c>
      <c r="F278" s="15">
        <f t="shared" si="3"/>
        <v>0.4177819416</v>
      </c>
      <c r="G278" s="10">
        <f t="shared" si="4"/>
        <v>0.7188019141</v>
      </c>
      <c r="H278" s="2" t="str">
        <f t="shared" si="5"/>
        <v/>
      </c>
      <c r="J278" s="10">
        <f>'Precinct Vote Data'!H1086</f>
        <v>0.7493606138</v>
      </c>
      <c r="K278" s="10">
        <f>'Precinct Vote Data'!H1087</f>
        <v>0.6998223801</v>
      </c>
      <c r="L278" s="10">
        <f>'Precinct Vote Data'!H1088</f>
        <v>0.729216152</v>
      </c>
      <c r="M278" s="10">
        <f>'Precinct Vote Data'!H1089</f>
        <v>0.6968085106</v>
      </c>
      <c r="N278" s="15">
        <f t="shared" si="6"/>
        <v>0.5122783912</v>
      </c>
      <c r="O278" s="5">
        <f t="shared" si="7"/>
        <v>81</v>
      </c>
      <c r="Q278" s="5" t="str">
        <f t="shared" si="8"/>
        <v>Northampton|BETHLEHEM|180</v>
      </c>
    </row>
    <row r="279" ht="15.0" customHeight="1">
      <c r="A279" s="5" t="s">
        <v>327</v>
      </c>
      <c r="B279" s="5" t="s">
        <v>157</v>
      </c>
      <c r="C279" s="5" t="s">
        <v>95</v>
      </c>
      <c r="D279" s="15">
        <f t="shared" si="1"/>
        <v>0.6411724973</v>
      </c>
      <c r="E279" s="15">
        <f t="shared" si="2"/>
        <v>0.2194320227</v>
      </c>
      <c r="F279" s="15">
        <f t="shared" si="3"/>
        <v>0.3588275027</v>
      </c>
      <c r="G279" s="10">
        <f t="shared" si="4"/>
        <v>0.6828345443</v>
      </c>
      <c r="H279" s="2" t="str">
        <f t="shared" si="5"/>
        <v/>
      </c>
      <c r="J279" s="10">
        <f>'Precinct Vote Data'!H1090</f>
        <v>0.6915052161</v>
      </c>
      <c r="K279" s="10">
        <f>'Precinct Vote Data'!H1091</f>
        <v>0.6549094376</v>
      </c>
      <c r="L279" s="10">
        <f>'Precinct Vote Data'!H1092</f>
        <v>0.7090680101</v>
      </c>
      <c r="M279" s="10">
        <f>'Precinct Vote Data'!H1093</f>
        <v>0.6758555133</v>
      </c>
      <c r="N279" s="15">
        <f t="shared" si="6"/>
        <v>1.13939548</v>
      </c>
      <c r="O279" s="5">
        <f t="shared" si="7"/>
        <v>216</v>
      </c>
      <c r="Q279" s="5" t="str">
        <f t="shared" si="8"/>
        <v>Northampton|BETHLEHEM|190</v>
      </c>
    </row>
    <row r="280" ht="15.0" customHeight="1">
      <c r="A280" s="5" t="s">
        <v>327</v>
      </c>
      <c r="B280" s="5" t="s">
        <v>157</v>
      </c>
      <c r="C280" s="5" t="s">
        <v>96</v>
      </c>
      <c r="D280" s="15">
        <f t="shared" si="1"/>
        <v>-0.02905172239</v>
      </c>
      <c r="E280" s="15">
        <f t="shared" si="2"/>
        <v>0.00120766501</v>
      </c>
      <c r="F280" s="15">
        <f t="shared" si="3"/>
        <v>1.029051722</v>
      </c>
      <c r="G280" s="10">
        <f t="shared" si="4"/>
        <v>0.6225074936</v>
      </c>
      <c r="H280" s="2" t="str">
        <f t="shared" si="5"/>
        <v/>
      </c>
      <c r="J280" s="10">
        <f>'Precinct Vote Data'!H1094</f>
        <v>0.6211251435</v>
      </c>
      <c r="K280" s="10">
        <f>'Precinct Vote Data'!H1095</f>
        <v>0.6031746032</v>
      </c>
      <c r="L280" s="10">
        <f>'Precinct Vote Data'!H1096</f>
        <v>0.6315240084</v>
      </c>
      <c r="M280" s="10">
        <f>'Precinct Vote Data'!H1097</f>
        <v>0.6342062193</v>
      </c>
      <c r="N280" s="15">
        <f t="shared" si="6"/>
        <v>2.027844057</v>
      </c>
      <c r="O280" s="5">
        <f t="shared" si="7"/>
        <v>355</v>
      </c>
      <c r="Q280" s="5" t="str">
        <f t="shared" si="8"/>
        <v>Northampton|BETHLEHEM|200</v>
      </c>
    </row>
    <row r="281" ht="15.0" customHeight="1">
      <c r="A281" s="5" t="s">
        <v>327</v>
      </c>
      <c r="B281" s="5" t="s">
        <v>157</v>
      </c>
      <c r="C281" s="5" t="s">
        <v>98</v>
      </c>
      <c r="D281" s="15">
        <f t="shared" si="1"/>
        <v>-0.3481122212</v>
      </c>
      <c r="E281" s="15">
        <f t="shared" si="2"/>
        <v>0.2500354732</v>
      </c>
      <c r="F281" s="15">
        <f t="shared" si="3"/>
        <v>1.348112221</v>
      </c>
      <c r="G281" s="10">
        <f t="shared" si="4"/>
        <v>0.5904979394</v>
      </c>
      <c r="H281" s="2" t="str">
        <f t="shared" si="5"/>
        <v/>
      </c>
      <c r="J281" s="10">
        <f>'Precinct Vote Data'!H1098</f>
        <v>0.5773955774</v>
      </c>
      <c r="K281" s="10">
        <f>'Precinct Vote Data'!H1099</f>
        <v>0.5892526251</v>
      </c>
      <c r="L281" s="10">
        <f>'Precinct Vote Data'!H1100</f>
        <v>0.605907781</v>
      </c>
      <c r="M281" s="10">
        <f>'Precinct Vote Data'!H1101</f>
        <v>0.5894357743</v>
      </c>
      <c r="N281" s="15">
        <f t="shared" si="6"/>
        <v>2.098076748</v>
      </c>
      <c r="O281" s="5">
        <f t="shared" si="7"/>
        <v>361</v>
      </c>
      <c r="Q281" s="5" t="str">
        <f t="shared" si="8"/>
        <v>Northampton|BETHLEHEM|210</v>
      </c>
    </row>
    <row r="282" ht="15.0" customHeight="1">
      <c r="A282" s="5" t="s">
        <v>327</v>
      </c>
      <c r="B282" s="5" t="s">
        <v>157</v>
      </c>
      <c r="C282" s="5" t="s">
        <v>100</v>
      </c>
      <c r="D282" s="15">
        <f t="shared" si="1"/>
        <v>0.5866818752</v>
      </c>
      <c r="E282" s="15">
        <f t="shared" si="2"/>
        <v>0.2205491538</v>
      </c>
      <c r="F282" s="15">
        <f t="shared" si="3"/>
        <v>0.4133181248</v>
      </c>
      <c r="G282" s="10">
        <f t="shared" si="4"/>
        <v>0.6508148262</v>
      </c>
      <c r="H282" s="2" t="str">
        <f t="shared" si="5"/>
        <v/>
      </c>
      <c r="J282" s="10">
        <f>'Precinct Vote Data'!H1102</f>
        <v>0.657687991</v>
      </c>
      <c r="K282" s="10">
        <f>'Precinct Vote Data'!H1103</f>
        <v>0.6284013605</v>
      </c>
      <c r="L282" s="10">
        <f>'Precinct Vote Data'!H1104</f>
        <v>0.6766917293</v>
      </c>
      <c r="M282" s="10">
        <f>'Precinct Vote Data'!H1105</f>
        <v>0.6404782237</v>
      </c>
      <c r="N282" s="15">
        <f t="shared" si="6"/>
        <v>1.192768971</v>
      </c>
      <c r="O282" s="5">
        <f t="shared" si="7"/>
        <v>229</v>
      </c>
      <c r="Q282" s="5" t="str">
        <f t="shared" si="8"/>
        <v>Northampton|BETHLEHEM|220</v>
      </c>
    </row>
    <row r="283" ht="15.0" customHeight="1">
      <c r="A283" s="5" t="s">
        <v>327</v>
      </c>
      <c r="B283" s="5" t="s">
        <v>157</v>
      </c>
      <c r="C283" s="5" t="s">
        <v>102</v>
      </c>
      <c r="D283" s="15">
        <f t="shared" si="1"/>
        <v>1.185853586</v>
      </c>
      <c r="E283" s="15">
        <f t="shared" si="2"/>
        <v>0.9717283435</v>
      </c>
      <c r="F283" s="15">
        <f t="shared" si="3"/>
        <v>0.1858535861</v>
      </c>
      <c r="G283" s="10">
        <f t="shared" si="4"/>
        <v>0.6561880991</v>
      </c>
      <c r="H283" s="2" t="str">
        <f t="shared" si="5"/>
        <v>YES</v>
      </c>
      <c r="J283" s="10">
        <f>'Precinct Vote Data'!H1106</f>
        <v>0.6828125</v>
      </c>
      <c r="K283" s="10">
        <f>'Precinct Vote Data'!H1107</f>
        <v>0.6442105263</v>
      </c>
      <c r="L283" s="10">
        <f>'Precinct Vote Data'!H1108</f>
        <v>0.6604850214</v>
      </c>
      <c r="M283" s="10">
        <f>'Precinct Vote Data'!H1109</f>
        <v>0.6372443488</v>
      </c>
      <c r="N283" s="15">
        <f t="shared" si="6"/>
        <v>0.2141252426</v>
      </c>
      <c r="O283" s="5">
        <f t="shared" si="7"/>
        <v>13</v>
      </c>
      <c r="Q283" s="5" t="str">
        <f t="shared" si="8"/>
        <v>Northampton|BETHLEHEM|230</v>
      </c>
    </row>
    <row r="284" ht="15.0" customHeight="1">
      <c r="A284" s="5" t="s">
        <v>327</v>
      </c>
      <c r="B284" s="5" t="s">
        <v>157</v>
      </c>
      <c r="C284" s="5" t="s">
        <v>103</v>
      </c>
      <c r="D284" s="15">
        <f t="shared" si="1"/>
        <v>1.264613862</v>
      </c>
      <c r="E284" s="15">
        <f t="shared" si="2"/>
        <v>0.9328750387</v>
      </c>
      <c r="F284" s="15">
        <f t="shared" si="3"/>
        <v>0.2646138625</v>
      </c>
      <c r="G284" s="10">
        <f t="shared" si="4"/>
        <v>0.606290091</v>
      </c>
      <c r="H284" s="2" t="str">
        <f t="shared" si="5"/>
        <v/>
      </c>
      <c r="J284" s="10">
        <f>'Precinct Vote Data'!H1110</f>
        <v>0.6365688488</v>
      </c>
      <c r="K284" s="10">
        <f>'Precinct Vote Data'!H1111</f>
        <v>0.5867074102</v>
      </c>
      <c r="L284" s="10">
        <f>'Precinct Vote Data'!H1112</f>
        <v>0.6079836233</v>
      </c>
      <c r="M284" s="10">
        <f>'Precinct Vote Data'!H1113</f>
        <v>0.5939004815</v>
      </c>
      <c r="N284" s="15">
        <f t="shared" si="6"/>
        <v>0.3317388238</v>
      </c>
      <c r="O284" s="5">
        <f t="shared" si="7"/>
        <v>32</v>
      </c>
      <c r="Q284" s="5" t="str">
        <f t="shared" si="8"/>
        <v>Northampton|BETHLEHEM|240</v>
      </c>
    </row>
    <row r="285" ht="15.0" customHeight="1">
      <c r="A285" s="5" t="s">
        <v>327</v>
      </c>
      <c r="B285" s="5" t="s">
        <v>157</v>
      </c>
      <c r="C285" s="5" t="s">
        <v>104</v>
      </c>
      <c r="D285" s="15">
        <f t="shared" si="1"/>
        <v>0.09235812961</v>
      </c>
      <c r="E285" s="15">
        <f t="shared" si="2"/>
        <v>0.01302962644</v>
      </c>
      <c r="F285" s="15">
        <f t="shared" si="3"/>
        <v>0.9076418704</v>
      </c>
      <c r="G285" s="10">
        <f t="shared" si="4"/>
        <v>0.6426596838</v>
      </c>
      <c r="H285" s="2" t="str">
        <f t="shared" si="5"/>
        <v/>
      </c>
      <c r="J285" s="10">
        <f>'Precinct Vote Data'!H1114</f>
        <v>0.641025641</v>
      </c>
      <c r="K285" s="10">
        <f>'Precinct Vote Data'!H1115</f>
        <v>0.6568742656</v>
      </c>
      <c r="L285" s="10">
        <f>'Precinct Vote Data'!H1116</f>
        <v>0.6480400334</v>
      </c>
      <c r="M285" s="10">
        <f>'Precinct Vote Data'!H1117</f>
        <v>0.6246987952</v>
      </c>
      <c r="N285" s="15">
        <f t="shared" si="6"/>
        <v>1.894612244</v>
      </c>
      <c r="O285" s="5">
        <f t="shared" si="7"/>
        <v>337</v>
      </c>
      <c r="Q285" s="5" t="str">
        <f t="shared" si="8"/>
        <v>Northampton|BETHLEHEM|250</v>
      </c>
    </row>
    <row r="286" ht="15.0" customHeight="1">
      <c r="A286" s="5" t="s">
        <v>327</v>
      </c>
      <c r="B286" s="5" t="s">
        <v>157</v>
      </c>
      <c r="C286" s="5" t="s">
        <v>333</v>
      </c>
      <c r="D286" s="15">
        <f t="shared" si="1"/>
        <v>0.3093025498</v>
      </c>
      <c r="E286" s="15">
        <f t="shared" si="2"/>
        <v>0.1326777483</v>
      </c>
      <c r="F286" s="15">
        <f t="shared" si="3"/>
        <v>0.6906974502</v>
      </c>
      <c r="G286" s="10">
        <f t="shared" si="4"/>
        <v>0.5780201838</v>
      </c>
      <c r="H286" s="2" t="str">
        <f t="shared" si="5"/>
        <v/>
      </c>
      <c r="J286" s="10">
        <f>'Precinct Vote Data'!H1118</f>
        <v>0.579868709</v>
      </c>
      <c r="K286" s="10">
        <f>'Precinct Vote Data'!H1119</f>
        <v>0.5645973154</v>
      </c>
      <c r="L286" s="10">
        <f>'Precinct Vote Data'!H1120</f>
        <v>0.5972629521</v>
      </c>
      <c r="M286" s="10">
        <f>'Precinct Vote Data'!H1121</f>
        <v>0.5703517588</v>
      </c>
      <c r="N286" s="15">
        <f t="shared" si="6"/>
        <v>1.558019702</v>
      </c>
      <c r="O286" s="5">
        <f t="shared" si="7"/>
        <v>286</v>
      </c>
      <c r="Q286" s="5" t="str">
        <f t="shared" si="8"/>
        <v>Northampton|BETHLEHEM|255</v>
      </c>
    </row>
    <row r="287" ht="15.0" customHeight="1">
      <c r="A287" s="5" t="s">
        <v>327</v>
      </c>
      <c r="B287" s="5" t="s">
        <v>157</v>
      </c>
      <c r="C287" s="5" t="s">
        <v>106</v>
      </c>
      <c r="D287" s="15">
        <f t="shared" si="1"/>
        <v>0.5122163903</v>
      </c>
      <c r="E287" s="15">
        <f t="shared" si="2"/>
        <v>0.3444760983</v>
      </c>
      <c r="F287" s="15">
        <f t="shared" si="3"/>
        <v>0.4877836097</v>
      </c>
      <c r="G287" s="10">
        <f t="shared" si="4"/>
        <v>0.644234516</v>
      </c>
      <c r="H287" s="2" t="str">
        <f t="shared" si="5"/>
        <v/>
      </c>
      <c r="J287" s="10">
        <f>'Precinct Vote Data'!H1122</f>
        <v>0.6544585987</v>
      </c>
      <c r="K287" s="10">
        <f>'Precinct Vote Data'!H1123</f>
        <v>0.6237054085</v>
      </c>
      <c r="L287" s="10">
        <f>'Precinct Vote Data'!H1124</f>
        <v>0.6552217454</v>
      </c>
      <c r="M287" s="10">
        <f>'Precinct Vote Data'!H1125</f>
        <v>0.6435523114</v>
      </c>
      <c r="N287" s="15">
        <f t="shared" si="6"/>
        <v>1.143307511</v>
      </c>
      <c r="O287" s="5">
        <f t="shared" si="7"/>
        <v>218</v>
      </c>
      <c r="Q287" s="5" t="str">
        <f t="shared" si="8"/>
        <v>Northampton|BETHLEHEM|260</v>
      </c>
    </row>
    <row r="288" ht="15.0" customHeight="1">
      <c r="A288" s="5" t="s">
        <v>327</v>
      </c>
      <c r="B288" s="5" t="s">
        <v>157</v>
      </c>
      <c r="C288" s="5" t="s">
        <v>109</v>
      </c>
      <c r="D288" s="15">
        <f t="shared" si="1"/>
        <v>1.117559173</v>
      </c>
      <c r="E288" s="15">
        <f t="shared" si="2"/>
        <v>0.3413849569</v>
      </c>
      <c r="F288" s="15">
        <f t="shared" si="3"/>
        <v>0.1175591729</v>
      </c>
      <c r="G288" s="10">
        <f t="shared" si="4"/>
        <v>0.668060758</v>
      </c>
      <c r="H288" s="2" t="str">
        <f t="shared" si="5"/>
        <v/>
      </c>
      <c r="J288" s="10">
        <f>'Precinct Vote Data'!H1126</f>
        <v>0.6902173913</v>
      </c>
      <c r="K288" s="10">
        <f>'Precinct Vote Data'!H1127</f>
        <v>0.6231454006</v>
      </c>
      <c r="L288" s="10">
        <f>'Precinct Vote Data'!H1128</f>
        <v>0.6925031766</v>
      </c>
      <c r="M288" s="10">
        <f>'Precinct Vote Data'!H1129</f>
        <v>0.6663770634</v>
      </c>
      <c r="N288" s="15">
        <f t="shared" si="6"/>
        <v>0.776174216</v>
      </c>
      <c r="O288" s="5">
        <f t="shared" si="7"/>
        <v>152</v>
      </c>
      <c r="Q288" s="5" t="str">
        <f t="shared" si="8"/>
        <v>Northampton|BETHLEHEM|270</v>
      </c>
    </row>
    <row r="289" ht="15.0" customHeight="1">
      <c r="A289" s="5" t="s">
        <v>327</v>
      </c>
      <c r="B289" s="5" t="s">
        <v>157</v>
      </c>
      <c r="C289" s="5" t="s">
        <v>110</v>
      </c>
      <c r="D289" s="15">
        <f t="shared" si="1"/>
        <v>1.654385257</v>
      </c>
      <c r="E289" s="15">
        <f t="shared" si="2"/>
        <v>0.9784630461</v>
      </c>
      <c r="F289" s="15">
        <f t="shared" si="3"/>
        <v>0.6543852573</v>
      </c>
      <c r="G289" s="10">
        <f t="shared" si="4"/>
        <v>0.6355016098</v>
      </c>
      <c r="H289" s="2" t="str">
        <f t="shared" si="5"/>
        <v/>
      </c>
      <c r="J289" s="10">
        <f>'Precinct Vote Data'!H1130</f>
        <v>0.6733067729</v>
      </c>
      <c r="K289" s="10">
        <f>'Precinct Vote Data'!H1131</f>
        <v>0.6235455168</v>
      </c>
      <c r="L289" s="10">
        <f>'Precinct Vote Data'!H1132</f>
        <v>0.6379155436</v>
      </c>
      <c r="M289" s="10">
        <f>'Precinct Vote Data'!H1133</f>
        <v>0.6072386059</v>
      </c>
      <c r="N289" s="15">
        <f t="shared" si="6"/>
        <v>0.6759222112</v>
      </c>
      <c r="O289" s="5">
        <f t="shared" si="7"/>
        <v>122</v>
      </c>
      <c r="Q289" s="5" t="str">
        <f t="shared" si="8"/>
        <v>Northampton|BETHLEHEM|280</v>
      </c>
    </row>
    <row r="290" ht="15.0" customHeight="1">
      <c r="A290" s="5" t="s">
        <v>327</v>
      </c>
      <c r="B290" s="5" t="s">
        <v>157</v>
      </c>
      <c r="C290" s="5" t="s">
        <v>111</v>
      </c>
      <c r="D290" s="15">
        <f t="shared" si="1"/>
        <v>3.360602179</v>
      </c>
      <c r="E290" s="15">
        <f t="shared" si="2"/>
        <v>0.7740320952</v>
      </c>
      <c r="F290" s="15">
        <f t="shared" si="3"/>
        <v>2.360602179</v>
      </c>
      <c r="G290" s="10">
        <f t="shared" si="4"/>
        <v>0.7380431456</v>
      </c>
      <c r="H290" s="2" t="str">
        <f t="shared" si="5"/>
        <v/>
      </c>
      <c r="J290" s="10">
        <f>'Precinct Vote Data'!H1134</f>
        <v>0.8303370787</v>
      </c>
      <c r="K290" s="10">
        <f>'Precinct Vote Data'!H1135</f>
        <v>0.733490566</v>
      </c>
      <c r="L290" s="10">
        <f>'Precinct Vote Data'!H1136</f>
        <v>0.6919945726</v>
      </c>
      <c r="M290" s="10">
        <f>'Precinct Vote Data'!H1137</f>
        <v>0.696350365</v>
      </c>
      <c r="N290" s="15">
        <f t="shared" si="6"/>
        <v>2.586570084</v>
      </c>
      <c r="O290" s="5">
        <f t="shared" si="7"/>
        <v>393</v>
      </c>
      <c r="Q290" s="5" t="str">
        <f t="shared" si="8"/>
        <v>Northampton|BETHLEHEM|290</v>
      </c>
    </row>
    <row r="291" ht="15.0" customHeight="1">
      <c r="A291" s="5" t="s">
        <v>327</v>
      </c>
      <c r="B291" s="5" t="s">
        <v>157</v>
      </c>
      <c r="C291" s="5" t="s">
        <v>113</v>
      </c>
      <c r="D291" s="15">
        <f t="shared" si="1"/>
        <v>1.791018975</v>
      </c>
      <c r="E291" s="15">
        <f t="shared" si="2"/>
        <v>0.8844501933</v>
      </c>
      <c r="F291" s="15">
        <f t="shared" si="3"/>
        <v>0.7910189749</v>
      </c>
      <c r="G291" s="10">
        <f t="shared" si="4"/>
        <v>0.6454719205</v>
      </c>
      <c r="H291" s="2" t="str">
        <f t="shared" si="5"/>
        <v/>
      </c>
      <c r="J291" s="10">
        <f>'Precinct Vote Data'!H1138</f>
        <v>0.6919127086</v>
      </c>
      <c r="K291" s="10">
        <f>'Precinct Vote Data'!H1139</f>
        <v>0.6184538653</v>
      </c>
      <c r="L291" s="10">
        <f>'Precinct Vote Data'!H1140</f>
        <v>0.6375442739</v>
      </c>
      <c r="M291" s="10">
        <f>'Precinct Vote Data'!H1141</f>
        <v>0.633976834</v>
      </c>
      <c r="N291" s="15">
        <f t="shared" si="6"/>
        <v>0.9065687816</v>
      </c>
      <c r="O291" s="5">
        <f t="shared" si="7"/>
        <v>175</v>
      </c>
      <c r="Q291" s="5" t="str">
        <f t="shared" si="8"/>
        <v>Northampton|BETHLEHEM|300</v>
      </c>
    </row>
    <row r="292" ht="15.0" customHeight="1">
      <c r="A292" s="5" t="s">
        <v>327</v>
      </c>
      <c r="B292" s="5" t="s">
        <v>157</v>
      </c>
      <c r="C292" s="5" t="s">
        <v>114</v>
      </c>
      <c r="D292" s="15">
        <f t="shared" si="1"/>
        <v>4.066671173</v>
      </c>
      <c r="E292" s="15">
        <f t="shared" si="2"/>
        <v>0.6968952542</v>
      </c>
      <c r="F292" s="15">
        <f t="shared" si="3"/>
        <v>3.066671173</v>
      </c>
      <c r="G292" s="10">
        <f t="shared" si="4"/>
        <v>0.7948581825</v>
      </c>
      <c r="H292" s="2" t="str">
        <f t="shared" si="5"/>
        <v/>
      </c>
      <c r="J292" s="10">
        <f>'Precinct Vote Data'!H1142</f>
        <v>0.9020408163</v>
      </c>
      <c r="K292" s="10">
        <f>'Precinct Vote Data'!H1143</f>
        <v>0.8144329897</v>
      </c>
      <c r="L292" s="10">
        <f>'Precinct Vote Data'!H1144</f>
        <v>0.7428571429</v>
      </c>
      <c r="M292" s="10">
        <f>'Precinct Vote Data'!H1145</f>
        <v>0.7201017812</v>
      </c>
      <c r="N292" s="15">
        <f t="shared" si="6"/>
        <v>3.369775918</v>
      </c>
      <c r="O292" s="5">
        <f t="shared" si="7"/>
        <v>405</v>
      </c>
      <c r="Q292" s="5" t="str">
        <f t="shared" si="8"/>
        <v>Northampton|BETHLEHEM|310</v>
      </c>
    </row>
    <row r="293" ht="15.0" customHeight="1">
      <c r="A293" s="5" t="s">
        <v>327</v>
      </c>
      <c r="B293" s="5" t="s">
        <v>157</v>
      </c>
      <c r="C293" s="5" t="s">
        <v>116</v>
      </c>
      <c r="D293" s="15">
        <f t="shared" si="1"/>
        <v>-0.4595839283</v>
      </c>
      <c r="E293" s="15">
        <f t="shared" si="2"/>
        <v>0.3321105027</v>
      </c>
      <c r="F293" s="15">
        <f t="shared" si="3"/>
        <v>1.459583928</v>
      </c>
      <c r="G293" s="10">
        <f t="shared" si="4"/>
        <v>0.5190472935</v>
      </c>
      <c r="H293" s="2" t="str">
        <f t="shared" si="5"/>
        <v/>
      </c>
      <c r="J293" s="10">
        <f>'Precinct Vote Data'!H1146</f>
        <v>0.5079365079</v>
      </c>
      <c r="K293" s="10">
        <f>'Precinct Vote Data'!H1147</f>
        <v>0.5079545455</v>
      </c>
      <c r="L293" s="10">
        <f>'Precinct Vote Data'!H1148</f>
        <v>0.5252808989</v>
      </c>
      <c r="M293" s="10">
        <f>'Precinct Vote Data'!H1149</f>
        <v>0.5350172216</v>
      </c>
      <c r="N293" s="15">
        <f t="shared" si="6"/>
        <v>2.127473426</v>
      </c>
      <c r="O293" s="5">
        <f t="shared" si="7"/>
        <v>366</v>
      </c>
      <c r="Q293" s="5" t="str">
        <f t="shared" si="8"/>
        <v>Northampton|BETHLEHEM|320</v>
      </c>
    </row>
    <row r="294" ht="15.0" customHeight="1">
      <c r="A294" s="5" t="s">
        <v>327</v>
      </c>
      <c r="B294" s="5" t="s">
        <v>157</v>
      </c>
      <c r="C294" s="5" t="s">
        <v>118</v>
      </c>
      <c r="D294" s="15">
        <f t="shared" si="1"/>
        <v>-0.02538530239</v>
      </c>
      <c r="E294" s="15">
        <f t="shared" si="2"/>
        <v>0.001403954605</v>
      </c>
      <c r="F294" s="15">
        <f t="shared" si="3"/>
        <v>1.025385302</v>
      </c>
      <c r="G294" s="10">
        <f t="shared" si="4"/>
        <v>0.5203429135</v>
      </c>
      <c r="H294" s="2" t="str">
        <f t="shared" si="5"/>
        <v/>
      </c>
      <c r="J294" s="10">
        <f>'Precinct Vote Data'!H1150</f>
        <v>0.5160098522</v>
      </c>
      <c r="K294" s="10">
        <f>'Precinct Vote Data'!H1151</f>
        <v>0.508302583</v>
      </c>
      <c r="L294" s="10">
        <f>'Precinct Vote Data'!H1152</f>
        <v>0.5353200883</v>
      </c>
      <c r="M294" s="10">
        <f>'Precinct Vote Data'!H1153</f>
        <v>0.5217391304</v>
      </c>
      <c r="N294" s="15">
        <f t="shared" si="6"/>
        <v>2.023981348</v>
      </c>
      <c r="O294" s="5">
        <f t="shared" si="7"/>
        <v>353</v>
      </c>
      <c r="Q294" s="5" t="str">
        <f t="shared" si="8"/>
        <v>Northampton|BETHLEHEM|330</v>
      </c>
    </row>
    <row r="295" ht="15.0" customHeight="1">
      <c r="A295" s="5" t="s">
        <v>327</v>
      </c>
      <c r="B295" s="5" t="s">
        <v>157</v>
      </c>
      <c r="C295" s="5" t="s">
        <v>334</v>
      </c>
      <c r="D295" s="15">
        <f t="shared" si="1"/>
        <v>0.7751056989</v>
      </c>
      <c r="E295" s="15">
        <f t="shared" si="2"/>
        <v>0.6455046225</v>
      </c>
      <c r="F295" s="15">
        <f t="shared" si="3"/>
        <v>0.2248943011</v>
      </c>
      <c r="G295" s="10">
        <f t="shared" si="4"/>
        <v>0.5705031204</v>
      </c>
      <c r="H295" s="2" t="str">
        <f t="shared" si="5"/>
        <v/>
      </c>
      <c r="J295" s="10">
        <f>'Precinct Vote Data'!H1154</f>
        <v>0.5863636364</v>
      </c>
      <c r="K295" s="10">
        <f>'Precinct Vote Data'!H1155</f>
        <v>0.5743842365</v>
      </c>
      <c r="L295" s="10">
        <f>'Precinct Vote Data'!H1156</f>
        <v>0.5734649123</v>
      </c>
      <c r="M295" s="10">
        <f>'Precinct Vote Data'!H1157</f>
        <v>0.5477996965</v>
      </c>
      <c r="N295" s="15">
        <f t="shared" si="6"/>
        <v>0.5793896786</v>
      </c>
      <c r="O295" s="5">
        <f t="shared" si="7"/>
        <v>98</v>
      </c>
      <c r="Q295" s="5" t="str">
        <f t="shared" si="8"/>
        <v>Northampton|BETHLEHEM|336</v>
      </c>
    </row>
    <row r="296" ht="15.0" customHeight="1">
      <c r="A296" s="5" t="s">
        <v>327</v>
      </c>
      <c r="B296" s="5" t="s">
        <v>157</v>
      </c>
      <c r="C296" s="5" t="s">
        <v>335</v>
      </c>
      <c r="D296" s="15">
        <f t="shared" si="1"/>
        <v>0.2286671933</v>
      </c>
      <c r="E296" s="15">
        <f t="shared" si="2"/>
        <v>0.05560172833</v>
      </c>
      <c r="F296" s="15">
        <f t="shared" si="3"/>
        <v>0.7713328067</v>
      </c>
      <c r="G296" s="10">
        <f t="shared" si="4"/>
        <v>0.4849447903</v>
      </c>
      <c r="H296" s="2" t="str">
        <f t="shared" si="5"/>
        <v/>
      </c>
      <c r="J296" s="10">
        <f>'Precinct Vote Data'!H1158</f>
        <v>0.4940617577</v>
      </c>
      <c r="K296" s="10">
        <f>'Precinct Vote Data'!H1159</f>
        <v>0.4636510501</v>
      </c>
      <c r="L296" s="10">
        <f>'Precinct Vote Data'!H1160</f>
        <v>0.4813278008</v>
      </c>
      <c r="M296" s="10">
        <f>'Precinct Vote Data'!H1161</f>
        <v>0.5007385524</v>
      </c>
      <c r="N296" s="15">
        <f t="shared" si="6"/>
        <v>1.715731078</v>
      </c>
      <c r="O296" s="5">
        <f t="shared" si="7"/>
        <v>314</v>
      </c>
      <c r="Q296" s="5" t="str">
        <f t="shared" si="8"/>
        <v>Northampton|BETHLEHEM|338</v>
      </c>
    </row>
    <row r="297" ht="15.0" customHeight="1">
      <c r="A297" s="5" t="s">
        <v>327</v>
      </c>
      <c r="B297" s="5" t="s">
        <v>157</v>
      </c>
      <c r="C297" s="5" t="s">
        <v>119</v>
      </c>
      <c r="D297" s="15">
        <f t="shared" si="1"/>
        <v>0.953470842</v>
      </c>
      <c r="E297" s="15">
        <f t="shared" si="2"/>
        <v>0.7408509319</v>
      </c>
      <c r="F297" s="15">
        <f t="shared" si="3"/>
        <v>0.04652915797</v>
      </c>
      <c r="G297" s="10">
        <f t="shared" si="4"/>
        <v>0.5648770523</v>
      </c>
      <c r="H297" s="2" t="str">
        <f t="shared" si="5"/>
        <v>YES</v>
      </c>
      <c r="J297" s="10">
        <f>'Precinct Vote Data'!H1162</f>
        <v>0.5830860534</v>
      </c>
      <c r="K297" s="10">
        <f>'Precinct Vote Data'!H1163</f>
        <v>0.552253116</v>
      </c>
      <c r="L297" s="10">
        <f>'Precinct Vote Data'!H1164</f>
        <v>0.5784574468</v>
      </c>
      <c r="M297" s="10">
        <f>'Precinct Vote Data'!H1165</f>
        <v>0.5457115928</v>
      </c>
      <c r="N297" s="15">
        <f t="shared" si="6"/>
        <v>0.305678226</v>
      </c>
      <c r="O297" s="5">
        <f t="shared" si="7"/>
        <v>25</v>
      </c>
      <c r="Q297" s="5" t="str">
        <f t="shared" si="8"/>
        <v>Northampton|BETHLEHEM|340</v>
      </c>
    </row>
    <row r="298" ht="15.0" customHeight="1">
      <c r="A298" s="5" t="s">
        <v>327</v>
      </c>
      <c r="B298" s="5" t="s">
        <v>157</v>
      </c>
      <c r="C298" s="5" t="s">
        <v>336</v>
      </c>
      <c r="D298" s="15">
        <f t="shared" si="1"/>
        <v>1.986671202</v>
      </c>
      <c r="E298" s="15">
        <f t="shared" si="2"/>
        <v>0.9926868792</v>
      </c>
      <c r="F298" s="15">
        <f t="shared" si="3"/>
        <v>0.9866712023</v>
      </c>
      <c r="G298" s="10">
        <f t="shared" si="4"/>
        <v>0.5477212889</v>
      </c>
      <c r="H298" s="2" t="str">
        <f t="shared" si="5"/>
        <v/>
      </c>
      <c r="J298" s="10">
        <f>'Precinct Vote Data'!H1166</f>
        <v>0.5949008499</v>
      </c>
      <c r="K298" s="10">
        <f>'Precinct Vote Data'!H1167</f>
        <v>0.5333969466</v>
      </c>
      <c r="L298" s="10">
        <f>'Precinct Vote Data'!H1168</f>
        <v>0.54556804</v>
      </c>
      <c r="M298" s="10">
        <f>'Precinct Vote Data'!H1169</f>
        <v>0.5170193192</v>
      </c>
      <c r="N298" s="15">
        <f t="shared" si="6"/>
        <v>0.9939843231</v>
      </c>
      <c r="O298" s="5">
        <f t="shared" si="7"/>
        <v>188</v>
      </c>
      <c r="Q298" s="5" t="str">
        <f t="shared" si="8"/>
        <v>Northampton|BETHLEHEM|346</v>
      </c>
    </row>
    <row r="299" ht="15.0" customHeight="1">
      <c r="A299" s="5" t="s">
        <v>327</v>
      </c>
      <c r="B299" s="5" t="s">
        <v>157</v>
      </c>
      <c r="C299" s="5" t="s">
        <v>337</v>
      </c>
      <c r="D299" s="15">
        <f t="shared" si="1"/>
        <v>0.5905782764</v>
      </c>
      <c r="E299" s="15">
        <f t="shared" si="2"/>
        <v>0.1640639977</v>
      </c>
      <c r="F299" s="15">
        <f t="shared" si="3"/>
        <v>0.4094217236</v>
      </c>
      <c r="G299" s="10">
        <f t="shared" si="4"/>
        <v>0.5375045594</v>
      </c>
      <c r="H299" s="2" t="str">
        <f t="shared" si="5"/>
        <v/>
      </c>
      <c r="J299" s="10">
        <f>'Precinct Vote Data'!H1170</f>
        <v>0.5445783133</v>
      </c>
      <c r="K299" s="10">
        <f>'Precinct Vote Data'!H1171</f>
        <v>0.5071315372</v>
      </c>
      <c r="L299" s="10">
        <f>'Precinct Vote Data'!H1172</f>
        <v>0.5659229209</v>
      </c>
      <c r="M299" s="10">
        <f>'Precinct Vote Data'!H1173</f>
        <v>0.532385466</v>
      </c>
      <c r="N299" s="15">
        <f t="shared" si="6"/>
        <v>1.245357726</v>
      </c>
      <c r="O299" s="5">
        <f t="shared" si="7"/>
        <v>242</v>
      </c>
      <c r="Q299" s="5" t="str">
        <f t="shared" si="8"/>
        <v>Northampton|BETHLEHEM|348</v>
      </c>
    </row>
    <row r="300" ht="15.0" customHeight="1">
      <c r="A300" s="5" t="s">
        <v>327</v>
      </c>
      <c r="B300" s="5" t="s">
        <v>157</v>
      </c>
      <c r="C300" s="5" t="s">
        <v>338</v>
      </c>
      <c r="D300" s="15">
        <f t="shared" si="1"/>
        <v>0.4752221049</v>
      </c>
      <c r="E300" s="15">
        <f t="shared" si="2"/>
        <v>0.4348331979</v>
      </c>
      <c r="F300" s="15">
        <f t="shared" si="3"/>
        <v>0.5247778951</v>
      </c>
      <c r="G300" s="10">
        <f t="shared" si="4"/>
        <v>0.5857581354</v>
      </c>
      <c r="H300" s="2" t="str">
        <f t="shared" si="5"/>
        <v/>
      </c>
      <c r="J300" s="10">
        <f>'Precinct Vote Data'!H1174</f>
        <v>0.5925925926</v>
      </c>
      <c r="K300" s="10">
        <f>'Precinct Vote Data'!H1175</f>
        <v>0.5807692308</v>
      </c>
      <c r="L300" s="10">
        <f>'Precinct Vote Data'!H1176</f>
        <v>0.5984</v>
      </c>
      <c r="M300" s="10">
        <f>'Precinct Vote Data'!H1177</f>
        <v>0.5712707182</v>
      </c>
      <c r="N300" s="15">
        <f t="shared" si="6"/>
        <v>1.089944697</v>
      </c>
      <c r="O300" s="5">
        <f t="shared" si="7"/>
        <v>207</v>
      </c>
      <c r="Q300" s="5" t="str">
        <f t="shared" si="8"/>
        <v>Northampton|BETHLEHEM|349</v>
      </c>
    </row>
    <row r="301" ht="15.0" customHeight="1">
      <c r="A301" s="5" t="s">
        <v>327</v>
      </c>
      <c r="B301" s="5" t="s">
        <v>157</v>
      </c>
      <c r="C301" s="5" t="s">
        <v>120</v>
      </c>
      <c r="D301" s="15">
        <f t="shared" si="1"/>
        <v>0.2213697315</v>
      </c>
      <c r="E301" s="15">
        <f t="shared" si="2"/>
        <v>0.1783465274</v>
      </c>
      <c r="F301" s="15">
        <f t="shared" si="3"/>
        <v>0.7786302685</v>
      </c>
      <c r="G301" s="10">
        <f t="shared" si="4"/>
        <v>0.599544377</v>
      </c>
      <c r="H301" s="2" t="str">
        <f t="shared" si="5"/>
        <v/>
      </c>
      <c r="J301" s="10">
        <f>'Precinct Vote Data'!H1178</f>
        <v>0.6042780749</v>
      </c>
      <c r="K301" s="10">
        <f>'Precinct Vote Data'!H1179</f>
        <v>0.5863970588</v>
      </c>
      <c r="L301" s="10">
        <f>'Precinct Vote Data'!H1180</f>
        <v>0.6049382716</v>
      </c>
      <c r="M301" s="10">
        <f>'Precinct Vote Data'!H1181</f>
        <v>0.6025641026</v>
      </c>
      <c r="N301" s="15">
        <f t="shared" si="6"/>
        <v>1.600283741</v>
      </c>
      <c r="O301" s="5">
        <f t="shared" si="7"/>
        <v>298</v>
      </c>
      <c r="Q301" s="5" t="str">
        <f t="shared" si="8"/>
        <v>Northampton|BETHLEHEM|350</v>
      </c>
    </row>
    <row r="302" ht="15.0" customHeight="1">
      <c r="A302" s="5" t="s">
        <v>327</v>
      </c>
      <c r="B302" s="5" t="s">
        <v>157</v>
      </c>
      <c r="C302" s="5" t="s">
        <v>122</v>
      </c>
      <c r="D302" s="15">
        <f t="shared" si="1"/>
        <v>0.1421842469</v>
      </c>
      <c r="E302" s="15">
        <f t="shared" si="2"/>
        <v>0.0304021133</v>
      </c>
      <c r="F302" s="15">
        <f t="shared" si="3"/>
        <v>0.8578157531</v>
      </c>
      <c r="G302" s="10">
        <f t="shared" si="4"/>
        <v>0.5046517066</v>
      </c>
      <c r="H302" s="2" t="str">
        <f t="shared" si="5"/>
        <v/>
      </c>
      <c r="J302" s="10">
        <f>'Precinct Vote Data'!H1182</f>
        <v>0.511627907</v>
      </c>
      <c r="K302" s="10">
        <f>'Precinct Vote Data'!H1183</f>
        <v>0.487804878</v>
      </c>
      <c r="L302" s="10">
        <f>'Precinct Vote Data'!H1184</f>
        <v>0.5</v>
      </c>
      <c r="M302" s="10">
        <f>'Precinct Vote Data'!H1185</f>
        <v>0.5191740413</v>
      </c>
      <c r="N302" s="15">
        <f t="shared" si="6"/>
        <v>1.82741364</v>
      </c>
      <c r="O302" s="5">
        <f t="shared" si="7"/>
        <v>331</v>
      </c>
      <c r="Q302" s="5" t="str">
        <f t="shared" si="8"/>
        <v>Northampton|BETHLEHEM|360</v>
      </c>
    </row>
    <row r="303" ht="15.0" customHeight="1">
      <c r="A303" s="5" t="s">
        <v>327</v>
      </c>
      <c r="B303" s="5" t="s">
        <v>157</v>
      </c>
      <c r="C303" s="5" t="s">
        <v>339</v>
      </c>
      <c r="D303" s="15">
        <f t="shared" si="1"/>
        <v>0.7763384081</v>
      </c>
      <c r="E303" s="15">
        <f t="shared" si="2"/>
        <v>0.8525400365</v>
      </c>
      <c r="F303" s="15">
        <f t="shared" si="3"/>
        <v>0.2236615919</v>
      </c>
      <c r="G303" s="10">
        <f t="shared" si="4"/>
        <v>0.5439606463</v>
      </c>
      <c r="H303" s="2" t="str">
        <f t="shared" si="5"/>
        <v/>
      </c>
      <c r="J303" s="10">
        <f>'Precinct Vote Data'!H1186</f>
        <v>0.5607142857</v>
      </c>
      <c r="K303" s="10">
        <f>'Precinct Vote Data'!H1187</f>
        <v>0.5423728814</v>
      </c>
      <c r="L303" s="10">
        <f>'Precinct Vote Data'!H1188</f>
        <v>0.5464396285</v>
      </c>
      <c r="M303" s="10">
        <f>'Precinct Vote Data'!H1189</f>
        <v>0.5263157895</v>
      </c>
      <c r="N303" s="15">
        <f t="shared" si="6"/>
        <v>0.3711215555</v>
      </c>
      <c r="O303" s="5">
        <f t="shared" si="7"/>
        <v>45</v>
      </c>
      <c r="Q303" s="5" t="str">
        <f t="shared" si="8"/>
        <v>Northampton|BETHLEHEM|363</v>
      </c>
    </row>
    <row r="304" ht="15.0" customHeight="1">
      <c r="A304" s="5" t="s">
        <v>327</v>
      </c>
      <c r="B304" s="5" t="s">
        <v>157</v>
      </c>
      <c r="C304" s="5" t="s">
        <v>340</v>
      </c>
      <c r="D304" s="15">
        <f t="shared" si="1"/>
        <v>0.9962119817</v>
      </c>
      <c r="E304" s="15">
        <f t="shared" si="2"/>
        <v>0.9098564349</v>
      </c>
      <c r="F304" s="15">
        <f t="shared" si="3"/>
        <v>0.003788018311</v>
      </c>
      <c r="G304" s="10">
        <f t="shared" si="4"/>
        <v>0.5735578594</v>
      </c>
      <c r="H304" s="2" t="str">
        <f t="shared" si="5"/>
        <v>YES</v>
      </c>
      <c r="J304" s="10">
        <f>'Precinct Vote Data'!H1190</f>
        <v>0.5992844365</v>
      </c>
      <c r="K304" s="10">
        <f>'Precinct Vote Data'!H1191</f>
        <v>0.5597964377</v>
      </c>
      <c r="L304" s="10">
        <f>'Precinct Vote Data'!H1192</f>
        <v>0.5689900427</v>
      </c>
      <c r="M304" s="10">
        <f>'Precinct Vote Data'!H1193</f>
        <v>0.5661605206</v>
      </c>
      <c r="N304" s="15">
        <f t="shared" si="6"/>
        <v>0.09393158344</v>
      </c>
      <c r="O304" s="5">
        <f t="shared" si="7"/>
        <v>2</v>
      </c>
      <c r="Q304" s="5" t="str">
        <f t="shared" si="8"/>
        <v>Northampton|BETHLEHEM|366</v>
      </c>
    </row>
    <row r="305" ht="15.0" customHeight="1">
      <c r="A305" s="5" t="s">
        <v>327</v>
      </c>
      <c r="B305" s="5" t="s">
        <v>157</v>
      </c>
      <c r="C305" s="5" t="s">
        <v>341</v>
      </c>
      <c r="D305" s="15">
        <f t="shared" si="1"/>
        <v>0.02951837411</v>
      </c>
      <c r="E305" s="15">
        <f t="shared" si="2"/>
        <v>0.002620966694</v>
      </c>
      <c r="F305" s="15">
        <f t="shared" si="3"/>
        <v>0.9704816259</v>
      </c>
      <c r="G305" s="10">
        <f t="shared" si="4"/>
        <v>0.5065654117</v>
      </c>
      <c r="H305" s="2" t="str">
        <f t="shared" si="5"/>
        <v/>
      </c>
      <c r="J305" s="10">
        <f>'Precinct Vote Data'!H1194</f>
        <v>0.5042589438</v>
      </c>
      <c r="K305" s="10">
        <f>'Precinct Vote Data'!H1195</f>
        <v>0.4954853273</v>
      </c>
      <c r="L305" s="10">
        <f>'Precinct Vote Data'!H1196</f>
        <v>0.5189504373</v>
      </c>
      <c r="M305" s="10">
        <f>'Precinct Vote Data'!H1197</f>
        <v>0.5075669383</v>
      </c>
      <c r="N305" s="15">
        <f t="shared" si="6"/>
        <v>1.967860659</v>
      </c>
      <c r="O305" s="5">
        <f t="shared" si="7"/>
        <v>343</v>
      </c>
      <c r="Q305" s="5" t="str">
        <f t="shared" si="8"/>
        <v>Northampton|BETHLEHEM|368</v>
      </c>
    </row>
    <row r="306" ht="15.0" customHeight="1">
      <c r="A306" s="5" t="s">
        <v>327</v>
      </c>
      <c r="B306" s="5" t="s">
        <v>157</v>
      </c>
      <c r="C306" s="5" t="s">
        <v>124</v>
      </c>
      <c r="D306" s="15">
        <f t="shared" si="1"/>
        <v>-0.3645870078</v>
      </c>
      <c r="E306" s="15">
        <f t="shared" si="2"/>
        <v>0.619074911</v>
      </c>
      <c r="F306" s="15">
        <f t="shared" si="3"/>
        <v>1.364587008</v>
      </c>
      <c r="G306" s="10">
        <f t="shared" si="4"/>
        <v>0.565240774</v>
      </c>
      <c r="H306" s="2" t="str">
        <f t="shared" si="5"/>
        <v/>
      </c>
      <c r="J306" s="10">
        <f>'Precinct Vote Data'!H1198</f>
        <v>0.5541871921</v>
      </c>
      <c r="K306" s="10">
        <f>'Precinct Vote Data'!H1199</f>
        <v>0.5690298507</v>
      </c>
      <c r="L306" s="10">
        <f>'Precinct Vote Data'!H1200</f>
        <v>0.5719968178</v>
      </c>
      <c r="M306" s="10">
        <f>'Precinct Vote Data'!H1201</f>
        <v>0.5657492355</v>
      </c>
      <c r="N306" s="15">
        <f t="shared" si="6"/>
        <v>1.745512097</v>
      </c>
      <c r="O306" s="5">
        <f t="shared" si="7"/>
        <v>318</v>
      </c>
      <c r="Q306" s="5" t="str">
        <f t="shared" si="8"/>
        <v>Northampton|BETHLEHEM|370</v>
      </c>
    </row>
    <row r="307" ht="15.0" customHeight="1">
      <c r="A307" s="5" t="s">
        <v>327</v>
      </c>
      <c r="B307" s="5" t="s">
        <v>157</v>
      </c>
      <c r="C307" s="5" t="s">
        <v>126</v>
      </c>
      <c r="D307" s="15">
        <f t="shared" si="1"/>
        <v>-0.8773520292</v>
      </c>
      <c r="E307" s="15">
        <f t="shared" si="2"/>
        <v>0.4536270939</v>
      </c>
      <c r="F307" s="15">
        <f t="shared" si="3"/>
        <v>1.877352029</v>
      </c>
      <c r="G307" s="10">
        <f t="shared" si="4"/>
        <v>0.4887118941</v>
      </c>
      <c r="H307" s="2" t="str">
        <f t="shared" si="5"/>
        <v/>
      </c>
      <c r="J307" s="10">
        <f>'Precinct Vote Data'!H1202</f>
        <v>0.4651515152</v>
      </c>
      <c r="K307" s="10">
        <f>'Precinct Vote Data'!H1203</f>
        <v>0.4751703992</v>
      </c>
      <c r="L307" s="10">
        <f>'Precinct Vote Data'!H1204</f>
        <v>0.504516129</v>
      </c>
      <c r="M307" s="10">
        <f>'Precinct Vote Data'!H1205</f>
        <v>0.5100095329</v>
      </c>
      <c r="N307" s="15">
        <f t="shared" si="6"/>
        <v>2.423724935</v>
      </c>
      <c r="O307" s="5">
        <f t="shared" si="7"/>
        <v>387</v>
      </c>
      <c r="Q307" s="5" t="str">
        <f t="shared" si="8"/>
        <v>Northampton|BETHLEHEM|375</v>
      </c>
    </row>
    <row r="308" ht="15.0" customHeight="1">
      <c r="A308" s="5" t="s">
        <v>327</v>
      </c>
      <c r="B308" s="5" t="s">
        <v>157</v>
      </c>
      <c r="C308" s="5" t="s">
        <v>127</v>
      </c>
      <c r="D308" s="15">
        <f t="shared" si="1"/>
        <v>-0.2834407945</v>
      </c>
      <c r="E308" s="15">
        <f t="shared" si="2"/>
        <v>0.1129198812</v>
      </c>
      <c r="F308" s="15">
        <f t="shared" si="3"/>
        <v>1.283440795</v>
      </c>
      <c r="G308" s="10">
        <f t="shared" si="4"/>
        <v>0.518504237</v>
      </c>
      <c r="H308" s="2" t="str">
        <f t="shared" si="5"/>
        <v/>
      </c>
      <c r="J308" s="10">
        <f>'Precinct Vote Data'!H1206</f>
        <v>0.5143266476</v>
      </c>
      <c r="K308" s="10">
        <f>'Precinct Vote Data'!H1207</f>
        <v>0.5385462555</v>
      </c>
      <c r="L308" s="10">
        <f>'Precinct Vote Data'!H1208</f>
        <v>0.5051150895</v>
      </c>
      <c r="M308" s="10">
        <f>'Precinct Vote Data'!H1209</f>
        <v>0.5160289555</v>
      </c>
      <c r="N308" s="15">
        <f t="shared" si="6"/>
        <v>2.170520913</v>
      </c>
      <c r="O308" s="5">
        <f t="shared" si="7"/>
        <v>374</v>
      </c>
      <c r="Q308" s="5" t="str">
        <f t="shared" si="8"/>
        <v>Northampton|BETHLEHEM|377</v>
      </c>
    </row>
    <row r="309" ht="15.0" customHeight="1">
      <c r="A309" s="5" t="s">
        <v>327</v>
      </c>
      <c r="B309" s="5" t="s">
        <v>157</v>
      </c>
      <c r="C309" s="5" t="s">
        <v>342</v>
      </c>
      <c r="D309" s="15">
        <f t="shared" si="1"/>
        <v>0.3323170664</v>
      </c>
      <c r="E309" s="15">
        <f t="shared" si="2"/>
        <v>0.2640447501</v>
      </c>
      <c r="F309" s="15">
        <f t="shared" si="3"/>
        <v>0.6676829336</v>
      </c>
      <c r="G309" s="10">
        <f t="shared" si="4"/>
        <v>0.5261169751</v>
      </c>
      <c r="H309" s="2" t="str">
        <f t="shared" si="5"/>
        <v/>
      </c>
      <c r="J309" s="10">
        <f>'Precinct Vote Data'!H1210</f>
        <v>0.5299401198</v>
      </c>
      <c r="K309" s="10">
        <f>'Precinct Vote Data'!H1211</f>
        <v>0.5167173252</v>
      </c>
      <c r="L309" s="10">
        <f>'Precinct Vote Data'!H1212</f>
        <v>0.5397877984</v>
      </c>
      <c r="M309" s="10">
        <f>'Precinct Vote Data'!H1213</f>
        <v>0.5180226571</v>
      </c>
      <c r="N309" s="15">
        <f t="shared" si="6"/>
        <v>1.403638184</v>
      </c>
      <c r="O309" s="5">
        <f t="shared" si="7"/>
        <v>264</v>
      </c>
      <c r="Q309" s="5" t="str">
        <f t="shared" si="8"/>
        <v>Northampton|BETHLEHEM|378</v>
      </c>
    </row>
    <row r="310" ht="15.0" customHeight="1">
      <c r="A310" s="5" t="s">
        <v>327</v>
      </c>
      <c r="B310" s="5" t="s">
        <v>343</v>
      </c>
      <c r="C310" s="5" t="s">
        <v>130</v>
      </c>
      <c r="D310" s="15">
        <f t="shared" si="1"/>
        <v>-0.1505852819</v>
      </c>
      <c r="E310" s="15">
        <f t="shared" si="2"/>
        <v>0.07931411646</v>
      </c>
      <c r="F310" s="15">
        <f t="shared" si="3"/>
        <v>1.150585282</v>
      </c>
      <c r="G310" s="10">
        <f t="shared" si="4"/>
        <v>0.3836929132</v>
      </c>
      <c r="H310" s="2" t="str">
        <f t="shared" si="5"/>
        <v/>
      </c>
      <c r="J310" s="10">
        <f>'Precinct Vote Data'!H1214</f>
        <v>0.3796721311</v>
      </c>
      <c r="K310" s="10">
        <f>'Precinct Vote Data'!H1215</f>
        <v>0.3730434783</v>
      </c>
      <c r="L310" s="10">
        <f>'Precinct Vote Data'!H1216</f>
        <v>0.3893333333</v>
      </c>
      <c r="M310" s="10">
        <f>'Precinct Vote Data'!H1217</f>
        <v>0.3927227102</v>
      </c>
      <c r="N310" s="15">
        <f t="shared" si="6"/>
        <v>2.071271165</v>
      </c>
      <c r="O310" s="5">
        <f t="shared" si="7"/>
        <v>360</v>
      </c>
      <c r="Q310" s="5" t="str">
        <f t="shared" si="8"/>
        <v>Northampton|BUSHKILL|380</v>
      </c>
    </row>
    <row r="311" ht="15.0" customHeight="1">
      <c r="A311" s="5" t="s">
        <v>327</v>
      </c>
      <c r="B311" s="5" t="s">
        <v>343</v>
      </c>
      <c r="C311" s="5" t="s">
        <v>131</v>
      </c>
      <c r="D311" s="15">
        <f t="shared" si="1"/>
        <v>1.005202182</v>
      </c>
      <c r="E311" s="15">
        <f t="shared" si="2"/>
        <v>0.6381067652</v>
      </c>
      <c r="F311" s="15">
        <f t="shared" si="3"/>
        <v>0.005202182272</v>
      </c>
      <c r="G311" s="10">
        <f t="shared" si="4"/>
        <v>0.4185129031</v>
      </c>
      <c r="H311" s="2" t="str">
        <f t="shared" si="5"/>
        <v/>
      </c>
      <c r="J311" s="10">
        <f>'Precinct Vote Data'!H1218</f>
        <v>0.4394184168</v>
      </c>
      <c r="K311" s="10">
        <f>'Precinct Vote Data'!H1219</f>
        <v>0.3934257833</v>
      </c>
      <c r="L311" s="10">
        <f>'Precinct Vote Data'!H1220</f>
        <v>0.4322298563</v>
      </c>
      <c r="M311" s="10">
        <f>'Precinct Vote Data'!H1221</f>
        <v>0.4089775561</v>
      </c>
      <c r="N311" s="15">
        <f t="shared" si="6"/>
        <v>0.3670954171</v>
      </c>
      <c r="O311" s="5">
        <f t="shared" si="7"/>
        <v>40</v>
      </c>
      <c r="Q311" s="5" t="str">
        <f t="shared" si="8"/>
        <v>Northampton|BUSHKILL|390</v>
      </c>
    </row>
    <row r="312" ht="15.0" customHeight="1">
      <c r="A312" s="5" t="s">
        <v>327</v>
      </c>
      <c r="B312" s="5" t="s">
        <v>343</v>
      </c>
      <c r="C312" s="5" t="s">
        <v>132</v>
      </c>
      <c r="D312" s="15">
        <f t="shared" si="1"/>
        <v>0.06540564553</v>
      </c>
      <c r="E312" s="15">
        <f t="shared" si="2"/>
        <v>0.01215360887</v>
      </c>
      <c r="F312" s="15">
        <f t="shared" si="3"/>
        <v>0.9345943545</v>
      </c>
      <c r="G312" s="10">
        <f t="shared" si="4"/>
        <v>0.3301520705</v>
      </c>
      <c r="H312" s="2" t="str">
        <f t="shared" si="5"/>
        <v/>
      </c>
      <c r="J312" s="10">
        <f>'Precinct Vote Data'!H1222</f>
        <v>0.3293333333</v>
      </c>
      <c r="K312" s="10">
        <f>'Precinct Vote Data'!H1223</f>
        <v>0.3172043011</v>
      </c>
      <c r="L312" s="10">
        <f>'Precinct Vote Data'!H1224</f>
        <v>0.3412784399</v>
      </c>
      <c r="M312" s="10">
        <f>'Precinct Vote Data'!H1225</f>
        <v>0.3327922078</v>
      </c>
      <c r="N312" s="15">
        <f t="shared" si="6"/>
        <v>1.922440746</v>
      </c>
      <c r="O312" s="5">
        <f t="shared" si="7"/>
        <v>338</v>
      </c>
      <c r="Q312" s="5" t="str">
        <f t="shared" si="8"/>
        <v>Northampton|BUSHKILL|400</v>
      </c>
    </row>
    <row r="313" ht="15.0" customHeight="1">
      <c r="A313" s="5" t="s">
        <v>327</v>
      </c>
      <c r="B313" s="5" t="s">
        <v>344</v>
      </c>
      <c r="C313" s="5" t="s">
        <v>133</v>
      </c>
      <c r="D313" s="15">
        <f t="shared" si="1"/>
        <v>3.545475063</v>
      </c>
      <c r="E313" s="15">
        <f t="shared" si="2"/>
        <v>0.990483095</v>
      </c>
      <c r="F313" s="15">
        <f t="shared" si="3"/>
        <v>2.545475063</v>
      </c>
      <c r="G313" s="10">
        <f t="shared" si="4"/>
        <v>0.3676805744</v>
      </c>
      <c r="H313" s="2" t="str">
        <f t="shared" si="5"/>
        <v/>
      </c>
      <c r="J313" s="10">
        <f>'Precinct Vote Data'!H1226</f>
        <v>0.4545454545</v>
      </c>
      <c r="K313" s="10">
        <f>'Precinct Vote Data'!H1227</f>
        <v>0.3305084746</v>
      </c>
      <c r="L313" s="10">
        <f>'Precinct Vote Data'!H1228</f>
        <v>0.3604651163</v>
      </c>
      <c r="M313" s="10">
        <f>'Precinct Vote Data'!H1229</f>
        <v>0.325203252</v>
      </c>
      <c r="N313" s="15">
        <f t="shared" si="6"/>
        <v>2.554991968</v>
      </c>
      <c r="O313" s="5">
        <f t="shared" si="7"/>
        <v>392</v>
      </c>
      <c r="Q313" s="5" t="str">
        <f t="shared" si="8"/>
        <v>Northampton|CHAPMAN|410</v>
      </c>
    </row>
    <row r="314" ht="15.0" customHeight="1">
      <c r="A314" s="5" t="s">
        <v>327</v>
      </c>
      <c r="B314" s="5" t="s">
        <v>345</v>
      </c>
      <c r="C314" s="5" t="s">
        <v>135</v>
      </c>
      <c r="D314" s="15">
        <f t="shared" si="1"/>
        <v>-0.002427426745</v>
      </c>
      <c r="E314" s="15">
        <f t="shared" si="2"/>
        <v>0.000003038501121</v>
      </c>
      <c r="F314" s="15">
        <f t="shared" si="3"/>
        <v>1.002427427</v>
      </c>
      <c r="G314" s="10">
        <f t="shared" si="4"/>
        <v>0.4105908354</v>
      </c>
      <c r="H314" s="2" t="str">
        <f t="shared" si="5"/>
        <v/>
      </c>
      <c r="J314" s="10">
        <f>'Precinct Vote Data'!H1230</f>
        <v>0.4089422028</v>
      </c>
      <c r="K314" s="10">
        <f>'Precinct Vote Data'!H1231</f>
        <v>0.3780487805</v>
      </c>
      <c r="L314" s="10">
        <f>'Precinct Vote Data'!H1232</f>
        <v>0.4268009295</v>
      </c>
      <c r="M314" s="10">
        <f>'Precinct Vote Data'!H1233</f>
        <v>0.4285714286</v>
      </c>
      <c r="N314" s="15">
        <f t="shared" si="6"/>
        <v>2.002424388</v>
      </c>
      <c r="O314" s="5">
        <f t="shared" si="7"/>
        <v>349</v>
      </c>
      <c r="Q314" s="5" t="str">
        <f t="shared" si="8"/>
        <v>Northampton|EAST ALLEN|420</v>
      </c>
    </row>
    <row r="315" ht="15.0" customHeight="1">
      <c r="A315" s="5" t="s">
        <v>327</v>
      </c>
      <c r="B315" s="5" t="s">
        <v>345</v>
      </c>
      <c r="C315" s="5" t="s">
        <v>136</v>
      </c>
      <c r="D315" s="15">
        <f t="shared" si="1"/>
        <v>0.01753208263</v>
      </c>
      <c r="E315" s="15">
        <f t="shared" si="2"/>
        <v>0.0006158434938</v>
      </c>
      <c r="F315" s="15">
        <f t="shared" si="3"/>
        <v>0.9824679174</v>
      </c>
      <c r="G315" s="10">
        <f t="shared" si="4"/>
        <v>0.4376200531</v>
      </c>
      <c r="H315" s="2" t="str">
        <f t="shared" si="5"/>
        <v/>
      </c>
      <c r="J315" s="10">
        <f>'Precinct Vote Data'!H1234</f>
        <v>0.4329608939</v>
      </c>
      <c r="K315" s="10">
        <f>'Precinct Vote Data'!H1235</f>
        <v>0.4286604361</v>
      </c>
      <c r="L315" s="10">
        <f>'Precinct Vote Data'!H1236</f>
        <v>0.4551386623</v>
      </c>
      <c r="M315" s="10">
        <f>'Precinct Vote Data'!H1237</f>
        <v>0.4337202199</v>
      </c>
      <c r="N315" s="15">
        <f t="shared" si="6"/>
        <v>1.981852074</v>
      </c>
      <c r="O315" s="5">
        <f t="shared" si="7"/>
        <v>345</v>
      </c>
      <c r="Q315" s="5" t="str">
        <f t="shared" si="8"/>
        <v>Northampton|EAST ALLEN|430</v>
      </c>
    </row>
    <row r="316" ht="15.0" customHeight="1">
      <c r="A316" s="5" t="s">
        <v>327</v>
      </c>
      <c r="B316" s="5" t="s">
        <v>346</v>
      </c>
      <c r="C316" s="5" t="s">
        <v>139</v>
      </c>
      <c r="D316" s="15">
        <f t="shared" si="1"/>
        <v>0.2525301398</v>
      </c>
      <c r="E316" s="15">
        <f t="shared" si="2"/>
        <v>0.01574910124</v>
      </c>
      <c r="F316" s="15">
        <f t="shared" si="3"/>
        <v>0.7474698602</v>
      </c>
      <c r="G316" s="10">
        <f t="shared" si="4"/>
        <v>0.3816461606</v>
      </c>
      <c r="H316" s="2" t="str">
        <f t="shared" si="5"/>
        <v/>
      </c>
      <c r="J316" s="10">
        <f>'Precinct Vote Data'!H1238</f>
        <v>0.3903903904</v>
      </c>
      <c r="K316" s="10">
        <f>'Precinct Vote Data'!H1239</f>
        <v>0.3333333333</v>
      </c>
      <c r="L316" s="10">
        <f>'Precinct Vote Data'!H1240</f>
        <v>0.3903133903</v>
      </c>
      <c r="M316" s="10">
        <f>'Precinct Vote Data'!H1241</f>
        <v>0.4125475285</v>
      </c>
      <c r="N316" s="15">
        <f t="shared" si="6"/>
        <v>1.731720759</v>
      </c>
      <c r="O316" s="5">
        <f t="shared" si="7"/>
        <v>315</v>
      </c>
      <c r="Q316" s="5" t="str">
        <f t="shared" si="8"/>
        <v>Northampton|EAST BANGOR|440</v>
      </c>
    </row>
    <row r="317" ht="15.0" customHeight="1">
      <c r="A317" s="5" t="s">
        <v>327</v>
      </c>
      <c r="B317" s="5" t="s">
        <v>347</v>
      </c>
      <c r="C317" s="5" t="s">
        <v>140</v>
      </c>
      <c r="D317" s="15">
        <f t="shared" si="1"/>
        <v>1.582410149</v>
      </c>
      <c r="E317" s="15">
        <f t="shared" si="2"/>
        <v>0.8601236904</v>
      </c>
      <c r="F317" s="15">
        <f t="shared" si="3"/>
        <v>0.5824101492</v>
      </c>
      <c r="G317" s="10">
        <f t="shared" si="4"/>
        <v>0.7488240921</v>
      </c>
      <c r="H317" s="2" t="str">
        <f t="shared" si="5"/>
        <v/>
      </c>
      <c r="J317" s="10">
        <f>'Precinct Vote Data'!H1242</f>
        <v>0.7817745803</v>
      </c>
      <c r="K317" s="10">
        <f>'Precinct Vote Data'!H1243</f>
        <v>0.7402597403</v>
      </c>
      <c r="L317" s="10">
        <f>'Precinct Vote Data'!H1244</f>
        <v>0.7591836735</v>
      </c>
      <c r="M317" s="10">
        <f>'Precinct Vote Data'!H1245</f>
        <v>0.7140783745</v>
      </c>
      <c r="N317" s="15">
        <f t="shared" si="6"/>
        <v>0.7222864589</v>
      </c>
      <c r="O317" s="5">
        <f t="shared" si="7"/>
        <v>139</v>
      </c>
      <c r="Q317" s="5" t="str">
        <f t="shared" si="8"/>
        <v>Northampton|EASTON|450</v>
      </c>
    </row>
    <row r="318" ht="15.0" customHeight="1">
      <c r="A318" s="5" t="s">
        <v>327</v>
      </c>
      <c r="B318" s="5" t="s">
        <v>347</v>
      </c>
      <c r="C318" s="5" t="s">
        <v>142</v>
      </c>
      <c r="D318" s="15">
        <f t="shared" si="1"/>
        <v>0.5984250214</v>
      </c>
      <c r="E318" s="15">
        <f t="shared" si="2"/>
        <v>0.2067430736</v>
      </c>
      <c r="F318" s="15">
        <f t="shared" si="3"/>
        <v>0.4015749786</v>
      </c>
      <c r="G318" s="10">
        <f t="shared" si="4"/>
        <v>0.7428650807</v>
      </c>
      <c r="H318" s="2" t="str">
        <f t="shared" si="5"/>
        <v/>
      </c>
      <c r="J318" s="10">
        <f>'Precinct Vote Data'!H1246</f>
        <v>0.7509247842</v>
      </c>
      <c r="K318" s="10">
        <f>'Precinct Vote Data'!H1247</f>
        <v>0.7155339806</v>
      </c>
      <c r="L318" s="10">
        <f>'Precinct Vote Data'!H1248</f>
        <v>0.7678983834</v>
      </c>
      <c r="M318" s="10">
        <f>'Precinct Vote Data'!H1249</f>
        <v>0.7371031746</v>
      </c>
      <c r="N318" s="15">
        <f t="shared" si="6"/>
        <v>1.194831905</v>
      </c>
      <c r="O318" s="5">
        <f t="shared" si="7"/>
        <v>230</v>
      </c>
      <c r="Q318" s="5" t="str">
        <f t="shared" si="8"/>
        <v>Northampton|EASTON|460</v>
      </c>
    </row>
    <row r="319" ht="15.0" customHeight="1">
      <c r="A319" s="5" t="s">
        <v>327</v>
      </c>
      <c r="B319" s="5" t="s">
        <v>347</v>
      </c>
      <c r="C319" s="5" t="s">
        <v>148</v>
      </c>
      <c r="D319" s="15">
        <f t="shared" si="1"/>
        <v>2.666423863</v>
      </c>
      <c r="E319" s="15">
        <f t="shared" si="2"/>
        <v>0.8689327423</v>
      </c>
      <c r="F319" s="15">
        <f t="shared" si="3"/>
        <v>1.666423863</v>
      </c>
      <c r="G319" s="10">
        <f t="shared" si="4"/>
        <v>0.8344386405</v>
      </c>
      <c r="H319" s="2" t="str">
        <f t="shared" si="5"/>
        <v/>
      </c>
      <c r="J319" s="10">
        <f>'Precinct Vote Data'!H1250</f>
        <v>0.8907721281</v>
      </c>
      <c r="K319" s="10">
        <f>'Precinct Vote Data'!H1251</f>
        <v>0.7960644007</v>
      </c>
      <c r="L319" s="10">
        <f>'Precinct Vote Data'!H1252</f>
        <v>0.8582089552</v>
      </c>
      <c r="M319" s="10">
        <f>'Precinct Vote Data'!H1253</f>
        <v>0.7927090779</v>
      </c>
      <c r="N319" s="15">
        <f t="shared" si="6"/>
        <v>1.797491121</v>
      </c>
      <c r="O319" s="5">
        <f t="shared" si="7"/>
        <v>326</v>
      </c>
      <c r="Q319" s="5" t="str">
        <f t="shared" si="8"/>
        <v>Northampton|EASTON|470</v>
      </c>
    </row>
    <row r="320" ht="15.0" customHeight="1">
      <c r="A320" s="5" t="s">
        <v>327</v>
      </c>
      <c r="B320" s="5" t="s">
        <v>347</v>
      </c>
      <c r="C320" s="5" t="s">
        <v>149</v>
      </c>
      <c r="D320" s="15">
        <f t="shared" si="1"/>
        <v>1.996973235</v>
      </c>
      <c r="E320" s="15">
        <f t="shared" si="2"/>
        <v>0.8076085975</v>
      </c>
      <c r="F320" s="15">
        <f t="shared" si="3"/>
        <v>0.9969732348</v>
      </c>
      <c r="G320" s="10">
        <f t="shared" si="4"/>
        <v>0.7233785204</v>
      </c>
      <c r="H320" s="2" t="str">
        <f t="shared" si="5"/>
        <v/>
      </c>
      <c r="J320" s="10">
        <f>'Precinct Vote Data'!H1254</f>
        <v>0.7635009311</v>
      </c>
      <c r="K320" s="10">
        <f>'Precinct Vote Data'!H1255</f>
        <v>0.695599022</v>
      </c>
      <c r="L320" s="10">
        <f>'Precinct Vote Data'!H1256</f>
        <v>0.7466863034</v>
      </c>
      <c r="M320" s="10">
        <f>'Precinct Vote Data'!H1257</f>
        <v>0.687727825</v>
      </c>
      <c r="N320" s="15">
        <f t="shared" si="6"/>
        <v>1.189364637</v>
      </c>
      <c r="O320" s="5">
        <f t="shared" si="7"/>
        <v>228</v>
      </c>
      <c r="Q320" s="5" t="str">
        <f t="shared" si="8"/>
        <v>Northampton|EASTON|480</v>
      </c>
    </row>
    <row r="321" ht="15.0" customHeight="1">
      <c r="A321" s="5" t="s">
        <v>327</v>
      </c>
      <c r="B321" s="5" t="s">
        <v>347</v>
      </c>
      <c r="C321" s="5" t="s">
        <v>348</v>
      </c>
      <c r="D321" s="15">
        <f t="shared" si="1"/>
        <v>1.475072064</v>
      </c>
      <c r="E321" s="15">
        <f t="shared" si="2"/>
        <v>0.8838465106</v>
      </c>
      <c r="F321" s="15">
        <f t="shared" si="3"/>
        <v>0.475072064</v>
      </c>
      <c r="G321" s="10">
        <f t="shared" si="4"/>
        <v>0.6919354117</v>
      </c>
      <c r="H321" s="2" t="str">
        <f t="shared" si="5"/>
        <v/>
      </c>
      <c r="J321" s="10">
        <f>'Precinct Vote Data'!H1258</f>
        <v>0.7229437229</v>
      </c>
      <c r="K321" s="10">
        <f>'Precinct Vote Data'!H1259</f>
        <v>0.6823238566</v>
      </c>
      <c r="L321" s="10">
        <f>'Precinct Vote Data'!H1260</f>
        <v>0.7013487476</v>
      </c>
      <c r="M321" s="10">
        <f>'Precinct Vote Data'!H1261</f>
        <v>0.6611253197</v>
      </c>
      <c r="N321" s="15">
        <f t="shared" si="6"/>
        <v>0.5912255534</v>
      </c>
      <c r="O321" s="5">
        <f t="shared" si="7"/>
        <v>102</v>
      </c>
      <c r="Q321" s="5" t="str">
        <f t="shared" si="8"/>
        <v>Northampton|EASTON|490</v>
      </c>
    </row>
    <row r="322" ht="15.0" customHeight="1">
      <c r="A322" s="5" t="s">
        <v>327</v>
      </c>
      <c r="B322" s="5" t="s">
        <v>347</v>
      </c>
      <c r="C322" s="5" t="s">
        <v>150</v>
      </c>
      <c r="D322" s="15">
        <f t="shared" si="1"/>
        <v>2.177692181</v>
      </c>
      <c r="E322" s="15">
        <f t="shared" si="2"/>
        <v>0.7733818</v>
      </c>
      <c r="F322" s="15">
        <f t="shared" si="3"/>
        <v>1.177692181</v>
      </c>
      <c r="G322" s="10">
        <f t="shared" si="4"/>
        <v>0.7574031713</v>
      </c>
      <c r="H322" s="2" t="str">
        <f t="shared" si="5"/>
        <v/>
      </c>
      <c r="J322" s="10">
        <f>'Precinct Vote Data'!H1262</f>
        <v>0.8181818182</v>
      </c>
      <c r="K322" s="10">
        <f>'Precinct Vote Data'!H1263</f>
        <v>0.75</v>
      </c>
      <c r="L322" s="10">
        <f>'Precinct Vote Data'!H1264</f>
        <v>0.7264150943</v>
      </c>
      <c r="M322" s="10">
        <f>'Precinct Vote Data'!H1265</f>
        <v>0.7350157729</v>
      </c>
      <c r="N322" s="15">
        <f t="shared" si="6"/>
        <v>1.404310381</v>
      </c>
      <c r="O322" s="5">
        <f t="shared" si="7"/>
        <v>265</v>
      </c>
      <c r="Q322" s="5" t="str">
        <f t="shared" si="8"/>
        <v>Northampton|EASTON|500</v>
      </c>
    </row>
    <row r="323" ht="15.0" customHeight="1">
      <c r="A323" s="5" t="s">
        <v>327</v>
      </c>
      <c r="B323" s="5" t="s">
        <v>347</v>
      </c>
      <c r="C323" s="5" t="s">
        <v>349</v>
      </c>
      <c r="D323" s="15">
        <f t="shared" si="1"/>
        <v>1.69680226</v>
      </c>
      <c r="E323" s="15">
        <f t="shared" si="2"/>
        <v>0.5238422216</v>
      </c>
      <c r="F323" s="15">
        <f t="shared" si="3"/>
        <v>0.6968022604</v>
      </c>
      <c r="G323" s="10">
        <f t="shared" si="4"/>
        <v>0.75149325</v>
      </c>
      <c r="H323" s="2" t="str">
        <f t="shared" si="5"/>
        <v/>
      </c>
      <c r="J323" s="10">
        <f>'Precinct Vote Data'!H1266</f>
        <v>0.7946127946</v>
      </c>
      <c r="K323" s="10">
        <f>'Precinct Vote Data'!H1267</f>
        <v>0.6989010989</v>
      </c>
      <c r="L323" s="10">
        <f>'Precinct Vote Data'!H1268</f>
        <v>0.7561728395</v>
      </c>
      <c r="M323" s="10">
        <f>'Precinct Vote Data'!H1269</f>
        <v>0.7562862669</v>
      </c>
      <c r="N323" s="15">
        <f t="shared" si="6"/>
        <v>1.172960039</v>
      </c>
      <c r="O323" s="5">
        <f t="shared" si="7"/>
        <v>223</v>
      </c>
      <c r="Q323" s="5" t="str">
        <f t="shared" si="8"/>
        <v>Northampton|EASTON|510</v>
      </c>
    </row>
    <row r="324" ht="15.0" customHeight="1">
      <c r="A324" s="5" t="s">
        <v>327</v>
      </c>
      <c r="B324" s="5" t="s">
        <v>347</v>
      </c>
      <c r="C324" s="5" t="s">
        <v>151</v>
      </c>
      <c r="D324" s="15">
        <f t="shared" si="1"/>
        <v>3.499177348</v>
      </c>
      <c r="E324" s="15">
        <f t="shared" si="2"/>
        <v>0.9093645517</v>
      </c>
      <c r="F324" s="15">
        <f t="shared" si="3"/>
        <v>2.499177348</v>
      </c>
      <c r="G324" s="10">
        <f t="shared" si="4"/>
        <v>0.7456507588</v>
      </c>
      <c r="H324" s="2" t="str">
        <f t="shared" si="5"/>
        <v/>
      </c>
      <c r="J324" s="10">
        <f>'Precinct Vote Data'!H1270</f>
        <v>0.8211143695</v>
      </c>
      <c r="K324" s="10">
        <f>'Precinct Vote Data'!H1271</f>
        <v>0.7255244755</v>
      </c>
      <c r="L324" s="10">
        <f>'Precinct Vote Data'!H1272</f>
        <v>0.761627907</v>
      </c>
      <c r="M324" s="10">
        <f>'Precinct Vote Data'!H1273</f>
        <v>0.6743362832</v>
      </c>
      <c r="N324" s="15">
        <f t="shared" si="6"/>
        <v>2.589812796</v>
      </c>
      <c r="O324" s="5">
        <f t="shared" si="7"/>
        <v>394</v>
      </c>
      <c r="Q324" s="5" t="str">
        <f t="shared" si="8"/>
        <v>Northampton|EASTON|520</v>
      </c>
    </row>
    <row r="325" ht="15.0" customHeight="1">
      <c r="A325" s="5" t="s">
        <v>327</v>
      </c>
      <c r="B325" s="5" t="s">
        <v>347</v>
      </c>
      <c r="C325" s="5" t="s">
        <v>152</v>
      </c>
      <c r="D325" s="15">
        <f t="shared" si="1"/>
        <v>1.244376274</v>
      </c>
      <c r="E325" s="15">
        <f t="shared" si="2"/>
        <v>0.8478411956</v>
      </c>
      <c r="F325" s="15">
        <f t="shared" si="3"/>
        <v>0.2443762742</v>
      </c>
      <c r="G325" s="10">
        <f t="shared" si="4"/>
        <v>0.6658051818</v>
      </c>
      <c r="H325" s="2" t="str">
        <f t="shared" si="5"/>
        <v/>
      </c>
      <c r="J325" s="10">
        <f>'Precinct Vote Data'!H1274</f>
        <v>0.6951219512</v>
      </c>
      <c r="K325" s="10">
        <f>'Precinct Vote Data'!H1275</f>
        <v>0.6666666667</v>
      </c>
      <c r="L325" s="10">
        <f>'Precinct Vote Data'!H1276</f>
        <v>0.6615853659</v>
      </c>
      <c r="M325" s="10">
        <f>'Precinct Vote Data'!H1277</f>
        <v>0.6398467433</v>
      </c>
      <c r="N325" s="15">
        <f t="shared" si="6"/>
        <v>0.3965350786</v>
      </c>
      <c r="O325" s="5">
        <f t="shared" si="7"/>
        <v>53</v>
      </c>
      <c r="Q325" s="5" t="str">
        <f t="shared" si="8"/>
        <v>Northampton|EASTON|530</v>
      </c>
    </row>
    <row r="326" ht="15.0" customHeight="1">
      <c r="A326" s="5" t="s">
        <v>327</v>
      </c>
      <c r="B326" s="5" t="s">
        <v>347</v>
      </c>
      <c r="C326" s="5" t="s">
        <v>153</v>
      </c>
      <c r="D326" s="15">
        <f t="shared" si="1"/>
        <v>0.7988000485</v>
      </c>
      <c r="E326" s="15">
        <f t="shared" si="2"/>
        <v>0.2615953196</v>
      </c>
      <c r="F326" s="15">
        <f t="shared" si="3"/>
        <v>0.2011999515</v>
      </c>
      <c r="G326" s="10">
        <f t="shared" si="4"/>
        <v>0.6428137047</v>
      </c>
      <c r="H326" s="2" t="str">
        <f t="shared" si="5"/>
        <v/>
      </c>
      <c r="J326" s="10">
        <f>'Precinct Vote Data'!H1278</f>
        <v>0.6507537688</v>
      </c>
      <c r="K326" s="10">
        <f>'Precinct Vote Data'!H1279</f>
        <v>0.6367521368</v>
      </c>
      <c r="L326" s="10">
        <f>'Precinct Vote Data'!H1280</f>
        <v>0.6732673267</v>
      </c>
      <c r="M326" s="10">
        <f>'Precinct Vote Data'!H1281</f>
        <v>0.6104815864</v>
      </c>
      <c r="N326" s="15">
        <f t="shared" si="6"/>
        <v>0.9396046318</v>
      </c>
      <c r="O326" s="5">
        <f t="shared" si="7"/>
        <v>179</v>
      </c>
      <c r="Q326" s="5" t="str">
        <f t="shared" si="8"/>
        <v>Northampton|EASTON|540</v>
      </c>
    </row>
    <row r="327" ht="15.0" customHeight="1">
      <c r="A327" s="5" t="s">
        <v>327</v>
      </c>
      <c r="B327" s="5" t="s">
        <v>347</v>
      </c>
      <c r="C327" s="5" t="s">
        <v>154</v>
      </c>
      <c r="D327" s="15">
        <f t="shared" si="1"/>
        <v>2.164058358</v>
      </c>
      <c r="E327" s="15">
        <f t="shared" si="2"/>
        <v>0.8841513902</v>
      </c>
      <c r="F327" s="15">
        <f t="shared" si="3"/>
        <v>1.164058358</v>
      </c>
      <c r="G327" s="10">
        <f t="shared" si="4"/>
        <v>0.7159699183</v>
      </c>
      <c r="H327" s="2" t="str">
        <f t="shared" si="5"/>
        <v/>
      </c>
      <c r="J327" s="10">
        <f>'Precinct Vote Data'!H1282</f>
        <v>0.7664473684</v>
      </c>
      <c r="K327" s="10">
        <f>'Precinct Vote Data'!H1283</f>
        <v>0.7140783745</v>
      </c>
      <c r="L327" s="10">
        <f>'Precinct Vote Data'!H1284</f>
        <v>0.7112831858</v>
      </c>
      <c r="M327" s="10">
        <f>'Precinct Vote Data'!H1285</f>
        <v>0.6720707443</v>
      </c>
      <c r="N327" s="15">
        <f t="shared" si="6"/>
        <v>1.279906968</v>
      </c>
      <c r="O327" s="5">
        <f t="shared" si="7"/>
        <v>246</v>
      </c>
      <c r="Q327" s="5" t="str">
        <f t="shared" si="8"/>
        <v>Northampton|EASTON|550</v>
      </c>
    </row>
    <row r="328" ht="15.0" customHeight="1">
      <c r="A328" s="5" t="s">
        <v>327</v>
      </c>
      <c r="B328" s="5" t="s">
        <v>347</v>
      </c>
      <c r="C328" s="5" t="s">
        <v>155</v>
      </c>
      <c r="D328" s="15">
        <f t="shared" si="1"/>
        <v>0.8856742299</v>
      </c>
      <c r="E328" s="15">
        <f t="shared" si="2"/>
        <v>0.6744397231</v>
      </c>
      <c r="F328" s="15">
        <f t="shared" si="3"/>
        <v>0.1143257701</v>
      </c>
      <c r="G328" s="10">
        <f t="shared" si="4"/>
        <v>0.6865570138</v>
      </c>
      <c r="H328" s="2" t="str">
        <f t="shared" si="5"/>
        <v/>
      </c>
      <c r="J328" s="10">
        <f>'Precinct Vote Data'!H1286</f>
        <v>0.7096774194</v>
      </c>
      <c r="K328" s="10">
        <f>'Precinct Vote Data'!H1287</f>
        <v>0.6919060052</v>
      </c>
      <c r="L328" s="10">
        <f>'Precinct Vote Data'!H1288</f>
        <v>0.6754716981</v>
      </c>
      <c r="M328" s="10">
        <f>'Precinct Vote Data'!H1289</f>
        <v>0.6691729323</v>
      </c>
      <c r="N328" s="15">
        <f t="shared" si="6"/>
        <v>0.439886047</v>
      </c>
      <c r="O328" s="5">
        <f t="shared" si="7"/>
        <v>58</v>
      </c>
      <c r="Q328" s="5" t="str">
        <f t="shared" si="8"/>
        <v>Northampton|EASTON|560</v>
      </c>
    </row>
    <row r="329" ht="15.0" customHeight="1">
      <c r="A329" s="5" t="s">
        <v>327</v>
      </c>
      <c r="B329" s="5" t="s">
        <v>347</v>
      </c>
      <c r="C329" s="5" t="s">
        <v>156</v>
      </c>
      <c r="D329" s="15">
        <f t="shared" si="1"/>
        <v>1.822247539</v>
      </c>
      <c r="E329" s="15">
        <f t="shared" si="2"/>
        <v>0.8681672703</v>
      </c>
      <c r="F329" s="15">
        <f t="shared" si="3"/>
        <v>0.8222475388</v>
      </c>
      <c r="G329" s="10">
        <f t="shared" si="4"/>
        <v>0.6860231249</v>
      </c>
      <c r="H329" s="2" t="str">
        <f t="shared" si="5"/>
        <v/>
      </c>
      <c r="J329" s="10">
        <f>'Precinct Vote Data'!H1290</f>
        <v>0.7236180905</v>
      </c>
      <c r="K329" s="10">
        <f>'Precinct Vote Data'!H1291</f>
        <v>0.6666666667</v>
      </c>
      <c r="L329" s="10">
        <f>'Precinct Vote Data'!H1292</f>
        <v>0.7023554604</v>
      </c>
      <c r="M329" s="10">
        <f>'Precinct Vote Data'!H1293</f>
        <v>0.6514522822</v>
      </c>
      <c r="N329" s="15">
        <f t="shared" si="6"/>
        <v>0.9540802685</v>
      </c>
      <c r="O329" s="5">
        <f t="shared" si="7"/>
        <v>183</v>
      </c>
      <c r="Q329" s="5" t="str">
        <f t="shared" si="8"/>
        <v>Northampton|EASTON|570</v>
      </c>
    </row>
    <row r="330" ht="15.0" customHeight="1">
      <c r="A330" s="5" t="s">
        <v>327</v>
      </c>
      <c r="B330" s="5" t="s">
        <v>347</v>
      </c>
      <c r="C330" s="5" t="s">
        <v>158</v>
      </c>
      <c r="D330" s="15">
        <f t="shared" si="1"/>
        <v>1.968263044</v>
      </c>
      <c r="E330" s="15">
        <f t="shared" si="2"/>
        <v>0.9740864305</v>
      </c>
      <c r="F330" s="15">
        <f t="shared" si="3"/>
        <v>0.9682630439</v>
      </c>
      <c r="G330" s="10">
        <f t="shared" si="4"/>
        <v>0.7148636042</v>
      </c>
      <c r="H330" s="2" t="str">
        <f t="shared" si="5"/>
        <v/>
      </c>
      <c r="J330" s="10">
        <f>'Precinct Vote Data'!H1294</f>
        <v>0.7591397849</v>
      </c>
      <c r="K330" s="10">
        <f>'Precinct Vote Data'!H1295</f>
        <v>0.6957142857</v>
      </c>
      <c r="L330" s="10">
        <f>'Precinct Vote Data'!H1296</f>
        <v>0.7214912281</v>
      </c>
      <c r="M330" s="10">
        <f>'Precinct Vote Data'!H1297</f>
        <v>0.6831091181</v>
      </c>
      <c r="N330" s="15">
        <f t="shared" si="6"/>
        <v>0.9941766134</v>
      </c>
      <c r="O330" s="5">
        <f t="shared" si="7"/>
        <v>189</v>
      </c>
      <c r="Q330" s="5" t="str">
        <f t="shared" si="8"/>
        <v>Northampton|EASTON|580</v>
      </c>
    </row>
    <row r="331" ht="15.0" customHeight="1">
      <c r="A331" s="5" t="s">
        <v>327</v>
      </c>
      <c r="B331" s="5" t="s">
        <v>347</v>
      </c>
      <c r="C331" s="5" t="s">
        <v>159</v>
      </c>
      <c r="D331" s="15">
        <f t="shared" si="1"/>
        <v>1.251331784</v>
      </c>
      <c r="E331" s="15">
        <f t="shared" si="2"/>
        <v>0.9278846148</v>
      </c>
      <c r="F331" s="15">
        <f t="shared" si="3"/>
        <v>0.2513317837</v>
      </c>
      <c r="G331" s="10">
        <f t="shared" si="4"/>
        <v>0.7177090704</v>
      </c>
      <c r="H331" s="2" t="str">
        <f t="shared" si="5"/>
        <v>YES</v>
      </c>
      <c r="J331" s="10">
        <f>'Precinct Vote Data'!H1298</f>
        <v>0.7481203008</v>
      </c>
      <c r="K331" s="10">
        <f>'Precinct Vote Data'!H1299</f>
        <v>0.7142857143</v>
      </c>
      <c r="L331" s="10">
        <f>'Precinct Vote Data'!H1300</f>
        <v>0.7123745819</v>
      </c>
      <c r="M331" s="10">
        <f>'Precinct Vote Data'!H1301</f>
        <v>0.6960556845</v>
      </c>
      <c r="N331" s="15">
        <f t="shared" si="6"/>
        <v>0.3234471689</v>
      </c>
      <c r="O331" s="5">
        <f t="shared" si="7"/>
        <v>29</v>
      </c>
      <c r="Q331" s="5" t="str">
        <f t="shared" si="8"/>
        <v>Northampton|EASTON|590</v>
      </c>
    </row>
    <row r="332" ht="15.0" customHeight="1">
      <c r="A332" s="5" t="s">
        <v>327</v>
      </c>
      <c r="B332" s="5" t="s">
        <v>350</v>
      </c>
      <c r="C332" s="5" t="s">
        <v>351</v>
      </c>
      <c r="D332" s="15">
        <f t="shared" si="1"/>
        <v>0.7624668175</v>
      </c>
      <c r="E332" s="15">
        <f t="shared" si="2"/>
        <v>0.8468140549</v>
      </c>
      <c r="F332" s="15">
        <f t="shared" si="3"/>
        <v>0.2375331825</v>
      </c>
      <c r="G332" s="10">
        <f t="shared" si="4"/>
        <v>0.497232179</v>
      </c>
      <c r="H332" s="2" t="str">
        <f t="shared" si="5"/>
        <v/>
      </c>
      <c r="J332" s="10">
        <f>'Precinct Vote Data'!H1302</f>
        <v>0.5130090498</v>
      </c>
      <c r="K332" s="10">
        <f>'Precinct Vote Data'!H1303</f>
        <v>0.4865377323</v>
      </c>
      <c r="L332" s="10">
        <f>'Precinct Vote Data'!H1304</f>
        <v>0.504867872</v>
      </c>
      <c r="M332" s="10">
        <f>'Precinct Vote Data'!H1305</f>
        <v>0.4845140619</v>
      </c>
      <c r="N332" s="15">
        <f t="shared" si="6"/>
        <v>0.3907191276</v>
      </c>
      <c r="O332" s="5">
        <f t="shared" si="7"/>
        <v>52</v>
      </c>
      <c r="Q332" s="5" t="str">
        <f t="shared" si="8"/>
        <v>Northampton|FORKS|594</v>
      </c>
    </row>
    <row r="333" ht="15.0" customHeight="1">
      <c r="A333" s="5" t="s">
        <v>327</v>
      </c>
      <c r="B333" s="5" t="s">
        <v>350</v>
      </c>
      <c r="C333" s="5" t="s">
        <v>352</v>
      </c>
      <c r="D333" s="15">
        <f t="shared" si="1"/>
        <v>0.3508936265</v>
      </c>
      <c r="E333" s="15">
        <f t="shared" si="2"/>
        <v>0.3761135695</v>
      </c>
      <c r="F333" s="15">
        <f t="shared" si="3"/>
        <v>0.6491063735</v>
      </c>
      <c r="G333" s="10">
        <f t="shared" si="4"/>
        <v>0.5317000363</v>
      </c>
      <c r="H333" s="2" t="str">
        <f t="shared" si="5"/>
        <v/>
      </c>
      <c r="J333" s="10">
        <f>'Precinct Vote Data'!H1306</f>
        <v>0.5420319752</v>
      </c>
      <c r="K333" s="10">
        <f>'Precinct Vote Data'!H1307</f>
        <v>0.5196280992</v>
      </c>
      <c r="L333" s="10">
        <f>'Precinct Vote Data'!H1308</f>
        <v>0.5290939318</v>
      </c>
      <c r="M333" s="10">
        <f>'Precinct Vote Data'!H1309</f>
        <v>0.5360461391</v>
      </c>
      <c r="N333" s="15">
        <f t="shared" si="6"/>
        <v>1.272992804</v>
      </c>
      <c r="O333" s="5">
        <f t="shared" si="7"/>
        <v>244</v>
      </c>
      <c r="Q333" s="5" t="str">
        <f t="shared" si="8"/>
        <v>Northampton|FORKS|601</v>
      </c>
    </row>
    <row r="334" ht="15.0" customHeight="1">
      <c r="A334" s="5" t="s">
        <v>327</v>
      </c>
      <c r="B334" s="5" t="s">
        <v>350</v>
      </c>
      <c r="C334" s="5" t="s">
        <v>353</v>
      </c>
      <c r="D334" s="15">
        <f t="shared" si="1"/>
        <v>1.83997382</v>
      </c>
      <c r="E334" s="15">
        <f t="shared" si="2"/>
        <v>0.9716009722</v>
      </c>
      <c r="F334" s="15">
        <f t="shared" si="3"/>
        <v>0.8399738196</v>
      </c>
      <c r="G334" s="10">
        <f t="shared" si="4"/>
        <v>0.5419561251</v>
      </c>
      <c r="H334" s="2" t="str">
        <f t="shared" si="5"/>
        <v/>
      </c>
      <c r="J334" s="10">
        <f>'Precinct Vote Data'!H1310</f>
        <v>0.5851910828</v>
      </c>
      <c r="K334" s="10">
        <f>'Precinct Vote Data'!H1311</f>
        <v>0.5321350763</v>
      </c>
      <c r="L334" s="10">
        <f>'Precinct Vote Data'!H1312</f>
        <v>0.540027137</v>
      </c>
      <c r="M334" s="10">
        <f>'Precinct Vote Data'!H1313</f>
        <v>0.5104712042</v>
      </c>
      <c r="N334" s="15">
        <f t="shared" si="6"/>
        <v>0.8683728474</v>
      </c>
      <c r="O334" s="5">
        <f t="shared" si="7"/>
        <v>166</v>
      </c>
      <c r="Q334" s="5" t="str">
        <f t="shared" si="8"/>
        <v>Northampton|FORKS|608</v>
      </c>
    </row>
    <row r="335" ht="15.0" customHeight="1">
      <c r="A335" s="5" t="s">
        <v>327</v>
      </c>
      <c r="B335" s="5" t="s">
        <v>350</v>
      </c>
      <c r="C335" s="5" t="s">
        <v>354</v>
      </c>
      <c r="D335" s="15">
        <f t="shared" si="1"/>
        <v>0.4330669861</v>
      </c>
      <c r="E335" s="15">
        <f t="shared" si="2"/>
        <v>0.4482325542</v>
      </c>
      <c r="F335" s="15">
        <f t="shared" si="3"/>
        <v>0.5669330139</v>
      </c>
      <c r="G335" s="10">
        <f t="shared" si="4"/>
        <v>0.526667321</v>
      </c>
      <c r="H335" s="2" t="str">
        <f t="shared" si="5"/>
        <v/>
      </c>
      <c r="J335" s="10">
        <f>'Precinct Vote Data'!H1314</f>
        <v>0.5386040766</v>
      </c>
      <c r="K335" s="10">
        <f>'Precinct Vote Data'!H1315</f>
        <v>0.5125201939</v>
      </c>
      <c r="L335" s="10">
        <f>'Precinct Vote Data'!H1316</f>
        <v>0.5254860746</v>
      </c>
      <c r="M335" s="10">
        <f>'Precinct Vote Data'!H1317</f>
        <v>0.5300589391</v>
      </c>
      <c r="N335" s="15">
        <f t="shared" si="6"/>
        <v>1.11870046</v>
      </c>
      <c r="O335" s="5">
        <f t="shared" si="7"/>
        <v>213</v>
      </c>
      <c r="Q335" s="5" t="str">
        <f t="shared" si="8"/>
        <v>Northampton|FORKS|615</v>
      </c>
    </row>
    <row r="336" ht="15.0" customHeight="1">
      <c r="A336" s="5" t="s">
        <v>327</v>
      </c>
      <c r="B336" s="5" t="s">
        <v>355</v>
      </c>
      <c r="C336" s="5" t="s">
        <v>162</v>
      </c>
      <c r="D336" s="15">
        <f t="shared" si="1"/>
        <v>1.554823839</v>
      </c>
      <c r="E336" s="15">
        <f t="shared" si="2"/>
        <v>0.6470947793</v>
      </c>
      <c r="F336" s="15">
        <f t="shared" si="3"/>
        <v>0.5548238387</v>
      </c>
      <c r="G336" s="10">
        <f t="shared" si="4"/>
        <v>0.6191649369</v>
      </c>
      <c r="H336" s="2" t="str">
        <f t="shared" si="5"/>
        <v/>
      </c>
      <c r="J336" s="10">
        <f>'Precinct Vote Data'!H1318</f>
        <v>0.6626666667</v>
      </c>
      <c r="K336" s="10">
        <f>'Precinct Vote Data'!H1319</f>
        <v>0.6254071661</v>
      </c>
      <c r="L336" s="10">
        <f>'Precinct Vote Data'!H1320</f>
        <v>0.5925925926</v>
      </c>
      <c r="M336" s="10">
        <f>'Precinct Vote Data'!H1321</f>
        <v>0.5959933222</v>
      </c>
      <c r="N336" s="15">
        <f t="shared" si="6"/>
        <v>0.9077290594</v>
      </c>
      <c r="O336" s="5">
        <f t="shared" si="7"/>
        <v>176</v>
      </c>
      <c r="Q336" s="5" t="str">
        <f t="shared" si="8"/>
        <v>Northampton|FREEMANSBURG|620</v>
      </c>
    </row>
    <row r="337" ht="15.0" customHeight="1">
      <c r="A337" s="5" t="s">
        <v>327</v>
      </c>
      <c r="B337" s="5" t="s">
        <v>356</v>
      </c>
      <c r="C337" s="5" t="s">
        <v>163</v>
      </c>
      <c r="D337" s="15">
        <f t="shared" si="1"/>
        <v>3.655828492</v>
      </c>
      <c r="E337" s="15">
        <f t="shared" si="2"/>
        <v>0.8138746889</v>
      </c>
      <c r="F337" s="15">
        <f t="shared" si="3"/>
        <v>2.655828492</v>
      </c>
      <c r="G337" s="10">
        <f t="shared" si="4"/>
        <v>0.5477251806</v>
      </c>
      <c r="H337" s="2" t="str">
        <f t="shared" si="5"/>
        <v/>
      </c>
      <c r="J337" s="10">
        <f>'Precinct Vote Data'!H1322</f>
        <v>0.6486486486</v>
      </c>
      <c r="K337" s="10">
        <f>'Precinct Vote Data'!H1323</f>
        <v>0.5024875622</v>
      </c>
      <c r="L337" s="10">
        <f>'Precinct Vote Data'!H1324</f>
        <v>0.5106382979</v>
      </c>
      <c r="M337" s="10">
        <f>'Precinct Vote Data'!H1325</f>
        <v>0.5291262136</v>
      </c>
      <c r="N337" s="15">
        <f t="shared" si="6"/>
        <v>2.841953803</v>
      </c>
      <c r="O337" s="5">
        <f t="shared" si="7"/>
        <v>398</v>
      </c>
      <c r="Q337" s="5" t="str">
        <f t="shared" si="8"/>
        <v>Northampton|GLENDON|630</v>
      </c>
    </row>
    <row r="338" ht="15.0" customHeight="1">
      <c r="A338" s="5" t="s">
        <v>327</v>
      </c>
      <c r="B338" s="5" t="s">
        <v>190</v>
      </c>
      <c r="C338" s="5" t="s">
        <v>164</v>
      </c>
      <c r="D338" s="15">
        <f t="shared" si="1"/>
        <v>-0.335949126</v>
      </c>
      <c r="E338" s="15">
        <f t="shared" si="2"/>
        <v>0.1941597793</v>
      </c>
      <c r="F338" s="15">
        <f t="shared" si="3"/>
        <v>1.335949126</v>
      </c>
      <c r="G338" s="10">
        <f t="shared" si="4"/>
        <v>0.5715191396</v>
      </c>
      <c r="H338" s="2" t="str">
        <f t="shared" si="5"/>
        <v/>
      </c>
      <c r="J338" s="10">
        <f>'Precinct Vote Data'!H1326</f>
        <v>0.5605680869</v>
      </c>
      <c r="K338" s="10">
        <f>'Precinct Vote Data'!H1327</f>
        <v>0.5605599513</v>
      </c>
      <c r="L338" s="10">
        <f>'Precinct Vote Data'!H1328</f>
        <v>0.585106383</v>
      </c>
      <c r="M338" s="10">
        <f>'Precinct Vote Data'!H1329</f>
        <v>0.5798421372</v>
      </c>
      <c r="N338" s="15">
        <f t="shared" si="6"/>
        <v>2.141789347</v>
      </c>
      <c r="O338" s="5">
        <f t="shared" si="7"/>
        <v>370</v>
      </c>
      <c r="Q338" s="5" t="str">
        <f t="shared" si="8"/>
        <v>Northampton|HANOVER|640</v>
      </c>
    </row>
    <row r="339" ht="15.0" customHeight="1">
      <c r="A339" s="5" t="s">
        <v>327</v>
      </c>
      <c r="B339" s="5" t="s">
        <v>190</v>
      </c>
      <c r="C339" s="5" t="s">
        <v>165</v>
      </c>
      <c r="D339" s="15">
        <f t="shared" si="1"/>
        <v>0.5441681812</v>
      </c>
      <c r="E339" s="15">
        <f t="shared" si="2"/>
        <v>0.402309159</v>
      </c>
      <c r="F339" s="15">
        <f t="shared" si="3"/>
        <v>0.4558318188</v>
      </c>
      <c r="G339" s="10">
        <f t="shared" si="4"/>
        <v>0.5459344149</v>
      </c>
      <c r="H339" s="2" t="str">
        <f t="shared" si="5"/>
        <v/>
      </c>
      <c r="J339" s="10">
        <f>'Precinct Vote Data'!H1330</f>
        <v>0.5606446141</v>
      </c>
      <c r="K339" s="10">
        <f>'Precinct Vote Data'!H1331</f>
        <v>0.5263157895</v>
      </c>
      <c r="L339" s="10">
        <f>'Precinct Vote Data'!H1332</f>
        <v>0.5459297984</v>
      </c>
      <c r="M339" s="10">
        <f>'Precinct Vote Data'!H1333</f>
        <v>0.5508474576</v>
      </c>
      <c r="N339" s="15">
        <f t="shared" si="6"/>
        <v>1.05352266</v>
      </c>
      <c r="O339" s="5">
        <f t="shared" si="7"/>
        <v>200</v>
      </c>
      <c r="Q339" s="5" t="str">
        <f t="shared" si="8"/>
        <v>Northampton|HANOVER|650</v>
      </c>
    </row>
    <row r="340" ht="15.0" customHeight="1">
      <c r="A340" s="5" t="s">
        <v>327</v>
      </c>
      <c r="B340" s="5" t="s">
        <v>190</v>
      </c>
      <c r="C340" s="5" t="s">
        <v>166</v>
      </c>
      <c r="D340" s="15">
        <f t="shared" si="1"/>
        <v>-0.3156127108</v>
      </c>
      <c r="E340" s="15">
        <f t="shared" si="2"/>
        <v>0.1836854381</v>
      </c>
      <c r="F340" s="15">
        <f t="shared" si="3"/>
        <v>1.315612711</v>
      </c>
      <c r="G340" s="10">
        <f t="shared" si="4"/>
        <v>0.5182571405</v>
      </c>
      <c r="H340" s="2" t="str">
        <f t="shared" si="5"/>
        <v/>
      </c>
      <c r="J340" s="10">
        <f>'Precinct Vote Data'!H1334</f>
        <v>0.5063492063</v>
      </c>
      <c r="K340" s="10">
        <f>'Precinct Vote Data'!H1335</f>
        <v>0.5112160567</v>
      </c>
      <c r="L340" s="10">
        <f>'Precinct Vote Data'!H1336</f>
        <v>0.5344352617</v>
      </c>
      <c r="M340" s="10">
        <f>'Precinct Vote Data'!H1337</f>
        <v>0.5210280374</v>
      </c>
      <c r="N340" s="15">
        <f t="shared" si="6"/>
        <v>2.131927273</v>
      </c>
      <c r="O340" s="5">
        <f t="shared" si="7"/>
        <v>368</v>
      </c>
      <c r="Q340" s="5" t="str">
        <f t="shared" si="8"/>
        <v>Northampton|HANOVER|660</v>
      </c>
    </row>
    <row r="341" ht="15.0" customHeight="1">
      <c r="A341" s="5" t="s">
        <v>327</v>
      </c>
      <c r="B341" s="5" t="s">
        <v>190</v>
      </c>
      <c r="C341" s="5" t="s">
        <v>167</v>
      </c>
      <c r="D341" s="15">
        <f t="shared" si="1"/>
        <v>0.003677458975</v>
      </c>
      <c r="E341" s="15">
        <f t="shared" si="2"/>
        <v>0.0001048115476</v>
      </c>
      <c r="F341" s="15">
        <f t="shared" si="3"/>
        <v>0.996322541</v>
      </c>
      <c r="G341" s="10">
        <f t="shared" si="4"/>
        <v>0.5201927363</v>
      </c>
      <c r="H341" s="2" t="str">
        <f t="shared" si="5"/>
        <v/>
      </c>
      <c r="J341" s="10">
        <f>'Precinct Vote Data'!H1338</f>
        <v>0.5191740413</v>
      </c>
      <c r="K341" s="10">
        <f>'Precinct Vote Data'!H1339</f>
        <v>0.5122121424</v>
      </c>
      <c r="L341" s="10">
        <f>'Precinct Vote Data'!H1340</f>
        <v>0.5261780105</v>
      </c>
      <c r="M341" s="10">
        <f>'Precinct Vote Data'!H1341</f>
        <v>0.5232067511</v>
      </c>
      <c r="N341" s="15">
        <f t="shared" si="6"/>
        <v>1.996217729</v>
      </c>
      <c r="O341" s="5">
        <f t="shared" si="7"/>
        <v>346</v>
      </c>
      <c r="Q341" s="5" t="str">
        <f t="shared" si="8"/>
        <v>Northampton|HANOVER|670</v>
      </c>
    </row>
    <row r="342" ht="15.0" customHeight="1">
      <c r="A342" s="5" t="s">
        <v>327</v>
      </c>
      <c r="B342" s="5" t="s">
        <v>190</v>
      </c>
      <c r="C342" s="5" t="s">
        <v>357</v>
      </c>
      <c r="D342" s="15">
        <f t="shared" si="1"/>
        <v>0.2969603114</v>
      </c>
      <c r="E342" s="15">
        <f t="shared" si="2"/>
        <v>0.2763734753</v>
      </c>
      <c r="F342" s="15">
        <f t="shared" si="3"/>
        <v>0.7030396886</v>
      </c>
      <c r="G342" s="10">
        <f t="shared" si="4"/>
        <v>0.5564844307</v>
      </c>
      <c r="H342" s="2" t="str">
        <f t="shared" si="5"/>
        <v/>
      </c>
      <c r="J342" s="10">
        <f>'Precinct Vote Data'!H1342</f>
        <v>0.5595854922</v>
      </c>
      <c r="K342" s="10">
        <f>'Precinct Vote Data'!H1343</f>
        <v>0.5526122149</v>
      </c>
      <c r="L342" s="10">
        <f>'Precinct Vote Data'!H1344</f>
        <v>0.567965368</v>
      </c>
      <c r="M342" s="10">
        <f>'Precinct Vote Data'!H1345</f>
        <v>0.5457746479</v>
      </c>
      <c r="N342" s="15">
        <f t="shared" si="6"/>
        <v>1.426666213</v>
      </c>
      <c r="O342" s="5">
        <f t="shared" si="7"/>
        <v>273</v>
      </c>
      <c r="Q342" s="5" t="str">
        <f t="shared" si="8"/>
        <v>Northampton|HANOVER|673</v>
      </c>
    </row>
    <row r="343" ht="15.0" customHeight="1">
      <c r="A343" s="5" t="s">
        <v>327</v>
      </c>
      <c r="B343" s="5" t="s">
        <v>190</v>
      </c>
      <c r="C343" s="5" t="s">
        <v>358</v>
      </c>
      <c r="D343" s="15">
        <f t="shared" si="1"/>
        <v>-0.5113155582</v>
      </c>
      <c r="E343" s="15">
        <f t="shared" si="2"/>
        <v>0.3275597205</v>
      </c>
      <c r="F343" s="15">
        <f t="shared" si="3"/>
        <v>1.511315558</v>
      </c>
      <c r="G343" s="10">
        <f t="shared" si="4"/>
        <v>0.5285578729</v>
      </c>
      <c r="H343" s="2" t="str">
        <f t="shared" si="5"/>
        <v/>
      </c>
      <c r="J343" s="10">
        <f>'Precinct Vote Data'!H1346</f>
        <v>0.5107604017</v>
      </c>
      <c r="K343" s="10">
        <f>'Precinct Vote Data'!H1347</f>
        <v>0.5260469867</v>
      </c>
      <c r="L343" s="10">
        <f>'Precinct Vote Data'!H1348</f>
        <v>0.5473411154</v>
      </c>
      <c r="M343" s="10">
        <f>'Precinct Vote Data'!H1349</f>
        <v>0.5300829876</v>
      </c>
      <c r="N343" s="15">
        <f t="shared" si="6"/>
        <v>2.183755838</v>
      </c>
      <c r="O343" s="5">
        <f t="shared" si="7"/>
        <v>375</v>
      </c>
      <c r="Q343" s="5" t="str">
        <f t="shared" si="8"/>
        <v>Northampton|HANOVER|677</v>
      </c>
    </row>
    <row r="344" ht="15.0" customHeight="1">
      <c r="A344" s="5" t="s">
        <v>327</v>
      </c>
      <c r="B344" s="5" t="s">
        <v>359</v>
      </c>
      <c r="C344" s="5" t="s">
        <v>168</v>
      </c>
      <c r="D344" s="15">
        <f t="shared" si="1"/>
        <v>1.9178388</v>
      </c>
      <c r="E344" s="15">
        <f t="shared" si="2"/>
        <v>0.9071186694</v>
      </c>
      <c r="F344" s="15">
        <f t="shared" si="3"/>
        <v>0.9178388</v>
      </c>
      <c r="G344" s="10">
        <f t="shared" si="4"/>
        <v>0.5073781428</v>
      </c>
      <c r="H344" s="2" t="str">
        <f t="shared" si="5"/>
        <v/>
      </c>
      <c r="J344" s="10">
        <f>'Precinct Vote Data'!H1350</f>
        <v>0.5581081081</v>
      </c>
      <c r="K344" s="10">
        <f>'Precinct Vote Data'!H1351</f>
        <v>0.4928825623</v>
      </c>
      <c r="L344" s="10">
        <f>'Precinct Vote Data'!H1352</f>
        <v>0.4908675799</v>
      </c>
      <c r="M344" s="10">
        <f>'Precinct Vote Data'!H1353</f>
        <v>0.487654321</v>
      </c>
      <c r="N344" s="15">
        <f t="shared" si="6"/>
        <v>1.010720131</v>
      </c>
      <c r="O344" s="5">
        <f t="shared" si="7"/>
        <v>191</v>
      </c>
      <c r="Q344" s="5" t="str">
        <f t="shared" si="8"/>
        <v>Northampton|HELLERTOWN|680</v>
      </c>
    </row>
    <row r="345" ht="15.0" customHeight="1">
      <c r="A345" s="5" t="s">
        <v>327</v>
      </c>
      <c r="B345" s="5" t="s">
        <v>359</v>
      </c>
      <c r="C345" s="5" t="s">
        <v>169</v>
      </c>
      <c r="D345" s="15">
        <f t="shared" si="1"/>
        <v>1.806937955</v>
      </c>
      <c r="E345" s="15">
        <f t="shared" si="2"/>
        <v>0.9813489431</v>
      </c>
      <c r="F345" s="15">
        <f t="shared" si="3"/>
        <v>0.8069379553</v>
      </c>
      <c r="G345" s="10">
        <f t="shared" si="4"/>
        <v>0.5288747798</v>
      </c>
      <c r="H345" s="2" t="str">
        <f t="shared" si="5"/>
        <v/>
      </c>
      <c r="J345" s="10">
        <f>'Precinct Vote Data'!H1354</f>
        <v>0.5706806283</v>
      </c>
      <c r="K345" s="10">
        <f>'Precinct Vote Data'!H1355</f>
        <v>0.5075144509</v>
      </c>
      <c r="L345" s="10">
        <f>'Precinct Vote Data'!H1356</f>
        <v>0.5330396476</v>
      </c>
      <c r="M345" s="10">
        <f>'Precinct Vote Data'!H1357</f>
        <v>0.5042643923</v>
      </c>
      <c r="N345" s="15">
        <f t="shared" si="6"/>
        <v>0.8255890122</v>
      </c>
      <c r="O345" s="5">
        <f t="shared" si="7"/>
        <v>161</v>
      </c>
      <c r="Q345" s="5" t="str">
        <f t="shared" si="8"/>
        <v>Northampton|HELLERTOWN|690</v>
      </c>
    </row>
    <row r="346" ht="15.0" customHeight="1">
      <c r="A346" s="5" t="s">
        <v>327</v>
      </c>
      <c r="B346" s="5" t="s">
        <v>359</v>
      </c>
      <c r="C346" s="5" t="s">
        <v>171</v>
      </c>
      <c r="D346" s="15">
        <f t="shared" si="1"/>
        <v>1.160389501</v>
      </c>
      <c r="E346" s="15">
        <f t="shared" si="2"/>
        <v>0.5099923271</v>
      </c>
      <c r="F346" s="15">
        <f t="shared" si="3"/>
        <v>0.1603895007</v>
      </c>
      <c r="G346" s="10">
        <f t="shared" si="4"/>
        <v>0.5429283061</v>
      </c>
      <c r="H346" s="2" t="str">
        <f t="shared" si="5"/>
        <v/>
      </c>
      <c r="J346" s="10">
        <f>'Precinct Vote Data'!H1358</f>
        <v>0.5628476085</v>
      </c>
      <c r="K346" s="10">
        <f>'Precinct Vote Data'!H1359</f>
        <v>0.5162055336</v>
      </c>
      <c r="L346" s="10">
        <f>'Precinct Vote Data'!H1360</f>
        <v>0.5698818898</v>
      </c>
      <c r="M346" s="10">
        <f>'Precinct Vote Data'!H1361</f>
        <v>0.5227781927</v>
      </c>
      <c r="N346" s="15">
        <f t="shared" si="6"/>
        <v>0.6503971736</v>
      </c>
      <c r="O346" s="5">
        <f t="shared" si="7"/>
        <v>116</v>
      </c>
      <c r="Q346" s="5" t="str">
        <f t="shared" si="8"/>
        <v>Northampton|HELLERTOWN|700</v>
      </c>
    </row>
    <row r="347" ht="15.0" customHeight="1">
      <c r="A347" s="5" t="s">
        <v>327</v>
      </c>
      <c r="B347" s="5" t="s">
        <v>99</v>
      </c>
      <c r="C347" s="5" t="s">
        <v>172</v>
      </c>
      <c r="D347" s="15">
        <f t="shared" si="1"/>
        <v>0.7491527757</v>
      </c>
      <c r="E347" s="15">
        <f t="shared" si="2"/>
        <v>0.8425235682</v>
      </c>
      <c r="F347" s="15">
        <f t="shared" si="3"/>
        <v>0.2508472243</v>
      </c>
      <c r="G347" s="10">
        <f t="shared" si="4"/>
        <v>0.3472651513</v>
      </c>
      <c r="H347" s="2" t="str">
        <f t="shared" si="5"/>
        <v/>
      </c>
      <c r="J347" s="10">
        <f>'Precinct Vote Data'!H1362</f>
        <v>0.3625954198</v>
      </c>
      <c r="K347" s="10">
        <f>'Precinct Vote Data'!H1363</f>
        <v>0.3375554148</v>
      </c>
      <c r="L347" s="10">
        <f>'Precinct Vote Data'!H1364</f>
        <v>0.3549648163</v>
      </c>
      <c r="M347" s="10">
        <f>'Precinct Vote Data'!H1365</f>
        <v>0.3339449541</v>
      </c>
      <c r="N347" s="15">
        <f t="shared" si="6"/>
        <v>0.4083236561</v>
      </c>
      <c r="O347" s="5">
        <f t="shared" si="7"/>
        <v>56</v>
      </c>
      <c r="Q347" s="5" t="str">
        <f t="shared" si="8"/>
        <v>Northampton|LEHIGH|710</v>
      </c>
    </row>
    <row r="348" ht="15.0" customHeight="1">
      <c r="A348" s="5" t="s">
        <v>327</v>
      </c>
      <c r="B348" s="5" t="s">
        <v>99</v>
      </c>
      <c r="C348" s="5" t="s">
        <v>173</v>
      </c>
      <c r="D348" s="15">
        <f t="shared" si="1"/>
        <v>1.098842631</v>
      </c>
      <c r="E348" s="15">
        <f t="shared" si="2"/>
        <v>0.8658667502</v>
      </c>
      <c r="F348" s="15">
        <f t="shared" si="3"/>
        <v>0.09884263147</v>
      </c>
      <c r="G348" s="10">
        <f t="shared" si="4"/>
        <v>0.3562164801</v>
      </c>
      <c r="H348" s="2" t="str">
        <f t="shared" si="5"/>
        <v>YES</v>
      </c>
      <c r="J348" s="10">
        <f>'Precinct Vote Data'!H1366</f>
        <v>0.3788395904</v>
      </c>
      <c r="K348" s="10">
        <f>'Precinct Vote Data'!H1367</f>
        <v>0.3448467967</v>
      </c>
      <c r="L348" s="10">
        <f>'Precinct Vote Data'!H1368</f>
        <v>0.3660899654</v>
      </c>
      <c r="M348" s="10">
        <f>'Precinct Vote Data'!H1369</f>
        <v>0.335089568</v>
      </c>
      <c r="N348" s="15">
        <f t="shared" si="6"/>
        <v>0.2329758812</v>
      </c>
      <c r="O348" s="5">
        <f t="shared" si="7"/>
        <v>16</v>
      </c>
      <c r="Q348" s="5" t="str">
        <f t="shared" si="8"/>
        <v>Northampton|LEHIGH|720</v>
      </c>
    </row>
    <row r="349" ht="15.0" customHeight="1">
      <c r="A349" s="5" t="s">
        <v>327</v>
      </c>
      <c r="B349" s="5" t="s">
        <v>99</v>
      </c>
      <c r="C349" s="5" t="s">
        <v>175</v>
      </c>
      <c r="D349" s="15">
        <f t="shared" si="1"/>
        <v>0.4635992733</v>
      </c>
      <c r="E349" s="15">
        <f t="shared" si="2"/>
        <v>0.1396076026</v>
      </c>
      <c r="F349" s="15">
        <f t="shared" si="3"/>
        <v>0.5364007267</v>
      </c>
      <c r="G349" s="10">
        <f t="shared" si="4"/>
        <v>0.3165758854</v>
      </c>
      <c r="H349" s="2" t="str">
        <f t="shared" si="5"/>
        <v/>
      </c>
      <c r="J349" s="10">
        <f>'Precinct Vote Data'!H1370</f>
        <v>0.3348623853</v>
      </c>
      <c r="K349" s="10">
        <f>'Precinct Vote Data'!H1371</f>
        <v>0.3306916427</v>
      </c>
      <c r="L349" s="10">
        <f>'Precinct Vote Data'!H1372</f>
        <v>0.2892057026</v>
      </c>
      <c r="M349" s="10">
        <f>'Precinct Vote Data'!H1373</f>
        <v>0.3115438108</v>
      </c>
      <c r="N349" s="15">
        <f t="shared" si="6"/>
        <v>1.396793124</v>
      </c>
      <c r="O349" s="5">
        <f t="shared" si="7"/>
        <v>261</v>
      </c>
      <c r="Q349" s="5" t="str">
        <f t="shared" si="8"/>
        <v>Northampton|LEHIGH|730</v>
      </c>
    </row>
    <row r="350" ht="15.0" customHeight="1">
      <c r="A350" s="5" t="s">
        <v>327</v>
      </c>
      <c r="B350" s="5" t="s">
        <v>99</v>
      </c>
      <c r="C350" s="5" t="s">
        <v>177</v>
      </c>
      <c r="D350" s="15">
        <f t="shared" si="1"/>
        <v>1.096151298</v>
      </c>
      <c r="E350" s="15">
        <f t="shared" si="2"/>
        <v>0.916916727</v>
      </c>
      <c r="F350" s="15">
        <f t="shared" si="3"/>
        <v>0.09615129795</v>
      </c>
      <c r="G350" s="10">
        <f t="shared" si="4"/>
        <v>0.3483230848</v>
      </c>
      <c r="H350" s="2" t="str">
        <f t="shared" si="5"/>
        <v>YES</v>
      </c>
      <c r="J350" s="10">
        <f>'Precinct Vote Data'!H1374</f>
        <v>0.3732162459</v>
      </c>
      <c r="K350" s="10">
        <f>'Precinct Vote Data'!H1375</f>
        <v>0.3312034079</v>
      </c>
      <c r="L350" s="10">
        <f>'Precinct Vote Data'!H1376</f>
        <v>0.3536693192</v>
      </c>
      <c r="M350" s="10">
        <f>'Precinct Vote Data'!H1377</f>
        <v>0.3352033661</v>
      </c>
      <c r="N350" s="15">
        <f t="shared" si="6"/>
        <v>0.179234571</v>
      </c>
      <c r="O350" s="5">
        <f t="shared" si="7"/>
        <v>10</v>
      </c>
      <c r="Q350" s="5" t="str">
        <f t="shared" si="8"/>
        <v>Northampton|LEHIGH|740</v>
      </c>
    </row>
    <row r="351" ht="15.0" customHeight="1">
      <c r="A351" s="5" t="s">
        <v>327</v>
      </c>
      <c r="B351" s="5" t="s">
        <v>99</v>
      </c>
      <c r="C351" s="5" t="s">
        <v>178</v>
      </c>
      <c r="D351" s="15">
        <f t="shared" si="1"/>
        <v>0.02564415923</v>
      </c>
      <c r="E351" s="15">
        <f t="shared" si="2"/>
        <v>0.0003008898787</v>
      </c>
      <c r="F351" s="15">
        <f t="shared" si="3"/>
        <v>0.9743558408</v>
      </c>
      <c r="G351" s="10">
        <f t="shared" si="4"/>
        <v>0.3436099937</v>
      </c>
      <c r="H351" s="2" t="str">
        <f t="shared" si="5"/>
        <v/>
      </c>
      <c r="J351" s="10">
        <f>'Precinct Vote Data'!H1378</f>
        <v>0.3406432749</v>
      </c>
      <c r="K351" s="10">
        <f>'Precinct Vote Data'!H1379</f>
        <v>0.3097982709</v>
      </c>
      <c r="L351" s="10">
        <f>'Precinct Vote Data'!H1380</f>
        <v>0.3657894737</v>
      </c>
      <c r="M351" s="10">
        <f>'Precinct Vote Data'!H1381</f>
        <v>0.3582089552</v>
      </c>
      <c r="N351" s="15">
        <f t="shared" si="6"/>
        <v>1.974054951</v>
      </c>
      <c r="O351" s="5">
        <f t="shared" si="7"/>
        <v>344</v>
      </c>
      <c r="Q351" s="5" t="str">
        <f t="shared" si="8"/>
        <v>Northampton|LEHIGH|750</v>
      </c>
    </row>
    <row r="352" ht="15.0" customHeight="1">
      <c r="A352" s="5" t="s">
        <v>327</v>
      </c>
      <c r="B352" s="5" t="s">
        <v>360</v>
      </c>
      <c r="C352" s="5" t="s">
        <v>180</v>
      </c>
      <c r="D352" s="15">
        <f t="shared" si="1"/>
        <v>1.331247315</v>
      </c>
      <c r="E352" s="15">
        <f t="shared" si="2"/>
        <v>0.8460042784</v>
      </c>
      <c r="F352" s="15">
        <f t="shared" si="3"/>
        <v>0.3312473149</v>
      </c>
      <c r="G352" s="10">
        <f t="shared" si="4"/>
        <v>0.3828021916</v>
      </c>
      <c r="H352" s="2" t="str">
        <f t="shared" si="5"/>
        <v/>
      </c>
      <c r="J352" s="10">
        <f>'Precinct Vote Data'!H1382</f>
        <v>0.4166666667</v>
      </c>
      <c r="K352" s="10">
        <f>'Precinct Vote Data'!H1383</f>
        <v>0.3588588589</v>
      </c>
      <c r="L352" s="10">
        <f>'Precinct Vote Data'!H1384</f>
        <v>0.3801498127</v>
      </c>
      <c r="M352" s="10">
        <f>'Precinct Vote Data'!H1385</f>
        <v>0.3755334282</v>
      </c>
      <c r="N352" s="15">
        <f t="shared" si="6"/>
        <v>0.4852430365</v>
      </c>
      <c r="O352" s="5">
        <f t="shared" si="7"/>
        <v>71</v>
      </c>
      <c r="Q352" s="5" t="str">
        <f t="shared" si="8"/>
        <v>Northampton|LOWER MT BETHEL|760</v>
      </c>
    </row>
    <row r="353" ht="15.0" customHeight="1">
      <c r="A353" s="5" t="s">
        <v>327</v>
      </c>
      <c r="B353" s="5" t="s">
        <v>360</v>
      </c>
      <c r="C353" s="5" t="s">
        <v>181</v>
      </c>
      <c r="D353" s="15">
        <f t="shared" si="1"/>
        <v>2.214043336</v>
      </c>
      <c r="E353" s="15">
        <f t="shared" si="2"/>
        <v>0.9106504345</v>
      </c>
      <c r="F353" s="15">
        <f t="shared" si="3"/>
        <v>1.214043336</v>
      </c>
      <c r="G353" s="10">
        <f t="shared" si="4"/>
        <v>0.3442407327</v>
      </c>
      <c r="H353" s="2" t="str">
        <f t="shared" si="5"/>
        <v/>
      </c>
      <c r="J353" s="10">
        <f>'Precinct Vote Data'!H1386</f>
        <v>0.3943661972</v>
      </c>
      <c r="K353" s="10">
        <f>'Precinct Vote Data'!H1387</f>
        <v>0.309156845</v>
      </c>
      <c r="L353" s="10">
        <f>'Precinct Vote Data'!H1388</f>
        <v>0.3556581986</v>
      </c>
      <c r="M353" s="10">
        <f>'Precinct Vote Data'!H1389</f>
        <v>0.3177816901</v>
      </c>
      <c r="N353" s="15">
        <f t="shared" si="6"/>
        <v>1.303392902</v>
      </c>
      <c r="O353" s="5">
        <f t="shared" si="7"/>
        <v>252</v>
      </c>
      <c r="Q353" s="5" t="str">
        <f t="shared" si="8"/>
        <v>Northampton|LOWER MT BETHEL|770</v>
      </c>
    </row>
    <row r="354" ht="15.0" customHeight="1">
      <c r="A354" s="5" t="s">
        <v>327</v>
      </c>
      <c r="B354" s="5" t="s">
        <v>361</v>
      </c>
      <c r="C354" s="5" t="s">
        <v>182</v>
      </c>
      <c r="D354" s="15">
        <f t="shared" si="1"/>
        <v>-0.08266240036</v>
      </c>
      <c r="E354" s="15">
        <f t="shared" si="2"/>
        <v>0.0153086825</v>
      </c>
      <c r="F354" s="15">
        <f t="shared" si="3"/>
        <v>1.0826624</v>
      </c>
      <c r="G354" s="10">
        <f t="shared" si="4"/>
        <v>0.4480089162</v>
      </c>
      <c r="H354" s="2" t="str">
        <f t="shared" si="5"/>
        <v/>
      </c>
      <c r="J354" s="10">
        <f>'Precinct Vote Data'!H1390</f>
        <v>0.4487051793</v>
      </c>
      <c r="K354" s="10">
        <f>'Precinct Vote Data'!H1391</f>
        <v>0.4354146019</v>
      </c>
      <c r="L354" s="10">
        <f>'Precinct Vote Data'!H1392</f>
        <v>0.4453155625</v>
      </c>
      <c r="M354" s="10">
        <f>'Precinct Vote Data'!H1393</f>
        <v>0.462600321</v>
      </c>
      <c r="N354" s="15">
        <f t="shared" si="6"/>
        <v>2.067353718</v>
      </c>
      <c r="O354" s="5">
        <f t="shared" si="7"/>
        <v>359</v>
      </c>
      <c r="Q354" s="5" t="str">
        <f t="shared" si="8"/>
        <v>Northampton|LOWER NAZARETH|780</v>
      </c>
    </row>
    <row r="355" ht="15.0" customHeight="1">
      <c r="A355" s="5" t="s">
        <v>327</v>
      </c>
      <c r="B355" s="5" t="s">
        <v>361</v>
      </c>
      <c r="C355" s="5" t="s">
        <v>183</v>
      </c>
      <c r="D355" s="15">
        <f t="shared" si="1"/>
        <v>0.6308512274</v>
      </c>
      <c r="E355" s="15">
        <f t="shared" si="2"/>
        <v>0.3495031017</v>
      </c>
      <c r="F355" s="15">
        <f t="shared" si="3"/>
        <v>0.3691487726</v>
      </c>
      <c r="G355" s="10">
        <f t="shared" si="4"/>
        <v>0.4217484035</v>
      </c>
      <c r="H355" s="2" t="str">
        <f t="shared" si="5"/>
        <v/>
      </c>
      <c r="J355" s="10">
        <f>'Precinct Vote Data'!H1394</f>
        <v>0.4355509356</v>
      </c>
      <c r="K355" s="10">
        <f>'Precinct Vote Data'!H1395</f>
        <v>0.3959068454</v>
      </c>
      <c r="L355" s="10">
        <f>'Precinct Vote Data'!H1396</f>
        <v>0.4320557491</v>
      </c>
      <c r="M355" s="10">
        <f>'Precinct Vote Data'!H1397</f>
        <v>0.4234800839</v>
      </c>
      <c r="N355" s="15">
        <f t="shared" si="6"/>
        <v>1.019645671</v>
      </c>
      <c r="O355" s="5">
        <f t="shared" si="7"/>
        <v>193</v>
      </c>
      <c r="Q355" s="5" t="str">
        <f t="shared" si="8"/>
        <v>Northampton|LOWER NAZARETH|790</v>
      </c>
    </row>
    <row r="356" ht="15.0" customHeight="1">
      <c r="A356" s="5" t="s">
        <v>327</v>
      </c>
      <c r="B356" s="5" t="s">
        <v>362</v>
      </c>
      <c r="C356" s="5" t="s">
        <v>184</v>
      </c>
      <c r="D356" s="15">
        <f t="shared" si="1"/>
        <v>-0.3130746148</v>
      </c>
      <c r="E356" s="15">
        <f t="shared" si="2"/>
        <v>0.0730793613</v>
      </c>
      <c r="F356" s="15">
        <f t="shared" si="3"/>
        <v>1.313074615</v>
      </c>
      <c r="G356" s="10">
        <f t="shared" si="4"/>
        <v>0.5156770173</v>
      </c>
      <c r="H356" s="2" t="str">
        <f t="shared" si="5"/>
        <v/>
      </c>
      <c r="J356" s="10">
        <f>'Precinct Vote Data'!H1398</f>
        <v>0.5034642032</v>
      </c>
      <c r="K356" s="10">
        <f>'Precinct Vote Data'!H1399</f>
        <v>0.4955985915</v>
      </c>
      <c r="L356" s="10">
        <f>'Precinct Vote Data'!H1400</f>
        <v>0.5375661376</v>
      </c>
      <c r="M356" s="10">
        <f>'Precinct Vote Data'!H1401</f>
        <v>0.5260791367</v>
      </c>
      <c r="N356" s="15">
        <f t="shared" si="6"/>
        <v>2.239995253</v>
      </c>
      <c r="O356" s="5">
        <f t="shared" si="7"/>
        <v>380</v>
      </c>
      <c r="Q356" s="5" t="str">
        <f t="shared" si="8"/>
        <v>Northampton|LOWER SAUCON|800</v>
      </c>
    </row>
    <row r="357" ht="15.0" customHeight="1">
      <c r="A357" s="5" t="s">
        <v>327</v>
      </c>
      <c r="B357" s="5" t="s">
        <v>362</v>
      </c>
      <c r="C357" s="5" t="s">
        <v>185</v>
      </c>
      <c r="D357" s="15">
        <f t="shared" si="1"/>
        <v>0.606991561</v>
      </c>
      <c r="E357" s="15">
        <f t="shared" si="2"/>
        <v>0.6731029801</v>
      </c>
      <c r="F357" s="15">
        <f t="shared" si="3"/>
        <v>0.393008439</v>
      </c>
      <c r="G357" s="10">
        <f t="shared" si="4"/>
        <v>0.4329112063</v>
      </c>
      <c r="H357" s="2" t="str">
        <f t="shared" si="5"/>
        <v/>
      </c>
      <c r="J357" s="10">
        <f>'Precinct Vote Data'!H1402</f>
        <v>0.4438976378</v>
      </c>
      <c r="K357" s="10">
        <f>'Precinct Vote Data'!H1403</f>
        <v>0.4257891202</v>
      </c>
      <c r="L357" s="10">
        <f>'Precinct Vote Data'!H1404</f>
        <v>0.4429416737</v>
      </c>
      <c r="M357" s="10">
        <f>'Precinct Vote Data'!H1405</f>
        <v>0.4190163934</v>
      </c>
      <c r="N357" s="15">
        <f t="shared" si="6"/>
        <v>0.7199054589</v>
      </c>
      <c r="O357" s="5">
        <f t="shared" si="7"/>
        <v>135</v>
      </c>
      <c r="Q357" s="5" t="str">
        <f t="shared" si="8"/>
        <v>Northampton|LOWER SAUCON|810</v>
      </c>
    </row>
    <row r="358" ht="15.0" customHeight="1">
      <c r="A358" s="5" t="s">
        <v>327</v>
      </c>
      <c r="B358" s="5" t="s">
        <v>362</v>
      </c>
      <c r="C358" s="5" t="s">
        <v>187</v>
      </c>
      <c r="D358" s="15">
        <f t="shared" si="1"/>
        <v>0.1868711446</v>
      </c>
      <c r="E358" s="15">
        <f t="shared" si="2"/>
        <v>0.0600568606</v>
      </c>
      <c r="F358" s="15">
        <f t="shared" si="3"/>
        <v>0.8131288554</v>
      </c>
      <c r="G358" s="10">
        <f t="shared" si="4"/>
        <v>0.4429036143</v>
      </c>
      <c r="H358" s="2" t="str">
        <f t="shared" si="5"/>
        <v/>
      </c>
      <c r="J358" s="10">
        <f>'Precinct Vote Data'!H1406</f>
        <v>0.4459459459</v>
      </c>
      <c r="K358" s="10">
        <f>'Precinct Vote Data'!H1407</f>
        <v>0.4579439252</v>
      </c>
      <c r="L358" s="10">
        <f>'Precinct Vote Data'!H1408</f>
        <v>0.4407582938</v>
      </c>
      <c r="M358" s="10">
        <f>'Precinct Vote Data'!H1409</f>
        <v>0.4269662921</v>
      </c>
      <c r="N358" s="15">
        <f t="shared" si="6"/>
        <v>1.753071995</v>
      </c>
      <c r="O358" s="5">
        <f t="shared" si="7"/>
        <v>320</v>
      </c>
      <c r="Q358" s="5" t="str">
        <f t="shared" si="8"/>
        <v>Northampton|LOWER SAUCON|820</v>
      </c>
    </row>
    <row r="359" ht="15.0" customHeight="1">
      <c r="A359" s="5" t="s">
        <v>327</v>
      </c>
      <c r="B359" s="5" t="s">
        <v>362</v>
      </c>
      <c r="C359" s="5" t="s">
        <v>188</v>
      </c>
      <c r="D359" s="15">
        <f t="shared" si="1"/>
        <v>0.4253522632</v>
      </c>
      <c r="E359" s="15">
        <f t="shared" si="2"/>
        <v>0.4599752928</v>
      </c>
      <c r="F359" s="15">
        <f t="shared" si="3"/>
        <v>0.5746477368</v>
      </c>
      <c r="G359" s="10">
        <f t="shared" si="4"/>
        <v>0.518933362</v>
      </c>
      <c r="H359" s="2" t="str">
        <f t="shared" si="5"/>
        <v/>
      </c>
      <c r="J359" s="10">
        <f>'Precinct Vote Data'!H1410</f>
        <v>0.5290780142</v>
      </c>
      <c r="K359" s="10">
        <f>'Precinct Vote Data'!H1411</f>
        <v>0.5041928721</v>
      </c>
      <c r="L359" s="10">
        <f>'Precinct Vote Data'!H1412</f>
        <v>0.5225464191</v>
      </c>
      <c r="M359" s="10">
        <f>'Precinct Vote Data'!H1413</f>
        <v>0.5199161426</v>
      </c>
      <c r="N359" s="15">
        <f t="shared" si="6"/>
        <v>1.114672444</v>
      </c>
      <c r="O359" s="5">
        <f t="shared" si="7"/>
        <v>211</v>
      </c>
      <c r="Q359" s="5" t="str">
        <f t="shared" si="8"/>
        <v>Northampton|LOWER SAUCON|830</v>
      </c>
    </row>
    <row r="360" ht="15.0" customHeight="1">
      <c r="A360" s="5" t="s">
        <v>327</v>
      </c>
      <c r="B360" s="5" t="s">
        <v>362</v>
      </c>
      <c r="C360" s="5" t="s">
        <v>363</v>
      </c>
      <c r="D360" s="15">
        <f t="shared" si="1"/>
        <v>0.714105691</v>
      </c>
      <c r="E360" s="15">
        <f t="shared" si="2"/>
        <v>0.4278408034</v>
      </c>
      <c r="F360" s="15">
        <f t="shared" si="3"/>
        <v>0.285894309</v>
      </c>
      <c r="G360" s="10">
        <f t="shared" si="4"/>
        <v>0.5253559404</v>
      </c>
      <c r="H360" s="2" t="str">
        <f t="shared" si="5"/>
        <v/>
      </c>
      <c r="J360" s="10">
        <f>'Precinct Vote Data'!H1414</f>
        <v>0.537428023</v>
      </c>
      <c r="K360" s="10">
        <f>'Precinct Vote Data'!H1415</f>
        <v>0.5048814505</v>
      </c>
      <c r="L360" s="10">
        <f>'Precinct Vote Data'!H1416</f>
        <v>0.5439189189</v>
      </c>
      <c r="M360" s="10">
        <f>'Precinct Vote Data'!H1417</f>
        <v>0.515195369</v>
      </c>
      <c r="N360" s="15">
        <f t="shared" si="6"/>
        <v>0.8580535057</v>
      </c>
      <c r="O360" s="5">
        <f t="shared" si="7"/>
        <v>165</v>
      </c>
      <c r="Q360" s="5" t="str">
        <f t="shared" si="8"/>
        <v>Northampton|LOWER SAUCON|833</v>
      </c>
    </row>
    <row r="361" ht="15.0" customHeight="1">
      <c r="A361" s="5" t="s">
        <v>327</v>
      </c>
      <c r="B361" s="5" t="s">
        <v>362</v>
      </c>
      <c r="C361" s="5" t="s">
        <v>364</v>
      </c>
      <c r="D361" s="15">
        <f t="shared" si="1"/>
        <v>0.6298226485</v>
      </c>
      <c r="E361" s="15">
        <f t="shared" si="2"/>
        <v>0.3512157068</v>
      </c>
      <c r="F361" s="15">
        <f t="shared" si="3"/>
        <v>0.3701773515</v>
      </c>
      <c r="G361" s="10">
        <f t="shared" si="4"/>
        <v>0.5520970868</v>
      </c>
      <c r="H361" s="2" t="str">
        <f t="shared" si="5"/>
        <v/>
      </c>
      <c r="J361" s="10">
        <f>'Precinct Vote Data'!H1418</f>
        <v>0.5660377358</v>
      </c>
      <c r="K361" s="10">
        <f>'Precinct Vote Data'!H1419</f>
        <v>0.5263157895</v>
      </c>
      <c r="L361" s="10">
        <f>'Precinct Vote Data'!H1420</f>
        <v>0.5619266055</v>
      </c>
      <c r="M361" s="10">
        <f>'Precinct Vote Data'!H1421</f>
        <v>0.5541082164</v>
      </c>
      <c r="N361" s="15">
        <f t="shared" si="6"/>
        <v>1.018961645</v>
      </c>
      <c r="O361" s="5">
        <f t="shared" si="7"/>
        <v>192</v>
      </c>
      <c r="Q361" s="5" t="str">
        <f t="shared" si="8"/>
        <v>Northampton|LOWER SAUCON|837</v>
      </c>
    </row>
    <row r="362" ht="15.0" customHeight="1">
      <c r="A362" s="5" t="s">
        <v>327</v>
      </c>
      <c r="B362" s="5" t="s">
        <v>362</v>
      </c>
      <c r="C362" s="5" t="s">
        <v>189</v>
      </c>
      <c r="D362" s="15">
        <f t="shared" si="1"/>
        <v>1.366448599</v>
      </c>
      <c r="E362" s="15">
        <f t="shared" si="2"/>
        <v>0.7692204563</v>
      </c>
      <c r="F362" s="15">
        <f t="shared" si="3"/>
        <v>0.3664485993</v>
      </c>
      <c r="G362" s="10">
        <f t="shared" si="4"/>
        <v>0.4220338477</v>
      </c>
      <c r="H362" s="2" t="str">
        <f t="shared" si="5"/>
        <v/>
      </c>
      <c r="J362" s="10">
        <f>'Precinct Vote Data'!H1422</f>
        <v>0.4521072797</v>
      </c>
      <c r="K362" s="10">
        <f>'Precinct Vote Data'!H1423</f>
        <v>0.3931203931</v>
      </c>
      <c r="L362" s="10">
        <f>'Precinct Vote Data'!H1424</f>
        <v>0.4341317365</v>
      </c>
      <c r="M362" s="10">
        <f>'Precinct Vote Data'!H1425</f>
        <v>0.4087759815</v>
      </c>
      <c r="N362" s="15">
        <f t="shared" si="6"/>
        <v>0.597228143</v>
      </c>
      <c r="O362" s="5">
        <f t="shared" si="7"/>
        <v>106</v>
      </c>
      <c r="Q362" s="5" t="str">
        <f t="shared" si="8"/>
        <v>Northampton|LOWER SAUCON|840</v>
      </c>
    </row>
    <row r="363" ht="15.0" customHeight="1">
      <c r="A363" s="5" t="s">
        <v>327</v>
      </c>
      <c r="B363" s="5" t="s">
        <v>362</v>
      </c>
      <c r="C363" s="5" t="s">
        <v>191</v>
      </c>
      <c r="D363" s="15">
        <f t="shared" si="1"/>
        <v>0.5408535547</v>
      </c>
      <c r="E363" s="15">
        <f t="shared" si="2"/>
        <v>0.9032949615</v>
      </c>
      <c r="F363" s="15">
        <f t="shared" si="3"/>
        <v>0.4591464453</v>
      </c>
      <c r="G363" s="10">
        <f t="shared" si="4"/>
        <v>0.4222543439</v>
      </c>
      <c r="H363" s="2" t="str">
        <f t="shared" si="5"/>
        <v/>
      </c>
      <c r="J363" s="10">
        <f>'Precinct Vote Data'!H1426</f>
        <v>0.4348462665</v>
      </c>
      <c r="K363" s="10">
        <f>'Precinct Vote Data'!H1427</f>
        <v>0.4131799163</v>
      </c>
      <c r="L363" s="10">
        <f>'Precinct Vote Data'!H1428</f>
        <v>0.4242424242</v>
      </c>
      <c r="M363" s="10">
        <f>'Precinct Vote Data'!H1429</f>
        <v>0.4167487685</v>
      </c>
      <c r="N363" s="15">
        <f t="shared" si="6"/>
        <v>0.5558514837</v>
      </c>
      <c r="O363" s="5">
        <f t="shared" si="7"/>
        <v>95</v>
      </c>
      <c r="Q363" s="5" t="str">
        <f t="shared" si="8"/>
        <v>Northampton|LOWER SAUCON|850</v>
      </c>
    </row>
    <row r="364" ht="15.0" customHeight="1">
      <c r="A364" s="5" t="s">
        <v>327</v>
      </c>
      <c r="B364" s="5" t="s">
        <v>365</v>
      </c>
      <c r="C364" s="5" t="s">
        <v>193</v>
      </c>
      <c r="D364" s="15">
        <f t="shared" si="1"/>
        <v>0.7612437912</v>
      </c>
      <c r="E364" s="15">
        <f t="shared" si="2"/>
        <v>0.8998472989</v>
      </c>
      <c r="F364" s="15">
        <f t="shared" si="3"/>
        <v>0.2387562088</v>
      </c>
      <c r="G364" s="10">
        <f t="shared" si="4"/>
        <v>0.3548063936</v>
      </c>
      <c r="H364" s="2" t="str">
        <f t="shared" si="5"/>
        <v/>
      </c>
      <c r="J364" s="10">
        <f>'Precinct Vote Data'!H1430</f>
        <v>0.375</v>
      </c>
      <c r="K364" s="10">
        <f>'Precinct Vote Data'!H1431</f>
        <v>0.3465608466</v>
      </c>
      <c r="L364" s="10">
        <f>'Precinct Vote Data'!H1432</f>
        <v>0.3489861259</v>
      </c>
      <c r="M364" s="10">
        <f>'Precinct Vote Data'!H1433</f>
        <v>0.3486786019</v>
      </c>
      <c r="N364" s="15">
        <f t="shared" si="6"/>
        <v>0.3389089099</v>
      </c>
      <c r="O364" s="5">
        <f t="shared" si="7"/>
        <v>35</v>
      </c>
      <c r="Q364" s="5" t="str">
        <f t="shared" si="8"/>
        <v>Northampton|MOORE|860</v>
      </c>
    </row>
    <row r="365" ht="15.0" customHeight="1">
      <c r="A365" s="5" t="s">
        <v>327</v>
      </c>
      <c r="B365" s="5" t="s">
        <v>365</v>
      </c>
      <c r="C365" s="5" t="s">
        <v>195</v>
      </c>
      <c r="D365" s="15">
        <f t="shared" si="1"/>
        <v>1.146771912</v>
      </c>
      <c r="E365" s="15">
        <f t="shared" si="2"/>
        <v>0.9968896648</v>
      </c>
      <c r="F365" s="15">
        <f t="shared" si="3"/>
        <v>0.146771912</v>
      </c>
      <c r="G365" s="10">
        <f t="shared" si="4"/>
        <v>0.3553133246</v>
      </c>
      <c r="H365" s="2" t="str">
        <f t="shared" si="5"/>
        <v>YES</v>
      </c>
      <c r="J365" s="10">
        <f>'Precinct Vote Data'!H1434</f>
        <v>0.3821954485</v>
      </c>
      <c r="K365" s="10">
        <f>'Precinct Vote Data'!H1435</f>
        <v>0.3454784899</v>
      </c>
      <c r="L365" s="10">
        <f>'Precinct Vote Data'!H1436</f>
        <v>0.3556280587</v>
      </c>
      <c r="M365" s="10">
        <f>'Precinct Vote Data'!H1437</f>
        <v>0.3379513014</v>
      </c>
      <c r="N365" s="15">
        <f t="shared" si="6"/>
        <v>0.1498822472</v>
      </c>
      <c r="O365" s="5">
        <f t="shared" si="7"/>
        <v>5</v>
      </c>
      <c r="Q365" s="5" t="str">
        <f t="shared" si="8"/>
        <v>Northampton|MOORE|870</v>
      </c>
    </row>
    <row r="366" ht="15.0" customHeight="1">
      <c r="A366" s="5" t="s">
        <v>327</v>
      </c>
      <c r="B366" s="5" t="s">
        <v>365</v>
      </c>
      <c r="C366" s="5" t="s">
        <v>196</v>
      </c>
      <c r="D366" s="15">
        <f t="shared" si="1"/>
        <v>0.4983173336</v>
      </c>
      <c r="E366" s="15">
        <f t="shared" si="2"/>
        <v>0.3716998036</v>
      </c>
      <c r="F366" s="15">
        <f t="shared" si="3"/>
        <v>0.5016826664</v>
      </c>
      <c r="G366" s="10">
        <f t="shared" si="4"/>
        <v>0.3220708306</v>
      </c>
      <c r="H366" s="2" t="str">
        <f t="shared" si="5"/>
        <v/>
      </c>
      <c r="J366" s="10">
        <f>'Precinct Vote Data'!H1438</f>
        <v>0.3306379155</v>
      </c>
      <c r="K366" s="10">
        <f>'Precinct Vote Data'!H1439</f>
        <v>0.3051671733</v>
      </c>
      <c r="L366" s="10">
        <f>'Precinct Vote Data'!H1440</f>
        <v>0.3355605048</v>
      </c>
      <c r="M366" s="10">
        <f>'Precinct Vote Data'!H1441</f>
        <v>0.3169177289</v>
      </c>
      <c r="N366" s="15">
        <f t="shared" si="6"/>
        <v>1.129982863</v>
      </c>
      <c r="O366" s="5">
        <f t="shared" si="7"/>
        <v>215</v>
      </c>
      <c r="Q366" s="5" t="str">
        <f t="shared" si="8"/>
        <v>Northampton|MOORE|880</v>
      </c>
    </row>
    <row r="367" ht="15.0" customHeight="1">
      <c r="A367" s="5" t="s">
        <v>327</v>
      </c>
      <c r="B367" s="5" t="s">
        <v>365</v>
      </c>
      <c r="C367" s="5" t="s">
        <v>197</v>
      </c>
      <c r="D367" s="15">
        <f t="shared" si="1"/>
        <v>0.1642249298</v>
      </c>
      <c r="E367" s="15">
        <f t="shared" si="2"/>
        <v>0.01705075455</v>
      </c>
      <c r="F367" s="15">
        <f t="shared" si="3"/>
        <v>0.8357750702</v>
      </c>
      <c r="G367" s="10">
        <f t="shared" si="4"/>
        <v>0.3321041806</v>
      </c>
      <c r="H367" s="2" t="str">
        <f t="shared" si="5"/>
        <v/>
      </c>
      <c r="J367" s="10">
        <f>'Precinct Vote Data'!H1442</f>
        <v>0.3257142857</v>
      </c>
      <c r="K367" s="10">
        <f>'Precinct Vote Data'!H1443</f>
        <v>0.3269230769</v>
      </c>
      <c r="L367" s="10">
        <f>'Precinct Vote Data'!H1444</f>
        <v>0.3624801272</v>
      </c>
      <c r="M367" s="10">
        <f>'Precinct Vote Data'!H1445</f>
        <v>0.3132992327</v>
      </c>
      <c r="N367" s="15">
        <f t="shared" si="6"/>
        <v>1.818724316</v>
      </c>
      <c r="O367" s="5">
        <f t="shared" si="7"/>
        <v>329</v>
      </c>
      <c r="Q367" s="5" t="str">
        <f t="shared" si="8"/>
        <v>Northampton|MOORE|890</v>
      </c>
    </row>
    <row r="368" ht="15.0" customHeight="1">
      <c r="A368" s="5" t="s">
        <v>327</v>
      </c>
      <c r="B368" s="5" t="s">
        <v>366</v>
      </c>
      <c r="C368" s="5" t="s">
        <v>198</v>
      </c>
      <c r="D368" s="15">
        <f t="shared" si="1"/>
        <v>0.1784779603</v>
      </c>
      <c r="E368" s="15">
        <f t="shared" si="2"/>
        <v>0.19106163</v>
      </c>
      <c r="F368" s="15">
        <f t="shared" si="3"/>
        <v>0.8215220397</v>
      </c>
      <c r="G368" s="10">
        <f t="shared" si="4"/>
        <v>0.4962178433</v>
      </c>
      <c r="H368" s="2" t="str">
        <f t="shared" si="5"/>
        <v/>
      </c>
      <c r="J368" s="10">
        <f>'Precinct Vote Data'!H1446</f>
        <v>0.5</v>
      </c>
      <c r="K368" s="10">
        <f>'Precinct Vote Data'!H1447</f>
        <v>0.4860050891</v>
      </c>
      <c r="L368" s="10">
        <f>'Precinct Vote Data'!H1448</f>
        <v>0.500524659</v>
      </c>
      <c r="M368" s="10">
        <f>'Precinct Vote Data'!H1449</f>
        <v>0.4983416252</v>
      </c>
      <c r="N368" s="15">
        <f t="shared" si="6"/>
        <v>1.63046041</v>
      </c>
      <c r="O368" s="5">
        <f t="shared" si="7"/>
        <v>302</v>
      </c>
      <c r="Q368" s="5" t="str">
        <f t="shared" si="8"/>
        <v>Northampton|NAZARETH|900</v>
      </c>
    </row>
    <row r="369" ht="15.0" customHeight="1">
      <c r="A369" s="5" t="s">
        <v>327</v>
      </c>
      <c r="B369" s="5" t="s">
        <v>366</v>
      </c>
      <c r="C369" s="5" t="s">
        <v>199</v>
      </c>
      <c r="D369" s="15">
        <f t="shared" si="1"/>
        <v>1.85312284</v>
      </c>
      <c r="E369" s="15">
        <f t="shared" si="2"/>
        <v>0.7105709218</v>
      </c>
      <c r="F369" s="15">
        <f t="shared" si="3"/>
        <v>0.8531228404</v>
      </c>
      <c r="G369" s="10">
        <f t="shared" si="4"/>
        <v>0.5221865334</v>
      </c>
      <c r="H369" s="2" t="str">
        <f t="shared" si="5"/>
        <v/>
      </c>
      <c r="J369" s="10">
        <f>'Precinct Vote Data'!H1450</f>
        <v>0.5580693816</v>
      </c>
      <c r="K369" s="10">
        <f>'Precinct Vote Data'!H1451</f>
        <v>0.4894684052</v>
      </c>
      <c r="L369" s="10">
        <f>'Precinct Vote Data'!H1452</f>
        <v>0.5501285347</v>
      </c>
      <c r="M369" s="10">
        <f>'Precinct Vote Data'!H1453</f>
        <v>0.4910798122</v>
      </c>
      <c r="N369" s="15">
        <f t="shared" si="6"/>
        <v>1.142551919</v>
      </c>
      <c r="O369" s="5">
        <f t="shared" si="7"/>
        <v>217</v>
      </c>
      <c r="Q369" s="5" t="str">
        <f t="shared" si="8"/>
        <v>Northampton|NAZARETH|910</v>
      </c>
    </row>
    <row r="370" ht="15.0" customHeight="1">
      <c r="A370" s="5" t="s">
        <v>327</v>
      </c>
      <c r="B370" s="5" t="s">
        <v>366</v>
      </c>
      <c r="C370" s="5" t="s">
        <v>200</v>
      </c>
      <c r="D370" s="15">
        <f t="shared" si="1"/>
        <v>2.055145572</v>
      </c>
      <c r="E370" s="15">
        <f t="shared" si="2"/>
        <v>0.8515940793</v>
      </c>
      <c r="F370" s="15">
        <f t="shared" si="3"/>
        <v>1.055145572</v>
      </c>
      <c r="G370" s="10">
        <f t="shared" si="4"/>
        <v>0.4948817101</v>
      </c>
      <c r="H370" s="2" t="str">
        <f t="shared" si="5"/>
        <v/>
      </c>
      <c r="J370" s="10">
        <f>'Precinct Vote Data'!H1454</f>
        <v>0.5429497569</v>
      </c>
      <c r="K370" s="10">
        <f>'Precinct Vote Data'!H1455</f>
        <v>0.4558979809</v>
      </c>
      <c r="L370" s="10">
        <f>'Precinct Vote Data'!H1456</f>
        <v>0.5034293553</v>
      </c>
      <c r="M370" s="10">
        <f>'Precinct Vote Data'!H1457</f>
        <v>0.4772497472</v>
      </c>
      <c r="N370" s="15">
        <f t="shared" si="6"/>
        <v>1.203551493</v>
      </c>
      <c r="O370" s="5">
        <f t="shared" si="7"/>
        <v>236</v>
      </c>
      <c r="Q370" s="5" t="str">
        <f t="shared" si="8"/>
        <v>Northampton|NAZARETH|920</v>
      </c>
    </row>
    <row r="371" ht="15.0" customHeight="1">
      <c r="A371" s="5" t="s">
        <v>327</v>
      </c>
      <c r="B371" s="5" t="s">
        <v>367</v>
      </c>
      <c r="C371" s="5" t="s">
        <v>206</v>
      </c>
      <c r="D371" s="15">
        <f t="shared" si="1"/>
        <v>1.815600822</v>
      </c>
      <c r="E371" s="15">
        <f t="shared" si="2"/>
        <v>0.7784897206</v>
      </c>
      <c r="F371" s="15">
        <f t="shared" si="3"/>
        <v>0.8156008222</v>
      </c>
      <c r="G371" s="10">
        <f t="shared" si="4"/>
        <v>0.45680256</v>
      </c>
      <c r="H371" s="2" t="str">
        <f t="shared" si="5"/>
        <v/>
      </c>
      <c r="J371" s="10">
        <f>'Precinct Vote Data'!H1458</f>
        <v>0.5</v>
      </c>
      <c r="K371" s="10">
        <f>'Precinct Vote Data'!H1459</f>
        <v>0.4173387097</v>
      </c>
      <c r="L371" s="10">
        <f>'Precinct Vote Data'!H1460</f>
        <v>0.4640883978</v>
      </c>
      <c r="M371" s="10">
        <f>'Precinct Vote Data'!H1461</f>
        <v>0.4457831325</v>
      </c>
      <c r="N371" s="15">
        <f t="shared" si="6"/>
        <v>1.037111102</v>
      </c>
      <c r="O371" s="5">
        <f t="shared" si="7"/>
        <v>196</v>
      </c>
      <c r="Q371" s="5" t="str">
        <f t="shared" si="8"/>
        <v>Northampton|NORTH CATASAUQUA|930</v>
      </c>
    </row>
    <row r="372" ht="15.0" customHeight="1">
      <c r="A372" s="5" t="s">
        <v>327</v>
      </c>
      <c r="B372" s="5" t="s">
        <v>367</v>
      </c>
      <c r="C372" s="5" t="s">
        <v>208</v>
      </c>
      <c r="D372" s="15">
        <f t="shared" si="1"/>
        <v>0.3312092379</v>
      </c>
      <c r="E372" s="15">
        <f t="shared" si="2"/>
        <v>0.1565342732</v>
      </c>
      <c r="F372" s="15">
        <f t="shared" si="3"/>
        <v>0.6687907621</v>
      </c>
      <c r="G372" s="10">
        <f t="shared" si="4"/>
        <v>0.5050966116</v>
      </c>
      <c r="H372" s="2" t="str">
        <f t="shared" si="5"/>
        <v/>
      </c>
      <c r="J372" s="10">
        <f>'Precinct Vote Data'!H1462</f>
        <v>0.5098039216</v>
      </c>
      <c r="K372" s="10">
        <f>'Precinct Vote Data'!H1463</f>
        <v>0.4860853432</v>
      </c>
      <c r="L372" s="10">
        <f>'Precinct Vote Data'!H1464</f>
        <v>0.519650655</v>
      </c>
      <c r="M372" s="10">
        <f>'Precinct Vote Data'!H1465</f>
        <v>0.5048465267</v>
      </c>
      <c r="N372" s="15">
        <f t="shared" si="6"/>
        <v>1.512256489</v>
      </c>
      <c r="O372" s="5">
        <f t="shared" si="7"/>
        <v>279</v>
      </c>
      <c r="Q372" s="5" t="str">
        <f t="shared" si="8"/>
        <v>Northampton|NORTH CATASAUQUA|940</v>
      </c>
    </row>
    <row r="373" ht="15.0" customHeight="1">
      <c r="A373" s="5" t="s">
        <v>327</v>
      </c>
      <c r="B373" s="5" t="s">
        <v>368</v>
      </c>
      <c r="C373" s="5" t="s">
        <v>210</v>
      </c>
      <c r="D373" s="15">
        <f t="shared" si="1"/>
        <v>0.7955075388</v>
      </c>
      <c r="E373" s="15">
        <f t="shared" si="2"/>
        <v>0.4836301118</v>
      </c>
      <c r="F373" s="15">
        <f t="shared" si="3"/>
        <v>0.2044924612</v>
      </c>
      <c r="G373" s="10">
        <f t="shared" si="4"/>
        <v>0.47574431</v>
      </c>
      <c r="H373" s="2" t="str">
        <f t="shared" si="5"/>
        <v/>
      </c>
      <c r="J373" s="10">
        <f>'Precinct Vote Data'!H1466</f>
        <v>0.4902912621</v>
      </c>
      <c r="K373" s="10">
        <f>'Precinct Vote Data'!H1467</f>
        <v>0.453271028</v>
      </c>
      <c r="L373" s="10">
        <f>'Precinct Vote Data'!H1468</f>
        <v>0.4931937173</v>
      </c>
      <c r="M373" s="10">
        <f>'Precinct Vote Data'!H1469</f>
        <v>0.4662212324</v>
      </c>
      <c r="N373" s="15">
        <f t="shared" si="6"/>
        <v>0.7208623494</v>
      </c>
      <c r="O373" s="5">
        <f t="shared" si="7"/>
        <v>136</v>
      </c>
      <c r="Q373" s="5" t="str">
        <f t="shared" si="8"/>
        <v>Northampton|NORTHAMPTON|950</v>
      </c>
    </row>
    <row r="374" ht="15.0" customHeight="1">
      <c r="A374" s="5" t="s">
        <v>327</v>
      </c>
      <c r="B374" s="5" t="s">
        <v>368</v>
      </c>
      <c r="C374" s="5" t="s">
        <v>211</v>
      </c>
      <c r="D374" s="15">
        <f t="shared" si="1"/>
        <v>1.410321919</v>
      </c>
      <c r="E374" s="15">
        <f t="shared" si="2"/>
        <v>0.6283363713</v>
      </c>
      <c r="F374" s="15">
        <f t="shared" si="3"/>
        <v>0.410321919</v>
      </c>
      <c r="G374" s="10">
        <f t="shared" si="4"/>
        <v>0.4920803117</v>
      </c>
      <c r="H374" s="2" t="str">
        <f t="shared" si="5"/>
        <v/>
      </c>
      <c r="J374" s="10">
        <f>'Precinct Vote Data'!H1470</f>
        <v>0.5231884058</v>
      </c>
      <c r="K374" s="10">
        <f>'Precinct Vote Data'!H1471</f>
        <v>0.4543859649</v>
      </c>
      <c r="L374" s="10">
        <f>'Precinct Vote Data'!H1472</f>
        <v>0.5071942446</v>
      </c>
      <c r="M374" s="10">
        <f>'Precinct Vote Data'!H1473</f>
        <v>0.4835526316</v>
      </c>
      <c r="N374" s="15">
        <f t="shared" si="6"/>
        <v>0.7819855477</v>
      </c>
      <c r="O374" s="5">
        <f t="shared" si="7"/>
        <v>154</v>
      </c>
      <c r="Q374" s="5" t="str">
        <f t="shared" si="8"/>
        <v>Northampton|NORTHAMPTON|960</v>
      </c>
    </row>
    <row r="375" ht="15.0" customHeight="1">
      <c r="A375" s="5" t="s">
        <v>327</v>
      </c>
      <c r="B375" s="5" t="s">
        <v>368</v>
      </c>
      <c r="C375" s="5" t="s">
        <v>212</v>
      </c>
      <c r="D375" s="15">
        <f t="shared" si="1"/>
        <v>1.486603015</v>
      </c>
      <c r="E375" s="15">
        <f t="shared" si="2"/>
        <v>0.5946767084</v>
      </c>
      <c r="F375" s="15">
        <f t="shared" si="3"/>
        <v>0.4866030152</v>
      </c>
      <c r="G375" s="10">
        <f t="shared" si="4"/>
        <v>0.4710131308</v>
      </c>
      <c r="H375" s="2" t="str">
        <f t="shared" si="5"/>
        <v/>
      </c>
      <c r="J375" s="10">
        <f>'Precinct Vote Data'!H1474</f>
        <v>0.5</v>
      </c>
      <c r="K375" s="10">
        <f>'Precinct Vote Data'!H1475</f>
        <v>0.4343871806</v>
      </c>
      <c r="L375" s="10">
        <f>'Precinct Vote Data'!H1476</f>
        <v>0.4965909091</v>
      </c>
      <c r="M375" s="10">
        <f>'Precinct Vote Data'!H1477</f>
        <v>0.4530744337</v>
      </c>
      <c r="N375" s="15">
        <f t="shared" si="6"/>
        <v>0.8919263068</v>
      </c>
      <c r="O375" s="5">
        <f t="shared" si="7"/>
        <v>171</v>
      </c>
      <c r="Q375" s="5" t="str">
        <f t="shared" si="8"/>
        <v>Northampton|NORTHAMPTON|970</v>
      </c>
    </row>
    <row r="376" ht="15.0" customHeight="1">
      <c r="A376" s="5" t="s">
        <v>327</v>
      </c>
      <c r="B376" s="5" t="s">
        <v>368</v>
      </c>
      <c r="C376" s="5" t="s">
        <v>214</v>
      </c>
      <c r="D376" s="15">
        <f t="shared" si="1"/>
        <v>1.784705099</v>
      </c>
      <c r="E376" s="15">
        <f t="shared" si="2"/>
        <v>0.624117142</v>
      </c>
      <c r="F376" s="15">
        <f t="shared" si="3"/>
        <v>0.7847050991</v>
      </c>
      <c r="G376" s="10">
        <f t="shared" si="4"/>
        <v>0.4689243258</v>
      </c>
      <c r="H376" s="2" t="str">
        <f t="shared" si="5"/>
        <v/>
      </c>
      <c r="J376" s="10">
        <f>'Precinct Vote Data'!H1478</f>
        <v>0.5</v>
      </c>
      <c r="K376" s="10">
        <f>'Precinct Vote Data'!H1479</f>
        <v>0.4532374101</v>
      </c>
      <c r="L376" s="10">
        <f>'Precinct Vote Data'!H1480</f>
        <v>0.5</v>
      </c>
      <c r="M376" s="10">
        <f>'Precinct Vote Data'!H1481</f>
        <v>0.422459893</v>
      </c>
      <c r="N376" s="15">
        <f t="shared" si="6"/>
        <v>1.160587957</v>
      </c>
      <c r="O376" s="5">
        <f t="shared" si="7"/>
        <v>221</v>
      </c>
      <c r="Q376" s="5" t="str">
        <f t="shared" si="8"/>
        <v>Northampton|NORTHAMPTON|980</v>
      </c>
    </row>
    <row r="377" ht="15.0" customHeight="1">
      <c r="A377" s="5" t="s">
        <v>327</v>
      </c>
      <c r="B377" s="5" t="s">
        <v>369</v>
      </c>
      <c r="C377" s="5" t="s">
        <v>216</v>
      </c>
      <c r="D377" s="15">
        <f t="shared" si="1"/>
        <v>1.289311975</v>
      </c>
      <c r="E377" s="15">
        <f t="shared" si="2"/>
        <v>0.920534418</v>
      </c>
      <c r="F377" s="15">
        <f t="shared" si="3"/>
        <v>0.2893119754</v>
      </c>
      <c r="G377" s="10">
        <f t="shared" si="4"/>
        <v>0.5687907576</v>
      </c>
      <c r="H377" s="2" t="str">
        <f t="shared" si="5"/>
        <v/>
      </c>
      <c r="J377" s="10">
        <f>'Precinct Vote Data'!H1482</f>
        <v>0.5964214712</v>
      </c>
      <c r="K377" s="10">
        <f>'Precinct Vote Data'!H1483</f>
        <v>0.555287495</v>
      </c>
      <c r="L377" s="10">
        <f>'Precinct Vote Data'!H1484</f>
        <v>0.5773606371</v>
      </c>
      <c r="M377" s="10">
        <f>'Precinct Vote Data'!H1485</f>
        <v>0.546093427</v>
      </c>
      <c r="N377" s="15">
        <f t="shared" si="6"/>
        <v>0.3687775575</v>
      </c>
      <c r="O377" s="5">
        <f t="shared" si="7"/>
        <v>44</v>
      </c>
      <c r="Q377" s="5" t="str">
        <f t="shared" si="8"/>
        <v>Northampton|PALMER|990</v>
      </c>
    </row>
    <row r="378" ht="15.0" customHeight="1">
      <c r="A378" s="5" t="s">
        <v>327</v>
      </c>
      <c r="B378" s="5" t="s">
        <v>369</v>
      </c>
      <c r="C378" s="5" t="s">
        <v>217</v>
      </c>
      <c r="D378" s="15">
        <f t="shared" si="1"/>
        <v>1.529669537</v>
      </c>
      <c r="E378" s="15">
        <f t="shared" si="2"/>
        <v>0.9799105907</v>
      </c>
      <c r="F378" s="15">
        <f t="shared" si="3"/>
        <v>0.5296695371</v>
      </c>
      <c r="G378" s="10">
        <f t="shared" si="4"/>
        <v>0.4914598518</v>
      </c>
      <c r="H378" s="2" t="str">
        <f t="shared" si="5"/>
        <v/>
      </c>
      <c r="J378" s="10">
        <f>'Precinct Vote Data'!H1486</f>
        <v>0.5262593783</v>
      </c>
      <c r="K378" s="10">
        <f>'Precinct Vote Data'!H1487</f>
        <v>0.4751879699</v>
      </c>
      <c r="L378" s="10">
        <f>'Precinct Vote Data'!H1488</f>
        <v>0.496007984</v>
      </c>
      <c r="M378" s="10">
        <f>'Precinct Vote Data'!H1489</f>
        <v>0.4683840749</v>
      </c>
      <c r="N378" s="15">
        <f t="shared" si="6"/>
        <v>0.5497589463</v>
      </c>
      <c r="O378" s="5">
        <f t="shared" si="7"/>
        <v>93</v>
      </c>
      <c r="Q378" s="5" t="str">
        <f t="shared" si="8"/>
        <v>Northampton|PALMER|1000</v>
      </c>
    </row>
    <row r="379" ht="15.0" customHeight="1">
      <c r="A379" s="5" t="s">
        <v>327</v>
      </c>
      <c r="B379" s="5" t="s">
        <v>369</v>
      </c>
      <c r="C379" s="5" t="s">
        <v>218</v>
      </c>
      <c r="D379" s="15">
        <f t="shared" si="1"/>
        <v>0.3105962433</v>
      </c>
      <c r="E379" s="15">
        <f t="shared" si="2"/>
        <v>0.1247438839</v>
      </c>
      <c r="F379" s="15">
        <f t="shared" si="3"/>
        <v>0.6894037567</v>
      </c>
      <c r="G379" s="10">
        <f t="shared" si="4"/>
        <v>0.5135984017</v>
      </c>
      <c r="H379" s="2" t="str">
        <f t="shared" si="5"/>
        <v/>
      </c>
      <c r="J379" s="10">
        <f>'Precinct Vote Data'!H1490</f>
        <v>0.5160320641</v>
      </c>
      <c r="K379" s="10">
        <f>'Precinct Vote Data'!H1491</f>
        <v>0.496993988</v>
      </c>
      <c r="L379" s="10">
        <f>'Precinct Vote Data'!H1492</f>
        <v>0.5324114088</v>
      </c>
      <c r="M379" s="10">
        <f>'Precinct Vote Data'!H1493</f>
        <v>0.5089561458</v>
      </c>
      <c r="N379" s="15">
        <f t="shared" si="6"/>
        <v>1.564659873</v>
      </c>
      <c r="O379" s="5">
        <f t="shared" si="7"/>
        <v>288</v>
      </c>
      <c r="Q379" s="5" t="str">
        <f t="shared" si="8"/>
        <v>Northampton|PALMER|1010</v>
      </c>
    </row>
    <row r="380" ht="15.0" customHeight="1">
      <c r="A380" s="5" t="s">
        <v>327</v>
      </c>
      <c r="B380" s="5" t="s">
        <v>369</v>
      </c>
      <c r="C380" s="5" t="s">
        <v>219</v>
      </c>
      <c r="D380" s="15">
        <f t="shared" si="1"/>
        <v>1.007148504</v>
      </c>
      <c r="E380" s="15">
        <f t="shared" si="2"/>
        <v>0.9016776867</v>
      </c>
      <c r="F380" s="15">
        <f t="shared" si="3"/>
        <v>0.007148504239</v>
      </c>
      <c r="G380" s="10">
        <f t="shared" si="4"/>
        <v>0.481293768</v>
      </c>
      <c r="H380" s="2" t="str">
        <f t="shared" si="5"/>
        <v>YES</v>
      </c>
      <c r="J380" s="10">
        <f>'Precinct Vote Data'!H1494</f>
        <v>0.5052562418</v>
      </c>
      <c r="K380" s="10">
        <f>'Precinct Vote Data'!H1495</f>
        <v>0.4642109669</v>
      </c>
      <c r="L380" s="10">
        <f>'Precinct Vote Data'!H1496</f>
        <v>0.4836065574</v>
      </c>
      <c r="M380" s="10">
        <f>'Precinct Vote Data'!H1497</f>
        <v>0.4721013059</v>
      </c>
      <c r="N380" s="15">
        <f t="shared" si="6"/>
        <v>0.1054708176</v>
      </c>
      <c r="O380" s="5">
        <f t="shared" si="7"/>
        <v>3</v>
      </c>
      <c r="Q380" s="5" t="str">
        <f t="shared" si="8"/>
        <v>Northampton|PALMER|1020</v>
      </c>
    </row>
    <row r="381" ht="15.0" customHeight="1">
      <c r="A381" s="5" t="s">
        <v>327</v>
      </c>
      <c r="B381" s="5" t="s">
        <v>369</v>
      </c>
      <c r="C381" s="5" t="s">
        <v>223</v>
      </c>
      <c r="D381" s="15">
        <f t="shared" si="1"/>
        <v>1.010873653</v>
      </c>
      <c r="E381" s="15">
        <f t="shared" si="2"/>
        <v>0.7011533702</v>
      </c>
      <c r="F381" s="15">
        <f t="shared" si="3"/>
        <v>0.01087365344</v>
      </c>
      <c r="G381" s="10">
        <f t="shared" si="4"/>
        <v>0.5515482131</v>
      </c>
      <c r="H381" s="2" t="str">
        <f t="shared" si="5"/>
        <v>YES</v>
      </c>
      <c r="J381" s="10">
        <f>'Precinct Vote Data'!H1498</f>
        <v>0.5769059296</v>
      </c>
      <c r="K381" s="10">
        <f>'Precinct Vote Data'!H1499</f>
        <v>0.5272838749</v>
      </c>
      <c r="L381" s="10">
        <f>'Precinct Vote Data'!H1500</f>
        <v>0.5527314112</v>
      </c>
      <c r="M381" s="10">
        <f>'Precinct Vote Data'!H1501</f>
        <v>0.5492716367</v>
      </c>
      <c r="N381" s="15">
        <f t="shared" si="6"/>
        <v>0.3097202833</v>
      </c>
      <c r="O381" s="5">
        <f t="shared" si="7"/>
        <v>28</v>
      </c>
      <c r="Q381" s="5" t="str">
        <f t="shared" si="8"/>
        <v>Northampton|PALMER|1030</v>
      </c>
    </row>
    <row r="382" ht="15.0" customHeight="1">
      <c r="A382" s="5" t="s">
        <v>327</v>
      </c>
      <c r="B382" s="5" t="s">
        <v>369</v>
      </c>
      <c r="C382" s="5" t="s">
        <v>224</v>
      </c>
      <c r="D382" s="15">
        <f t="shared" si="1"/>
        <v>-0.024352416</v>
      </c>
      <c r="E382" s="15">
        <f t="shared" si="2"/>
        <v>0.004304458752</v>
      </c>
      <c r="F382" s="15">
        <f t="shared" si="3"/>
        <v>1.024352416</v>
      </c>
      <c r="G382" s="10">
        <f t="shared" si="4"/>
        <v>0.4856151223</v>
      </c>
      <c r="H382" s="2" t="str">
        <f t="shared" si="5"/>
        <v/>
      </c>
      <c r="J382" s="10">
        <f>'Precinct Vote Data'!H1502</f>
        <v>0.4838427948</v>
      </c>
      <c r="K382" s="10">
        <f>'Precinct Vote Data'!H1503</f>
        <v>0.4776987718</v>
      </c>
      <c r="L382" s="10">
        <f>'Precinct Vote Data'!H1504</f>
        <v>0.4919292852</v>
      </c>
      <c r="M382" s="10">
        <f>'Precinct Vote Data'!H1505</f>
        <v>0.4889896373</v>
      </c>
      <c r="N382" s="15">
        <f t="shared" si="6"/>
        <v>2.020047957</v>
      </c>
      <c r="O382" s="5">
        <f t="shared" si="7"/>
        <v>352</v>
      </c>
      <c r="Q382" s="5" t="str">
        <f t="shared" si="8"/>
        <v>Northampton|PALMER|1040</v>
      </c>
    </row>
    <row r="383" ht="15.0" customHeight="1">
      <c r="A383" s="5" t="s">
        <v>327</v>
      </c>
      <c r="B383" s="5" t="s">
        <v>369</v>
      </c>
      <c r="C383" s="5" t="s">
        <v>225</v>
      </c>
      <c r="D383" s="15">
        <f t="shared" si="1"/>
        <v>1.858779861</v>
      </c>
      <c r="E383" s="15">
        <f t="shared" si="2"/>
        <v>0.9789172907</v>
      </c>
      <c r="F383" s="15">
        <f t="shared" si="3"/>
        <v>0.8587798613</v>
      </c>
      <c r="G383" s="10">
        <f t="shared" si="4"/>
        <v>0.4679711872</v>
      </c>
      <c r="H383" s="2" t="str">
        <f t="shared" si="5"/>
        <v/>
      </c>
      <c r="J383" s="10">
        <f>'Precinct Vote Data'!H1506</f>
        <v>0.5118397086</v>
      </c>
      <c r="K383" s="10">
        <f>'Precinct Vote Data'!H1507</f>
        <v>0.4571078431</v>
      </c>
      <c r="L383" s="10">
        <f>'Precinct Vote Data'!H1508</f>
        <v>0.4658187599</v>
      </c>
      <c r="M383" s="10">
        <f>'Precinct Vote Data'!H1509</f>
        <v>0.4371184371</v>
      </c>
      <c r="N383" s="15">
        <f t="shared" si="6"/>
        <v>0.8798625706</v>
      </c>
      <c r="O383" s="5">
        <f t="shared" si="7"/>
        <v>167</v>
      </c>
      <c r="Q383" s="5" t="str">
        <f t="shared" si="8"/>
        <v>Northampton|PALMER|1050</v>
      </c>
    </row>
    <row r="384" ht="15.0" customHeight="1">
      <c r="A384" s="5" t="s">
        <v>327</v>
      </c>
      <c r="B384" s="5" t="s">
        <v>370</v>
      </c>
      <c r="C384" s="5" t="s">
        <v>227</v>
      </c>
      <c r="D384" s="15">
        <f t="shared" si="1"/>
        <v>2.621724262</v>
      </c>
      <c r="E384" s="15">
        <f t="shared" si="2"/>
        <v>0.8674594886</v>
      </c>
      <c r="F384" s="15">
        <f t="shared" si="3"/>
        <v>1.621724262</v>
      </c>
      <c r="G384" s="10">
        <f t="shared" si="4"/>
        <v>0.3911716981</v>
      </c>
      <c r="H384" s="2" t="str">
        <f t="shared" si="5"/>
        <v/>
      </c>
      <c r="J384" s="10">
        <f>'Precinct Vote Data'!H1510</f>
        <v>0.4493670886</v>
      </c>
      <c r="K384" s="10">
        <f>'Precinct Vote Data'!H1511</f>
        <v>0.3458646617</v>
      </c>
      <c r="L384" s="10">
        <f>'Precinct Vote Data'!H1512</f>
        <v>0.4093264249</v>
      </c>
      <c r="M384" s="10">
        <f>'Precinct Vote Data'!H1513</f>
        <v>0.3601286174</v>
      </c>
      <c r="N384" s="15">
        <f t="shared" si="6"/>
        <v>1.754264773</v>
      </c>
      <c r="O384" s="5">
        <f t="shared" si="7"/>
        <v>321</v>
      </c>
      <c r="Q384" s="5" t="str">
        <f t="shared" si="8"/>
        <v>Northampton|PEN ARGYL|1060</v>
      </c>
    </row>
    <row r="385" ht="15.0" customHeight="1">
      <c r="A385" s="5" t="s">
        <v>327</v>
      </c>
      <c r="B385" s="5" t="s">
        <v>370</v>
      </c>
      <c r="C385" s="5" t="s">
        <v>228</v>
      </c>
      <c r="D385" s="15">
        <f t="shared" si="1"/>
        <v>-0.379834436</v>
      </c>
      <c r="E385" s="15">
        <f t="shared" si="2"/>
        <v>0.785276828</v>
      </c>
      <c r="F385" s="15">
        <f t="shared" si="3"/>
        <v>1.379834436</v>
      </c>
      <c r="G385" s="10">
        <f t="shared" si="4"/>
        <v>0.3447839902</v>
      </c>
      <c r="H385" s="2" t="str">
        <f t="shared" si="5"/>
        <v/>
      </c>
      <c r="J385" s="10">
        <f>'Precinct Vote Data'!H1514</f>
        <v>0.3346534653</v>
      </c>
      <c r="K385" s="10">
        <f>'Precinct Vote Data'!H1515</f>
        <v>0.3446327684</v>
      </c>
      <c r="L385" s="10">
        <f>'Precinct Vote Data'!H1516</f>
        <v>0.3493761141</v>
      </c>
      <c r="M385" s="10">
        <f>'Precinct Vote Data'!H1517</f>
        <v>0.350473613</v>
      </c>
      <c r="N385" s="15">
        <f t="shared" si="6"/>
        <v>1.594557608</v>
      </c>
      <c r="O385" s="5">
        <f t="shared" si="7"/>
        <v>294</v>
      </c>
      <c r="Q385" s="5" t="str">
        <f t="shared" si="8"/>
        <v>Northampton|PEN ARGYL|1070</v>
      </c>
    </row>
    <row r="386" ht="15.0" customHeight="1">
      <c r="A386" s="5" t="s">
        <v>327</v>
      </c>
      <c r="B386" s="5" t="s">
        <v>370</v>
      </c>
      <c r="C386" s="5" t="s">
        <v>371</v>
      </c>
      <c r="D386" s="15">
        <f t="shared" si="1"/>
        <v>1.746832255</v>
      </c>
      <c r="E386" s="15">
        <f t="shared" si="2"/>
        <v>0.89811198</v>
      </c>
      <c r="F386" s="15">
        <f t="shared" si="3"/>
        <v>0.7468322553</v>
      </c>
      <c r="G386" s="10">
        <f t="shared" si="4"/>
        <v>0.4358719279</v>
      </c>
      <c r="H386" s="2" t="str">
        <f t="shared" si="5"/>
        <v/>
      </c>
      <c r="J386" s="10">
        <f>'Precinct Vote Data'!H1518</f>
        <v>0.4782608696</v>
      </c>
      <c r="K386" s="10">
        <f>'Precinct Vote Data'!H1519</f>
        <v>0.4335378323</v>
      </c>
      <c r="L386" s="10">
        <f>'Precinct Vote Data'!H1520</f>
        <v>0.4277286136</v>
      </c>
      <c r="M386" s="10">
        <f>'Precinct Vote Data'!H1521</f>
        <v>0.403960396</v>
      </c>
      <c r="N386" s="15">
        <f t="shared" si="6"/>
        <v>0.8487202753</v>
      </c>
      <c r="O386" s="5">
        <f t="shared" si="7"/>
        <v>163</v>
      </c>
      <c r="Q386" s="5" t="str">
        <f t="shared" si="8"/>
        <v>Northampton|PEN ARGYL|1080</v>
      </c>
    </row>
    <row r="387" ht="15.0" customHeight="1">
      <c r="A387" s="5" t="s">
        <v>327</v>
      </c>
      <c r="B387" s="5" t="s">
        <v>370</v>
      </c>
      <c r="C387" s="5" t="s">
        <v>230</v>
      </c>
      <c r="D387" s="15">
        <f t="shared" si="1"/>
        <v>2.314691453</v>
      </c>
      <c r="E387" s="15">
        <f t="shared" si="2"/>
        <v>0.8128941671</v>
      </c>
      <c r="F387" s="15">
        <f t="shared" si="3"/>
        <v>1.314691453</v>
      </c>
      <c r="G387" s="10">
        <f t="shared" si="4"/>
        <v>0.4428229076</v>
      </c>
      <c r="H387" s="2" t="str">
        <f t="shared" si="5"/>
        <v/>
      </c>
      <c r="J387" s="10">
        <f>'Precinct Vote Data'!H1522</f>
        <v>0.4891304348</v>
      </c>
      <c r="K387" s="10">
        <f>'Precinct Vote Data'!H1523</f>
        <v>0.4276315789</v>
      </c>
      <c r="L387" s="10">
        <f>'Precinct Vote Data'!H1524</f>
        <v>0.4642857143</v>
      </c>
      <c r="M387" s="10">
        <f>'Precinct Vote Data'!H1525</f>
        <v>0.3902439024</v>
      </c>
      <c r="N387" s="15">
        <f t="shared" si="6"/>
        <v>1.501797286</v>
      </c>
      <c r="O387" s="5">
        <f t="shared" si="7"/>
        <v>278</v>
      </c>
      <c r="Q387" s="5" t="str">
        <f t="shared" si="8"/>
        <v>Northampton|PEN ARGYL|1090</v>
      </c>
    </row>
    <row r="388" ht="15.0" customHeight="1">
      <c r="A388" s="5" t="s">
        <v>327</v>
      </c>
      <c r="B388" s="5" t="s">
        <v>372</v>
      </c>
      <c r="C388" s="5" t="s">
        <v>232</v>
      </c>
      <c r="D388" s="15">
        <f t="shared" si="1"/>
        <v>1.782099759</v>
      </c>
      <c r="E388" s="15">
        <f t="shared" si="2"/>
        <v>0.8684014784</v>
      </c>
      <c r="F388" s="15">
        <f t="shared" si="3"/>
        <v>0.7820997588</v>
      </c>
      <c r="G388" s="10">
        <f t="shared" si="4"/>
        <v>0.3644958183</v>
      </c>
      <c r="H388" s="2" t="str">
        <f t="shared" si="5"/>
        <v/>
      </c>
      <c r="J388" s="10">
        <f>'Precinct Vote Data'!H1526</f>
        <v>0.4127388535</v>
      </c>
      <c r="K388" s="10">
        <f>'Precinct Vote Data'!H1527</f>
        <v>0.3490566038</v>
      </c>
      <c r="L388" s="10">
        <f>'Precinct Vote Data'!H1528</f>
        <v>0.3467391304</v>
      </c>
      <c r="M388" s="10">
        <f>'Precinct Vote Data'!H1529</f>
        <v>0.3494486853</v>
      </c>
      <c r="N388" s="15">
        <f t="shared" si="6"/>
        <v>0.9136982804</v>
      </c>
      <c r="O388" s="5">
        <f t="shared" si="7"/>
        <v>177</v>
      </c>
      <c r="Q388" s="5" t="str">
        <f t="shared" si="8"/>
        <v>Northampton|PLAINFIELD|1100</v>
      </c>
    </row>
    <row r="389" ht="15.0" customHeight="1">
      <c r="A389" s="5" t="s">
        <v>327</v>
      </c>
      <c r="B389" s="5" t="s">
        <v>372</v>
      </c>
      <c r="C389" s="5" t="s">
        <v>233</v>
      </c>
      <c r="D389" s="15">
        <f t="shared" si="1"/>
        <v>1.883008478</v>
      </c>
      <c r="E389" s="15">
        <f t="shared" si="2"/>
        <v>0.9130589021</v>
      </c>
      <c r="F389" s="15">
        <f t="shared" si="3"/>
        <v>0.8830084785</v>
      </c>
      <c r="G389" s="10">
        <f t="shared" si="4"/>
        <v>0.3837479091</v>
      </c>
      <c r="H389" s="2" t="str">
        <f t="shared" si="5"/>
        <v/>
      </c>
      <c r="J389" s="10">
        <f>'Precinct Vote Data'!H1530</f>
        <v>0.4332810047</v>
      </c>
      <c r="K389" s="10">
        <f>'Precinct Vote Data'!H1531</f>
        <v>0.3706070288</v>
      </c>
      <c r="L389" s="10">
        <f>'Precinct Vote Data'!H1532</f>
        <v>0.3679245283</v>
      </c>
      <c r="M389" s="10">
        <f>'Precinct Vote Data'!H1533</f>
        <v>0.3631790744</v>
      </c>
      <c r="N389" s="15">
        <f t="shared" si="6"/>
        <v>0.9699495763</v>
      </c>
      <c r="O389" s="5">
        <f t="shared" si="7"/>
        <v>184</v>
      </c>
      <c r="Q389" s="5" t="str">
        <f t="shared" si="8"/>
        <v>Northampton|PLAINFIELD|1110</v>
      </c>
    </row>
    <row r="390" ht="15.0" customHeight="1">
      <c r="A390" s="5" t="s">
        <v>327</v>
      </c>
      <c r="B390" s="5" t="s">
        <v>372</v>
      </c>
      <c r="C390" s="5" t="s">
        <v>234</v>
      </c>
      <c r="D390" s="15">
        <f t="shared" si="1"/>
        <v>0.1222836303</v>
      </c>
      <c r="E390" s="15">
        <f t="shared" si="2"/>
        <v>0.680298812</v>
      </c>
      <c r="F390" s="15">
        <f t="shared" si="3"/>
        <v>0.8777163697</v>
      </c>
      <c r="G390" s="10">
        <f t="shared" si="4"/>
        <v>0.3443134771</v>
      </c>
      <c r="H390" s="2" t="str">
        <f t="shared" si="5"/>
        <v/>
      </c>
      <c r="J390" s="10">
        <f>'Precinct Vote Data'!H1534</f>
        <v>0.3468634686</v>
      </c>
      <c r="K390" s="10">
        <f>'Precinct Vote Data'!H1535</f>
        <v>0.3448275862</v>
      </c>
      <c r="L390" s="10">
        <f>'Precinct Vote Data'!H1536</f>
        <v>0.3446808511</v>
      </c>
      <c r="M390" s="10">
        <f>'Precinct Vote Data'!H1537</f>
        <v>0.3408820024</v>
      </c>
      <c r="N390" s="15">
        <f t="shared" si="6"/>
        <v>1.197417558</v>
      </c>
      <c r="O390" s="5">
        <f t="shared" si="7"/>
        <v>232</v>
      </c>
      <c r="Q390" s="5" t="str">
        <f t="shared" si="8"/>
        <v>Northampton|PLAINFIELD|1120</v>
      </c>
    </row>
    <row r="391" ht="15.0" customHeight="1">
      <c r="A391" s="5" t="s">
        <v>327</v>
      </c>
      <c r="B391" s="5" t="s">
        <v>372</v>
      </c>
      <c r="C391" s="5" t="s">
        <v>236</v>
      </c>
      <c r="D391" s="15">
        <f t="shared" si="1"/>
        <v>1.536073353</v>
      </c>
      <c r="E391" s="15">
        <f t="shared" si="2"/>
        <v>0.93685088</v>
      </c>
      <c r="F391" s="15">
        <f t="shared" si="3"/>
        <v>0.5360733526</v>
      </c>
      <c r="G391" s="10">
        <f t="shared" si="4"/>
        <v>0.3516628858</v>
      </c>
      <c r="H391" s="2" t="str">
        <f t="shared" si="5"/>
        <v/>
      </c>
      <c r="J391" s="10">
        <f>'Precinct Vote Data'!H1538</f>
        <v>0.3910806175</v>
      </c>
      <c r="K391" s="10">
        <f>'Precinct Vote Data'!H1539</f>
        <v>0.3428258488</v>
      </c>
      <c r="L391" s="10">
        <f>'Precinct Vote Data'!H1540</f>
        <v>0.3408769448</v>
      </c>
      <c r="M391" s="10">
        <f>'Precinct Vote Data'!H1541</f>
        <v>0.3318681319</v>
      </c>
      <c r="N391" s="15">
        <f t="shared" si="6"/>
        <v>0.5992224726</v>
      </c>
      <c r="O391" s="5">
        <f t="shared" si="7"/>
        <v>107</v>
      </c>
      <c r="Q391" s="5" t="str">
        <f t="shared" si="8"/>
        <v>Northampton|PLAINFIELD|1130</v>
      </c>
    </row>
    <row r="392" ht="15.0" customHeight="1">
      <c r="A392" s="5" t="s">
        <v>327</v>
      </c>
      <c r="B392" s="5" t="s">
        <v>373</v>
      </c>
      <c r="C392" s="5" t="s">
        <v>237</v>
      </c>
      <c r="D392" s="15">
        <f t="shared" si="1"/>
        <v>0.8647150029</v>
      </c>
      <c r="E392" s="15">
        <f t="shared" si="2"/>
        <v>0.4424242177</v>
      </c>
      <c r="F392" s="15">
        <f t="shared" si="3"/>
        <v>0.1352849971</v>
      </c>
      <c r="G392" s="10">
        <f t="shared" si="4"/>
        <v>0.3469671374</v>
      </c>
      <c r="H392" s="2" t="str">
        <f t="shared" si="5"/>
        <v/>
      </c>
      <c r="J392" s="10">
        <f>'Precinct Vote Data'!H1542</f>
        <v>0.3734939759</v>
      </c>
      <c r="K392" s="10">
        <f>'Precinct Vote Data'!H1543</f>
        <v>0.3241106719</v>
      </c>
      <c r="L392" s="10">
        <f>'Precinct Vote Data'!H1544</f>
        <v>0.3350515464</v>
      </c>
      <c r="M392" s="10">
        <f>'Precinct Vote Data'!H1545</f>
        <v>0.3552123552</v>
      </c>
      <c r="N392" s="15">
        <f t="shared" si="6"/>
        <v>0.6928607793</v>
      </c>
      <c r="O392" s="5">
        <f t="shared" si="7"/>
        <v>129</v>
      </c>
      <c r="Q392" s="5" t="str">
        <f t="shared" si="8"/>
        <v>Northampton|PORTLAND|1140</v>
      </c>
    </row>
    <row r="393" ht="15.0" customHeight="1">
      <c r="A393" s="5" t="s">
        <v>327</v>
      </c>
      <c r="B393" s="5" t="s">
        <v>374</v>
      </c>
      <c r="C393" s="5" t="s">
        <v>238</v>
      </c>
      <c r="D393" s="15">
        <f t="shared" si="1"/>
        <v>1.50935026</v>
      </c>
      <c r="E393" s="15">
        <f t="shared" si="2"/>
        <v>0.9898416366</v>
      </c>
      <c r="F393" s="15">
        <f t="shared" si="3"/>
        <v>0.5093502602</v>
      </c>
      <c r="G393" s="10">
        <f t="shared" si="4"/>
        <v>0.3836887149</v>
      </c>
      <c r="H393" s="2" t="str">
        <f t="shared" si="5"/>
        <v/>
      </c>
      <c r="J393" s="10">
        <f>'Precinct Vote Data'!H1546</f>
        <v>0.4204152249</v>
      </c>
      <c r="K393" s="10">
        <f>'Precinct Vote Data'!H1547</f>
        <v>0.366962306</v>
      </c>
      <c r="L393" s="10">
        <f>'Precinct Vote Data'!H1548</f>
        <v>0.3816568047</v>
      </c>
      <c r="M393" s="10">
        <f>'Precinct Vote Data'!H1549</f>
        <v>0.365720524</v>
      </c>
      <c r="N393" s="15">
        <f t="shared" si="6"/>
        <v>0.5195086236</v>
      </c>
      <c r="O393" s="5">
        <f t="shared" si="7"/>
        <v>82</v>
      </c>
      <c r="Q393" s="5" t="str">
        <f t="shared" si="8"/>
        <v>Northampton|ROSETO|1150</v>
      </c>
    </row>
    <row r="394" ht="15.0" customHeight="1">
      <c r="A394" s="5" t="s">
        <v>327</v>
      </c>
      <c r="B394" s="5" t="s">
        <v>375</v>
      </c>
      <c r="C394" s="5" t="s">
        <v>239</v>
      </c>
      <c r="D394" s="15">
        <f t="shared" si="1"/>
        <v>1.295953752</v>
      </c>
      <c r="E394" s="15">
        <f t="shared" si="2"/>
        <v>0.9716644636</v>
      </c>
      <c r="F394" s="15">
        <f t="shared" si="3"/>
        <v>0.2959537521</v>
      </c>
      <c r="G394" s="10">
        <f t="shared" si="4"/>
        <v>0.4194956443</v>
      </c>
      <c r="H394" s="2" t="str">
        <f t="shared" si="5"/>
        <v>YES</v>
      </c>
      <c r="J394" s="10">
        <f>'Precinct Vote Data'!H1550</f>
        <v>0.4522292994</v>
      </c>
      <c r="K394" s="10">
        <f>'Precinct Vote Data'!H1551</f>
        <v>0.4076923077</v>
      </c>
      <c r="L394" s="10">
        <f>'Precinct Vote Data'!H1552</f>
        <v>0.4134366925</v>
      </c>
      <c r="M394" s="10">
        <f>'Precinct Vote Data'!H1553</f>
        <v>0.4046242775</v>
      </c>
      <c r="N394" s="15">
        <f t="shared" si="6"/>
        <v>0.3242892885</v>
      </c>
      <c r="O394" s="5">
        <f t="shared" si="7"/>
        <v>30</v>
      </c>
      <c r="Q394" s="5" t="str">
        <f t="shared" si="8"/>
        <v>Northampton|STOCKERTOWN|1160</v>
      </c>
    </row>
    <row r="395" ht="15.0" customHeight="1">
      <c r="A395" s="5" t="s">
        <v>327</v>
      </c>
      <c r="B395" s="5" t="s">
        <v>376</v>
      </c>
      <c r="C395" s="5" t="s">
        <v>240</v>
      </c>
      <c r="D395" s="15">
        <f t="shared" si="1"/>
        <v>0.4847051374</v>
      </c>
      <c r="E395" s="15">
        <f t="shared" si="2"/>
        <v>0.3860887602</v>
      </c>
      <c r="F395" s="15">
        <f t="shared" si="3"/>
        <v>0.5152948626</v>
      </c>
      <c r="G395" s="10">
        <f t="shared" si="4"/>
        <v>0.4222240092</v>
      </c>
      <c r="H395" s="2" t="str">
        <f t="shared" si="5"/>
        <v/>
      </c>
      <c r="J395" s="10">
        <f>'Precinct Vote Data'!H1554</f>
        <v>0.4314606742</v>
      </c>
      <c r="K395" s="10">
        <f>'Precinct Vote Data'!H1555</f>
        <v>0.4047619048</v>
      </c>
      <c r="L395" s="10">
        <f>'Precinct Vote Data'!H1556</f>
        <v>0.4331550802</v>
      </c>
      <c r="M395" s="10">
        <f>'Precinct Vote Data'!H1557</f>
        <v>0.4195183777</v>
      </c>
      <c r="N395" s="15">
        <f t="shared" si="6"/>
        <v>1.129206102</v>
      </c>
      <c r="O395" s="5">
        <f t="shared" si="7"/>
        <v>214</v>
      </c>
      <c r="Q395" s="5" t="str">
        <f t="shared" si="8"/>
        <v>Northampton|TATAMY|1170</v>
      </c>
    </row>
    <row r="396" ht="15.0" customHeight="1">
      <c r="A396" s="5" t="s">
        <v>327</v>
      </c>
      <c r="B396" s="5" t="s">
        <v>377</v>
      </c>
      <c r="C396" s="5" t="s">
        <v>241</v>
      </c>
      <c r="D396" s="15">
        <f t="shared" si="1"/>
        <v>1.095722906</v>
      </c>
      <c r="E396" s="15">
        <f t="shared" si="2"/>
        <v>0.8192456662</v>
      </c>
      <c r="F396" s="15">
        <f t="shared" si="3"/>
        <v>0.09572290587</v>
      </c>
      <c r="G396" s="10">
        <f t="shared" si="4"/>
        <v>0.2962104332</v>
      </c>
      <c r="H396" s="2" t="str">
        <f t="shared" si="5"/>
        <v>YES</v>
      </c>
      <c r="J396" s="10">
        <f>'Precinct Vote Data'!H1558</f>
        <v>0.324822695</v>
      </c>
      <c r="K396" s="10">
        <f>'Precinct Vote Data'!H1559</f>
        <v>0.2765531062</v>
      </c>
      <c r="L396" s="10">
        <f>'Precinct Vote Data'!H1560</f>
        <v>0.2919179735</v>
      </c>
      <c r="M396" s="10">
        <f>'Precinct Vote Data'!H1561</f>
        <v>0.2915479582</v>
      </c>
      <c r="N396" s="15">
        <f t="shared" si="6"/>
        <v>0.2764772397</v>
      </c>
      <c r="O396" s="5">
        <f t="shared" si="7"/>
        <v>24</v>
      </c>
      <c r="Q396" s="5" t="str">
        <f t="shared" si="8"/>
        <v>Northampton|UPPER MT BETHEL|1180</v>
      </c>
    </row>
    <row r="397" ht="15.0" customHeight="1">
      <c r="A397" s="5" t="s">
        <v>327</v>
      </c>
      <c r="B397" s="5" t="s">
        <v>377</v>
      </c>
      <c r="C397" s="5" t="s">
        <v>242</v>
      </c>
      <c r="D397" s="15">
        <f t="shared" si="1"/>
        <v>1.541682807</v>
      </c>
      <c r="E397" s="15">
        <f t="shared" si="2"/>
        <v>0.9525664826</v>
      </c>
      <c r="F397" s="15">
        <f t="shared" si="3"/>
        <v>0.5416828071</v>
      </c>
      <c r="G397" s="10">
        <f t="shared" si="4"/>
        <v>0.3388298588</v>
      </c>
      <c r="H397" s="2" t="str">
        <f t="shared" si="5"/>
        <v/>
      </c>
      <c r="J397" s="10">
        <f>'Precinct Vote Data'!H1562</f>
        <v>0.3784313725</v>
      </c>
      <c r="K397" s="10">
        <f>'Precinct Vote Data'!H1563</f>
        <v>0.3242857143</v>
      </c>
      <c r="L397" s="10">
        <f>'Precinct Vote Data'!H1564</f>
        <v>0.3299319728</v>
      </c>
      <c r="M397" s="10">
        <f>'Precinct Vote Data'!H1565</f>
        <v>0.3226703755</v>
      </c>
      <c r="N397" s="15">
        <f t="shared" si="6"/>
        <v>0.5891163244</v>
      </c>
      <c r="O397" s="5">
        <f t="shared" si="7"/>
        <v>100</v>
      </c>
      <c r="Q397" s="5" t="str">
        <f t="shared" si="8"/>
        <v>Northampton|UPPER MT BETHEL|1190</v>
      </c>
    </row>
    <row r="398" ht="15.0" customHeight="1">
      <c r="A398" s="5" t="s">
        <v>327</v>
      </c>
      <c r="B398" s="5" t="s">
        <v>377</v>
      </c>
      <c r="C398" s="5" t="s">
        <v>243</v>
      </c>
      <c r="D398" s="15">
        <f t="shared" si="1"/>
        <v>1.802488847</v>
      </c>
      <c r="E398" s="15">
        <f t="shared" si="2"/>
        <v>0.9982515408</v>
      </c>
      <c r="F398" s="15">
        <f t="shared" si="3"/>
        <v>0.8024888473</v>
      </c>
      <c r="G398" s="10">
        <f t="shared" si="4"/>
        <v>0.2973263563</v>
      </c>
      <c r="H398" s="2" t="str">
        <f t="shared" si="5"/>
        <v/>
      </c>
      <c r="J398" s="10">
        <f>'Precinct Vote Data'!H1566</f>
        <v>0.3399503722</v>
      </c>
      <c r="K398" s="10">
        <f>'Precinct Vote Data'!H1567</f>
        <v>0.2821782178</v>
      </c>
      <c r="L398" s="10">
        <f>'Precinct Vote Data'!H1568</f>
        <v>0.2966601179</v>
      </c>
      <c r="M398" s="10">
        <f>'Precinct Vote Data'!H1569</f>
        <v>0.2705167173</v>
      </c>
      <c r="N398" s="15">
        <f t="shared" si="6"/>
        <v>0.8042373065</v>
      </c>
      <c r="O398" s="5">
        <f t="shared" si="7"/>
        <v>157</v>
      </c>
      <c r="Q398" s="5" t="str">
        <f t="shared" si="8"/>
        <v>Northampton|UPPER MT BETHEL|1200</v>
      </c>
    </row>
    <row r="399" ht="15.0" customHeight="1">
      <c r="A399" s="5" t="s">
        <v>327</v>
      </c>
      <c r="B399" s="5" t="s">
        <v>377</v>
      </c>
      <c r="C399" s="5" t="s">
        <v>245</v>
      </c>
      <c r="D399" s="15">
        <f t="shared" si="1"/>
        <v>1.095434231</v>
      </c>
      <c r="E399" s="15">
        <f t="shared" si="2"/>
        <v>0.6097262119</v>
      </c>
      <c r="F399" s="15">
        <f t="shared" si="3"/>
        <v>0.09543423074</v>
      </c>
      <c r="G399" s="10">
        <f t="shared" si="4"/>
        <v>0.3287691894</v>
      </c>
      <c r="H399" s="2" t="str">
        <f t="shared" si="5"/>
        <v/>
      </c>
      <c r="J399" s="10">
        <f>'Precinct Vote Data'!H1570</f>
        <v>0.3493975904</v>
      </c>
      <c r="K399" s="10">
        <f>'Precinct Vote Data'!H1571</f>
        <v>0.3316498316</v>
      </c>
      <c r="L399" s="10">
        <f>'Precinct Vote Data'!H1572</f>
        <v>0.3389473684</v>
      </c>
      <c r="M399" s="10">
        <f>'Precinct Vote Data'!H1573</f>
        <v>0.2950819672</v>
      </c>
      <c r="N399" s="15">
        <f t="shared" si="6"/>
        <v>0.4857080188</v>
      </c>
      <c r="O399" s="5">
        <f t="shared" si="7"/>
        <v>72</v>
      </c>
      <c r="Q399" s="5" t="str">
        <f t="shared" si="8"/>
        <v>Northampton|UPPER MT BETHEL|1210</v>
      </c>
    </row>
    <row r="400" ht="15.0" customHeight="1">
      <c r="A400" s="5" t="s">
        <v>327</v>
      </c>
      <c r="B400" s="5" t="s">
        <v>377</v>
      </c>
      <c r="C400" s="5" t="s">
        <v>246</v>
      </c>
      <c r="D400" s="15">
        <f t="shared" si="1"/>
        <v>1.005896132</v>
      </c>
      <c r="E400" s="15">
        <f t="shared" si="2"/>
        <v>0.8876287115</v>
      </c>
      <c r="F400" s="15">
        <f t="shared" si="3"/>
        <v>0.00589613248</v>
      </c>
      <c r="G400" s="10">
        <f t="shared" si="4"/>
        <v>0.3855893746</v>
      </c>
      <c r="H400" s="2" t="str">
        <f t="shared" si="5"/>
        <v>YES</v>
      </c>
      <c r="J400" s="10">
        <f>'Precinct Vote Data'!H1574</f>
        <v>0.4090202177</v>
      </c>
      <c r="K400" s="10">
        <f>'Precinct Vote Data'!H1575</f>
        <v>0.3680175246</v>
      </c>
      <c r="L400" s="10">
        <f>'Precinct Vote Data'!H1576</f>
        <v>0.3895027624</v>
      </c>
      <c r="M400" s="10">
        <f>'Precinct Vote Data'!H1577</f>
        <v>0.3758169935</v>
      </c>
      <c r="N400" s="15">
        <f t="shared" si="6"/>
        <v>0.118267421</v>
      </c>
      <c r="O400" s="5">
        <f t="shared" si="7"/>
        <v>4</v>
      </c>
      <c r="Q400" s="5" t="str">
        <f t="shared" si="8"/>
        <v>Northampton|UPPER MT BETHEL|1220</v>
      </c>
    </row>
    <row r="401" ht="15.0" customHeight="1">
      <c r="A401" s="5" t="s">
        <v>327</v>
      </c>
      <c r="B401" s="5" t="s">
        <v>378</v>
      </c>
      <c r="C401" s="5" t="s">
        <v>247</v>
      </c>
      <c r="D401" s="15">
        <f t="shared" si="1"/>
        <v>0.8645797537</v>
      </c>
      <c r="E401" s="15">
        <f t="shared" si="2"/>
        <v>0.3928671975</v>
      </c>
      <c r="F401" s="15">
        <f t="shared" si="3"/>
        <v>0.1354202463</v>
      </c>
      <c r="G401" s="10">
        <f t="shared" si="4"/>
        <v>0.4857733173</v>
      </c>
      <c r="H401" s="2" t="str">
        <f t="shared" si="5"/>
        <v/>
      </c>
      <c r="J401" s="10">
        <f>'Precinct Vote Data'!H1578</f>
        <v>0.5010893246</v>
      </c>
      <c r="K401" s="10">
        <f>'Precinct Vote Data'!H1579</f>
        <v>0.4569719282</v>
      </c>
      <c r="L401" s="10">
        <f>'Precinct Vote Data'!H1580</f>
        <v>0.5077092511</v>
      </c>
      <c r="M401" s="10">
        <f>'Precinct Vote Data'!H1581</f>
        <v>0.4773227653</v>
      </c>
      <c r="N401" s="15">
        <f t="shared" si="6"/>
        <v>0.7425530488</v>
      </c>
      <c r="O401" s="5">
        <f t="shared" si="7"/>
        <v>146</v>
      </c>
      <c r="Q401" s="5" t="str">
        <f t="shared" si="8"/>
        <v>Northampton|UPPER NAZARETH|1230</v>
      </c>
    </row>
    <row r="402" ht="15.0" customHeight="1">
      <c r="A402" s="5" t="s">
        <v>327</v>
      </c>
      <c r="B402" s="5" t="s">
        <v>378</v>
      </c>
      <c r="C402" s="5" t="s">
        <v>248</v>
      </c>
      <c r="D402" s="15">
        <f t="shared" si="1"/>
        <v>0.5858190127</v>
      </c>
      <c r="E402" s="15">
        <f t="shared" si="2"/>
        <v>0.9452846254</v>
      </c>
      <c r="F402" s="15">
        <f t="shared" si="3"/>
        <v>0.4141809873</v>
      </c>
      <c r="G402" s="10">
        <f t="shared" si="4"/>
        <v>0.484204301</v>
      </c>
      <c r="H402" s="2" t="str">
        <f t="shared" si="5"/>
        <v/>
      </c>
      <c r="J402" s="10">
        <f>'Precinct Vote Data'!H1582</f>
        <v>0.4982547993</v>
      </c>
      <c r="K402" s="10">
        <f>'Precinct Vote Data'!H1583</f>
        <v>0.4755205402</v>
      </c>
      <c r="L402" s="10">
        <f>'Precinct Vote Data'!H1584</f>
        <v>0.4847809948</v>
      </c>
      <c r="M402" s="10">
        <f>'Precinct Vote Data'!H1585</f>
        <v>0.4782608696</v>
      </c>
      <c r="N402" s="15">
        <f t="shared" si="6"/>
        <v>0.4688963618</v>
      </c>
      <c r="O402" s="5">
        <f t="shared" si="7"/>
        <v>69</v>
      </c>
      <c r="Q402" s="5" t="str">
        <f t="shared" si="8"/>
        <v>Northampton|UPPER NAZARETH|1240</v>
      </c>
    </row>
    <row r="403" ht="15.0" customHeight="1">
      <c r="A403" s="5" t="s">
        <v>327</v>
      </c>
      <c r="B403" s="5" t="s">
        <v>379</v>
      </c>
      <c r="C403" s="5" t="s">
        <v>254</v>
      </c>
      <c r="D403" s="15">
        <f t="shared" si="1"/>
        <v>0.9393213446</v>
      </c>
      <c r="E403" s="15">
        <f t="shared" si="2"/>
        <v>0.6169934668</v>
      </c>
      <c r="F403" s="15">
        <f t="shared" si="3"/>
        <v>0.06067865543</v>
      </c>
      <c r="G403" s="10">
        <f t="shared" si="4"/>
        <v>0.4036614496</v>
      </c>
      <c r="H403" s="2" t="str">
        <f t="shared" si="5"/>
        <v/>
      </c>
      <c r="J403" s="10">
        <f>'Precinct Vote Data'!H1586</f>
        <v>0.4208754209</v>
      </c>
      <c r="K403" s="10">
        <f>'Precinct Vote Data'!H1587</f>
        <v>0.3851626016</v>
      </c>
      <c r="L403" s="10">
        <f>'Precinct Vote Data'!H1588</f>
        <v>0.4212707182</v>
      </c>
      <c r="M403" s="10">
        <f>'Precinct Vote Data'!H1589</f>
        <v>0.3873370577</v>
      </c>
      <c r="N403" s="15">
        <f t="shared" si="6"/>
        <v>0.4436851886</v>
      </c>
      <c r="O403" s="5">
        <f t="shared" si="7"/>
        <v>59</v>
      </c>
      <c r="Q403" s="5" t="str">
        <f t="shared" si="8"/>
        <v>Northampton|WALNUTPORT|1250</v>
      </c>
    </row>
    <row r="404" ht="15.0" customHeight="1">
      <c r="A404" s="5" t="s">
        <v>327</v>
      </c>
      <c r="B404" s="5" t="s">
        <v>263</v>
      </c>
      <c r="C404" s="5" t="s">
        <v>255</v>
      </c>
      <c r="D404" s="15">
        <f t="shared" si="1"/>
        <v>1.482279437</v>
      </c>
      <c r="E404" s="15">
        <f t="shared" si="2"/>
        <v>0.9931403048</v>
      </c>
      <c r="F404" s="15">
        <f t="shared" si="3"/>
        <v>0.482279437</v>
      </c>
      <c r="G404" s="10">
        <f t="shared" si="4"/>
        <v>0.3511549741</v>
      </c>
      <c r="H404" s="2" t="str">
        <f t="shared" si="5"/>
        <v/>
      </c>
      <c r="J404" s="10">
        <f>'Precinct Vote Data'!H1590</f>
        <v>0.3864598025</v>
      </c>
      <c r="K404" s="10">
        <f>'Precinct Vote Data'!H1591</f>
        <v>0.3404071026</v>
      </c>
      <c r="L404" s="10">
        <f>'Precinct Vote Data'!H1592</f>
        <v>0.3492769744</v>
      </c>
      <c r="M404" s="10">
        <f>'Precinct Vote Data'!H1593</f>
        <v>0.328476017</v>
      </c>
      <c r="N404" s="15">
        <f t="shared" si="6"/>
        <v>0.4891391322</v>
      </c>
      <c r="O404" s="5">
        <f t="shared" si="7"/>
        <v>74</v>
      </c>
      <c r="Q404" s="5" t="str">
        <f t="shared" si="8"/>
        <v>Northampton|WASHINGTON|1260</v>
      </c>
    </row>
    <row r="405" ht="15.0" customHeight="1">
      <c r="A405" s="5" t="s">
        <v>327</v>
      </c>
      <c r="B405" s="5" t="s">
        <v>263</v>
      </c>
      <c r="C405" s="5" t="s">
        <v>257</v>
      </c>
      <c r="D405" s="15">
        <f t="shared" si="1"/>
        <v>1.44757017</v>
      </c>
      <c r="E405" s="15">
        <f t="shared" si="2"/>
        <v>0.9517569569</v>
      </c>
      <c r="F405" s="15">
        <f t="shared" si="3"/>
        <v>0.4475701703</v>
      </c>
      <c r="G405" s="10">
        <f t="shared" si="4"/>
        <v>0.3642352059</v>
      </c>
      <c r="H405" s="2" t="str">
        <f t="shared" si="5"/>
        <v/>
      </c>
      <c r="J405" s="10">
        <f>'Precinct Vote Data'!H1594</f>
        <v>0.3963963964</v>
      </c>
      <c r="K405" s="10">
        <f>'Precinct Vote Data'!H1595</f>
        <v>0.3544668588</v>
      </c>
      <c r="L405" s="10">
        <f>'Precinct Vote Data'!H1596</f>
        <v>0.3686956522</v>
      </c>
      <c r="M405" s="10">
        <f>'Precinct Vote Data'!H1597</f>
        <v>0.3373819163</v>
      </c>
      <c r="N405" s="15">
        <f t="shared" si="6"/>
        <v>0.4958132135</v>
      </c>
      <c r="O405" s="5">
        <f t="shared" si="7"/>
        <v>77</v>
      </c>
      <c r="Q405" s="5" t="str">
        <f t="shared" si="8"/>
        <v>Northampton|WASHINGTON|1270</v>
      </c>
    </row>
    <row r="406" ht="15.0" customHeight="1">
      <c r="A406" s="5" t="s">
        <v>327</v>
      </c>
      <c r="B406" s="5" t="s">
        <v>380</v>
      </c>
      <c r="C406" s="5" t="s">
        <v>258</v>
      </c>
      <c r="D406" s="15">
        <f t="shared" si="1"/>
        <v>2.131826018</v>
      </c>
      <c r="E406" s="15">
        <f t="shared" si="2"/>
        <v>0.7328374727</v>
      </c>
      <c r="F406" s="15">
        <f t="shared" si="3"/>
        <v>1.131826018</v>
      </c>
      <c r="G406" s="10">
        <f t="shared" si="4"/>
        <v>0.4810990968</v>
      </c>
      <c r="H406" s="2" t="str">
        <f t="shared" si="5"/>
        <v/>
      </c>
      <c r="J406" s="10">
        <f>'Precinct Vote Data'!H1598</f>
        <v>0.5352112676</v>
      </c>
      <c r="K406" s="10">
        <f>'Precinct Vote Data'!H1599</f>
        <v>0.4330434783</v>
      </c>
      <c r="L406" s="10">
        <f>'Precinct Vote Data'!H1600</f>
        <v>0.4806763285</v>
      </c>
      <c r="M406" s="10">
        <f>'Precinct Vote Data'!H1601</f>
        <v>0.475465313</v>
      </c>
      <c r="N406" s="15">
        <f t="shared" si="6"/>
        <v>1.398988545</v>
      </c>
      <c r="O406" s="5">
        <f t="shared" si="7"/>
        <v>263</v>
      </c>
      <c r="Q406" s="5" t="str">
        <f t="shared" si="8"/>
        <v>Northampton|WEST EASTON|1280</v>
      </c>
    </row>
    <row r="407" ht="15.0" customHeight="1">
      <c r="A407" s="5" t="s">
        <v>327</v>
      </c>
      <c r="B407" s="5" t="s">
        <v>381</v>
      </c>
      <c r="C407" s="5" t="s">
        <v>259</v>
      </c>
      <c r="D407" s="15">
        <f t="shared" si="1"/>
        <v>1.358494545</v>
      </c>
      <c r="E407" s="15">
        <f t="shared" si="2"/>
        <v>0.8660713978</v>
      </c>
      <c r="F407" s="15">
        <f t="shared" si="3"/>
        <v>0.3584945446</v>
      </c>
      <c r="G407" s="10">
        <f t="shared" si="4"/>
        <v>0.4307607256</v>
      </c>
      <c r="H407" s="2" t="str">
        <f t="shared" si="5"/>
        <v/>
      </c>
      <c r="J407" s="10">
        <f>'Precinct Vote Data'!H1602</f>
        <v>0.4626865672</v>
      </c>
      <c r="K407" s="10">
        <f>'Precinct Vote Data'!H1603</f>
        <v>0.4057341442</v>
      </c>
      <c r="L407" s="10">
        <f>'Precinct Vote Data'!H1604</f>
        <v>0.4357142857</v>
      </c>
      <c r="M407" s="10">
        <f>'Precinct Vote Data'!H1605</f>
        <v>0.4189079055</v>
      </c>
      <c r="N407" s="15">
        <f t="shared" si="6"/>
        <v>0.4924231468</v>
      </c>
      <c r="O407" s="5">
        <f t="shared" si="7"/>
        <v>76</v>
      </c>
      <c r="Q407" s="5" t="str">
        <f t="shared" si="8"/>
        <v>Northampton|WILLIAMS|1290</v>
      </c>
    </row>
    <row r="408" ht="15.0" customHeight="1">
      <c r="A408" s="5" t="s">
        <v>327</v>
      </c>
      <c r="B408" s="5" t="s">
        <v>381</v>
      </c>
      <c r="C408" s="5" t="s">
        <v>260</v>
      </c>
      <c r="D408" s="15">
        <f t="shared" si="1"/>
        <v>0.9204539047</v>
      </c>
      <c r="E408" s="15">
        <f t="shared" si="2"/>
        <v>0.6249623138</v>
      </c>
      <c r="F408" s="15">
        <f t="shared" si="3"/>
        <v>0.0795460953</v>
      </c>
      <c r="G408" s="10">
        <f t="shared" si="4"/>
        <v>0.3950335098</v>
      </c>
      <c r="H408" s="2" t="str">
        <f t="shared" si="5"/>
        <v/>
      </c>
      <c r="J408" s="10">
        <f>'Precinct Vote Data'!H1606</f>
        <v>0.4171428571</v>
      </c>
      <c r="K408" s="10">
        <f>'Precinct Vote Data'!H1607</f>
        <v>0.3698366955</v>
      </c>
      <c r="L408" s="10">
        <f>'Precinct Vote Data'!H1608</f>
        <v>0.4</v>
      </c>
      <c r="M408" s="10">
        <f>'Precinct Vote Data'!H1609</f>
        <v>0.3931544866</v>
      </c>
      <c r="N408" s="15">
        <f t="shared" si="6"/>
        <v>0.4545837815</v>
      </c>
      <c r="O408" s="5">
        <f t="shared" si="7"/>
        <v>65</v>
      </c>
      <c r="Q408" s="5" t="str">
        <f t="shared" si="8"/>
        <v>Northampton|WILLIAMS|1300</v>
      </c>
    </row>
    <row r="409" ht="15.0" customHeight="1">
      <c r="A409" s="5" t="s">
        <v>327</v>
      </c>
      <c r="B409" s="5" t="s">
        <v>381</v>
      </c>
      <c r="C409" s="5" t="s">
        <v>264</v>
      </c>
      <c r="D409" s="15">
        <f t="shared" si="1"/>
        <v>-0.544804645</v>
      </c>
      <c r="E409" s="15">
        <f t="shared" si="2"/>
        <v>0.8042830726</v>
      </c>
      <c r="F409" s="15">
        <f t="shared" si="3"/>
        <v>1.544804645</v>
      </c>
      <c r="G409" s="10">
        <f t="shared" si="4"/>
        <v>0.4891732468</v>
      </c>
      <c r="H409" s="2" t="str">
        <f t="shared" si="5"/>
        <v/>
      </c>
      <c r="J409" s="10">
        <f>'Precinct Vote Data'!H1610</f>
        <v>0.4775561097</v>
      </c>
      <c r="K409" s="10">
        <f>'Precinct Vote Data'!H1611</f>
        <v>0.4893449092</v>
      </c>
      <c r="L409" s="10">
        <f>'Precinct Vote Data'!H1612</f>
        <v>0.4873765093</v>
      </c>
      <c r="M409" s="10">
        <f>'Precinct Vote Data'!H1613</f>
        <v>0.5024154589</v>
      </c>
      <c r="N409" s="15">
        <f t="shared" si="6"/>
        <v>1.740521572</v>
      </c>
      <c r="O409" s="5">
        <f t="shared" si="7"/>
        <v>316</v>
      </c>
      <c r="Q409" s="5" t="str">
        <f t="shared" si="8"/>
        <v>Northampton|WILLIAMS|1310</v>
      </c>
    </row>
    <row r="410" ht="15.0" customHeight="1">
      <c r="A410" s="5" t="s">
        <v>327</v>
      </c>
      <c r="B410" s="5" t="s">
        <v>381</v>
      </c>
      <c r="C410" s="5" t="s">
        <v>265</v>
      </c>
      <c r="D410" s="15">
        <f t="shared" si="1"/>
        <v>1.658765718</v>
      </c>
      <c r="E410" s="15">
        <f t="shared" si="2"/>
        <v>0.9280264945</v>
      </c>
      <c r="F410" s="15">
        <f t="shared" si="3"/>
        <v>0.6587657175</v>
      </c>
      <c r="G410" s="10">
        <f t="shared" si="4"/>
        <v>0.4343332255</v>
      </c>
      <c r="H410" s="2" t="str">
        <f t="shared" si="5"/>
        <v/>
      </c>
      <c r="J410" s="10">
        <f>'Precinct Vote Data'!H1614</f>
        <v>0.4751908397</v>
      </c>
      <c r="K410" s="10">
        <f>'Precinct Vote Data'!H1615</f>
        <v>0.4294032023</v>
      </c>
      <c r="L410" s="10">
        <f>'Precinct Vote Data'!H1616</f>
        <v>0.425862069</v>
      </c>
      <c r="M410" s="10">
        <f>'Precinct Vote Data'!H1617</f>
        <v>0.4068767908</v>
      </c>
      <c r="N410" s="15">
        <f t="shared" si="6"/>
        <v>0.7307392231</v>
      </c>
      <c r="O410" s="5">
        <f t="shared" si="7"/>
        <v>140</v>
      </c>
      <c r="Q410" s="5" t="str">
        <f t="shared" si="8"/>
        <v>Northampton|WILLIAMS|1320</v>
      </c>
    </row>
    <row r="411" ht="15.0" customHeight="1">
      <c r="A411" s="5" t="s">
        <v>327</v>
      </c>
      <c r="B411" s="5" t="s">
        <v>382</v>
      </c>
      <c r="C411" s="5" t="s">
        <v>266</v>
      </c>
      <c r="D411" s="15">
        <f t="shared" si="1"/>
        <v>1.071165272</v>
      </c>
      <c r="E411" s="15">
        <f t="shared" si="2"/>
        <v>0.7618376004</v>
      </c>
      <c r="F411" s="15">
        <f t="shared" si="3"/>
        <v>0.07116527241</v>
      </c>
      <c r="G411" s="10">
        <f t="shared" si="4"/>
        <v>0.601094086</v>
      </c>
      <c r="H411" s="2" t="str">
        <f t="shared" si="5"/>
        <v>YES</v>
      </c>
      <c r="J411" s="10">
        <f>'Precinct Vote Data'!H1618</f>
        <v>0.6224961479</v>
      </c>
      <c r="K411" s="10">
        <f>'Precinct Vote Data'!H1619</f>
        <v>0.5830223881</v>
      </c>
      <c r="L411" s="10">
        <f>'Precinct Vote Data'!H1620</f>
        <v>0.6150740242</v>
      </c>
      <c r="M411" s="10">
        <f>'Precinct Vote Data'!H1621</f>
        <v>0.5837837838</v>
      </c>
      <c r="N411" s="15">
        <f t="shared" si="6"/>
        <v>0.309327672</v>
      </c>
      <c r="O411" s="5">
        <f t="shared" si="7"/>
        <v>27</v>
      </c>
      <c r="Q411" s="5" t="str">
        <f t="shared" si="8"/>
        <v>Northampton|WILSON|1330</v>
      </c>
    </row>
    <row r="412" ht="15.0" customHeight="1">
      <c r="A412" s="5" t="s">
        <v>327</v>
      </c>
      <c r="B412" s="5" t="s">
        <v>382</v>
      </c>
      <c r="C412" s="5" t="s">
        <v>268</v>
      </c>
      <c r="D412" s="15">
        <f t="shared" si="1"/>
        <v>2.32714809</v>
      </c>
      <c r="E412" s="15">
        <f t="shared" si="2"/>
        <v>0.9798584119</v>
      </c>
      <c r="F412" s="15">
        <f t="shared" si="3"/>
        <v>1.32714809</v>
      </c>
      <c r="G412" s="10">
        <f t="shared" si="4"/>
        <v>0.5879177922</v>
      </c>
      <c r="H412" s="2" t="str">
        <f t="shared" si="5"/>
        <v/>
      </c>
      <c r="J412" s="10">
        <f>'Precinct Vote Data'!H1622</f>
        <v>0.6431226766</v>
      </c>
      <c r="K412" s="10">
        <f>'Precinct Vote Data'!H1623</f>
        <v>0.5742793792</v>
      </c>
      <c r="L412" s="10">
        <f>'Precinct Vote Data'!H1624</f>
        <v>0.5844370861</v>
      </c>
      <c r="M412" s="10">
        <f>'Precinct Vote Data'!H1625</f>
        <v>0.5498320269</v>
      </c>
      <c r="N412" s="15">
        <f t="shared" si="6"/>
        <v>1.347289678</v>
      </c>
      <c r="O412" s="5">
        <f t="shared" si="7"/>
        <v>257</v>
      </c>
      <c r="Q412" s="5" t="str">
        <f t="shared" si="8"/>
        <v>Northampton|WILSON|1340</v>
      </c>
    </row>
    <row r="413" ht="15.0" customHeight="1">
      <c r="A413" s="5" t="s">
        <v>327</v>
      </c>
      <c r="B413" s="5" t="s">
        <v>382</v>
      </c>
      <c r="C413" s="5" t="s">
        <v>270</v>
      </c>
      <c r="D413" s="15">
        <f t="shared" si="1"/>
        <v>1.288431401</v>
      </c>
      <c r="E413" s="15">
        <f t="shared" si="2"/>
        <v>0.7205380239</v>
      </c>
      <c r="F413" s="15">
        <f t="shared" si="3"/>
        <v>0.2884314013</v>
      </c>
      <c r="G413" s="10">
        <f t="shared" si="4"/>
        <v>0.5444313284</v>
      </c>
      <c r="H413" s="2" t="str">
        <f t="shared" si="5"/>
        <v/>
      </c>
      <c r="J413" s="10">
        <f>'Precinct Vote Data'!H1626</f>
        <v>0.5712643678</v>
      </c>
      <c r="K413" s="10">
        <f>'Precinct Vote Data'!H1627</f>
        <v>0.5168776371</v>
      </c>
      <c r="L413" s="10">
        <f>'Precinct Vote Data'!H1628</f>
        <v>0.5602536998</v>
      </c>
      <c r="M413" s="10">
        <f>'Precinct Vote Data'!H1629</f>
        <v>0.5293296089</v>
      </c>
      <c r="N413" s="15">
        <f t="shared" si="6"/>
        <v>0.5678933774</v>
      </c>
      <c r="O413" s="5">
        <f t="shared" si="7"/>
        <v>97</v>
      </c>
      <c r="Q413" s="5" t="str">
        <f t="shared" si="8"/>
        <v>Northampton|WILSON|1350</v>
      </c>
    </row>
    <row r="414" ht="15.0" customHeight="1">
      <c r="A414" s="5" t="s">
        <v>327</v>
      </c>
      <c r="B414" s="5" t="s">
        <v>383</v>
      </c>
      <c r="C414" s="5" t="s">
        <v>271</v>
      </c>
      <c r="D414" s="15">
        <f t="shared" si="1"/>
        <v>1.127112427</v>
      </c>
      <c r="E414" s="15">
        <f t="shared" si="2"/>
        <v>0.4292644162</v>
      </c>
      <c r="F414" s="15">
        <f t="shared" si="3"/>
        <v>0.1271124268</v>
      </c>
      <c r="G414" s="10">
        <f t="shared" si="4"/>
        <v>0.4301953238</v>
      </c>
      <c r="H414" s="2" t="str">
        <f t="shared" si="5"/>
        <v/>
      </c>
      <c r="J414" s="10">
        <f>'Precinct Vote Data'!H1630</f>
        <v>0.4530663329</v>
      </c>
      <c r="K414" s="10">
        <f>'Precinct Vote Data'!H1631</f>
        <v>0.3910700539</v>
      </c>
      <c r="L414" s="10">
        <f>'Precinct Vote Data'!H1632</f>
        <v>0.4511415525</v>
      </c>
      <c r="M414" s="10">
        <f>'Precinct Vote Data'!H1633</f>
        <v>0.4255033557</v>
      </c>
      <c r="N414" s="15">
        <f t="shared" si="6"/>
        <v>0.6978480106</v>
      </c>
      <c r="O414" s="5">
        <f t="shared" si="7"/>
        <v>130</v>
      </c>
      <c r="Q414" s="5" t="str">
        <f t="shared" si="8"/>
        <v>Northampton|WIND GAP|1360</v>
      </c>
    </row>
    <row r="415" ht="15.75" customHeight="1">
      <c r="A415" s="9"/>
      <c r="B415" s="9"/>
      <c r="C415" s="9"/>
      <c r="D415" s="9"/>
      <c r="E415" s="9"/>
      <c r="F415" s="9"/>
      <c r="G415" s="9"/>
      <c r="H415" s="9"/>
      <c r="J415" s="9"/>
      <c r="K415" s="9"/>
      <c r="L415" s="9"/>
      <c r="M415" s="9"/>
      <c r="N415" s="9"/>
      <c r="O415" s="9"/>
      <c r="Q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J416" s="9"/>
      <c r="K416" s="9"/>
      <c r="L416" s="9"/>
      <c r="M416" s="9"/>
      <c r="N416" s="9"/>
      <c r="O416" s="9"/>
      <c r="Q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J417" s="9"/>
      <c r="K417" s="9"/>
      <c r="L417" s="9"/>
      <c r="M417" s="9"/>
      <c r="N417" s="9"/>
      <c r="O417" s="9"/>
      <c r="Q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J418" s="9"/>
      <c r="K418" s="9"/>
      <c r="L418" s="9"/>
      <c r="M418" s="9"/>
      <c r="N418" s="9"/>
      <c r="O418" s="9"/>
      <c r="Q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J419" s="9"/>
      <c r="K419" s="9"/>
      <c r="L419" s="9"/>
      <c r="M419" s="9"/>
      <c r="N419" s="9"/>
      <c r="O419" s="9"/>
      <c r="Q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J420" s="9"/>
      <c r="K420" s="9"/>
      <c r="L420" s="9"/>
      <c r="M420" s="9"/>
      <c r="N420" s="9"/>
      <c r="O420" s="9"/>
      <c r="Q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J421" s="9"/>
      <c r="K421" s="9"/>
      <c r="L421" s="9"/>
      <c r="M421" s="9"/>
      <c r="N421" s="9"/>
      <c r="O421" s="9"/>
      <c r="Q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J422" s="9"/>
      <c r="K422" s="9"/>
      <c r="L422" s="9"/>
      <c r="M422" s="9"/>
      <c r="N422" s="9"/>
      <c r="O422" s="9"/>
      <c r="Q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J423" s="9"/>
      <c r="K423" s="9"/>
      <c r="L423" s="9"/>
      <c r="M423" s="9"/>
      <c r="N423" s="9"/>
      <c r="O423" s="9"/>
      <c r="Q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J424" s="9"/>
      <c r="K424" s="9"/>
      <c r="L424" s="9"/>
      <c r="M424" s="9"/>
      <c r="N424" s="9"/>
      <c r="O424" s="9"/>
      <c r="Q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J425" s="9"/>
      <c r="K425" s="9"/>
      <c r="L425" s="9"/>
      <c r="M425" s="9"/>
      <c r="N425" s="9"/>
      <c r="O425" s="9"/>
      <c r="Q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J426" s="9"/>
      <c r="K426" s="9"/>
      <c r="L426" s="9"/>
      <c r="M426" s="9"/>
      <c r="N426" s="9"/>
      <c r="O426" s="9"/>
      <c r="Q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J427" s="9"/>
      <c r="K427" s="9"/>
      <c r="L427" s="9"/>
      <c r="M427" s="9"/>
      <c r="N427" s="9"/>
      <c r="O427" s="9"/>
      <c r="Q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J428" s="9"/>
      <c r="K428" s="9"/>
      <c r="L428" s="9"/>
      <c r="M428" s="9"/>
      <c r="N428" s="9"/>
      <c r="O428" s="9"/>
      <c r="Q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J429" s="9"/>
      <c r="K429" s="9"/>
      <c r="L429" s="9"/>
      <c r="M429" s="9"/>
      <c r="N429" s="9"/>
      <c r="O429" s="9"/>
      <c r="Q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J430" s="9"/>
      <c r="K430" s="9"/>
      <c r="L430" s="9"/>
      <c r="M430" s="9"/>
      <c r="N430" s="9"/>
      <c r="O430" s="9"/>
      <c r="Q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J431" s="9"/>
      <c r="K431" s="9"/>
      <c r="L431" s="9"/>
      <c r="M431" s="9"/>
      <c r="N431" s="9"/>
      <c r="O431" s="9"/>
      <c r="Q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J432" s="9"/>
      <c r="K432" s="9"/>
      <c r="L432" s="9"/>
      <c r="M432" s="9"/>
      <c r="N432" s="9"/>
      <c r="O432" s="9"/>
      <c r="Q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J433" s="9"/>
      <c r="K433" s="9"/>
      <c r="L433" s="9"/>
      <c r="M433" s="9"/>
      <c r="N433" s="9"/>
      <c r="O433" s="9"/>
      <c r="Q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J434" s="9"/>
      <c r="K434" s="9"/>
      <c r="L434" s="9"/>
      <c r="M434" s="9"/>
      <c r="N434" s="9"/>
      <c r="O434" s="9"/>
      <c r="Q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J435" s="9"/>
      <c r="K435" s="9"/>
      <c r="L435" s="9"/>
      <c r="M435" s="9"/>
      <c r="N435" s="9"/>
      <c r="O435" s="9"/>
      <c r="Q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J436" s="9"/>
      <c r="K436" s="9"/>
      <c r="L436" s="9"/>
      <c r="M436" s="9"/>
      <c r="N436" s="9"/>
      <c r="O436" s="9"/>
      <c r="Q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J437" s="9"/>
      <c r="K437" s="9"/>
      <c r="L437" s="9"/>
      <c r="M437" s="9"/>
      <c r="N437" s="9"/>
      <c r="O437" s="9"/>
      <c r="Q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J438" s="9"/>
      <c r="K438" s="9"/>
      <c r="L438" s="9"/>
      <c r="M438" s="9"/>
      <c r="N438" s="9"/>
      <c r="O438" s="9"/>
      <c r="Q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J439" s="9"/>
      <c r="K439" s="9"/>
      <c r="L439" s="9"/>
      <c r="M439" s="9"/>
      <c r="N439" s="9"/>
      <c r="O439" s="9"/>
      <c r="Q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J440" s="9"/>
      <c r="K440" s="9"/>
      <c r="L440" s="9"/>
      <c r="M440" s="9"/>
      <c r="N440" s="9"/>
      <c r="O440" s="9"/>
      <c r="Q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J441" s="9"/>
      <c r="K441" s="9"/>
      <c r="L441" s="9"/>
      <c r="M441" s="9"/>
      <c r="N441" s="9"/>
      <c r="O441" s="9"/>
      <c r="Q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J442" s="9"/>
      <c r="K442" s="9"/>
      <c r="L442" s="9"/>
      <c r="M442" s="9"/>
      <c r="N442" s="9"/>
      <c r="O442" s="9"/>
      <c r="Q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J443" s="9"/>
      <c r="K443" s="9"/>
      <c r="L443" s="9"/>
      <c r="M443" s="9"/>
      <c r="N443" s="9"/>
      <c r="O443" s="9"/>
      <c r="Q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J444" s="9"/>
      <c r="K444" s="9"/>
      <c r="L444" s="9"/>
      <c r="M444" s="9"/>
      <c r="N444" s="9"/>
      <c r="O444" s="9"/>
      <c r="Q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J445" s="9"/>
      <c r="K445" s="9"/>
      <c r="L445" s="9"/>
      <c r="M445" s="9"/>
      <c r="N445" s="9"/>
      <c r="O445" s="9"/>
      <c r="Q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J446" s="9"/>
      <c r="K446" s="9"/>
      <c r="L446" s="9"/>
      <c r="M446" s="9"/>
      <c r="N446" s="9"/>
      <c r="O446" s="9"/>
      <c r="Q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J447" s="9"/>
      <c r="K447" s="9"/>
      <c r="L447" s="9"/>
      <c r="M447" s="9"/>
      <c r="N447" s="9"/>
      <c r="O447" s="9"/>
      <c r="Q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J448" s="9"/>
      <c r="K448" s="9"/>
      <c r="L448" s="9"/>
      <c r="M448" s="9"/>
      <c r="N448" s="9"/>
      <c r="O448" s="9"/>
      <c r="Q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J449" s="9"/>
      <c r="K449" s="9"/>
      <c r="L449" s="9"/>
      <c r="M449" s="9"/>
      <c r="N449" s="9"/>
      <c r="O449" s="9"/>
      <c r="Q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J450" s="9"/>
      <c r="K450" s="9"/>
      <c r="L450" s="9"/>
      <c r="M450" s="9"/>
      <c r="N450" s="9"/>
      <c r="O450" s="9"/>
      <c r="Q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J451" s="9"/>
      <c r="K451" s="9"/>
      <c r="L451" s="9"/>
      <c r="M451" s="9"/>
      <c r="N451" s="9"/>
      <c r="O451" s="9"/>
      <c r="Q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J452" s="9"/>
      <c r="K452" s="9"/>
      <c r="L452" s="9"/>
      <c r="M452" s="9"/>
      <c r="N452" s="9"/>
      <c r="O452" s="9"/>
      <c r="Q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J453" s="9"/>
      <c r="K453" s="9"/>
      <c r="L453" s="9"/>
      <c r="M453" s="9"/>
      <c r="N453" s="9"/>
      <c r="O453" s="9"/>
      <c r="Q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J454" s="9"/>
      <c r="K454" s="9"/>
      <c r="L454" s="9"/>
      <c r="M454" s="9"/>
      <c r="N454" s="9"/>
      <c r="O454" s="9"/>
      <c r="Q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J455" s="9"/>
      <c r="K455" s="9"/>
      <c r="L455" s="9"/>
      <c r="M455" s="9"/>
      <c r="N455" s="9"/>
      <c r="O455" s="9"/>
      <c r="Q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J456" s="9"/>
      <c r="K456" s="9"/>
      <c r="L456" s="9"/>
      <c r="M456" s="9"/>
      <c r="N456" s="9"/>
      <c r="O456" s="9"/>
      <c r="Q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J457" s="9"/>
      <c r="K457" s="9"/>
      <c r="L457" s="9"/>
      <c r="M457" s="9"/>
      <c r="N457" s="9"/>
      <c r="O457" s="9"/>
      <c r="Q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J458" s="9"/>
      <c r="K458" s="9"/>
      <c r="L458" s="9"/>
      <c r="M458" s="9"/>
      <c r="N458" s="9"/>
      <c r="O458" s="9"/>
      <c r="Q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J459" s="9"/>
      <c r="K459" s="9"/>
      <c r="L459" s="9"/>
      <c r="M459" s="9"/>
      <c r="N459" s="9"/>
      <c r="O459" s="9"/>
      <c r="Q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J460" s="9"/>
      <c r="K460" s="9"/>
      <c r="L460" s="9"/>
      <c r="M460" s="9"/>
      <c r="N460" s="9"/>
      <c r="O460" s="9"/>
      <c r="Q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J461" s="9"/>
      <c r="K461" s="9"/>
      <c r="L461" s="9"/>
      <c r="M461" s="9"/>
      <c r="N461" s="9"/>
      <c r="O461" s="9"/>
      <c r="Q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J462" s="9"/>
      <c r="K462" s="9"/>
      <c r="L462" s="9"/>
      <c r="M462" s="9"/>
      <c r="N462" s="9"/>
      <c r="O462" s="9"/>
      <c r="Q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J463" s="9"/>
      <c r="K463" s="9"/>
      <c r="L463" s="9"/>
      <c r="M463" s="9"/>
      <c r="N463" s="9"/>
      <c r="O463" s="9"/>
      <c r="Q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J464" s="9"/>
      <c r="K464" s="9"/>
      <c r="L464" s="9"/>
      <c r="M464" s="9"/>
      <c r="N464" s="9"/>
      <c r="O464" s="9"/>
      <c r="Q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J465" s="9"/>
      <c r="K465" s="9"/>
      <c r="L465" s="9"/>
      <c r="M465" s="9"/>
      <c r="N465" s="9"/>
      <c r="O465" s="9"/>
      <c r="Q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J466" s="9"/>
      <c r="K466" s="9"/>
      <c r="L466" s="9"/>
      <c r="M466" s="9"/>
      <c r="N466" s="9"/>
      <c r="O466" s="9"/>
      <c r="Q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J467" s="9"/>
      <c r="K467" s="9"/>
      <c r="L467" s="9"/>
      <c r="M467" s="9"/>
      <c r="N467" s="9"/>
      <c r="O467" s="9"/>
      <c r="Q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J468" s="9"/>
      <c r="K468" s="9"/>
      <c r="L468" s="9"/>
      <c r="M468" s="9"/>
      <c r="N468" s="9"/>
      <c r="O468" s="9"/>
      <c r="Q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J469" s="9"/>
      <c r="K469" s="9"/>
      <c r="L469" s="9"/>
      <c r="M469" s="9"/>
      <c r="N469" s="9"/>
      <c r="O469" s="9"/>
      <c r="Q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J470" s="9"/>
      <c r="K470" s="9"/>
      <c r="L470" s="9"/>
      <c r="M470" s="9"/>
      <c r="N470" s="9"/>
      <c r="O470" s="9"/>
      <c r="Q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J471" s="9"/>
      <c r="K471" s="9"/>
      <c r="L471" s="9"/>
      <c r="M471" s="9"/>
      <c r="N471" s="9"/>
      <c r="O471" s="9"/>
      <c r="Q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J472" s="9"/>
      <c r="K472" s="9"/>
      <c r="L472" s="9"/>
      <c r="M472" s="9"/>
      <c r="N472" s="9"/>
      <c r="O472" s="9"/>
      <c r="Q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J473" s="9"/>
      <c r="K473" s="9"/>
      <c r="L473" s="9"/>
      <c r="M473" s="9"/>
      <c r="N473" s="9"/>
      <c r="O473" s="9"/>
      <c r="Q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J474" s="9"/>
      <c r="K474" s="9"/>
      <c r="L474" s="9"/>
      <c r="M474" s="9"/>
      <c r="N474" s="9"/>
      <c r="O474" s="9"/>
      <c r="Q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J475" s="9"/>
      <c r="K475" s="9"/>
      <c r="L475" s="9"/>
      <c r="M475" s="9"/>
      <c r="N475" s="9"/>
      <c r="O475" s="9"/>
      <c r="Q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J476" s="9"/>
      <c r="K476" s="9"/>
      <c r="L476" s="9"/>
      <c r="M476" s="9"/>
      <c r="N476" s="9"/>
      <c r="O476" s="9"/>
      <c r="Q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J477" s="9"/>
      <c r="K477" s="9"/>
      <c r="L477" s="9"/>
      <c r="M477" s="9"/>
      <c r="N477" s="9"/>
      <c r="O477" s="9"/>
      <c r="Q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J478" s="9"/>
      <c r="K478" s="9"/>
      <c r="L478" s="9"/>
      <c r="M478" s="9"/>
      <c r="N478" s="9"/>
      <c r="O478" s="9"/>
      <c r="Q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J479" s="9"/>
      <c r="K479" s="9"/>
      <c r="L479" s="9"/>
      <c r="M479" s="9"/>
      <c r="N479" s="9"/>
      <c r="O479" s="9"/>
      <c r="Q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J480" s="9"/>
      <c r="K480" s="9"/>
      <c r="L480" s="9"/>
      <c r="M480" s="9"/>
      <c r="N480" s="9"/>
      <c r="O480" s="9"/>
      <c r="Q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J481" s="9"/>
      <c r="K481" s="9"/>
      <c r="L481" s="9"/>
      <c r="M481" s="9"/>
      <c r="N481" s="9"/>
      <c r="O481" s="9"/>
      <c r="Q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J482" s="9"/>
      <c r="K482" s="9"/>
      <c r="L482" s="9"/>
      <c r="M482" s="9"/>
      <c r="N482" s="9"/>
      <c r="O482" s="9"/>
      <c r="Q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J483" s="9"/>
      <c r="K483" s="9"/>
      <c r="L483" s="9"/>
      <c r="M483" s="9"/>
      <c r="N483" s="9"/>
      <c r="O483" s="9"/>
      <c r="Q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J484" s="9"/>
      <c r="K484" s="9"/>
      <c r="L484" s="9"/>
      <c r="M484" s="9"/>
      <c r="N484" s="9"/>
      <c r="O484" s="9"/>
      <c r="Q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J485" s="9"/>
      <c r="K485" s="9"/>
      <c r="L485" s="9"/>
      <c r="M485" s="9"/>
      <c r="N485" s="9"/>
      <c r="O485" s="9"/>
      <c r="Q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J486" s="9"/>
      <c r="K486" s="9"/>
      <c r="L486" s="9"/>
      <c r="M486" s="9"/>
      <c r="N486" s="9"/>
      <c r="O486" s="9"/>
      <c r="Q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J487" s="9"/>
      <c r="K487" s="9"/>
      <c r="L487" s="9"/>
      <c r="M487" s="9"/>
      <c r="N487" s="9"/>
      <c r="O487" s="9"/>
      <c r="Q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J488" s="9"/>
      <c r="K488" s="9"/>
      <c r="L488" s="9"/>
      <c r="M488" s="9"/>
      <c r="N488" s="9"/>
      <c r="O488" s="9"/>
      <c r="Q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J489" s="9"/>
      <c r="K489" s="9"/>
      <c r="L489" s="9"/>
      <c r="M489" s="9"/>
      <c r="N489" s="9"/>
      <c r="O489" s="9"/>
      <c r="Q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J490" s="9"/>
      <c r="K490" s="9"/>
      <c r="L490" s="9"/>
      <c r="M490" s="9"/>
      <c r="N490" s="9"/>
      <c r="O490" s="9"/>
      <c r="Q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J491" s="9"/>
      <c r="K491" s="9"/>
      <c r="L491" s="9"/>
      <c r="M491" s="9"/>
      <c r="N491" s="9"/>
      <c r="O491" s="9"/>
      <c r="Q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J492" s="9"/>
      <c r="K492" s="9"/>
      <c r="L492" s="9"/>
      <c r="M492" s="9"/>
      <c r="N492" s="9"/>
      <c r="O492" s="9"/>
      <c r="Q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J493" s="9"/>
      <c r="K493" s="9"/>
      <c r="L493" s="9"/>
      <c r="M493" s="9"/>
      <c r="N493" s="9"/>
      <c r="O493" s="9"/>
      <c r="Q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J494" s="9"/>
      <c r="K494" s="9"/>
      <c r="L494" s="9"/>
      <c r="M494" s="9"/>
      <c r="N494" s="9"/>
      <c r="O494" s="9"/>
      <c r="Q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J495" s="9"/>
      <c r="K495" s="9"/>
      <c r="L495" s="9"/>
      <c r="M495" s="9"/>
      <c r="N495" s="9"/>
      <c r="O495" s="9"/>
      <c r="Q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J496" s="9"/>
      <c r="K496" s="9"/>
      <c r="L496" s="9"/>
      <c r="M496" s="9"/>
      <c r="N496" s="9"/>
      <c r="O496" s="9"/>
      <c r="Q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J497" s="9"/>
      <c r="K497" s="9"/>
      <c r="L497" s="9"/>
      <c r="M497" s="9"/>
      <c r="N497" s="9"/>
      <c r="O497" s="9"/>
      <c r="Q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J498" s="9"/>
      <c r="K498" s="9"/>
      <c r="L498" s="9"/>
      <c r="M498" s="9"/>
      <c r="N498" s="9"/>
      <c r="O498" s="9"/>
      <c r="Q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J499" s="9"/>
      <c r="K499" s="9"/>
      <c r="L499" s="9"/>
      <c r="M499" s="9"/>
      <c r="N499" s="9"/>
      <c r="O499" s="9"/>
      <c r="Q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J500" s="9"/>
      <c r="K500" s="9"/>
      <c r="L500" s="9"/>
      <c r="M500" s="9"/>
      <c r="N500" s="9"/>
      <c r="O500" s="9"/>
      <c r="Q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J501" s="9"/>
      <c r="K501" s="9"/>
      <c r="L501" s="9"/>
      <c r="M501" s="9"/>
      <c r="N501" s="9"/>
      <c r="O501" s="9"/>
      <c r="Q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J502" s="9"/>
      <c r="K502" s="9"/>
      <c r="L502" s="9"/>
      <c r="M502" s="9"/>
      <c r="N502" s="9"/>
      <c r="O502" s="9"/>
      <c r="Q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J503" s="9"/>
      <c r="K503" s="9"/>
      <c r="L503" s="9"/>
      <c r="M503" s="9"/>
      <c r="N503" s="9"/>
      <c r="O503" s="9"/>
      <c r="Q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J504" s="9"/>
      <c r="K504" s="9"/>
      <c r="L504" s="9"/>
      <c r="M504" s="9"/>
      <c r="N504" s="9"/>
      <c r="O504" s="9"/>
      <c r="Q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J505" s="9"/>
      <c r="K505" s="9"/>
      <c r="L505" s="9"/>
      <c r="M505" s="9"/>
      <c r="N505" s="9"/>
      <c r="O505" s="9"/>
      <c r="Q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J506" s="9"/>
      <c r="K506" s="9"/>
      <c r="L506" s="9"/>
      <c r="M506" s="9"/>
      <c r="N506" s="9"/>
      <c r="O506" s="9"/>
      <c r="Q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J507" s="9"/>
      <c r="K507" s="9"/>
      <c r="L507" s="9"/>
      <c r="M507" s="9"/>
      <c r="N507" s="9"/>
      <c r="O507" s="9"/>
      <c r="Q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J508" s="9"/>
      <c r="K508" s="9"/>
      <c r="L508" s="9"/>
      <c r="M508" s="9"/>
      <c r="N508" s="9"/>
      <c r="O508" s="9"/>
      <c r="Q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J509" s="9"/>
      <c r="K509" s="9"/>
      <c r="L509" s="9"/>
      <c r="M509" s="9"/>
      <c r="N509" s="9"/>
      <c r="O509" s="9"/>
      <c r="Q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J510" s="9"/>
      <c r="K510" s="9"/>
      <c r="L510" s="9"/>
      <c r="M510" s="9"/>
      <c r="N510" s="9"/>
      <c r="O510" s="9"/>
      <c r="Q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J511" s="9"/>
      <c r="K511" s="9"/>
      <c r="L511" s="9"/>
      <c r="M511" s="9"/>
      <c r="N511" s="9"/>
      <c r="O511" s="9"/>
      <c r="Q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J512" s="9"/>
      <c r="K512" s="9"/>
      <c r="L512" s="9"/>
      <c r="M512" s="9"/>
      <c r="N512" s="9"/>
      <c r="O512" s="9"/>
      <c r="Q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J513" s="9"/>
      <c r="K513" s="9"/>
      <c r="L513" s="9"/>
      <c r="M513" s="9"/>
      <c r="N513" s="9"/>
      <c r="O513" s="9"/>
      <c r="Q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J514" s="9"/>
      <c r="K514" s="9"/>
      <c r="L514" s="9"/>
      <c r="M514" s="9"/>
      <c r="N514" s="9"/>
      <c r="O514" s="9"/>
      <c r="Q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J515" s="9"/>
      <c r="K515" s="9"/>
      <c r="L515" s="9"/>
      <c r="M515" s="9"/>
      <c r="N515" s="9"/>
      <c r="O515" s="9"/>
      <c r="Q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J516" s="9"/>
      <c r="K516" s="9"/>
      <c r="L516" s="9"/>
      <c r="M516" s="9"/>
      <c r="N516" s="9"/>
      <c r="O516" s="9"/>
      <c r="Q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J517" s="9"/>
      <c r="K517" s="9"/>
      <c r="L517" s="9"/>
      <c r="M517" s="9"/>
      <c r="N517" s="9"/>
      <c r="O517" s="9"/>
      <c r="Q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J518" s="9"/>
      <c r="K518" s="9"/>
      <c r="L518" s="9"/>
      <c r="M518" s="9"/>
      <c r="N518" s="9"/>
      <c r="O518" s="9"/>
      <c r="Q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J519" s="9"/>
      <c r="K519" s="9"/>
      <c r="L519" s="9"/>
      <c r="M519" s="9"/>
      <c r="N519" s="9"/>
      <c r="O519" s="9"/>
      <c r="Q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J520" s="9"/>
      <c r="K520" s="9"/>
      <c r="L520" s="9"/>
      <c r="M520" s="9"/>
      <c r="N520" s="9"/>
      <c r="O520" s="9"/>
      <c r="Q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J521" s="9"/>
      <c r="K521" s="9"/>
      <c r="L521" s="9"/>
      <c r="M521" s="9"/>
      <c r="N521" s="9"/>
      <c r="O521" s="9"/>
      <c r="Q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J522" s="9"/>
      <c r="K522" s="9"/>
      <c r="L522" s="9"/>
      <c r="M522" s="9"/>
      <c r="N522" s="9"/>
      <c r="O522" s="9"/>
      <c r="Q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J523" s="9"/>
      <c r="K523" s="9"/>
      <c r="L523" s="9"/>
      <c r="M523" s="9"/>
      <c r="N523" s="9"/>
      <c r="O523" s="9"/>
      <c r="Q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J524" s="9"/>
      <c r="K524" s="9"/>
      <c r="L524" s="9"/>
      <c r="M524" s="9"/>
      <c r="N524" s="9"/>
      <c r="O524" s="9"/>
      <c r="Q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J525" s="9"/>
      <c r="K525" s="9"/>
      <c r="L525" s="9"/>
      <c r="M525" s="9"/>
      <c r="N525" s="9"/>
      <c r="O525" s="9"/>
      <c r="Q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J526" s="9"/>
      <c r="K526" s="9"/>
      <c r="L526" s="9"/>
      <c r="M526" s="9"/>
      <c r="N526" s="9"/>
      <c r="O526" s="9"/>
      <c r="Q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J527" s="9"/>
      <c r="K527" s="9"/>
      <c r="L527" s="9"/>
      <c r="M527" s="9"/>
      <c r="N527" s="9"/>
      <c r="O527" s="9"/>
      <c r="Q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J528" s="9"/>
      <c r="K528" s="9"/>
      <c r="L528" s="9"/>
      <c r="M528" s="9"/>
      <c r="N528" s="9"/>
      <c r="O528" s="9"/>
      <c r="Q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J529" s="9"/>
      <c r="K529" s="9"/>
      <c r="L529" s="9"/>
      <c r="M529" s="9"/>
      <c r="N529" s="9"/>
      <c r="O529" s="9"/>
      <c r="Q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J530" s="9"/>
      <c r="K530" s="9"/>
      <c r="L530" s="9"/>
      <c r="M530" s="9"/>
      <c r="N530" s="9"/>
      <c r="O530" s="9"/>
      <c r="Q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J531" s="9"/>
      <c r="K531" s="9"/>
      <c r="L531" s="9"/>
      <c r="M531" s="9"/>
      <c r="N531" s="9"/>
      <c r="O531" s="9"/>
      <c r="Q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J532" s="9"/>
      <c r="K532" s="9"/>
      <c r="L532" s="9"/>
      <c r="M532" s="9"/>
      <c r="N532" s="9"/>
      <c r="O532" s="9"/>
      <c r="Q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J533" s="9"/>
      <c r="K533" s="9"/>
      <c r="L533" s="9"/>
      <c r="M533" s="9"/>
      <c r="N533" s="9"/>
      <c r="O533" s="9"/>
      <c r="Q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J534" s="9"/>
      <c r="K534" s="9"/>
      <c r="L534" s="9"/>
      <c r="M534" s="9"/>
      <c r="N534" s="9"/>
      <c r="O534" s="9"/>
      <c r="Q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J535" s="9"/>
      <c r="K535" s="9"/>
      <c r="L535" s="9"/>
      <c r="M535" s="9"/>
      <c r="N535" s="9"/>
      <c r="O535" s="9"/>
      <c r="Q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J536" s="9"/>
      <c r="K536" s="9"/>
      <c r="L536" s="9"/>
      <c r="M536" s="9"/>
      <c r="N536" s="9"/>
      <c r="O536" s="9"/>
      <c r="Q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J537" s="9"/>
      <c r="K537" s="9"/>
      <c r="L537" s="9"/>
      <c r="M537" s="9"/>
      <c r="N537" s="9"/>
      <c r="O537" s="9"/>
      <c r="Q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J538" s="9"/>
      <c r="K538" s="9"/>
      <c r="L538" s="9"/>
      <c r="M538" s="9"/>
      <c r="N538" s="9"/>
      <c r="O538" s="9"/>
      <c r="Q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J539" s="9"/>
      <c r="K539" s="9"/>
      <c r="L539" s="9"/>
      <c r="M539" s="9"/>
      <c r="N539" s="9"/>
      <c r="O539" s="9"/>
      <c r="Q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J540" s="9"/>
      <c r="K540" s="9"/>
      <c r="L540" s="9"/>
      <c r="M540" s="9"/>
      <c r="N540" s="9"/>
      <c r="O540" s="9"/>
      <c r="Q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J541" s="9"/>
      <c r="K541" s="9"/>
      <c r="L541" s="9"/>
      <c r="M541" s="9"/>
      <c r="N541" s="9"/>
      <c r="O541" s="9"/>
      <c r="Q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J542" s="9"/>
      <c r="K542" s="9"/>
      <c r="L542" s="9"/>
      <c r="M542" s="9"/>
      <c r="N542" s="9"/>
      <c r="O542" s="9"/>
      <c r="Q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J543" s="9"/>
      <c r="K543" s="9"/>
      <c r="L543" s="9"/>
      <c r="M543" s="9"/>
      <c r="N543" s="9"/>
      <c r="O543" s="9"/>
      <c r="Q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J544" s="9"/>
      <c r="K544" s="9"/>
      <c r="L544" s="9"/>
      <c r="M544" s="9"/>
      <c r="N544" s="9"/>
      <c r="O544" s="9"/>
      <c r="Q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J545" s="9"/>
      <c r="K545" s="9"/>
      <c r="L545" s="9"/>
      <c r="M545" s="9"/>
      <c r="N545" s="9"/>
      <c r="O545" s="9"/>
      <c r="Q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J546" s="9"/>
      <c r="K546" s="9"/>
      <c r="L546" s="9"/>
      <c r="M546" s="9"/>
      <c r="N546" s="9"/>
      <c r="O546" s="9"/>
      <c r="Q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J547" s="9"/>
      <c r="K547" s="9"/>
      <c r="L547" s="9"/>
      <c r="M547" s="9"/>
      <c r="N547" s="9"/>
      <c r="O547" s="9"/>
      <c r="Q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J548" s="9"/>
      <c r="K548" s="9"/>
      <c r="L548" s="9"/>
      <c r="M548" s="9"/>
      <c r="N548" s="9"/>
      <c r="O548" s="9"/>
      <c r="Q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J549" s="9"/>
      <c r="K549" s="9"/>
      <c r="L549" s="9"/>
      <c r="M549" s="9"/>
      <c r="N549" s="9"/>
      <c r="O549" s="9"/>
      <c r="Q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J550" s="9"/>
      <c r="K550" s="9"/>
      <c r="L550" s="9"/>
      <c r="M550" s="9"/>
      <c r="N550" s="9"/>
      <c r="O550" s="9"/>
      <c r="Q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J551" s="9"/>
      <c r="K551" s="9"/>
      <c r="L551" s="9"/>
      <c r="M551" s="9"/>
      <c r="N551" s="9"/>
      <c r="O551" s="9"/>
      <c r="Q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J552" s="9"/>
      <c r="K552" s="9"/>
      <c r="L552" s="9"/>
      <c r="M552" s="9"/>
      <c r="N552" s="9"/>
      <c r="O552" s="9"/>
      <c r="Q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J553" s="9"/>
      <c r="K553" s="9"/>
      <c r="L553" s="9"/>
      <c r="M553" s="9"/>
      <c r="N553" s="9"/>
      <c r="O553" s="9"/>
      <c r="Q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J554" s="9"/>
      <c r="K554" s="9"/>
      <c r="L554" s="9"/>
      <c r="M554" s="9"/>
      <c r="N554" s="9"/>
      <c r="O554" s="9"/>
      <c r="Q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J555" s="9"/>
      <c r="K555" s="9"/>
      <c r="L555" s="9"/>
      <c r="M555" s="9"/>
      <c r="N555" s="9"/>
      <c r="O555" s="9"/>
      <c r="Q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J556" s="9"/>
      <c r="K556" s="9"/>
      <c r="L556" s="9"/>
      <c r="M556" s="9"/>
      <c r="N556" s="9"/>
      <c r="O556" s="9"/>
      <c r="Q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J557" s="9"/>
      <c r="K557" s="9"/>
      <c r="L557" s="9"/>
      <c r="M557" s="9"/>
      <c r="N557" s="9"/>
      <c r="O557" s="9"/>
      <c r="Q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J558" s="9"/>
      <c r="K558" s="9"/>
      <c r="L558" s="9"/>
      <c r="M558" s="9"/>
      <c r="N558" s="9"/>
      <c r="O558" s="9"/>
      <c r="Q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J559" s="9"/>
      <c r="K559" s="9"/>
      <c r="L559" s="9"/>
      <c r="M559" s="9"/>
      <c r="N559" s="9"/>
      <c r="O559" s="9"/>
      <c r="Q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J560" s="9"/>
      <c r="K560" s="9"/>
      <c r="L560" s="9"/>
      <c r="M560" s="9"/>
      <c r="N560" s="9"/>
      <c r="O560" s="9"/>
      <c r="Q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J561" s="9"/>
      <c r="K561" s="9"/>
      <c r="L561" s="9"/>
      <c r="M561" s="9"/>
      <c r="N561" s="9"/>
      <c r="O561" s="9"/>
      <c r="Q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J562" s="9"/>
      <c r="K562" s="9"/>
      <c r="L562" s="9"/>
      <c r="M562" s="9"/>
      <c r="N562" s="9"/>
      <c r="O562" s="9"/>
      <c r="Q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J563" s="9"/>
      <c r="K563" s="9"/>
      <c r="L563" s="9"/>
      <c r="M563" s="9"/>
      <c r="N563" s="9"/>
      <c r="O563" s="9"/>
      <c r="Q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J564" s="9"/>
      <c r="K564" s="9"/>
      <c r="L564" s="9"/>
      <c r="M564" s="9"/>
      <c r="N564" s="9"/>
      <c r="O564" s="9"/>
      <c r="Q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J565" s="9"/>
      <c r="K565" s="9"/>
      <c r="L565" s="9"/>
      <c r="M565" s="9"/>
      <c r="N565" s="9"/>
      <c r="O565" s="9"/>
      <c r="Q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J566" s="9"/>
      <c r="K566" s="9"/>
      <c r="L566" s="9"/>
      <c r="M566" s="9"/>
      <c r="N566" s="9"/>
      <c r="O566" s="9"/>
      <c r="Q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J567" s="9"/>
      <c r="K567" s="9"/>
      <c r="L567" s="9"/>
      <c r="M567" s="9"/>
      <c r="N567" s="9"/>
      <c r="O567" s="9"/>
      <c r="Q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J568" s="9"/>
      <c r="K568" s="9"/>
      <c r="L568" s="9"/>
      <c r="M568" s="9"/>
      <c r="N568" s="9"/>
      <c r="O568" s="9"/>
      <c r="Q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J569" s="9"/>
      <c r="K569" s="9"/>
      <c r="L569" s="9"/>
      <c r="M569" s="9"/>
      <c r="N569" s="9"/>
      <c r="O569" s="9"/>
      <c r="Q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J570" s="9"/>
      <c r="K570" s="9"/>
      <c r="L570" s="9"/>
      <c r="M570" s="9"/>
      <c r="N570" s="9"/>
      <c r="O570" s="9"/>
      <c r="Q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J571" s="9"/>
      <c r="K571" s="9"/>
      <c r="L571" s="9"/>
      <c r="M571" s="9"/>
      <c r="N571" s="9"/>
      <c r="O571" s="9"/>
      <c r="Q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J572" s="9"/>
      <c r="K572" s="9"/>
      <c r="L572" s="9"/>
      <c r="M572" s="9"/>
      <c r="N572" s="9"/>
      <c r="O572" s="9"/>
      <c r="Q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J573" s="9"/>
      <c r="K573" s="9"/>
      <c r="L573" s="9"/>
      <c r="M573" s="9"/>
      <c r="N573" s="9"/>
      <c r="O573" s="9"/>
      <c r="Q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J574" s="9"/>
      <c r="K574" s="9"/>
      <c r="L574" s="9"/>
      <c r="M574" s="9"/>
      <c r="N574" s="9"/>
      <c r="O574" s="9"/>
      <c r="Q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J575" s="9"/>
      <c r="K575" s="9"/>
      <c r="L575" s="9"/>
      <c r="M575" s="9"/>
      <c r="N575" s="9"/>
      <c r="O575" s="9"/>
      <c r="Q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J576" s="9"/>
      <c r="K576" s="9"/>
      <c r="L576" s="9"/>
      <c r="M576" s="9"/>
      <c r="N576" s="9"/>
      <c r="O576" s="9"/>
      <c r="Q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J577" s="9"/>
      <c r="K577" s="9"/>
      <c r="L577" s="9"/>
      <c r="M577" s="9"/>
      <c r="N577" s="9"/>
      <c r="O577" s="9"/>
      <c r="Q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J578" s="9"/>
      <c r="K578" s="9"/>
      <c r="L578" s="9"/>
      <c r="M578" s="9"/>
      <c r="N578" s="9"/>
      <c r="O578" s="9"/>
      <c r="Q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J579" s="9"/>
      <c r="K579" s="9"/>
      <c r="L579" s="9"/>
      <c r="M579" s="9"/>
      <c r="N579" s="9"/>
      <c r="O579" s="9"/>
      <c r="Q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J580" s="9"/>
      <c r="K580" s="9"/>
      <c r="L580" s="9"/>
      <c r="M580" s="9"/>
      <c r="N580" s="9"/>
      <c r="O580" s="9"/>
      <c r="Q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J581" s="9"/>
      <c r="K581" s="9"/>
      <c r="L581" s="9"/>
      <c r="M581" s="9"/>
      <c r="N581" s="9"/>
      <c r="O581" s="9"/>
      <c r="Q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J582" s="9"/>
      <c r="K582" s="9"/>
      <c r="L582" s="9"/>
      <c r="M582" s="9"/>
      <c r="N582" s="9"/>
      <c r="O582" s="9"/>
      <c r="Q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J583" s="9"/>
      <c r="K583" s="9"/>
      <c r="L583" s="9"/>
      <c r="M583" s="9"/>
      <c r="N583" s="9"/>
      <c r="O583" s="9"/>
      <c r="Q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J584" s="9"/>
      <c r="K584" s="9"/>
      <c r="L584" s="9"/>
      <c r="M584" s="9"/>
      <c r="N584" s="9"/>
      <c r="O584" s="9"/>
      <c r="Q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J585" s="9"/>
      <c r="K585" s="9"/>
      <c r="L585" s="9"/>
      <c r="M585" s="9"/>
      <c r="N585" s="9"/>
      <c r="O585" s="9"/>
      <c r="Q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J586" s="9"/>
      <c r="K586" s="9"/>
      <c r="L586" s="9"/>
      <c r="M586" s="9"/>
      <c r="N586" s="9"/>
      <c r="O586" s="9"/>
      <c r="Q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J587" s="9"/>
      <c r="K587" s="9"/>
      <c r="L587" s="9"/>
      <c r="M587" s="9"/>
      <c r="N587" s="9"/>
      <c r="O587" s="9"/>
      <c r="Q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J588" s="9"/>
      <c r="K588" s="9"/>
      <c r="L588" s="9"/>
      <c r="M588" s="9"/>
      <c r="N588" s="9"/>
      <c r="O588" s="9"/>
      <c r="Q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J589" s="9"/>
      <c r="K589" s="9"/>
      <c r="L589" s="9"/>
      <c r="M589" s="9"/>
      <c r="N589" s="9"/>
      <c r="O589" s="9"/>
      <c r="Q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J590" s="9"/>
      <c r="K590" s="9"/>
      <c r="L590" s="9"/>
      <c r="M590" s="9"/>
      <c r="N590" s="9"/>
      <c r="O590" s="9"/>
      <c r="Q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J591" s="9"/>
      <c r="K591" s="9"/>
      <c r="L591" s="9"/>
      <c r="M591" s="9"/>
      <c r="N591" s="9"/>
      <c r="O591" s="9"/>
      <c r="Q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J592" s="9"/>
      <c r="K592" s="9"/>
      <c r="L592" s="9"/>
      <c r="M592" s="9"/>
      <c r="N592" s="9"/>
      <c r="O592" s="9"/>
      <c r="Q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J593" s="9"/>
      <c r="K593" s="9"/>
      <c r="L593" s="9"/>
      <c r="M593" s="9"/>
      <c r="N593" s="9"/>
      <c r="O593" s="9"/>
      <c r="Q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J594" s="9"/>
      <c r="K594" s="9"/>
      <c r="L594" s="9"/>
      <c r="M594" s="9"/>
      <c r="N594" s="9"/>
      <c r="O594" s="9"/>
      <c r="Q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J595" s="9"/>
      <c r="K595" s="9"/>
      <c r="L595" s="9"/>
      <c r="M595" s="9"/>
      <c r="N595" s="9"/>
      <c r="O595" s="9"/>
      <c r="Q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J596" s="9"/>
      <c r="K596" s="9"/>
      <c r="L596" s="9"/>
      <c r="M596" s="9"/>
      <c r="N596" s="9"/>
      <c r="O596" s="9"/>
      <c r="Q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J597" s="9"/>
      <c r="K597" s="9"/>
      <c r="L597" s="9"/>
      <c r="M597" s="9"/>
      <c r="N597" s="9"/>
      <c r="O597" s="9"/>
      <c r="Q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J598" s="9"/>
      <c r="K598" s="9"/>
      <c r="L598" s="9"/>
      <c r="M598" s="9"/>
      <c r="N598" s="9"/>
      <c r="O598" s="9"/>
      <c r="Q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J599" s="9"/>
      <c r="K599" s="9"/>
      <c r="L599" s="9"/>
      <c r="M599" s="9"/>
      <c r="N599" s="9"/>
      <c r="O599" s="9"/>
      <c r="Q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J600" s="9"/>
      <c r="K600" s="9"/>
      <c r="L600" s="9"/>
      <c r="M600" s="9"/>
      <c r="N600" s="9"/>
      <c r="O600" s="9"/>
      <c r="Q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J601" s="9"/>
      <c r="K601" s="9"/>
      <c r="L601" s="9"/>
      <c r="M601" s="9"/>
      <c r="N601" s="9"/>
      <c r="O601" s="9"/>
      <c r="Q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J602" s="9"/>
      <c r="K602" s="9"/>
      <c r="L602" s="9"/>
      <c r="M602" s="9"/>
      <c r="N602" s="9"/>
      <c r="O602" s="9"/>
      <c r="Q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J603" s="9"/>
      <c r="K603" s="9"/>
      <c r="L603" s="9"/>
      <c r="M603" s="9"/>
      <c r="N603" s="9"/>
      <c r="O603" s="9"/>
      <c r="Q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J604" s="9"/>
      <c r="K604" s="9"/>
      <c r="L604" s="9"/>
      <c r="M604" s="9"/>
      <c r="N604" s="9"/>
      <c r="O604" s="9"/>
      <c r="Q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J605" s="9"/>
      <c r="K605" s="9"/>
      <c r="L605" s="9"/>
      <c r="M605" s="9"/>
      <c r="N605" s="9"/>
      <c r="O605" s="9"/>
      <c r="Q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J606" s="9"/>
      <c r="K606" s="9"/>
      <c r="L606" s="9"/>
      <c r="M606" s="9"/>
      <c r="N606" s="9"/>
      <c r="O606" s="9"/>
      <c r="Q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J607" s="9"/>
      <c r="K607" s="9"/>
      <c r="L607" s="9"/>
      <c r="M607" s="9"/>
      <c r="N607" s="9"/>
      <c r="O607" s="9"/>
      <c r="Q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J608" s="9"/>
      <c r="K608" s="9"/>
      <c r="L608" s="9"/>
      <c r="M608" s="9"/>
      <c r="N608" s="9"/>
      <c r="O608" s="9"/>
      <c r="Q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J609" s="9"/>
      <c r="K609" s="9"/>
      <c r="L609" s="9"/>
      <c r="M609" s="9"/>
      <c r="N609" s="9"/>
      <c r="O609" s="9"/>
      <c r="Q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J610" s="9"/>
      <c r="K610" s="9"/>
      <c r="L610" s="9"/>
      <c r="M610" s="9"/>
      <c r="N610" s="9"/>
      <c r="O610" s="9"/>
      <c r="Q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J611" s="9"/>
      <c r="K611" s="9"/>
      <c r="L611" s="9"/>
      <c r="M611" s="9"/>
      <c r="N611" s="9"/>
      <c r="O611" s="9"/>
      <c r="Q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J612" s="9"/>
      <c r="K612" s="9"/>
      <c r="L612" s="9"/>
      <c r="M612" s="9"/>
      <c r="N612" s="9"/>
      <c r="O612" s="9"/>
      <c r="Q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J613" s="9"/>
      <c r="K613" s="9"/>
      <c r="L613" s="9"/>
      <c r="M613" s="9"/>
      <c r="N613" s="9"/>
      <c r="O613" s="9"/>
      <c r="Q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J614" s="9"/>
      <c r="K614" s="9"/>
      <c r="L614" s="9"/>
      <c r="M614" s="9"/>
      <c r="N614" s="9"/>
      <c r="O614" s="9"/>
      <c r="Q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J615" s="9"/>
      <c r="K615" s="9"/>
      <c r="L615" s="9"/>
      <c r="M615" s="9"/>
      <c r="N615" s="9"/>
      <c r="O615" s="9"/>
      <c r="Q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J616" s="9"/>
      <c r="K616" s="9"/>
      <c r="L616" s="9"/>
      <c r="M616" s="9"/>
      <c r="N616" s="9"/>
      <c r="O616" s="9"/>
      <c r="Q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J617" s="9"/>
      <c r="K617" s="9"/>
      <c r="L617" s="9"/>
      <c r="M617" s="9"/>
      <c r="N617" s="9"/>
      <c r="O617" s="9"/>
      <c r="Q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J618" s="9"/>
      <c r="K618" s="9"/>
      <c r="L618" s="9"/>
      <c r="M618" s="9"/>
      <c r="N618" s="9"/>
      <c r="O618" s="9"/>
      <c r="Q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J619" s="9"/>
      <c r="K619" s="9"/>
      <c r="L619" s="9"/>
      <c r="M619" s="9"/>
      <c r="N619" s="9"/>
      <c r="O619" s="9"/>
      <c r="Q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J620" s="9"/>
      <c r="K620" s="9"/>
      <c r="L620" s="9"/>
      <c r="M620" s="9"/>
      <c r="N620" s="9"/>
      <c r="O620" s="9"/>
      <c r="Q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J621" s="9"/>
      <c r="K621" s="9"/>
      <c r="L621" s="9"/>
      <c r="M621" s="9"/>
      <c r="N621" s="9"/>
      <c r="O621" s="9"/>
      <c r="Q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J622" s="9"/>
      <c r="K622" s="9"/>
      <c r="L622" s="9"/>
      <c r="M622" s="9"/>
      <c r="N622" s="9"/>
      <c r="O622" s="9"/>
      <c r="Q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J623" s="9"/>
      <c r="K623" s="9"/>
      <c r="L623" s="9"/>
      <c r="M623" s="9"/>
      <c r="N623" s="9"/>
      <c r="O623" s="9"/>
      <c r="Q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J624" s="9"/>
      <c r="K624" s="9"/>
      <c r="L624" s="9"/>
      <c r="M624" s="9"/>
      <c r="N624" s="9"/>
      <c r="O624" s="9"/>
      <c r="Q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J625" s="9"/>
      <c r="K625" s="9"/>
      <c r="L625" s="9"/>
      <c r="M625" s="9"/>
      <c r="N625" s="9"/>
      <c r="O625" s="9"/>
      <c r="Q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J626" s="9"/>
      <c r="K626" s="9"/>
      <c r="L626" s="9"/>
      <c r="M626" s="9"/>
      <c r="N626" s="9"/>
      <c r="O626" s="9"/>
      <c r="Q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J627" s="9"/>
      <c r="K627" s="9"/>
      <c r="L627" s="9"/>
      <c r="M627" s="9"/>
      <c r="N627" s="9"/>
      <c r="O627" s="9"/>
      <c r="Q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J628" s="9"/>
      <c r="K628" s="9"/>
      <c r="L628" s="9"/>
      <c r="M628" s="9"/>
      <c r="N628" s="9"/>
      <c r="O628" s="9"/>
      <c r="Q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J629" s="9"/>
      <c r="K629" s="9"/>
      <c r="L629" s="9"/>
      <c r="M629" s="9"/>
      <c r="N629" s="9"/>
      <c r="O629" s="9"/>
      <c r="Q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J630" s="9"/>
      <c r="K630" s="9"/>
      <c r="L630" s="9"/>
      <c r="M630" s="9"/>
      <c r="N630" s="9"/>
      <c r="O630" s="9"/>
      <c r="Q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J631" s="9"/>
      <c r="K631" s="9"/>
      <c r="L631" s="9"/>
      <c r="M631" s="9"/>
      <c r="N631" s="9"/>
      <c r="O631" s="9"/>
      <c r="Q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J632" s="9"/>
      <c r="K632" s="9"/>
      <c r="L632" s="9"/>
      <c r="M632" s="9"/>
      <c r="N632" s="9"/>
      <c r="O632" s="9"/>
      <c r="Q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J633" s="9"/>
      <c r="K633" s="9"/>
      <c r="L633" s="9"/>
      <c r="M633" s="9"/>
      <c r="N633" s="9"/>
      <c r="O633" s="9"/>
      <c r="Q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J634" s="9"/>
      <c r="K634" s="9"/>
      <c r="L634" s="9"/>
      <c r="M634" s="9"/>
      <c r="N634" s="9"/>
      <c r="O634" s="9"/>
      <c r="Q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J635" s="9"/>
      <c r="K635" s="9"/>
      <c r="L635" s="9"/>
      <c r="M635" s="9"/>
      <c r="N635" s="9"/>
      <c r="O635" s="9"/>
      <c r="Q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J636" s="9"/>
      <c r="K636" s="9"/>
      <c r="L636" s="9"/>
      <c r="M636" s="9"/>
      <c r="N636" s="9"/>
      <c r="O636" s="9"/>
      <c r="Q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J637" s="9"/>
      <c r="K637" s="9"/>
      <c r="L637" s="9"/>
      <c r="M637" s="9"/>
      <c r="N637" s="9"/>
      <c r="O637" s="9"/>
      <c r="Q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J638" s="9"/>
      <c r="K638" s="9"/>
      <c r="L638" s="9"/>
      <c r="M638" s="9"/>
      <c r="N638" s="9"/>
      <c r="O638" s="9"/>
      <c r="Q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J639" s="9"/>
      <c r="K639" s="9"/>
      <c r="L639" s="9"/>
      <c r="M639" s="9"/>
      <c r="N639" s="9"/>
      <c r="O639" s="9"/>
      <c r="Q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J640" s="9"/>
      <c r="K640" s="9"/>
      <c r="L640" s="9"/>
      <c r="M640" s="9"/>
      <c r="N640" s="9"/>
      <c r="O640" s="9"/>
      <c r="Q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J641" s="9"/>
      <c r="K641" s="9"/>
      <c r="L641" s="9"/>
      <c r="M641" s="9"/>
      <c r="N641" s="9"/>
      <c r="O641" s="9"/>
      <c r="Q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J642" s="9"/>
      <c r="K642" s="9"/>
      <c r="L642" s="9"/>
      <c r="M642" s="9"/>
      <c r="N642" s="9"/>
      <c r="O642" s="9"/>
      <c r="Q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J643" s="9"/>
      <c r="K643" s="9"/>
      <c r="L643" s="9"/>
      <c r="M643" s="9"/>
      <c r="N643" s="9"/>
      <c r="O643" s="9"/>
      <c r="Q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J644" s="9"/>
      <c r="K644" s="9"/>
      <c r="L644" s="9"/>
      <c r="M644" s="9"/>
      <c r="N644" s="9"/>
      <c r="O644" s="9"/>
      <c r="Q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J645" s="9"/>
      <c r="K645" s="9"/>
      <c r="L645" s="9"/>
      <c r="M645" s="9"/>
      <c r="N645" s="9"/>
      <c r="O645" s="9"/>
      <c r="Q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J646" s="9"/>
      <c r="K646" s="9"/>
      <c r="L646" s="9"/>
      <c r="M646" s="9"/>
      <c r="N646" s="9"/>
      <c r="O646" s="9"/>
      <c r="Q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J647" s="9"/>
      <c r="K647" s="9"/>
      <c r="L647" s="9"/>
      <c r="M647" s="9"/>
      <c r="N647" s="9"/>
      <c r="O647" s="9"/>
      <c r="Q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J648" s="9"/>
      <c r="K648" s="9"/>
      <c r="L648" s="9"/>
      <c r="M648" s="9"/>
      <c r="N648" s="9"/>
      <c r="O648" s="9"/>
      <c r="Q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J649" s="9"/>
      <c r="K649" s="9"/>
      <c r="L649" s="9"/>
      <c r="M649" s="9"/>
      <c r="N649" s="9"/>
      <c r="O649" s="9"/>
      <c r="Q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J650" s="9"/>
      <c r="K650" s="9"/>
      <c r="L650" s="9"/>
      <c r="M650" s="9"/>
      <c r="N650" s="9"/>
      <c r="O650" s="9"/>
      <c r="Q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J651" s="9"/>
      <c r="K651" s="9"/>
      <c r="L651" s="9"/>
      <c r="M651" s="9"/>
      <c r="N651" s="9"/>
      <c r="O651" s="9"/>
      <c r="Q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J652" s="9"/>
      <c r="K652" s="9"/>
      <c r="L652" s="9"/>
      <c r="M652" s="9"/>
      <c r="N652" s="9"/>
      <c r="O652" s="9"/>
      <c r="Q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J653" s="9"/>
      <c r="K653" s="9"/>
      <c r="L653" s="9"/>
      <c r="M653" s="9"/>
      <c r="N653" s="9"/>
      <c r="O653" s="9"/>
      <c r="Q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J654" s="9"/>
      <c r="K654" s="9"/>
      <c r="L654" s="9"/>
      <c r="M654" s="9"/>
      <c r="N654" s="9"/>
      <c r="O654" s="9"/>
      <c r="Q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J655" s="9"/>
      <c r="K655" s="9"/>
      <c r="L655" s="9"/>
      <c r="M655" s="9"/>
      <c r="N655" s="9"/>
      <c r="O655" s="9"/>
      <c r="Q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J656" s="9"/>
      <c r="K656" s="9"/>
      <c r="L656" s="9"/>
      <c r="M656" s="9"/>
      <c r="N656" s="9"/>
      <c r="O656" s="9"/>
      <c r="Q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J657" s="9"/>
      <c r="K657" s="9"/>
      <c r="L657" s="9"/>
      <c r="M657" s="9"/>
      <c r="N657" s="9"/>
      <c r="O657" s="9"/>
      <c r="Q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J658" s="9"/>
      <c r="K658" s="9"/>
      <c r="L658" s="9"/>
      <c r="M658" s="9"/>
      <c r="N658" s="9"/>
      <c r="O658" s="9"/>
      <c r="Q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J659" s="9"/>
      <c r="K659" s="9"/>
      <c r="L659" s="9"/>
      <c r="M659" s="9"/>
      <c r="N659" s="9"/>
      <c r="O659" s="9"/>
      <c r="Q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J660" s="9"/>
      <c r="K660" s="9"/>
      <c r="L660" s="9"/>
      <c r="M660" s="9"/>
      <c r="N660" s="9"/>
      <c r="O660" s="9"/>
      <c r="Q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J661" s="9"/>
      <c r="K661" s="9"/>
      <c r="L661" s="9"/>
      <c r="M661" s="9"/>
      <c r="N661" s="9"/>
      <c r="O661" s="9"/>
      <c r="Q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J662" s="9"/>
      <c r="K662" s="9"/>
      <c r="L662" s="9"/>
      <c r="M662" s="9"/>
      <c r="N662" s="9"/>
      <c r="O662" s="9"/>
      <c r="Q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J663" s="9"/>
      <c r="K663" s="9"/>
      <c r="L663" s="9"/>
      <c r="M663" s="9"/>
      <c r="N663" s="9"/>
      <c r="O663" s="9"/>
      <c r="Q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J664" s="9"/>
      <c r="K664" s="9"/>
      <c r="L664" s="9"/>
      <c r="M664" s="9"/>
      <c r="N664" s="9"/>
      <c r="O664" s="9"/>
      <c r="Q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J665" s="9"/>
      <c r="K665" s="9"/>
      <c r="L665" s="9"/>
      <c r="M665" s="9"/>
      <c r="N665" s="9"/>
      <c r="O665" s="9"/>
      <c r="Q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J666" s="9"/>
      <c r="K666" s="9"/>
      <c r="L666" s="9"/>
      <c r="M666" s="9"/>
      <c r="N666" s="9"/>
      <c r="O666" s="9"/>
      <c r="Q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J667" s="9"/>
      <c r="K667" s="9"/>
      <c r="L667" s="9"/>
      <c r="M667" s="9"/>
      <c r="N667" s="9"/>
      <c r="O667" s="9"/>
      <c r="Q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J668" s="9"/>
      <c r="K668" s="9"/>
      <c r="L668" s="9"/>
      <c r="M668" s="9"/>
      <c r="N668" s="9"/>
      <c r="O668" s="9"/>
      <c r="Q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J669" s="9"/>
      <c r="K669" s="9"/>
      <c r="L669" s="9"/>
      <c r="M669" s="9"/>
      <c r="N669" s="9"/>
      <c r="O669" s="9"/>
      <c r="Q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J670" s="9"/>
      <c r="K670" s="9"/>
      <c r="L670" s="9"/>
      <c r="M670" s="9"/>
      <c r="N670" s="9"/>
      <c r="O670" s="9"/>
      <c r="Q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J671" s="9"/>
      <c r="K671" s="9"/>
      <c r="L671" s="9"/>
      <c r="M671" s="9"/>
      <c r="N671" s="9"/>
      <c r="O671" s="9"/>
      <c r="Q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J672" s="9"/>
      <c r="K672" s="9"/>
      <c r="L672" s="9"/>
      <c r="M672" s="9"/>
      <c r="N672" s="9"/>
      <c r="O672" s="9"/>
      <c r="Q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J673" s="9"/>
      <c r="K673" s="9"/>
      <c r="L673" s="9"/>
      <c r="M673" s="9"/>
      <c r="N673" s="9"/>
      <c r="O673" s="9"/>
      <c r="Q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J674" s="9"/>
      <c r="K674" s="9"/>
      <c r="L674" s="9"/>
      <c r="M674" s="9"/>
      <c r="N674" s="9"/>
      <c r="O674" s="9"/>
      <c r="Q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J675" s="9"/>
      <c r="K675" s="9"/>
      <c r="L675" s="9"/>
      <c r="M675" s="9"/>
      <c r="N675" s="9"/>
      <c r="O675" s="9"/>
      <c r="Q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J676" s="9"/>
      <c r="K676" s="9"/>
      <c r="L676" s="9"/>
      <c r="M676" s="9"/>
      <c r="N676" s="9"/>
      <c r="O676" s="9"/>
      <c r="Q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J677" s="9"/>
      <c r="K677" s="9"/>
      <c r="L677" s="9"/>
      <c r="M677" s="9"/>
      <c r="N677" s="9"/>
      <c r="O677" s="9"/>
      <c r="Q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J678" s="9"/>
      <c r="K678" s="9"/>
      <c r="L678" s="9"/>
      <c r="M678" s="9"/>
      <c r="N678" s="9"/>
      <c r="O678" s="9"/>
      <c r="Q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J679" s="9"/>
      <c r="K679" s="9"/>
      <c r="L679" s="9"/>
      <c r="M679" s="9"/>
      <c r="N679" s="9"/>
      <c r="O679" s="9"/>
      <c r="Q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J680" s="9"/>
      <c r="K680" s="9"/>
      <c r="L680" s="9"/>
      <c r="M680" s="9"/>
      <c r="N680" s="9"/>
      <c r="O680" s="9"/>
      <c r="Q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J681" s="9"/>
      <c r="K681" s="9"/>
      <c r="L681" s="9"/>
      <c r="M681" s="9"/>
      <c r="N681" s="9"/>
      <c r="O681" s="9"/>
      <c r="Q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J682" s="9"/>
      <c r="K682" s="9"/>
      <c r="L682" s="9"/>
      <c r="M682" s="9"/>
      <c r="N682" s="9"/>
      <c r="O682" s="9"/>
      <c r="Q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J683" s="9"/>
      <c r="K683" s="9"/>
      <c r="L683" s="9"/>
      <c r="M683" s="9"/>
      <c r="N683" s="9"/>
      <c r="O683" s="9"/>
      <c r="Q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J684" s="9"/>
      <c r="K684" s="9"/>
      <c r="L684" s="9"/>
      <c r="M684" s="9"/>
      <c r="N684" s="9"/>
      <c r="O684" s="9"/>
      <c r="Q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J685" s="9"/>
      <c r="K685" s="9"/>
      <c r="L685" s="9"/>
      <c r="M685" s="9"/>
      <c r="N685" s="9"/>
      <c r="O685" s="9"/>
      <c r="Q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J686" s="9"/>
      <c r="K686" s="9"/>
      <c r="L686" s="9"/>
      <c r="M686" s="9"/>
      <c r="N686" s="9"/>
      <c r="O686" s="9"/>
      <c r="Q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J687" s="9"/>
      <c r="K687" s="9"/>
      <c r="L687" s="9"/>
      <c r="M687" s="9"/>
      <c r="N687" s="9"/>
      <c r="O687" s="9"/>
      <c r="Q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J688" s="9"/>
      <c r="K688" s="9"/>
      <c r="L688" s="9"/>
      <c r="M688" s="9"/>
      <c r="N688" s="9"/>
      <c r="O688" s="9"/>
      <c r="Q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J689" s="9"/>
      <c r="K689" s="9"/>
      <c r="L689" s="9"/>
      <c r="M689" s="9"/>
      <c r="N689" s="9"/>
      <c r="O689" s="9"/>
      <c r="Q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J690" s="9"/>
      <c r="K690" s="9"/>
      <c r="L690" s="9"/>
      <c r="M690" s="9"/>
      <c r="N690" s="9"/>
      <c r="O690" s="9"/>
      <c r="Q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J691" s="9"/>
      <c r="K691" s="9"/>
      <c r="L691" s="9"/>
      <c r="M691" s="9"/>
      <c r="N691" s="9"/>
      <c r="O691" s="9"/>
      <c r="Q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J692" s="9"/>
      <c r="K692" s="9"/>
      <c r="L692" s="9"/>
      <c r="M692" s="9"/>
      <c r="N692" s="9"/>
      <c r="O692" s="9"/>
      <c r="Q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J693" s="9"/>
      <c r="K693" s="9"/>
      <c r="L693" s="9"/>
      <c r="M693" s="9"/>
      <c r="N693" s="9"/>
      <c r="O693" s="9"/>
      <c r="Q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J694" s="9"/>
      <c r="K694" s="9"/>
      <c r="L694" s="9"/>
      <c r="M694" s="9"/>
      <c r="N694" s="9"/>
      <c r="O694" s="9"/>
      <c r="Q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J695" s="9"/>
      <c r="K695" s="9"/>
      <c r="L695" s="9"/>
      <c r="M695" s="9"/>
      <c r="N695" s="9"/>
      <c r="O695" s="9"/>
      <c r="Q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J696" s="9"/>
      <c r="K696" s="9"/>
      <c r="L696" s="9"/>
      <c r="M696" s="9"/>
      <c r="N696" s="9"/>
      <c r="O696" s="9"/>
      <c r="Q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J697" s="9"/>
      <c r="K697" s="9"/>
      <c r="L697" s="9"/>
      <c r="M697" s="9"/>
      <c r="N697" s="9"/>
      <c r="O697" s="9"/>
      <c r="Q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J698" s="9"/>
      <c r="K698" s="9"/>
      <c r="L698" s="9"/>
      <c r="M698" s="9"/>
      <c r="N698" s="9"/>
      <c r="O698" s="9"/>
      <c r="Q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J699" s="9"/>
      <c r="K699" s="9"/>
      <c r="L699" s="9"/>
      <c r="M699" s="9"/>
      <c r="N699" s="9"/>
      <c r="O699" s="9"/>
      <c r="Q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J700" s="9"/>
      <c r="K700" s="9"/>
      <c r="L700" s="9"/>
      <c r="M700" s="9"/>
      <c r="N700" s="9"/>
      <c r="O700" s="9"/>
      <c r="Q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J701" s="9"/>
      <c r="K701" s="9"/>
      <c r="L701" s="9"/>
      <c r="M701" s="9"/>
      <c r="N701" s="9"/>
      <c r="O701" s="9"/>
      <c r="Q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J702" s="9"/>
      <c r="K702" s="9"/>
      <c r="L702" s="9"/>
      <c r="M702" s="9"/>
      <c r="N702" s="9"/>
      <c r="O702" s="9"/>
      <c r="Q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J703" s="9"/>
      <c r="K703" s="9"/>
      <c r="L703" s="9"/>
      <c r="M703" s="9"/>
      <c r="N703" s="9"/>
      <c r="O703" s="9"/>
      <c r="Q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J704" s="9"/>
      <c r="K704" s="9"/>
      <c r="L704" s="9"/>
      <c r="M704" s="9"/>
      <c r="N704" s="9"/>
      <c r="O704" s="9"/>
      <c r="Q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J705" s="9"/>
      <c r="K705" s="9"/>
      <c r="L705" s="9"/>
      <c r="M705" s="9"/>
      <c r="N705" s="9"/>
      <c r="O705" s="9"/>
      <c r="Q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J706" s="9"/>
      <c r="K706" s="9"/>
      <c r="L706" s="9"/>
      <c r="M706" s="9"/>
      <c r="N706" s="9"/>
      <c r="O706" s="9"/>
      <c r="Q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J707" s="9"/>
      <c r="K707" s="9"/>
      <c r="L707" s="9"/>
      <c r="M707" s="9"/>
      <c r="N707" s="9"/>
      <c r="O707" s="9"/>
      <c r="Q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J708" s="9"/>
      <c r="K708" s="9"/>
      <c r="L708" s="9"/>
      <c r="M708" s="9"/>
      <c r="N708" s="9"/>
      <c r="O708" s="9"/>
      <c r="Q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J709" s="9"/>
      <c r="K709" s="9"/>
      <c r="L709" s="9"/>
      <c r="M709" s="9"/>
      <c r="N709" s="9"/>
      <c r="O709" s="9"/>
      <c r="Q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J710" s="9"/>
      <c r="K710" s="9"/>
      <c r="L710" s="9"/>
      <c r="M710" s="9"/>
      <c r="N710" s="9"/>
      <c r="O710" s="9"/>
      <c r="Q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J711" s="9"/>
      <c r="K711" s="9"/>
      <c r="L711" s="9"/>
      <c r="M711" s="9"/>
      <c r="N711" s="9"/>
      <c r="O711" s="9"/>
      <c r="Q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J712" s="9"/>
      <c r="K712" s="9"/>
      <c r="L712" s="9"/>
      <c r="M712" s="9"/>
      <c r="N712" s="9"/>
      <c r="O712" s="9"/>
      <c r="Q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J713" s="9"/>
      <c r="K713" s="9"/>
      <c r="L713" s="9"/>
      <c r="M713" s="9"/>
      <c r="N713" s="9"/>
      <c r="O713" s="9"/>
      <c r="Q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J714" s="9"/>
      <c r="K714" s="9"/>
      <c r="L714" s="9"/>
      <c r="M714" s="9"/>
      <c r="N714" s="9"/>
      <c r="O714" s="9"/>
      <c r="Q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J715" s="9"/>
      <c r="K715" s="9"/>
      <c r="L715" s="9"/>
      <c r="M715" s="9"/>
      <c r="N715" s="9"/>
      <c r="O715" s="9"/>
      <c r="Q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J716" s="9"/>
      <c r="K716" s="9"/>
      <c r="L716" s="9"/>
      <c r="M716" s="9"/>
      <c r="N716" s="9"/>
      <c r="O716" s="9"/>
      <c r="Q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J717" s="9"/>
      <c r="K717" s="9"/>
      <c r="L717" s="9"/>
      <c r="M717" s="9"/>
      <c r="N717" s="9"/>
      <c r="O717" s="9"/>
      <c r="Q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J718" s="9"/>
      <c r="K718" s="9"/>
      <c r="L718" s="9"/>
      <c r="M718" s="9"/>
      <c r="N718" s="9"/>
      <c r="O718" s="9"/>
      <c r="Q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J719" s="9"/>
      <c r="K719" s="9"/>
      <c r="L719" s="9"/>
      <c r="M719" s="9"/>
      <c r="N719" s="9"/>
      <c r="O719" s="9"/>
      <c r="Q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J720" s="9"/>
      <c r="K720" s="9"/>
      <c r="L720" s="9"/>
      <c r="M720" s="9"/>
      <c r="N720" s="9"/>
      <c r="O720" s="9"/>
      <c r="Q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J721" s="9"/>
      <c r="K721" s="9"/>
      <c r="L721" s="9"/>
      <c r="M721" s="9"/>
      <c r="N721" s="9"/>
      <c r="O721" s="9"/>
      <c r="Q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J722" s="9"/>
      <c r="K722" s="9"/>
      <c r="L722" s="9"/>
      <c r="M722" s="9"/>
      <c r="N722" s="9"/>
      <c r="O722" s="9"/>
      <c r="Q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J723" s="9"/>
      <c r="K723" s="9"/>
      <c r="L723" s="9"/>
      <c r="M723" s="9"/>
      <c r="N723" s="9"/>
      <c r="O723" s="9"/>
      <c r="Q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J724" s="9"/>
      <c r="K724" s="9"/>
      <c r="L724" s="9"/>
      <c r="M724" s="9"/>
      <c r="N724" s="9"/>
      <c r="O724" s="9"/>
      <c r="Q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J725" s="9"/>
      <c r="K725" s="9"/>
      <c r="L725" s="9"/>
      <c r="M725" s="9"/>
      <c r="N725" s="9"/>
      <c r="O725" s="9"/>
      <c r="Q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J726" s="9"/>
      <c r="K726" s="9"/>
      <c r="L726" s="9"/>
      <c r="M726" s="9"/>
      <c r="N726" s="9"/>
      <c r="O726" s="9"/>
      <c r="Q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J727" s="9"/>
      <c r="K727" s="9"/>
      <c r="L727" s="9"/>
      <c r="M727" s="9"/>
      <c r="N727" s="9"/>
      <c r="O727" s="9"/>
      <c r="Q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J728" s="9"/>
      <c r="K728" s="9"/>
      <c r="L728" s="9"/>
      <c r="M728" s="9"/>
      <c r="N728" s="9"/>
      <c r="O728" s="9"/>
      <c r="Q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J729" s="9"/>
      <c r="K729" s="9"/>
      <c r="L729" s="9"/>
      <c r="M729" s="9"/>
      <c r="N729" s="9"/>
      <c r="O729" s="9"/>
      <c r="Q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J730" s="9"/>
      <c r="K730" s="9"/>
      <c r="L730" s="9"/>
      <c r="M730" s="9"/>
      <c r="N730" s="9"/>
      <c r="O730" s="9"/>
      <c r="Q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J731" s="9"/>
      <c r="K731" s="9"/>
      <c r="L731" s="9"/>
      <c r="M731" s="9"/>
      <c r="N731" s="9"/>
      <c r="O731" s="9"/>
      <c r="Q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J732" s="9"/>
      <c r="K732" s="9"/>
      <c r="L732" s="9"/>
      <c r="M732" s="9"/>
      <c r="N732" s="9"/>
      <c r="O732" s="9"/>
      <c r="Q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J733" s="9"/>
      <c r="K733" s="9"/>
      <c r="L733" s="9"/>
      <c r="M733" s="9"/>
      <c r="N733" s="9"/>
      <c r="O733" s="9"/>
      <c r="Q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J734" s="9"/>
      <c r="K734" s="9"/>
      <c r="L734" s="9"/>
      <c r="M734" s="9"/>
      <c r="N734" s="9"/>
      <c r="O734" s="9"/>
      <c r="Q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J735" s="9"/>
      <c r="K735" s="9"/>
      <c r="L735" s="9"/>
      <c r="M735" s="9"/>
      <c r="N735" s="9"/>
      <c r="O735" s="9"/>
      <c r="Q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J736" s="9"/>
      <c r="K736" s="9"/>
      <c r="L736" s="9"/>
      <c r="M736" s="9"/>
      <c r="N736" s="9"/>
      <c r="O736" s="9"/>
      <c r="Q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J737" s="9"/>
      <c r="K737" s="9"/>
      <c r="L737" s="9"/>
      <c r="M737" s="9"/>
      <c r="N737" s="9"/>
      <c r="O737" s="9"/>
      <c r="Q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J738" s="9"/>
      <c r="K738" s="9"/>
      <c r="L738" s="9"/>
      <c r="M738" s="9"/>
      <c r="N738" s="9"/>
      <c r="O738" s="9"/>
      <c r="Q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J739" s="9"/>
      <c r="K739" s="9"/>
      <c r="L739" s="9"/>
      <c r="M739" s="9"/>
      <c r="N739" s="9"/>
      <c r="O739" s="9"/>
      <c r="Q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J740" s="9"/>
      <c r="K740" s="9"/>
      <c r="L740" s="9"/>
      <c r="M740" s="9"/>
      <c r="N740" s="9"/>
      <c r="O740" s="9"/>
      <c r="Q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J741" s="9"/>
      <c r="K741" s="9"/>
      <c r="L741" s="9"/>
      <c r="M741" s="9"/>
      <c r="N741" s="9"/>
      <c r="O741" s="9"/>
      <c r="Q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J742" s="9"/>
      <c r="K742" s="9"/>
      <c r="L742" s="9"/>
      <c r="M742" s="9"/>
      <c r="N742" s="9"/>
      <c r="O742" s="9"/>
      <c r="Q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J743" s="9"/>
      <c r="K743" s="9"/>
      <c r="L743" s="9"/>
      <c r="M743" s="9"/>
      <c r="N743" s="9"/>
      <c r="O743" s="9"/>
      <c r="Q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J744" s="9"/>
      <c r="K744" s="9"/>
      <c r="L744" s="9"/>
      <c r="M744" s="9"/>
      <c r="N744" s="9"/>
      <c r="O744" s="9"/>
      <c r="Q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J745" s="9"/>
      <c r="K745" s="9"/>
      <c r="L745" s="9"/>
      <c r="M745" s="9"/>
      <c r="N745" s="9"/>
      <c r="O745" s="9"/>
      <c r="Q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J746" s="9"/>
      <c r="K746" s="9"/>
      <c r="L746" s="9"/>
      <c r="M746" s="9"/>
      <c r="N746" s="9"/>
      <c r="O746" s="9"/>
      <c r="Q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J747" s="9"/>
      <c r="K747" s="9"/>
      <c r="L747" s="9"/>
      <c r="M747" s="9"/>
      <c r="N747" s="9"/>
      <c r="O747" s="9"/>
      <c r="Q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J748" s="9"/>
      <c r="K748" s="9"/>
      <c r="L748" s="9"/>
      <c r="M748" s="9"/>
      <c r="N748" s="9"/>
      <c r="O748" s="9"/>
      <c r="Q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J749" s="9"/>
      <c r="K749" s="9"/>
      <c r="L749" s="9"/>
      <c r="M749" s="9"/>
      <c r="N749" s="9"/>
      <c r="O749" s="9"/>
      <c r="Q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J750" s="9"/>
      <c r="K750" s="9"/>
      <c r="L750" s="9"/>
      <c r="M750" s="9"/>
      <c r="N750" s="9"/>
      <c r="O750" s="9"/>
      <c r="Q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J751" s="9"/>
      <c r="K751" s="9"/>
      <c r="L751" s="9"/>
      <c r="M751" s="9"/>
      <c r="N751" s="9"/>
      <c r="O751" s="9"/>
      <c r="Q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J752" s="9"/>
      <c r="K752" s="9"/>
      <c r="L752" s="9"/>
      <c r="M752" s="9"/>
      <c r="N752" s="9"/>
      <c r="O752" s="9"/>
      <c r="Q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J753" s="9"/>
      <c r="K753" s="9"/>
      <c r="L753" s="9"/>
      <c r="M753" s="9"/>
      <c r="N753" s="9"/>
      <c r="O753" s="9"/>
      <c r="Q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J754" s="9"/>
      <c r="K754" s="9"/>
      <c r="L754" s="9"/>
      <c r="M754" s="9"/>
      <c r="N754" s="9"/>
      <c r="O754" s="9"/>
      <c r="Q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J755" s="9"/>
      <c r="K755" s="9"/>
      <c r="L755" s="9"/>
      <c r="M755" s="9"/>
      <c r="N755" s="9"/>
      <c r="O755" s="9"/>
      <c r="Q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J756" s="9"/>
      <c r="K756" s="9"/>
      <c r="L756" s="9"/>
      <c r="M756" s="9"/>
      <c r="N756" s="9"/>
      <c r="O756" s="9"/>
      <c r="Q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J757" s="9"/>
      <c r="K757" s="9"/>
      <c r="L757" s="9"/>
      <c r="M757" s="9"/>
      <c r="N757" s="9"/>
      <c r="O757" s="9"/>
      <c r="Q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J758" s="9"/>
      <c r="K758" s="9"/>
      <c r="L758" s="9"/>
      <c r="M758" s="9"/>
      <c r="N758" s="9"/>
      <c r="O758" s="9"/>
      <c r="Q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J759" s="9"/>
      <c r="K759" s="9"/>
      <c r="L759" s="9"/>
      <c r="M759" s="9"/>
      <c r="N759" s="9"/>
      <c r="O759" s="9"/>
      <c r="Q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J760" s="9"/>
      <c r="K760" s="9"/>
      <c r="L760" s="9"/>
      <c r="M760" s="9"/>
      <c r="N760" s="9"/>
      <c r="O760" s="9"/>
      <c r="Q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J761" s="9"/>
      <c r="K761" s="9"/>
      <c r="L761" s="9"/>
      <c r="M761" s="9"/>
      <c r="N761" s="9"/>
      <c r="O761" s="9"/>
      <c r="Q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J762" s="9"/>
      <c r="K762" s="9"/>
      <c r="L762" s="9"/>
      <c r="M762" s="9"/>
      <c r="N762" s="9"/>
      <c r="O762" s="9"/>
      <c r="Q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J763" s="9"/>
      <c r="K763" s="9"/>
      <c r="L763" s="9"/>
      <c r="M763" s="9"/>
      <c r="N763" s="9"/>
      <c r="O763" s="9"/>
      <c r="Q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J764" s="9"/>
      <c r="K764" s="9"/>
      <c r="L764" s="9"/>
      <c r="M764" s="9"/>
      <c r="N764" s="9"/>
      <c r="O764" s="9"/>
      <c r="Q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J765" s="9"/>
      <c r="K765" s="9"/>
      <c r="L765" s="9"/>
      <c r="M765" s="9"/>
      <c r="N765" s="9"/>
      <c r="O765" s="9"/>
      <c r="Q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J766" s="9"/>
      <c r="K766" s="9"/>
      <c r="L766" s="9"/>
      <c r="M766" s="9"/>
      <c r="N766" s="9"/>
      <c r="O766" s="9"/>
      <c r="Q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J767" s="9"/>
      <c r="K767" s="9"/>
      <c r="L767" s="9"/>
      <c r="M767" s="9"/>
      <c r="N767" s="9"/>
      <c r="O767" s="9"/>
      <c r="Q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J768" s="9"/>
      <c r="K768" s="9"/>
      <c r="L768" s="9"/>
      <c r="M768" s="9"/>
      <c r="N768" s="9"/>
      <c r="O768" s="9"/>
      <c r="Q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J769" s="9"/>
      <c r="K769" s="9"/>
      <c r="L769" s="9"/>
      <c r="M769" s="9"/>
      <c r="N769" s="9"/>
      <c r="O769" s="9"/>
      <c r="Q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J770" s="9"/>
      <c r="K770" s="9"/>
      <c r="L770" s="9"/>
      <c r="M770" s="9"/>
      <c r="N770" s="9"/>
      <c r="O770" s="9"/>
      <c r="Q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J771" s="9"/>
      <c r="K771" s="9"/>
      <c r="L771" s="9"/>
      <c r="M771" s="9"/>
      <c r="N771" s="9"/>
      <c r="O771" s="9"/>
      <c r="Q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J772" s="9"/>
      <c r="K772" s="9"/>
      <c r="L772" s="9"/>
      <c r="M772" s="9"/>
      <c r="N772" s="9"/>
      <c r="O772" s="9"/>
      <c r="Q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J773" s="9"/>
      <c r="K773" s="9"/>
      <c r="L773" s="9"/>
      <c r="M773" s="9"/>
      <c r="N773" s="9"/>
      <c r="O773" s="9"/>
      <c r="Q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J774" s="9"/>
      <c r="K774" s="9"/>
      <c r="L774" s="9"/>
      <c r="M774" s="9"/>
      <c r="N774" s="9"/>
      <c r="O774" s="9"/>
      <c r="Q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J775" s="9"/>
      <c r="K775" s="9"/>
      <c r="L775" s="9"/>
      <c r="M775" s="9"/>
      <c r="N775" s="9"/>
      <c r="O775" s="9"/>
      <c r="Q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J776" s="9"/>
      <c r="K776" s="9"/>
      <c r="L776" s="9"/>
      <c r="M776" s="9"/>
      <c r="N776" s="9"/>
      <c r="O776" s="9"/>
      <c r="Q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J777" s="9"/>
      <c r="K777" s="9"/>
      <c r="L777" s="9"/>
      <c r="M777" s="9"/>
      <c r="N777" s="9"/>
      <c r="O777" s="9"/>
      <c r="Q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J778" s="9"/>
      <c r="K778" s="9"/>
      <c r="L778" s="9"/>
      <c r="M778" s="9"/>
      <c r="N778" s="9"/>
      <c r="O778" s="9"/>
      <c r="Q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J779" s="9"/>
      <c r="K779" s="9"/>
      <c r="L779" s="9"/>
      <c r="M779" s="9"/>
      <c r="N779" s="9"/>
      <c r="O779" s="9"/>
      <c r="Q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J780" s="9"/>
      <c r="K780" s="9"/>
      <c r="L780" s="9"/>
      <c r="M780" s="9"/>
      <c r="N780" s="9"/>
      <c r="O780" s="9"/>
      <c r="Q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J781" s="9"/>
      <c r="K781" s="9"/>
      <c r="L781" s="9"/>
      <c r="M781" s="9"/>
      <c r="N781" s="9"/>
      <c r="O781" s="9"/>
      <c r="Q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J782" s="9"/>
      <c r="K782" s="9"/>
      <c r="L782" s="9"/>
      <c r="M782" s="9"/>
      <c r="N782" s="9"/>
      <c r="O782" s="9"/>
      <c r="Q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J783" s="9"/>
      <c r="K783" s="9"/>
      <c r="L783" s="9"/>
      <c r="M783" s="9"/>
      <c r="N783" s="9"/>
      <c r="O783" s="9"/>
      <c r="Q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J784" s="9"/>
      <c r="K784" s="9"/>
      <c r="L784" s="9"/>
      <c r="M784" s="9"/>
      <c r="N784" s="9"/>
      <c r="O784" s="9"/>
      <c r="Q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J785" s="9"/>
      <c r="K785" s="9"/>
      <c r="L785" s="9"/>
      <c r="M785" s="9"/>
      <c r="N785" s="9"/>
      <c r="O785" s="9"/>
      <c r="Q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J786" s="9"/>
      <c r="K786" s="9"/>
      <c r="L786" s="9"/>
      <c r="M786" s="9"/>
      <c r="N786" s="9"/>
      <c r="O786" s="9"/>
      <c r="Q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J787" s="9"/>
      <c r="K787" s="9"/>
      <c r="L787" s="9"/>
      <c r="M787" s="9"/>
      <c r="N787" s="9"/>
      <c r="O787" s="9"/>
      <c r="Q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J788" s="9"/>
      <c r="K788" s="9"/>
      <c r="L788" s="9"/>
      <c r="M788" s="9"/>
      <c r="N788" s="9"/>
      <c r="O788" s="9"/>
      <c r="Q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J789" s="9"/>
      <c r="K789" s="9"/>
      <c r="L789" s="9"/>
      <c r="M789" s="9"/>
      <c r="N789" s="9"/>
      <c r="O789" s="9"/>
      <c r="Q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J790" s="9"/>
      <c r="K790" s="9"/>
      <c r="L790" s="9"/>
      <c r="M790" s="9"/>
      <c r="N790" s="9"/>
      <c r="O790" s="9"/>
      <c r="Q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J791" s="9"/>
      <c r="K791" s="9"/>
      <c r="L791" s="9"/>
      <c r="M791" s="9"/>
      <c r="N791" s="9"/>
      <c r="O791" s="9"/>
      <c r="Q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J792" s="9"/>
      <c r="K792" s="9"/>
      <c r="L792" s="9"/>
      <c r="M792" s="9"/>
      <c r="N792" s="9"/>
      <c r="O792" s="9"/>
      <c r="Q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J793" s="9"/>
      <c r="K793" s="9"/>
      <c r="L793" s="9"/>
      <c r="M793" s="9"/>
      <c r="N793" s="9"/>
      <c r="O793" s="9"/>
      <c r="Q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J794" s="9"/>
      <c r="K794" s="9"/>
      <c r="L794" s="9"/>
      <c r="M794" s="9"/>
      <c r="N794" s="9"/>
      <c r="O794" s="9"/>
      <c r="Q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J795" s="9"/>
      <c r="K795" s="9"/>
      <c r="L795" s="9"/>
      <c r="M795" s="9"/>
      <c r="N795" s="9"/>
      <c r="O795" s="9"/>
      <c r="Q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J796" s="9"/>
      <c r="K796" s="9"/>
      <c r="L796" s="9"/>
      <c r="M796" s="9"/>
      <c r="N796" s="9"/>
      <c r="O796" s="9"/>
      <c r="Q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J797" s="9"/>
      <c r="K797" s="9"/>
      <c r="L797" s="9"/>
      <c r="M797" s="9"/>
      <c r="N797" s="9"/>
      <c r="O797" s="9"/>
      <c r="Q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J798" s="9"/>
      <c r="K798" s="9"/>
      <c r="L798" s="9"/>
      <c r="M798" s="9"/>
      <c r="N798" s="9"/>
      <c r="O798" s="9"/>
      <c r="Q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J799" s="9"/>
      <c r="K799" s="9"/>
      <c r="L799" s="9"/>
      <c r="M799" s="9"/>
      <c r="N799" s="9"/>
      <c r="O799" s="9"/>
      <c r="Q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J800" s="9"/>
      <c r="K800" s="9"/>
      <c r="L800" s="9"/>
      <c r="M800" s="9"/>
      <c r="N800" s="9"/>
      <c r="O800" s="9"/>
      <c r="Q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J801" s="9"/>
      <c r="K801" s="9"/>
      <c r="L801" s="9"/>
      <c r="M801" s="9"/>
      <c r="N801" s="9"/>
      <c r="O801" s="9"/>
      <c r="Q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J802" s="9"/>
      <c r="K802" s="9"/>
      <c r="L802" s="9"/>
      <c r="M802" s="9"/>
      <c r="N802" s="9"/>
      <c r="O802" s="9"/>
      <c r="Q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J803" s="9"/>
      <c r="K803" s="9"/>
      <c r="L803" s="9"/>
      <c r="M803" s="9"/>
      <c r="N803" s="9"/>
      <c r="O803" s="9"/>
      <c r="Q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J804" s="9"/>
      <c r="K804" s="9"/>
      <c r="L804" s="9"/>
      <c r="M804" s="9"/>
      <c r="N804" s="9"/>
      <c r="O804" s="9"/>
      <c r="Q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J805" s="9"/>
      <c r="K805" s="9"/>
      <c r="L805" s="9"/>
      <c r="M805" s="9"/>
      <c r="N805" s="9"/>
      <c r="O805" s="9"/>
      <c r="Q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J806" s="9"/>
      <c r="K806" s="9"/>
      <c r="L806" s="9"/>
      <c r="M806" s="9"/>
      <c r="N806" s="9"/>
      <c r="O806" s="9"/>
      <c r="Q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J807" s="9"/>
      <c r="K807" s="9"/>
      <c r="L807" s="9"/>
      <c r="M807" s="9"/>
      <c r="N807" s="9"/>
      <c r="O807" s="9"/>
      <c r="Q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J808" s="9"/>
      <c r="K808" s="9"/>
      <c r="L808" s="9"/>
      <c r="M808" s="9"/>
      <c r="N808" s="9"/>
      <c r="O808" s="9"/>
      <c r="Q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J809" s="9"/>
      <c r="K809" s="9"/>
      <c r="L809" s="9"/>
      <c r="M809" s="9"/>
      <c r="N809" s="9"/>
      <c r="O809" s="9"/>
      <c r="Q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J810" s="9"/>
      <c r="K810" s="9"/>
      <c r="L810" s="9"/>
      <c r="M810" s="9"/>
      <c r="N810" s="9"/>
      <c r="O810" s="9"/>
      <c r="Q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J811" s="9"/>
      <c r="K811" s="9"/>
      <c r="L811" s="9"/>
      <c r="M811" s="9"/>
      <c r="N811" s="9"/>
      <c r="O811" s="9"/>
      <c r="Q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J812" s="9"/>
      <c r="K812" s="9"/>
      <c r="L812" s="9"/>
      <c r="M812" s="9"/>
      <c r="N812" s="9"/>
      <c r="O812" s="9"/>
      <c r="Q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J813" s="9"/>
      <c r="K813" s="9"/>
      <c r="L813" s="9"/>
      <c r="M813" s="9"/>
      <c r="N813" s="9"/>
      <c r="O813" s="9"/>
      <c r="Q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J814" s="9"/>
      <c r="K814" s="9"/>
      <c r="L814" s="9"/>
      <c r="M814" s="9"/>
      <c r="N814" s="9"/>
      <c r="O814" s="9"/>
      <c r="Q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J815" s="9"/>
      <c r="K815" s="9"/>
      <c r="L815" s="9"/>
      <c r="M815" s="9"/>
      <c r="N815" s="9"/>
      <c r="O815" s="9"/>
      <c r="Q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J816" s="9"/>
      <c r="K816" s="9"/>
      <c r="L816" s="9"/>
      <c r="M816" s="9"/>
      <c r="N816" s="9"/>
      <c r="O816" s="9"/>
      <c r="Q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J817" s="9"/>
      <c r="K817" s="9"/>
      <c r="L817" s="9"/>
      <c r="M817" s="9"/>
      <c r="N817" s="9"/>
      <c r="O817" s="9"/>
      <c r="Q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J818" s="9"/>
      <c r="K818" s="9"/>
      <c r="L818" s="9"/>
      <c r="M818" s="9"/>
      <c r="N818" s="9"/>
      <c r="O818" s="9"/>
      <c r="Q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J819" s="9"/>
      <c r="K819" s="9"/>
      <c r="L819" s="9"/>
      <c r="M819" s="9"/>
      <c r="N819" s="9"/>
      <c r="O819" s="9"/>
      <c r="Q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J820" s="9"/>
      <c r="K820" s="9"/>
      <c r="L820" s="9"/>
      <c r="M820" s="9"/>
      <c r="N820" s="9"/>
      <c r="O820" s="9"/>
      <c r="Q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J821" s="9"/>
      <c r="K821" s="9"/>
      <c r="L821" s="9"/>
      <c r="M821" s="9"/>
      <c r="N821" s="9"/>
      <c r="O821" s="9"/>
      <c r="Q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J822" s="9"/>
      <c r="K822" s="9"/>
      <c r="L822" s="9"/>
      <c r="M822" s="9"/>
      <c r="N822" s="9"/>
      <c r="O822" s="9"/>
      <c r="Q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J823" s="9"/>
      <c r="K823" s="9"/>
      <c r="L823" s="9"/>
      <c r="M823" s="9"/>
      <c r="N823" s="9"/>
      <c r="O823" s="9"/>
      <c r="Q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J824" s="9"/>
      <c r="K824" s="9"/>
      <c r="L824" s="9"/>
      <c r="M824" s="9"/>
      <c r="N824" s="9"/>
      <c r="O824" s="9"/>
      <c r="Q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J825" s="9"/>
      <c r="K825" s="9"/>
      <c r="L825" s="9"/>
      <c r="M825" s="9"/>
      <c r="N825" s="9"/>
      <c r="O825" s="9"/>
      <c r="Q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J826" s="9"/>
      <c r="K826" s="9"/>
      <c r="L826" s="9"/>
      <c r="M826" s="9"/>
      <c r="N826" s="9"/>
      <c r="O826" s="9"/>
      <c r="Q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J827" s="9"/>
      <c r="K827" s="9"/>
      <c r="L827" s="9"/>
      <c r="M827" s="9"/>
      <c r="N827" s="9"/>
      <c r="O827" s="9"/>
      <c r="Q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J828" s="9"/>
      <c r="K828" s="9"/>
      <c r="L828" s="9"/>
      <c r="M828" s="9"/>
      <c r="N828" s="9"/>
      <c r="O828" s="9"/>
      <c r="Q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J829" s="9"/>
      <c r="K829" s="9"/>
      <c r="L829" s="9"/>
      <c r="M829" s="9"/>
      <c r="N829" s="9"/>
      <c r="O829" s="9"/>
      <c r="Q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J830" s="9"/>
      <c r="K830" s="9"/>
      <c r="L830" s="9"/>
      <c r="M830" s="9"/>
      <c r="N830" s="9"/>
      <c r="O830" s="9"/>
      <c r="Q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J831" s="9"/>
      <c r="K831" s="9"/>
      <c r="L831" s="9"/>
      <c r="M831" s="9"/>
      <c r="N831" s="9"/>
      <c r="O831" s="9"/>
      <c r="Q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J832" s="9"/>
      <c r="K832" s="9"/>
      <c r="L832" s="9"/>
      <c r="M832" s="9"/>
      <c r="N832" s="9"/>
      <c r="O832" s="9"/>
      <c r="Q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J833" s="9"/>
      <c r="K833" s="9"/>
      <c r="L833" s="9"/>
      <c r="M833" s="9"/>
      <c r="N833" s="9"/>
      <c r="O833" s="9"/>
      <c r="Q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J834" s="9"/>
      <c r="K834" s="9"/>
      <c r="L834" s="9"/>
      <c r="M834" s="9"/>
      <c r="N834" s="9"/>
      <c r="O834" s="9"/>
      <c r="Q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J835" s="9"/>
      <c r="K835" s="9"/>
      <c r="L835" s="9"/>
      <c r="M835" s="9"/>
      <c r="N835" s="9"/>
      <c r="O835" s="9"/>
      <c r="Q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J836" s="9"/>
      <c r="K836" s="9"/>
      <c r="L836" s="9"/>
      <c r="M836" s="9"/>
      <c r="N836" s="9"/>
      <c r="O836" s="9"/>
      <c r="Q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J837" s="9"/>
      <c r="K837" s="9"/>
      <c r="L837" s="9"/>
      <c r="M837" s="9"/>
      <c r="N837" s="9"/>
      <c r="O837" s="9"/>
      <c r="Q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J838" s="9"/>
      <c r="K838" s="9"/>
      <c r="L838" s="9"/>
      <c r="M838" s="9"/>
      <c r="N838" s="9"/>
      <c r="O838" s="9"/>
      <c r="Q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J839" s="9"/>
      <c r="K839" s="9"/>
      <c r="L839" s="9"/>
      <c r="M839" s="9"/>
      <c r="N839" s="9"/>
      <c r="O839" s="9"/>
      <c r="Q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J840" s="9"/>
      <c r="K840" s="9"/>
      <c r="L840" s="9"/>
      <c r="M840" s="9"/>
      <c r="N840" s="9"/>
      <c r="O840" s="9"/>
      <c r="Q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J841" s="9"/>
      <c r="K841" s="9"/>
      <c r="L841" s="9"/>
      <c r="M841" s="9"/>
      <c r="N841" s="9"/>
      <c r="O841" s="9"/>
      <c r="Q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J842" s="9"/>
      <c r="K842" s="9"/>
      <c r="L842" s="9"/>
      <c r="M842" s="9"/>
      <c r="N842" s="9"/>
      <c r="O842" s="9"/>
      <c r="Q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J843" s="9"/>
      <c r="K843" s="9"/>
      <c r="L843" s="9"/>
      <c r="M843" s="9"/>
      <c r="N843" s="9"/>
      <c r="O843" s="9"/>
      <c r="Q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J844" s="9"/>
      <c r="K844" s="9"/>
      <c r="L844" s="9"/>
      <c r="M844" s="9"/>
      <c r="N844" s="9"/>
      <c r="O844" s="9"/>
      <c r="Q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J845" s="9"/>
      <c r="K845" s="9"/>
      <c r="L845" s="9"/>
      <c r="M845" s="9"/>
      <c r="N845" s="9"/>
      <c r="O845" s="9"/>
      <c r="Q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J846" s="9"/>
      <c r="K846" s="9"/>
      <c r="L846" s="9"/>
      <c r="M846" s="9"/>
      <c r="N846" s="9"/>
      <c r="O846" s="9"/>
      <c r="Q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J847" s="9"/>
      <c r="K847" s="9"/>
      <c r="L847" s="9"/>
      <c r="M847" s="9"/>
      <c r="N847" s="9"/>
      <c r="O847" s="9"/>
      <c r="Q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J848" s="9"/>
      <c r="K848" s="9"/>
      <c r="L848" s="9"/>
      <c r="M848" s="9"/>
      <c r="N848" s="9"/>
      <c r="O848" s="9"/>
      <c r="Q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J849" s="9"/>
      <c r="K849" s="9"/>
      <c r="L849" s="9"/>
      <c r="M849" s="9"/>
      <c r="N849" s="9"/>
      <c r="O849" s="9"/>
      <c r="Q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J850" s="9"/>
      <c r="K850" s="9"/>
      <c r="L850" s="9"/>
      <c r="M850" s="9"/>
      <c r="N850" s="9"/>
      <c r="O850" s="9"/>
      <c r="Q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J851" s="9"/>
      <c r="K851" s="9"/>
      <c r="L851" s="9"/>
      <c r="M851" s="9"/>
      <c r="N851" s="9"/>
      <c r="O851" s="9"/>
      <c r="Q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J852" s="9"/>
      <c r="K852" s="9"/>
      <c r="L852" s="9"/>
      <c r="M852" s="9"/>
      <c r="N852" s="9"/>
      <c r="O852" s="9"/>
      <c r="Q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J853" s="9"/>
      <c r="K853" s="9"/>
      <c r="L853" s="9"/>
      <c r="M853" s="9"/>
      <c r="N853" s="9"/>
      <c r="O853" s="9"/>
      <c r="Q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J854" s="9"/>
      <c r="K854" s="9"/>
      <c r="L854" s="9"/>
      <c r="M854" s="9"/>
      <c r="N854" s="9"/>
      <c r="O854" s="9"/>
      <c r="Q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J855" s="9"/>
      <c r="K855" s="9"/>
      <c r="L855" s="9"/>
      <c r="M855" s="9"/>
      <c r="N855" s="9"/>
      <c r="O855" s="9"/>
      <c r="Q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J856" s="9"/>
      <c r="K856" s="9"/>
      <c r="L856" s="9"/>
      <c r="M856" s="9"/>
      <c r="N856" s="9"/>
      <c r="O856" s="9"/>
      <c r="Q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J857" s="9"/>
      <c r="K857" s="9"/>
      <c r="L857" s="9"/>
      <c r="M857" s="9"/>
      <c r="N857" s="9"/>
      <c r="O857" s="9"/>
      <c r="Q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J858" s="9"/>
      <c r="K858" s="9"/>
      <c r="L858" s="9"/>
      <c r="M858" s="9"/>
      <c r="N858" s="9"/>
      <c r="O858" s="9"/>
      <c r="Q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J859" s="9"/>
      <c r="K859" s="9"/>
      <c r="L859" s="9"/>
      <c r="M859" s="9"/>
      <c r="N859" s="9"/>
      <c r="O859" s="9"/>
      <c r="Q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J860" s="9"/>
      <c r="K860" s="9"/>
      <c r="L860" s="9"/>
      <c r="M860" s="9"/>
      <c r="N860" s="9"/>
      <c r="O860" s="9"/>
      <c r="Q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J861" s="9"/>
      <c r="K861" s="9"/>
      <c r="L861" s="9"/>
      <c r="M861" s="9"/>
      <c r="N861" s="9"/>
      <c r="O861" s="9"/>
      <c r="Q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J862" s="9"/>
      <c r="K862" s="9"/>
      <c r="L862" s="9"/>
      <c r="M862" s="9"/>
      <c r="N862" s="9"/>
      <c r="O862" s="9"/>
      <c r="Q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J863" s="9"/>
      <c r="K863" s="9"/>
      <c r="L863" s="9"/>
      <c r="M863" s="9"/>
      <c r="N863" s="9"/>
      <c r="O863" s="9"/>
      <c r="Q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J864" s="9"/>
      <c r="K864" s="9"/>
      <c r="L864" s="9"/>
      <c r="M864" s="9"/>
      <c r="N864" s="9"/>
      <c r="O864" s="9"/>
      <c r="Q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J865" s="9"/>
      <c r="K865" s="9"/>
      <c r="L865" s="9"/>
      <c r="M865" s="9"/>
      <c r="N865" s="9"/>
      <c r="O865" s="9"/>
      <c r="Q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J866" s="9"/>
      <c r="K866" s="9"/>
      <c r="L866" s="9"/>
      <c r="M866" s="9"/>
      <c r="N866" s="9"/>
      <c r="O866" s="9"/>
      <c r="Q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J867" s="9"/>
      <c r="K867" s="9"/>
      <c r="L867" s="9"/>
      <c r="M867" s="9"/>
      <c r="N867" s="9"/>
      <c r="O867" s="9"/>
      <c r="Q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J868" s="9"/>
      <c r="K868" s="9"/>
      <c r="L868" s="9"/>
      <c r="M868" s="9"/>
      <c r="N868" s="9"/>
      <c r="O868" s="9"/>
      <c r="Q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J869" s="9"/>
      <c r="K869" s="9"/>
      <c r="L869" s="9"/>
      <c r="M869" s="9"/>
      <c r="N869" s="9"/>
      <c r="O869" s="9"/>
      <c r="Q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J870" s="9"/>
      <c r="K870" s="9"/>
      <c r="L870" s="9"/>
      <c r="M870" s="9"/>
      <c r="N870" s="9"/>
      <c r="O870" s="9"/>
      <c r="Q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J871" s="9"/>
      <c r="K871" s="9"/>
      <c r="L871" s="9"/>
      <c r="M871" s="9"/>
      <c r="N871" s="9"/>
      <c r="O871" s="9"/>
      <c r="Q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J872" s="9"/>
      <c r="K872" s="9"/>
      <c r="L872" s="9"/>
      <c r="M872" s="9"/>
      <c r="N872" s="9"/>
      <c r="O872" s="9"/>
      <c r="Q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J873" s="9"/>
      <c r="K873" s="9"/>
      <c r="L873" s="9"/>
      <c r="M873" s="9"/>
      <c r="N873" s="9"/>
      <c r="O873" s="9"/>
      <c r="Q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J874" s="9"/>
      <c r="K874" s="9"/>
      <c r="L874" s="9"/>
      <c r="M874" s="9"/>
      <c r="N874" s="9"/>
      <c r="O874" s="9"/>
      <c r="Q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J875" s="9"/>
      <c r="K875" s="9"/>
      <c r="L875" s="9"/>
      <c r="M875" s="9"/>
      <c r="N875" s="9"/>
      <c r="O875" s="9"/>
      <c r="Q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J876" s="9"/>
      <c r="K876" s="9"/>
      <c r="L876" s="9"/>
      <c r="M876" s="9"/>
      <c r="N876" s="9"/>
      <c r="O876" s="9"/>
      <c r="Q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J877" s="9"/>
      <c r="K877" s="9"/>
      <c r="L877" s="9"/>
      <c r="M877" s="9"/>
      <c r="N877" s="9"/>
      <c r="O877" s="9"/>
      <c r="Q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J878" s="9"/>
      <c r="K878" s="9"/>
      <c r="L878" s="9"/>
      <c r="M878" s="9"/>
      <c r="N878" s="9"/>
      <c r="O878" s="9"/>
      <c r="Q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J879" s="9"/>
      <c r="K879" s="9"/>
      <c r="L879" s="9"/>
      <c r="M879" s="9"/>
      <c r="N879" s="9"/>
      <c r="O879" s="9"/>
      <c r="Q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J880" s="9"/>
      <c r="K880" s="9"/>
      <c r="L880" s="9"/>
      <c r="M880" s="9"/>
      <c r="N880" s="9"/>
      <c r="O880" s="9"/>
      <c r="Q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J881" s="9"/>
      <c r="K881" s="9"/>
      <c r="L881" s="9"/>
      <c r="M881" s="9"/>
      <c r="N881" s="9"/>
      <c r="O881" s="9"/>
      <c r="Q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J882" s="9"/>
      <c r="K882" s="9"/>
      <c r="L882" s="9"/>
      <c r="M882" s="9"/>
      <c r="N882" s="9"/>
      <c r="O882" s="9"/>
      <c r="Q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J883" s="9"/>
      <c r="K883" s="9"/>
      <c r="L883" s="9"/>
      <c r="M883" s="9"/>
      <c r="N883" s="9"/>
      <c r="O883" s="9"/>
      <c r="Q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J884" s="9"/>
      <c r="K884" s="9"/>
      <c r="L884" s="9"/>
      <c r="M884" s="9"/>
      <c r="N884" s="9"/>
      <c r="O884" s="9"/>
      <c r="Q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J885" s="9"/>
      <c r="K885" s="9"/>
      <c r="L885" s="9"/>
      <c r="M885" s="9"/>
      <c r="N885" s="9"/>
      <c r="O885" s="9"/>
      <c r="Q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J886" s="9"/>
      <c r="K886" s="9"/>
      <c r="L886" s="9"/>
      <c r="M886" s="9"/>
      <c r="N886" s="9"/>
      <c r="O886" s="9"/>
      <c r="Q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J887" s="9"/>
      <c r="K887" s="9"/>
      <c r="L887" s="9"/>
      <c r="M887" s="9"/>
      <c r="N887" s="9"/>
      <c r="O887" s="9"/>
      <c r="Q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J888" s="9"/>
      <c r="K888" s="9"/>
      <c r="L888" s="9"/>
      <c r="M888" s="9"/>
      <c r="N888" s="9"/>
      <c r="O888" s="9"/>
      <c r="Q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J889" s="9"/>
      <c r="K889" s="9"/>
      <c r="L889" s="9"/>
      <c r="M889" s="9"/>
      <c r="N889" s="9"/>
      <c r="O889" s="9"/>
      <c r="Q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J890" s="9"/>
      <c r="K890" s="9"/>
      <c r="L890" s="9"/>
      <c r="M890" s="9"/>
      <c r="N890" s="9"/>
      <c r="O890" s="9"/>
      <c r="Q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J891" s="9"/>
      <c r="K891" s="9"/>
      <c r="L891" s="9"/>
      <c r="M891" s="9"/>
      <c r="N891" s="9"/>
      <c r="O891" s="9"/>
      <c r="Q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J892" s="9"/>
      <c r="K892" s="9"/>
      <c r="L892" s="9"/>
      <c r="M892" s="9"/>
      <c r="N892" s="9"/>
      <c r="O892" s="9"/>
      <c r="Q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J893" s="9"/>
      <c r="K893" s="9"/>
      <c r="L893" s="9"/>
      <c r="M893" s="9"/>
      <c r="N893" s="9"/>
      <c r="O893" s="9"/>
      <c r="Q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J894" s="9"/>
      <c r="K894" s="9"/>
      <c r="L894" s="9"/>
      <c r="M894" s="9"/>
      <c r="N894" s="9"/>
      <c r="O894" s="9"/>
      <c r="Q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J895" s="9"/>
      <c r="K895" s="9"/>
      <c r="L895" s="9"/>
      <c r="M895" s="9"/>
      <c r="N895" s="9"/>
      <c r="O895" s="9"/>
      <c r="Q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J896" s="9"/>
      <c r="K896" s="9"/>
      <c r="L896" s="9"/>
      <c r="M896" s="9"/>
      <c r="N896" s="9"/>
      <c r="O896" s="9"/>
      <c r="Q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J897" s="9"/>
      <c r="K897" s="9"/>
      <c r="L897" s="9"/>
      <c r="M897" s="9"/>
      <c r="N897" s="9"/>
      <c r="O897" s="9"/>
      <c r="Q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J898" s="9"/>
      <c r="K898" s="9"/>
      <c r="L898" s="9"/>
      <c r="M898" s="9"/>
      <c r="N898" s="9"/>
      <c r="O898" s="9"/>
      <c r="Q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J899" s="9"/>
      <c r="K899" s="9"/>
      <c r="L899" s="9"/>
      <c r="M899" s="9"/>
      <c r="N899" s="9"/>
      <c r="O899" s="9"/>
      <c r="Q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J900" s="9"/>
      <c r="K900" s="9"/>
      <c r="L900" s="9"/>
      <c r="M900" s="9"/>
      <c r="N900" s="9"/>
      <c r="O900" s="9"/>
      <c r="Q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J901" s="9"/>
      <c r="K901" s="9"/>
      <c r="L901" s="9"/>
      <c r="M901" s="9"/>
      <c r="N901" s="9"/>
      <c r="O901" s="9"/>
      <c r="Q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J902" s="9"/>
      <c r="K902" s="9"/>
      <c r="L902" s="9"/>
      <c r="M902" s="9"/>
      <c r="N902" s="9"/>
      <c r="O902" s="9"/>
      <c r="Q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J903" s="9"/>
      <c r="K903" s="9"/>
      <c r="L903" s="9"/>
      <c r="M903" s="9"/>
      <c r="N903" s="9"/>
      <c r="O903" s="9"/>
      <c r="Q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J904" s="9"/>
      <c r="K904" s="9"/>
      <c r="L904" s="9"/>
      <c r="M904" s="9"/>
      <c r="N904" s="9"/>
      <c r="O904" s="9"/>
      <c r="Q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J905" s="9"/>
      <c r="K905" s="9"/>
      <c r="L905" s="9"/>
      <c r="M905" s="9"/>
      <c r="N905" s="9"/>
      <c r="O905" s="9"/>
      <c r="Q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J906" s="9"/>
      <c r="K906" s="9"/>
      <c r="L906" s="9"/>
      <c r="M906" s="9"/>
      <c r="N906" s="9"/>
      <c r="O906" s="9"/>
      <c r="Q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J907" s="9"/>
      <c r="K907" s="9"/>
      <c r="L907" s="9"/>
      <c r="M907" s="9"/>
      <c r="N907" s="9"/>
      <c r="O907" s="9"/>
      <c r="Q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J908" s="9"/>
      <c r="K908" s="9"/>
      <c r="L908" s="9"/>
      <c r="M908" s="9"/>
      <c r="N908" s="9"/>
      <c r="O908" s="9"/>
      <c r="Q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J909" s="9"/>
      <c r="K909" s="9"/>
      <c r="L909" s="9"/>
      <c r="M909" s="9"/>
      <c r="N909" s="9"/>
      <c r="O909" s="9"/>
      <c r="Q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J910" s="9"/>
      <c r="K910" s="9"/>
      <c r="L910" s="9"/>
      <c r="M910" s="9"/>
      <c r="N910" s="9"/>
      <c r="O910" s="9"/>
      <c r="Q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J911" s="9"/>
      <c r="K911" s="9"/>
      <c r="L911" s="9"/>
      <c r="M911" s="9"/>
      <c r="N911" s="9"/>
      <c r="O911" s="9"/>
      <c r="Q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J912" s="9"/>
      <c r="K912" s="9"/>
      <c r="L912" s="9"/>
      <c r="M912" s="9"/>
      <c r="N912" s="9"/>
      <c r="O912" s="9"/>
      <c r="Q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J913" s="9"/>
      <c r="K913" s="9"/>
      <c r="L913" s="9"/>
      <c r="M913" s="9"/>
      <c r="N913" s="9"/>
      <c r="O913" s="9"/>
      <c r="Q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J914" s="9"/>
      <c r="K914" s="9"/>
      <c r="L914" s="9"/>
      <c r="M914" s="9"/>
      <c r="N914" s="9"/>
      <c r="O914" s="9"/>
      <c r="Q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J915" s="9"/>
      <c r="K915" s="9"/>
      <c r="L915" s="9"/>
      <c r="M915" s="9"/>
      <c r="N915" s="9"/>
      <c r="O915" s="9"/>
      <c r="Q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J916" s="9"/>
      <c r="K916" s="9"/>
      <c r="L916" s="9"/>
      <c r="M916" s="9"/>
      <c r="N916" s="9"/>
      <c r="O916" s="9"/>
      <c r="Q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J917" s="9"/>
      <c r="K917" s="9"/>
      <c r="L917" s="9"/>
      <c r="M917" s="9"/>
      <c r="N917" s="9"/>
      <c r="O917" s="9"/>
      <c r="Q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J918" s="9"/>
      <c r="K918" s="9"/>
      <c r="L918" s="9"/>
      <c r="M918" s="9"/>
      <c r="N918" s="9"/>
      <c r="O918" s="9"/>
      <c r="Q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J919" s="9"/>
      <c r="K919" s="9"/>
      <c r="L919" s="9"/>
      <c r="M919" s="9"/>
      <c r="N919" s="9"/>
      <c r="O919" s="9"/>
      <c r="Q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J920" s="9"/>
      <c r="K920" s="9"/>
      <c r="L920" s="9"/>
      <c r="M920" s="9"/>
      <c r="N920" s="9"/>
      <c r="O920" s="9"/>
      <c r="Q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J921" s="9"/>
      <c r="K921" s="9"/>
      <c r="L921" s="9"/>
      <c r="M921" s="9"/>
      <c r="N921" s="9"/>
      <c r="O921" s="9"/>
      <c r="Q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J922" s="9"/>
      <c r="K922" s="9"/>
      <c r="L922" s="9"/>
      <c r="M922" s="9"/>
      <c r="N922" s="9"/>
      <c r="O922" s="9"/>
      <c r="Q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J923" s="9"/>
      <c r="K923" s="9"/>
      <c r="L923" s="9"/>
      <c r="M923" s="9"/>
      <c r="N923" s="9"/>
      <c r="O923" s="9"/>
      <c r="Q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J924" s="9"/>
      <c r="K924" s="9"/>
      <c r="L924" s="9"/>
      <c r="M924" s="9"/>
      <c r="N924" s="9"/>
      <c r="O924" s="9"/>
      <c r="Q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J925" s="9"/>
      <c r="K925" s="9"/>
      <c r="L925" s="9"/>
      <c r="M925" s="9"/>
      <c r="N925" s="9"/>
      <c r="O925" s="9"/>
      <c r="Q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J926" s="9"/>
      <c r="K926" s="9"/>
      <c r="L926" s="9"/>
      <c r="M926" s="9"/>
      <c r="N926" s="9"/>
      <c r="O926" s="9"/>
      <c r="Q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J927" s="9"/>
      <c r="K927" s="9"/>
      <c r="L927" s="9"/>
      <c r="M927" s="9"/>
      <c r="N927" s="9"/>
      <c r="O927" s="9"/>
      <c r="Q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J928" s="9"/>
      <c r="K928" s="9"/>
      <c r="L928" s="9"/>
      <c r="M928" s="9"/>
      <c r="N928" s="9"/>
      <c r="O928" s="9"/>
      <c r="Q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J929" s="9"/>
      <c r="K929" s="9"/>
      <c r="L929" s="9"/>
      <c r="M929" s="9"/>
      <c r="N929" s="9"/>
      <c r="O929" s="9"/>
      <c r="Q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J930" s="9"/>
      <c r="K930" s="9"/>
      <c r="L930" s="9"/>
      <c r="M930" s="9"/>
      <c r="N930" s="9"/>
      <c r="O930" s="9"/>
      <c r="Q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J931" s="9"/>
      <c r="K931" s="9"/>
      <c r="L931" s="9"/>
      <c r="M931" s="9"/>
      <c r="N931" s="9"/>
      <c r="O931" s="9"/>
      <c r="Q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J932" s="9"/>
      <c r="K932" s="9"/>
      <c r="L932" s="9"/>
      <c r="M932" s="9"/>
      <c r="N932" s="9"/>
      <c r="O932" s="9"/>
      <c r="Q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J933" s="9"/>
      <c r="K933" s="9"/>
      <c r="L933" s="9"/>
      <c r="M933" s="9"/>
      <c r="N933" s="9"/>
      <c r="O933" s="9"/>
      <c r="Q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J934" s="9"/>
      <c r="K934" s="9"/>
      <c r="L934" s="9"/>
      <c r="M934" s="9"/>
      <c r="N934" s="9"/>
      <c r="O934" s="9"/>
      <c r="Q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J935" s="9"/>
      <c r="K935" s="9"/>
      <c r="L935" s="9"/>
      <c r="M935" s="9"/>
      <c r="N935" s="9"/>
      <c r="O935" s="9"/>
      <c r="Q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J936" s="9"/>
      <c r="K936" s="9"/>
      <c r="L936" s="9"/>
      <c r="M936" s="9"/>
      <c r="N936" s="9"/>
      <c r="O936" s="9"/>
      <c r="Q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J937" s="9"/>
      <c r="K937" s="9"/>
      <c r="L937" s="9"/>
      <c r="M937" s="9"/>
      <c r="N937" s="9"/>
      <c r="O937" s="9"/>
      <c r="Q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J938" s="9"/>
      <c r="K938" s="9"/>
      <c r="L938" s="9"/>
      <c r="M938" s="9"/>
      <c r="N938" s="9"/>
      <c r="O938" s="9"/>
      <c r="Q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J939" s="9"/>
      <c r="K939" s="9"/>
      <c r="L939" s="9"/>
      <c r="M939" s="9"/>
      <c r="N939" s="9"/>
      <c r="O939" s="9"/>
      <c r="Q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J940" s="9"/>
      <c r="K940" s="9"/>
      <c r="L940" s="9"/>
      <c r="M940" s="9"/>
      <c r="N940" s="9"/>
      <c r="O940" s="9"/>
      <c r="Q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J941" s="9"/>
      <c r="K941" s="9"/>
      <c r="L941" s="9"/>
      <c r="M941" s="9"/>
      <c r="N941" s="9"/>
      <c r="O941" s="9"/>
      <c r="Q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J942" s="9"/>
      <c r="K942" s="9"/>
      <c r="L942" s="9"/>
      <c r="M942" s="9"/>
      <c r="N942" s="9"/>
      <c r="O942" s="9"/>
      <c r="Q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J943" s="9"/>
      <c r="K943" s="9"/>
      <c r="L943" s="9"/>
      <c r="M943" s="9"/>
      <c r="N943" s="9"/>
      <c r="O943" s="9"/>
      <c r="Q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J944" s="9"/>
      <c r="K944" s="9"/>
      <c r="L944" s="9"/>
      <c r="M944" s="9"/>
      <c r="N944" s="9"/>
      <c r="O944" s="9"/>
      <c r="Q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J945" s="9"/>
      <c r="K945" s="9"/>
      <c r="L945" s="9"/>
      <c r="M945" s="9"/>
      <c r="N945" s="9"/>
      <c r="O945" s="9"/>
      <c r="Q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J946" s="9"/>
      <c r="K946" s="9"/>
      <c r="L946" s="9"/>
      <c r="M946" s="9"/>
      <c r="N946" s="9"/>
      <c r="O946" s="9"/>
      <c r="Q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J947" s="9"/>
      <c r="K947" s="9"/>
      <c r="L947" s="9"/>
      <c r="M947" s="9"/>
      <c r="N947" s="9"/>
      <c r="O947" s="9"/>
      <c r="Q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J948" s="9"/>
      <c r="K948" s="9"/>
      <c r="L948" s="9"/>
      <c r="M948" s="9"/>
      <c r="N948" s="9"/>
      <c r="O948" s="9"/>
      <c r="Q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J949" s="9"/>
      <c r="K949" s="9"/>
      <c r="L949" s="9"/>
      <c r="M949" s="9"/>
      <c r="N949" s="9"/>
      <c r="O949" s="9"/>
      <c r="Q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J950" s="9"/>
      <c r="K950" s="9"/>
      <c r="L950" s="9"/>
      <c r="M950" s="9"/>
      <c r="N950" s="9"/>
      <c r="O950" s="9"/>
      <c r="Q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J951" s="9"/>
      <c r="K951" s="9"/>
      <c r="L951" s="9"/>
      <c r="M951" s="9"/>
      <c r="N951" s="9"/>
      <c r="O951" s="9"/>
      <c r="Q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J952" s="9"/>
      <c r="K952" s="9"/>
      <c r="L952" s="9"/>
      <c r="M952" s="9"/>
      <c r="N952" s="9"/>
      <c r="O952" s="9"/>
      <c r="Q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J953" s="9"/>
      <c r="K953" s="9"/>
      <c r="L953" s="9"/>
      <c r="M953" s="9"/>
      <c r="N953" s="9"/>
      <c r="O953" s="9"/>
      <c r="Q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J954" s="9"/>
      <c r="K954" s="9"/>
      <c r="L954" s="9"/>
      <c r="M954" s="9"/>
      <c r="N954" s="9"/>
      <c r="O954" s="9"/>
      <c r="Q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J955" s="9"/>
      <c r="K955" s="9"/>
      <c r="L955" s="9"/>
      <c r="M955" s="9"/>
      <c r="N955" s="9"/>
      <c r="O955" s="9"/>
      <c r="Q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J956" s="9"/>
      <c r="K956" s="9"/>
      <c r="L956" s="9"/>
      <c r="M956" s="9"/>
      <c r="N956" s="9"/>
      <c r="O956" s="9"/>
      <c r="Q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J957" s="9"/>
      <c r="K957" s="9"/>
      <c r="L957" s="9"/>
      <c r="M957" s="9"/>
      <c r="N957" s="9"/>
      <c r="O957" s="9"/>
      <c r="Q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J958" s="9"/>
      <c r="K958" s="9"/>
      <c r="L958" s="9"/>
      <c r="M958" s="9"/>
      <c r="N958" s="9"/>
      <c r="O958" s="9"/>
      <c r="Q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J959" s="9"/>
      <c r="K959" s="9"/>
      <c r="L959" s="9"/>
      <c r="M959" s="9"/>
      <c r="N959" s="9"/>
      <c r="O959" s="9"/>
      <c r="Q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J960" s="9"/>
      <c r="K960" s="9"/>
      <c r="L960" s="9"/>
      <c r="M960" s="9"/>
      <c r="N960" s="9"/>
      <c r="O960" s="9"/>
      <c r="Q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J961" s="9"/>
      <c r="K961" s="9"/>
      <c r="L961" s="9"/>
      <c r="M961" s="9"/>
      <c r="N961" s="9"/>
      <c r="O961" s="9"/>
      <c r="Q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J962" s="9"/>
      <c r="K962" s="9"/>
      <c r="L962" s="9"/>
      <c r="M962" s="9"/>
      <c r="N962" s="9"/>
      <c r="O962" s="9"/>
      <c r="Q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J963" s="9"/>
      <c r="K963" s="9"/>
      <c r="L963" s="9"/>
      <c r="M963" s="9"/>
      <c r="N963" s="9"/>
      <c r="O963" s="9"/>
      <c r="Q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J964" s="9"/>
      <c r="K964" s="9"/>
      <c r="L964" s="9"/>
      <c r="M964" s="9"/>
      <c r="N964" s="9"/>
      <c r="O964" s="9"/>
      <c r="Q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J965" s="9"/>
      <c r="K965" s="9"/>
      <c r="L965" s="9"/>
      <c r="M965" s="9"/>
      <c r="N965" s="9"/>
      <c r="O965" s="9"/>
      <c r="Q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J966" s="9"/>
      <c r="K966" s="9"/>
      <c r="L966" s="9"/>
      <c r="M966" s="9"/>
      <c r="N966" s="9"/>
      <c r="O966" s="9"/>
      <c r="Q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J967" s="9"/>
      <c r="K967" s="9"/>
      <c r="L967" s="9"/>
      <c r="M967" s="9"/>
      <c r="N967" s="9"/>
      <c r="O967" s="9"/>
      <c r="Q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J968" s="9"/>
      <c r="K968" s="9"/>
      <c r="L968" s="9"/>
      <c r="M968" s="9"/>
      <c r="N968" s="9"/>
      <c r="O968" s="9"/>
      <c r="Q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J969" s="9"/>
      <c r="K969" s="9"/>
      <c r="L969" s="9"/>
      <c r="M969" s="9"/>
      <c r="N969" s="9"/>
      <c r="O969" s="9"/>
      <c r="Q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J970" s="9"/>
      <c r="K970" s="9"/>
      <c r="L970" s="9"/>
      <c r="M970" s="9"/>
      <c r="N970" s="9"/>
      <c r="O970" s="9"/>
      <c r="Q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J971" s="9"/>
      <c r="K971" s="9"/>
      <c r="L971" s="9"/>
      <c r="M971" s="9"/>
      <c r="N971" s="9"/>
      <c r="O971" s="9"/>
      <c r="Q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J972" s="9"/>
      <c r="K972" s="9"/>
      <c r="L972" s="9"/>
      <c r="M972" s="9"/>
      <c r="N972" s="9"/>
      <c r="O972" s="9"/>
      <c r="Q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J973" s="9"/>
      <c r="K973" s="9"/>
      <c r="L973" s="9"/>
      <c r="M973" s="9"/>
      <c r="N973" s="9"/>
      <c r="O973" s="9"/>
      <c r="Q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J974" s="9"/>
      <c r="K974" s="9"/>
      <c r="L974" s="9"/>
      <c r="M974" s="9"/>
      <c r="N974" s="9"/>
      <c r="O974" s="9"/>
      <c r="Q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J975" s="9"/>
      <c r="K975" s="9"/>
      <c r="L975" s="9"/>
      <c r="M975" s="9"/>
      <c r="N975" s="9"/>
      <c r="O975" s="9"/>
      <c r="Q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J976" s="9"/>
      <c r="K976" s="9"/>
      <c r="L976" s="9"/>
      <c r="M976" s="9"/>
      <c r="N976" s="9"/>
      <c r="O976" s="9"/>
      <c r="Q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J977" s="9"/>
      <c r="K977" s="9"/>
      <c r="L977" s="9"/>
      <c r="M977" s="9"/>
      <c r="N977" s="9"/>
      <c r="O977" s="9"/>
      <c r="Q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J978" s="9"/>
      <c r="K978" s="9"/>
      <c r="L978" s="9"/>
      <c r="M978" s="9"/>
      <c r="N978" s="9"/>
      <c r="O978" s="9"/>
      <c r="Q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J979" s="9"/>
      <c r="K979" s="9"/>
      <c r="L979" s="9"/>
      <c r="M979" s="9"/>
      <c r="N979" s="9"/>
      <c r="O979" s="9"/>
      <c r="Q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J980" s="9"/>
      <c r="K980" s="9"/>
      <c r="L980" s="9"/>
      <c r="M980" s="9"/>
      <c r="N980" s="9"/>
      <c r="O980" s="9"/>
      <c r="Q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J981" s="9"/>
      <c r="K981" s="9"/>
      <c r="L981" s="9"/>
      <c r="M981" s="9"/>
      <c r="N981" s="9"/>
      <c r="O981" s="9"/>
      <c r="Q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J982" s="9"/>
      <c r="K982" s="9"/>
      <c r="L982" s="9"/>
      <c r="M982" s="9"/>
      <c r="N982" s="9"/>
      <c r="O982" s="9"/>
      <c r="Q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J983" s="9"/>
      <c r="K983" s="9"/>
      <c r="L983" s="9"/>
      <c r="M983" s="9"/>
      <c r="N983" s="9"/>
      <c r="O983" s="9"/>
      <c r="Q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J984" s="9"/>
      <c r="K984" s="9"/>
      <c r="L984" s="9"/>
      <c r="M984" s="9"/>
      <c r="N984" s="9"/>
      <c r="O984" s="9"/>
      <c r="Q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J985" s="9"/>
      <c r="K985" s="9"/>
      <c r="L985" s="9"/>
      <c r="M985" s="9"/>
      <c r="N985" s="9"/>
      <c r="O985" s="9"/>
      <c r="Q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J986" s="9"/>
      <c r="K986" s="9"/>
      <c r="L986" s="9"/>
      <c r="M986" s="9"/>
      <c r="N986" s="9"/>
      <c r="O986" s="9"/>
      <c r="Q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J987" s="9"/>
      <c r="K987" s="9"/>
      <c r="L987" s="9"/>
      <c r="M987" s="9"/>
      <c r="N987" s="9"/>
      <c r="O987" s="9"/>
      <c r="Q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J988" s="9"/>
      <c r="K988" s="9"/>
      <c r="L988" s="9"/>
      <c r="M988" s="9"/>
      <c r="N988" s="9"/>
      <c r="O988" s="9"/>
      <c r="Q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J989" s="9"/>
      <c r="K989" s="9"/>
      <c r="L989" s="9"/>
      <c r="M989" s="9"/>
      <c r="N989" s="9"/>
      <c r="O989" s="9"/>
      <c r="Q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J990" s="9"/>
      <c r="K990" s="9"/>
      <c r="L990" s="9"/>
      <c r="M990" s="9"/>
      <c r="N990" s="9"/>
      <c r="O990" s="9"/>
      <c r="Q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J991" s="9"/>
      <c r="K991" s="9"/>
      <c r="L991" s="9"/>
      <c r="M991" s="9"/>
      <c r="N991" s="9"/>
      <c r="O991" s="9"/>
      <c r="Q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J992" s="9"/>
      <c r="K992" s="9"/>
      <c r="L992" s="9"/>
      <c r="M992" s="9"/>
      <c r="N992" s="9"/>
      <c r="O992" s="9"/>
      <c r="Q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J993" s="9"/>
      <c r="K993" s="9"/>
      <c r="L993" s="9"/>
      <c r="M993" s="9"/>
      <c r="N993" s="9"/>
      <c r="O993" s="9"/>
      <c r="Q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J994" s="9"/>
      <c r="K994" s="9"/>
      <c r="L994" s="9"/>
      <c r="M994" s="9"/>
      <c r="N994" s="9"/>
      <c r="O994" s="9"/>
      <c r="Q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J995" s="9"/>
      <c r="K995" s="9"/>
      <c r="L995" s="9"/>
      <c r="M995" s="9"/>
      <c r="N995" s="9"/>
      <c r="O995" s="9"/>
      <c r="Q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J996" s="9"/>
      <c r="K996" s="9"/>
      <c r="L996" s="9"/>
      <c r="M996" s="9"/>
      <c r="N996" s="9"/>
      <c r="O996" s="9"/>
      <c r="Q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J997" s="9"/>
      <c r="K997" s="9"/>
      <c r="L997" s="9"/>
      <c r="M997" s="9"/>
      <c r="N997" s="9"/>
      <c r="O997" s="9"/>
      <c r="Q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J998" s="9"/>
      <c r="K998" s="9"/>
      <c r="L998" s="9"/>
      <c r="M998" s="9"/>
      <c r="N998" s="9"/>
      <c r="O998" s="9"/>
      <c r="Q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J999" s="9"/>
      <c r="K999" s="9"/>
      <c r="L999" s="9"/>
      <c r="M999" s="9"/>
      <c r="N999" s="9"/>
      <c r="O999" s="9"/>
      <c r="Q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J1000" s="9"/>
      <c r="K1000" s="9"/>
      <c r="L1000" s="9"/>
      <c r="M1000" s="9"/>
      <c r="N1000" s="9"/>
      <c r="O1000" s="9"/>
      <c r="Q1000" s="9"/>
    </row>
  </sheetData>
  <mergeCells count="1">
    <mergeCell ref="A1:H1"/>
  </mergeCells>
  <conditionalFormatting sqref="H7:H414">
    <cfRule type="expression" dxfId="0" priority="1">
      <formula>H7="YES"</formula>
    </cfRule>
  </conditionalFormatting>
  <conditionalFormatting sqref="F7:F414">
    <cfRule type="colorScale" priority="2">
      <colorScale>
        <cfvo type="min" val="0"/>
        <cfvo type="max" val="0"/>
        <color rgb="FFC6EFCE"/>
        <color rgb="FFFFC7CE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5.71"/>
    <col customWidth="1" min="3" max="3" width="9.43"/>
    <col customWidth="1" min="4" max="4" width="17.0"/>
    <col customWidth="1" min="5" max="5" width="19.0"/>
    <col customWidth="1" min="6" max="6" width="12.57"/>
    <col customWidth="1" min="7" max="7" width="14.57"/>
    <col customWidth="1" min="8" max="8" width="12.43"/>
    <col customWidth="1" min="9" max="9" width="16.14"/>
    <col customWidth="1" min="10" max="10" width="16.0"/>
    <col customWidth="1" min="11" max="11" width="8.71"/>
    <col customWidth="1" min="12" max="12" width="19.86"/>
    <col customWidth="1" hidden="1" min="13" max="15" width="13.0"/>
    <col customWidth="1" min="16" max="16" width="8.71"/>
    <col customWidth="1" min="17" max="17" width="14.43"/>
    <col customWidth="1" min="18" max="19" width="14.57"/>
    <col customWidth="1" min="20" max="20" width="8.71"/>
    <col customWidth="1" min="21" max="21" width="15.43"/>
    <col customWidth="1" min="22" max="22" width="19.0"/>
    <col customWidth="1" hidden="1" min="23" max="25" width="13.0"/>
    <col customWidth="1" min="26" max="26" width="15.86"/>
    <col customWidth="1" min="27" max="27" width="11.43"/>
    <col customWidth="1" min="28" max="28" width="15.0"/>
    <col customWidth="1" min="29" max="29" width="17.0"/>
  </cols>
  <sheetData>
    <row r="1" ht="15.75" customHeight="1">
      <c r="A1" s="8" t="s">
        <v>384</v>
      </c>
      <c r="M1" s="9"/>
      <c r="N1" s="9"/>
      <c r="O1" s="9"/>
      <c r="W1" s="9"/>
      <c r="X1" s="9"/>
      <c r="Y1" s="9"/>
    </row>
    <row r="2">
      <c r="M2" s="9"/>
      <c r="N2" s="9"/>
      <c r="O2" s="9"/>
      <c r="W2" s="9"/>
      <c r="X2" s="9"/>
      <c r="Y2" s="9"/>
    </row>
    <row r="3" ht="15.0" customHeight="1">
      <c r="A3" s="2" t="s">
        <v>3</v>
      </c>
      <c r="B3" s="2" t="s">
        <v>4</v>
      </c>
      <c r="C3" s="2" t="s">
        <v>385</v>
      </c>
      <c r="D3" s="2" t="s">
        <v>386</v>
      </c>
      <c r="E3" s="2" t="s">
        <v>387</v>
      </c>
      <c r="F3" s="2" t="s">
        <v>388</v>
      </c>
      <c r="G3" s="2" t="s">
        <v>389</v>
      </c>
      <c r="H3" s="2" t="s">
        <v>390</v>
      </c>
      <c r="I3" s="2" t="s">
        <v>391</v>
      </c>
      <c r="J3" s="2" t="s">
        <v>392</v>
      </c>
      <c r="K3" s="2" t="s">
        <v>80</v>
      </c>
      <c r="L3" s="2" t="s">
        <v>393</v>
      </c>
      <c r="M3" s="9"/>
      <c r="N3" s="9"/>
      <c r="O3" s="9"/>
      <c r="Q3" s="5">
        <v>2018.0</v>
      </c>
      <c r="R3" s="5">
        <v>2020.0</v>
      </c>
      <c r="S3" s="5">
        <v>2022.0</v>
      </c>
      <c r="U3" s="2" t="s">
        <v>394</v>
      </c>
      <c r="V3" s="2" t="s">
        <v>395</v>
      </c>
      <c r="W3" s="12" t="s">
        <v>396</v>
      </c>
      <c r="X3" s="12" t="s">
        <v>397</v>
      </c>
      <c r="Y3" s="12" t="s">
        <v>398</v>
      </c>
      <c r="Z3" s="2" t="s">
        <v>399</v>
      </c>
      <c r="AA3" s="2" t="s">
        <v>400</v>
      </c>
      <c r="AB3" s="2" t="s">
        <v>401</v>
      </c>
      <c r="AC3" s="12" t="s">
        <v>402</v>
      </c>
    </row>
    <row r="4" ht="15.0" customHeight="1">
      <c r="A4" s="5" t="s">
        <v>16</v>
      </c>
      <c r="B4" s="5" t="s">
        <v>17</v>
      </c>
      <c r="C4" s="5" t="s">
        <v>18</v>
      </c>
      <c r="D4" s="10">
        <f t="shared" ref="D4:D411" si="1">MIN(1,MAX(0, SLOPE(M4:O4,{2018,2020,2022})*2024 + INTERCEPT(M4:O4,{2018,2020,2022})))</f>
        <v>0.3065847815</v>
      </c>
      <c r="E4" s="10">
        <f>'Precinct Vote Data'!H5</f>
        <v>0.3884120172</v>
      </c>
      <c r="F4" s="16">
        <f t="shared" ref="F4:F411" si="2">(D4-E4)*100</f>
        <v>-8.182723563</v>
      </c>
      <c r="G4" s="10">
        <f t="shared" ref="G4:G411" si="3">O4</f>
        <v>0.3549222798</v>
      </c>
      <c r="H4" s="16">
        <f t="shared" ref="H4:H411" si="4">(G4-E4)*100</f>
        <v>-3.348973737</v>
      </c>
      <c r="I4" s="5" t="b">
        <f t="shared" ref="I4:I411" si="5">IF(D4&gt;0.5,"D","R")=IF(E4&gt;0.5,"D","R")</f>
        <v>1</v>
      </c>
      <c r="J4" s="5" t="b">
        <f t="shared" ref="J4:J411" si="6">IF(G4&gt;0.5,"D","R")=IF(E4&gt;0.5,"D","R")</f>
        <v>1</v>
      </c>
      <c r="K4" s="15">
        <f t="shared" ref="K4:K411" si="7">SLOPE(M4:O4,$Q$4:$S$4)</f>
        <v>2.472925657</v>
      </c>
      <c r="L4" s="10">
        <f t="shared" ref="L4:L411" si="8">MIN(1,MAX(0,O4+K4*($T$4-$S$4)))</f>
        <v>0.3075119433</v>
      </c>
      <c r="M4" s="10">
        <f>'Precinct Vote Data'!H2</f>
        <v>0.4199475066</v>
      </c>
      <c r="N4" s="10">
        <f>'Precinct Vote Data'!H3</f>
        <v>0.3399602386</v>
      </c>
      <c r="O4" s="10">
        <f>'Precinct Vote Data'!H4</f>
        <v>0.3549222798</v>
      </c>
      <c r="Q4" s="5">
        <f>SUMIF('Precinct Vote Data'!$A:$A,2018,'Precinct Vote Data'!$E:$E)/(SUMIF('Precinct Vote Data'!$A:$A,2018,'Precinct Vote Data'!$E:$E)+SUMIF('Precinct Vote Data'!$A:$A,2018,'Precinct Vote Data'!$F:$F))</f>
        <v>0.5400701198</v>
      </c>
      <c r="R4" s="5">
        <f>SUMIF('Precinct Vote Data'!$A:$A,2020,'Precinct Vote Data'!$E:$E)/(SUMIF('Precinct Vote Data'!$A:$A,2020,'Precinct Vote Data'!$E:$E)+SUMIF('Precinct Vote Data'!$A:$A,2020,'Precinct Vote Data'!$F:$F))</f>
        <v>0.5070288137</v>
      </c>
      <c r="S4" s="5">
        <f>SUMIF('Precinct Vote Data'!$A:$A,2022,'Precinct Vote Data'!$E:$E)/(SUMIF('Precinct Vote Data'!$A:$A,2022,'Precinct Vote Data'!$E:$E)+SUMIF('Precinct Vote Data'!$A:$A,2022,'Precinct Vote Data'!$F:$F))</f>
        <v>0.5155961468</v>
      </c>
      <c r="T4" s="5">
        <f>SLOPE(Q4:S4,Q3:S3)*2024+INTERCEPT(Q4:S4,Q3:S3)</f>
        <v>0.4964243871</v>
      </c>
      <c r="U4" s="16">
        <f t="shared" ref="U4:U411" si="9">(L4-E4)*100</f>
        <v>-8.090007389</v>
      </c>
      <c r="V4" s="5" t="b">
        <f t="shared" ref="V4:V411" si="10">IF(L4&gt;0.5,"D","R")=IF(E4&gt;0.5,"D","R")</f>
        <v>1</v>
      </c>
      <c r="W4" s="5">
        <f t="shared" ref="W4:W411" si="11">ABS(F4)</f>
        <v>8.182723563</v>
      </c>
      <c r="X4" s="5">
        <f t="shared" ref="X4:X411" si="12">ABS(H4)</f>
        <v>3.348973737</v>
      </c>
      <c r="Y4" s="5">
        <f t="shared" ref="Y4:Y411" si="13">ABS(U4)</f>
        <v>8.090007389</v>
      </c>
      <c r="Z4" s="10">
        <f>MIN(1,MAX(0,(5.3914776420524+0.021102849201698*'Precinct Vote Data'!I5*100+(-5.72594740176815)*1+0.927016741366831*(O4*100))/100))</f>
        <v>0.3268432955</v>
      </c>
      <c r="AA4" s="16">
        <f t="shared" ref="AA4:AA411" si="14">(Z4-E4)*100</f>
        <v>-6.156872167</v>
      </c>
      <c r="AB4" s="5" t="b">
        <f t="shared" ref="AB4:AB411" si="15">IF(Z4&gt;0.5,"D","R")=IF(E4&gt;0.5,"D","R")</f>
        <v>1</v>
      </c>
      <c r="AC4" s="5">
        <f t="shared" ref="AC4:AC411" si="16">ABS(AA4)</f>
        <v>6.156872167</v>
      </c>
    </row>
    <row r="5" ht="15.0" customHeight="1">
      <c r="A5" s="5" t="s">
        <v>16</v>
      </c>
      <c r="B5" s="5" t="s">
        <v>54</v>
      </c>
      <c r="C5" s="5" t="s">
        <v>55</v>
      </c>
      <c r="D5" s="10">
        <f t="shared" si="1"/>
        <v>0.2187272487</v>
      </c>
      <c r="E5" s="10">
        <f>'Precinct Vote Data'!H9</f>
        <v>0.2822966507</v>
      </c>
      <c r="F5" s="16">
        <f t="shared" si="2"/>
        <v>-6.3569402</v>
      </c>
      <c r="G5" s="10">
        <f t="shared" si="3"/>
        <v>0.2675159236</v>
      </c>
      <c r="H5" s="16">
        <f t="shared" si="4"/>
        <v>-1.478072715</v>
      </c>
      <c r="I5" s="5" t="b">
        <f t="shared" si="5"/>
        <v>1</v>
      </c>
      <c r="J5" s="5" t="b">
        <f t="shared" si="6"/>
        <v>1</v>
      </c>
      <c r="K5" s="15">
        <f t="shared" si="7"/>
        <v>2.527151825</v>
      </c>
      <c r="L5" s="10">
        <f t="shared" si="8"/>
        <v>0.219065976</v>
      </c>
      <c r="M5" s="10">
        <f>'Precinct Vote Data'!H6</f>
        <v>0.331010453</v>
      </c>
      <c r="N5" s="10">
        <f>'Precinct Vote Data'!H7</f>
        <v>0.2481389578</v>
      </c>
      <c r="O5" s="10">
        <f>'Precinct Vote Data'!H8</f>
        <v>0.2675159236</v>
      </c>
      <c r="U5" s="16">
        <f t="shared" si="9"/>
        <v>-6.323067471</v>
      </c>
      <c r="V5" s="5" t="b">
        <f t="shared" si="10"/>
        <v>1</v>
      </c>
      <c r="W5" s="5">
        <f t="shared" si="11"/>
        <v>6.3569402</v>
      </c>
      <c r="X5" s="5">
        <f t="shared" si="12"/>
        <v>1.478072715</v>
      </c>
      <c r="Y5" s="5">
        <f t="shared" si="13"/>
        <v>6.323067471</v>
      </c>
      <c r="Z5" s="10">
        <f>MIN(1,MAX(0,(5.3914776420524+0.021102849201698*'Precinct Vote Data'!I9*100+(-5.72594740176815)*1+0.927016741366831*(O5*100))/100))</f>
        <v>0.2398313719</v>
      </c>
      <c r="AA5" s="16">
        <f t="shared" si="14"/>
        <v>-4.246527877</v>
      </c>
      <c r="AB5" s="5" t="b">
        <f t="shared" si="15"/>
        <v>1</v>
      </c>
      <c r="AC5" s="5">
        <f t="shared" si="16"/>
        <v>4.246527877</v>
      </c>
    </row>
    <row r="6" ht="15.0" customHeight="1">
      <c r="A6" s="5" t="s">
        <v>16</v>
      </c>
      <c r="B6" s="5" t="s">
        <v>56</v>
      </c>
      <c r="C6" s="5" t="s">
        <v>57</v>
      </c>
      <c r="D6" s="10">
        <f t="shared" si="1"/>
        <v>0.3080658597</v>
      </c>
      <c r="E6" s="10">
        <f>'Precinct Vote Data'!H13</f>
        <v>0.3171806167</v>
      </c>
      <c r="F6" s="16">
        <f t="shared" si="2"/>
        <v>-0.9114757065</v>
      </c>
      <c r="G6" s="10">
        <f t="shared" si="3"/>
        <v>0.3591954023</v>
      </c>
      <c r="H6" s="16">
        <f t="shared" si="4"/>
        <v>4.201478556</v>
      </c>
      <c r="I6" s="5" t="b">
        <f t="shared" si="5"/>
        <v>1</v>
      </c>
      <c r="J6" s="5" t="b">
        <f t="shared" si="6"/>
        <v>1</v>
      </c>
      <c r="K6" s="15">
        <f t="shared" si="7"/>
        <v>3.227852278</v>
      </c>
      <c r="L6" s="10">
        <f t="shared" si="8"/>
        <v>0.297311794</v>
      </c>
      <c r="M6" s="10">
        <f>'Precinct Vote Data'!H10</f>
        <v>0.3859649123</v>
      </c>
      <c r="N6" s="10">
        <f>'Precinct Vote Data'!H11</f>
        <v>0.2593457944</v>
      </c>
      <c r="O6" s="10">
        <f>'Precinct Vote Data'!H12</f>
        <v>0.3591954023</v>
      </c>
      <c r="U6" s="16">
        <f t="shared" si="9"/>
        <v>-1.986882274</v>
      </c>
      <c r="V6" s="5" t="b">
        <f t="shared" si="10"/>
        <v>1</v>
      </c>
      <c r="W6" s="5">
        <f t="shared" si="11"/>
        <v>0.9114757065</v>
      </c>
      <c r="X6" s="5">
        <f t="shared" si="12"/>
        <v>4.201478556</v>
      </c>
      <c r="Y6" s="5">
        <f t="shared" si="13"/>
        <v>1.986882274</v>
      </c>
      <c r="Z6" s="10">
        <f>MIN(1,MAX(0,(5.3914776420524+0.021102849201698*'Precinct Vote Data'!I13*100+(-5.72594740176815)*1+0.927016741366831*(O6*100))/100))</f>
        <v>0.325438097</v>
      </c>
      <c r="AA6" s="16">
        <f t="shared" si="14"/>
        <v>0.825748031</v>
      </c>
      <c r="AB6" s="5" t="b">
        <f t="shared" si="15"/>
        <v>1</v>
      </c>
      <c r="AC6" s="5">
        <f t="shared" si="16"/>
        <v>0.825748031</v>
      </c>
    </row>
    <row r="7" ht="15.0" customHeight="1">
      <c r="A7" s="5" t="s">
        <v>16</v>
      </c>
      <c r="B7" s="5" t="s">
        <v>58</v>
      </c>
      <c r="C7" s="5" t="s">
        <v>59</v>
      </c>
      <c r="D7" s="10">
        <f t="shared" si="1"/>
        <v>0.2362604671</v>
      </c>
      <c r="E7" s="10">
        <f>'Precinct Vote Data'!H17</f>
        <v>0.240850059</v>
      </c>
      <c r="F7" s="16">
        <f t="shared" si="2"/>
        <v>-0.4589591903</v>
      </c>
      <c r="G7" s="10">
        <f t="shared" si="3"/>
        <v>0.2793696275</v>
      </c>
      <c r="H7" s="16">
        <f t="shared" si="4"/>
        <v>3.851956848</v>
      </c>
      <c r="I7" s="5" t="b">
        <f t="shared" si="5"/>
        <v>1</v>
      </c>
      <c r="J7" s="5" t="b">
        <f t="shared" si="6"/>
        <v>1</v>
      </c>
      <c r="K7" s="15">
        <f t="shared" si="7"/>
        <v>2.319864701</v>
      </c>
      <c r="L7" s="10">
        <f t="shared" si="8"/>
        <v>0.2348937389</v>
      </c>
      <c r="M7" s="10">
        <f>'Precinct Vote Data'!H14</f>
        <v>0.3295081967</v>
      </c>
      <c r="N7" s="10">
        <f>'Precinct Vote Data'!H15</f>
        <v>0.2503192848</v>
      </c>
      <c r="O7" s="10">
        <f>'Precinct Vote Data'!H16</f>
        <v>0.2793696275</v>
      </c>
      <c r="U7" s="16">
        <f t="shared" si="9"/>
        <v>-0.5956320159</v>
      </c>
      <c r="V7" s="5" t="b">
        <f t="shared" si="10"/>
        <v>1</v>
      </c>
      <c r="W7" s="5">
        <f t="shared" si="11"/>
        <v>0.4589591903</v>
      </c>
      <c r="X7" s="5">
        <f t="shared" si="12"/>
        <v>3.851956848</v>
      </c>
      <c r="Y7" s="5">
        <f t="shared" si="13"/>
        <v>0.5956320159</v>
      </c>
      <c r="Z7" s="10">
        <f>MIN(1,MAX(0,(5.3914776420524+0.021102849201698*'Precinct Vote Data'!I17*100+(-5.72594740176815)*1+0.927016741366831*(O7*100))/100))</f>
        <v>0.248131451</v>
      </c>
      <c r="AA7" s="16">
        <f t="shared" si="14"/>
        <v>0.7281391923</v>
      </c>
      <c r="AB7" s="5" t="b">
        <f t="shared" si="15"/>
        <v>1</v>
      </c>
      <c r="AC7" s="5">
        <f t="shared" si="16"/>
        <v>0.7281391923</v>
      </c>
    </row>
    <row r="8" ht="15.0" customHeight="1">
      <c r="A8" s="5" t="s">
        <v>16</v>
      </c>
      <c r="B8" s="5" t="s">
        <v>58</v>
      </c>
      <c r="C8" s="5" t="s">
        <v>60</v>
      </c>
      <c r="D8" s="10">
        <f t="shared" si="1"/>
        <v>0.2526056617</v>
      </c>
      <c r="E8" s="10">
        <f>'Precinct Vote Data'!H21</f>
        <v>0.2772511848</v>
      </c>
      <c r="F8" s="16">
        <f t="shared" si="2"/>
        <v>-2.46455231</v>
      </c>
      <c r="G8" s="10">
        <f t="shared" si="3"/>
        <v>0.2954924875</v>
      </c>
      <c r="H8" s="16">
        <f t="shared" si="4"/>
        <v>1.824130265</v>
      </c>
      <c r="I8" s="5" t="b">
        <f t="shared" si="5"/>
        <v>1</v>
      </c>
      <c r="J8" s="5" t="b">
        <f t="shared" si="6"/>
        <v>1</v>
      </c>
      <c r="K8" s="15">
        <f t="shared" si="7"/>
        <v>2.454222859</v>
      </c>
      <c r="L8" s="10">
        <f t="shared" si="8"/>
        <v>0.2484407165</v>
      </c>
      <c r="M8" s="10">
        <f>'Precinct Vote Data'!H18</f>
        <v>0.3353293413</v>
      </c>
      <c r="N8" s="10">
        <f>'Precinct Vote Data'!H19</f>
        <v>0.2465057179</v>
      </c>
      <c r="O8" s="10">
        <f>'Precinct Vote Data'!H20</f>
        <v>0.2954924875</v>
      </c>
      <c r="U8" s="16">
        <f t="shared" si="9"/>
        <v>-2.881046832</v>
      </c>
      <c r="V8" s="5" t="b">
        <f t="shared" si="10"/>
        <v>1</v>
      </c>
      <c r="W8" s="5">
        <f t="shared" si="11"/>
        <v>2.46455231</v>
      </c>
      <c r="X8" s="5">
        <f t="shared" si="12"/>
        <v>1.824130265</v>
      </c>
      <c r="Y8" s="5">
        <f t="shared" si="13"/>
        <v>2.881046832</v>
      </c>
      <c r="Z8" s="10">
        <f>MIN(1,MAX(0,(5.3914776420524+0.021102849201698*'Precinct Vote Data'!I21*100+(-5.72594740176815)*1+0.927016741366831*(O8*100))/100))</f>
        <v>0.2637740061</v>
      </c>
      <c r="AA8" s="16">
        <f t="shared" si="14"/>
        <v>-1.347717874</v>
      </c>
      <c r="AB8" s="5" t="b">
        <f t="shared" si="15"/>
        <v>1</v>
      </c>
      <c r="AC8" s="5">
        <f t="shared" si="16"/>
        <v>1.347717874</v>
      </c>
    </row>
    <row r="9" ht="15.0" customHeight="1">
      <c r="A9" s="5" t="s">
        <v>16</v>
      </c>
      <c r="B9" s="5" t="s">
        <v>62</v>
      </c>
      <c r="C9" s="5" t="s">
        <v>63</v>
      </c>
      <c r="D9" s="10">
        <f t="shared" si="1"/>
        <v>0.303189396</v>
      </c>
      <c r="E9" s="10">
        <f>'Precinct Vote Data'!H25</f>
        <v>0.3275862069</v>
      </c>
      <c r="F9" s="16">
        <f t="shared" si="2"/>
        <v>-2.439681086</v>
      </c>
      <c r="G9" s="10">
        <f t="shared" si="3"/>
        <v>0.3510638298</v>
      </c>
      <c r="H9" s="16">
        <f t="shared" si="4"/>
        <v>2.347762289</v>
      </c>
      <c r="I9" s="5" t="b">
        <f t="shared" si="5"/>
        <v>1</v>
      </c>
      <c r="J9" s="5" t="b">
        <f t="shared" si="6"/>
        <v>1</v>
      </c>
      <c r="K9" s="15">
        <f t="shared" si="7"/>
        <v>2.069084846</v>
      </c>
      <c r="L9" s="10">
        <f t="shared" si="8"/>
        <v>0.3113958323</v>
      </c>
      <c r="M9" s="10">
        <f>'Precinct Vote Data'!H22</f>
        <v>0.4415584416</v>
      </c>
      <c r="N9" s="10">
        <f>'Precinct Vote Data'!H23</f>
        <v>0.3884297521</v>
      </c>
      <c r="O9" s="10">
        <f>'Precinct Vote Data'!H24</f>
        <v>0.3510638298</v>
      </c>
      <c r="U9" s="16">
        <f t="shared" si="9"/>
        <v>-1.619037463</v>
      </c>
      <c r="V9" s="5" t="b">
        <f t="shared" si="10"/>
        <v>1</v>
      </c>
      <c r="W9" s="5">
        <f t="shared" si="11"/>
        <v>2.439681086</v>
      </c>
      <c r="X9" s="5">
        <f t="shared" si="12"/>
        <v>2.347762289</v>
      </c>
      <c r="Y9" s="5">
        <f t="shared" si="13"/>
        <v>1.619037463</v>
      </c>
      <c r="Z9" s="10">
        <f>MIN(1,MAX(0,(5.3914776420524+0.021102849201698*'Precinct Vote Data'!I25*100+(-5.72594740176815)*1+0.927016741366831*(O9*100))/100))</f>
        <v>0.3197380514</v>
      </c>
      <c r="AA9" s="16">
        <f t="shared" si="14"/>
        <v>-0.7848155533</v>
      </c>
      <c r="AB9" s="5" t="b">
        <f t="shared" si="15"/>
        <v>1</v>
      </c>
      <c r="AC9" s="5">
        <f t="shared" si="16"/>
        <v>0.7848155533</v>
      </c>
    </row>
    <row r="10" ht="15.0" customHeight="1">
      <c r="A10" s="5" t="s">
        <v>16</v>
      </c>
      <c r="B10" s="5" t="s">
        <v>72</v>
      </c>
      <c r="C10" s="5" t="s">
        <v>73</v>
      </c>
      <c r="D10" s="10">
        <f t="shared" si="1"/>
        <v>0.2522817471</v>
      </c>
      <c r="E10" s="10">
        <f>'Precinct Vote Data'!H29</f>
        <v>0.2666666667</v>
      </c>
      <c r="F10" s="16">
        <f t="shared" si="2"/>
        <v>-1.438491958</v>
      </c>
      <c r="G10" s="10">
        <f t="shared" si="3"/>
        <v>0.2929515419</v>
      </c>
      <c r="H10" s="16">
        <f t="shared" si="4"/>
        <v>2.628487518</v>
      </c>
      <c r="I10" s="5" t="b">
        <f t="shared" si="5"/>
        <v>1</v>
      </c>
      <c r="J10" s="5" t="b">
        <f t="shared" si="6"/>
        <v>1</v>
      </c>
      <c r="K10" s="15">
        <f t="shared" si="7"/>
        <v>2.16359317</v>
      </c>
      <c r="L10" s="10">
        <f t="shared" si="8"/>
        <v>0.2514716534</v>
      </c>
      <c r="M10" s="10">
        <f>'Precinct Vote Data'!H26</f>
        <v>0.3419689119</v>
      </c>
      <c r="N10" s="10">
        <f>'Precinct Vote Data'!H27</f>
        <v>0.2689768977</v>
      </c>
      <c r="O10" s="10">
        <f>'Precinct Vote Data'!H28</f>
        <v>0.2929515419</v>
      </c>
      <c r="U10" s="16">
        <f t="shared" si="9"/>
        <v>-1.519501322</v>
      </c>
      <c r="V10" s="5" t="b">
        <f t="shared" si="10"/>
        <v>1</v>
      </c>
      <c r="W10" s="5">
        <f t="shared" si="11"/>
        <v>1.438491958</v>
      </c>
      <c r="X10" s="5">
        <f t="shared" si="12"/>
        <v>2.628487518</v>
      </c>
      <c r="Y10" s="5">
        <f t="shared" si="13"/>
        <v>1.519501322</v>
      </c>
      <c r="Z10" s="10">
        <f>MIN(1,MAX(0,(5.3914776420524+0.021102849201698*'Precinct Vote Data'!I29*100+(-5.72594740176815)*1+0.927016741366831*(O10*100))/100))</f>
        <v>0.2617118366</v>
      </c>
      <c r="AA10" s="16">
        <f t="shared" si="14"/>
        <v>-0.4954830108</v>
      </c>
      <c r="AB10" s="5" t="b">
        <f t="shared" si="15"/>
        <v>1</v>
      </c>
      <c r="AC10" s="5">
        <f t="shared" si="16"/>
        <v>0.4954830108</v>
      </c>
    </row>
    <row r="11" ht="15.0" customHeight="1">
      <c r="A11" s="5" t="s">
        <v>16</v>
      </c>
      <c r="B11" s="5" t="s">
        <v>72</v>
      </c>
      <c r="C11" s="5" t="s">
        <v>74</v>
      </c>
      <c r="D11" s="10">
        <f t="shared" si="1"/>
        <v>0.2573105389</v>
      </c>
      <c r="E11" s="10">
        <f>'Precinct Vote Data'!H33</f>
        <v>0.2877094972</v>
      </c>
      <c r="F11" s="16">
        <f t="shared" si="2"/>
        <v>-3.039895826</v>
      </c>
      <c r="G11" s="10">
        <f t="shared" si="3"/>
        <v>0.2979737783</v>
      </c>
      <c r="H11" s="16">
        <f t="shared" si="4"/>
        <v>1.02642811</v>
      </c>
      <c r="I11" s="5" t="b">
        <f t="shared" si="5"/>
        <v>1</v>
      </c>
      <c r="J11" s="5" t="b">
        <f t="shared" si="6"/>
        <v>1</v>
      </c>
      <c r="K11" s="15">
        <f t="shared" si="7"/>
        <v>2.247129786</v>
      </c>
      <c r="L11" s="10">
        <f t="shared" si="8"/>
        <v>0.254892346</v>
      </c>
      <c r="M11" s="10">
        <f>'Precinct Vote Data'!H30</f>
        <v>0.3412256267</v>
      </c>
      <c r="N11" s="10">
        <f>'Precinct Vote Data'!H31</f>
        <v>0.2624877571</v>
      </c>
      <c r="O11" s="10">
        <f>'Precinct Vote Data'!H32</f>
        <v>0.2979737783</v>
      </c>
      <c r="U11" s="16">
        <f t="shared" si="9"/>
        <v>-3.281715122</v>
      </c>
      <c r="V11" s="5" t="b">
        <f t="shared" si="10"/>
        <v>1</v>
      </c>
      <c r="W11" s="5">
        <f t="shared" si="11"/>
        <v>3.039895826</v>
      </c>
      <c r="X11" s="5">
        <f t="shared" si="12"/>
        <v>1.02642811</v>
      </c>
      <c r="Y11" s="5">
        <f t="shared" si="13"/>
        <v>3.281715122</v>
      </c>
      <c r="Z11" s="10">
        <f>MIN(1,MAX(0,(5.3914776420524+0.021102849201698*'Precinct Vote Data'!I33*100+(-5.72594740176815)*1+0.927016741366831*(O11*100))/100))</f>
        <v>0.2661016379</v>
      </c>
      <c r="AA11" s="16">
        <f t="shared" si="14"/>
        <v>-2.160785927</v>
      </c>
      <c r="AB11" s="5" t="b">
        <f t="shared" si="15"/>
        <v>1</v>
      </c>
      <c r="AC11" s="5">
        <f t="shared" si="16"/>
        <v>2.160785927</v>
      </c>
    </row>
    <row r="12" ht="15.0" customHeight="1">
      <c r="A12" s="5" t="s">
        <v>16</v>
      </c>
      <c r="B12" s="5" t="s">
        <v>72</v>
      </c>
      <c r="C12" s="5" t="s">
        <v>76</v>
      </c>
      <c r="D12" s="10">
        <f t="shared" si="1"/>
        <v>0.2436796831</v>
      </c>
      <c r="E12" s="10">
        <f>'Precinct Vote Data'!H37</f>
        <v>0.2716763006</v>
      </c>
      <c r="F12" s="16">
        <f t="shared" si="2"/>
        <v>-2.799661748</v>
      </c>
      <c r="G12" s="10">
        <f t="shared" si="3"/>
        <v>0.2661654135</v>
      </c>
      <c r="H12" s="16">
        <f t="shared" si="4"/>
        <v>-0.5510887044</v>
      </c>
      <c r="I12" s="5" t="b">
        <f t="shared" si="5"/>
        <v>1</v>
      </c>
      <c r="J12" s="5" t="b">
        <f t="shared" si="6"/>
        <v>1</v>
      </c>
      <c r="K12" s="15">
        <f t="shared" si="7"/>
        <v>1.287464118</v>
      </c>
      <c r="L12" s="10">
        <f t="shared" si="8"/>
        <v>0.2414824608</v>
      </c>
      <c r="M12" s="10">
        <f>'Precinct Vote Data'!H34</f>
        <v>0.2870036101</v>
      </c>
      <c r="N12" s="10">
        <f>'Precinct Vote Data'!H35</f>
        <v>0.2403846154</v>
      </c>
      <c r="O12" s="10">
        <f>'Precinct Vote Data'!H36</f>
        <v>0.2661654135</v>
      </c>
      <c r="U12" s="16">
        <f t="shared" si="9"/>
        <v>-3.019383977</v>
      </c>
      <c r="V12" s="5" t="b">
        <f t="shared" si="10"/>
        <v>1</v>
      </c>
      <c r="W12" s="5">
        <f t="shared" si="11"/>
        <v>2.799661748</v>
      </c>
      <c r="X12" s="5">
        <f t="shared" si="12"/>
        <v>0.5510887044</v>
      </c>
      <c r="Y12" s="5">
        <f t="shared" si="13"/>
        <v>3.019383977</v>
      </c>
      <c r="Z12" s="10">
        <f>MIN(1,MAX(0,(5.3914776420524+0.021102849201698*'Precinct Vote Data'!I37*100+(-5.72594740176815)*1+0.927016741366831*(O12*100))/100))</f>
        <v>0.2361800326</v>
      </c>
      <c r="AA12" s="16">
        <f t="shared" si="14"/>
        <v>-3.5496268</v>
      </c>
      <c r="AB12" s="5" t="b">
        <f t="shared" si="15"/>
        <v>1</v>
      </c>
      <c r="AC12" s="5">
        <f t="shared" si="16"/>
        <v>3.5496268</v>
      </c>
    </row>
    <row r="13" ht="15.0" customHeight="1">
      <c r="A13" s="5" t="s">
        <v>16</v>
      </c>
      <c r="B13" s="5" t="s">
        <v>77</v>
      </c>
      <c r="C13" s="5" t="s">
        <v>78</v>
      </c>
      <c r="D13" s="10">
        <f t="shared" si="1"/>
        <v>0.3842713904</v>
      </c>
      <c r="E13" s="10">
        <f>'Precinct Vote Data'!H41</f>
        <v>0.4398496241</v>
      </c>
      <c r="F13" s="16">
        <f t="shared" si="2"/>
        <v>-5.557823369</v>
      </c>
      <c r="G13" s="10">
        <f t="shared" si="3"/>
        <v>0.4545454545</v>
      </c>
      <c r="H13" s="16">
        <f t="shared" si="4"/>
        <v>1.469583049</v>
      </c>
      <c r="I13" s="5" t="b">
        <f t="shared" si="5"/>
        <v>1</v>
      </c>
      <c r="J13" s="5" t="b">
        <f t="shared" si="6"/>
        <v>1</v>
      </c>
      <c r="K13" s="15">
        <f t="shared" si="7"/>
        <v>3.654641393</v>
      </c>
      <c r="L13" s="10">
        <f t="shared" si="8"/>
        <v>0.3844795479</v>
      </c>
      <c r="M13" s="10">
        <f>'Precinct Vote Data'!H38</f>
        <v>0.545</v>
      </c>
      <c r="N13" s="10">
        <f>'Precinct Vote Data'!H39</f>
        <v>0.4246323529</v>
      </c>
      <c r="O13" s="10">
        <f>'Precinct Vote Data'!H40</f>
        <v>0.4545454545</v>
      </c>
      <c r="U13" s="16">
        <f t="shared" si="9"/>
        <v>-5.537007617</v>
      </c>
      <c r="V13" s="5" t="b">
        <f t="shared" si="10"/>
        <v>1</v>
      </c>
      <c r="W13" s="5">
        <f t="shared" si="11"/>
        <v>5.557823369</v>
      </c>
      <c r="X13" s="5">
        <f t="shared" si="12"/>
        <v>1.469583049</v>
      </c>
      <c r="Y13" s="5">
        <f t="shared" si="13"/>
        <v>5.537007617</v>
      </c>
      <c r="Z13" s="10">
        <f>MIN(1,MAX(0,(5.3914776420524+0.021102849201698*'Precinct Vote Data'!I41*100+(-5.72594740176815)*1+0.927016741366831*(O13*100))/100))</f>
        <v>0.4192251903</v>
      </c>
      <c r="AA13" s="16">
        <f t="shared" si="14"/>
        <v>-2.062443375</v>
      </c>
      <c r="AB13" s="5" t="b">
        <f t="shared" si="15"/>
        <v>1</v>
      </c>
      <c r="AC13" s="5">
        <f t="shared" si="16"/>
        <v>2.062443375</v>
      </c>
    </row>
    <row r="14" ht="15.0" customHeight="1">
      <c r="A14" s="5" t="s">
        <v>16</v>
      </c>
      <c r="B14" s="5" t="s">
        <v>77</v>
      </c>
      <c r="C14" s="5" t="s">
        <v>79</v>
      </c>
      <c r="D14" s="10">
        <f t="shared" si="1"/>
        <v>0.4497326362</v>
      </c>
      <c r="E14" s="10">
        <f>'Precinct Vote Data'!H45</f>
        <v>0.4194373402</v>
      </c>
      <c r="F14" s="16">
        <f t="shared" si="2"/>
        <v>3.029529604</v>
      </c>
      <c r="G14" s="10">
        <f t="shared" si="3"/>
        <v>0.4579124579</v>
      </c>
      <c r="H14" s="16">
        <f t="shared" si="4"/>
        <v>3.847511776</v>
      </c>
      <c r="I14" s="5" t="b">
        <f t="shared" si="5"/>
        <v>1</v>
      </c>
      <c r="J14" s="5" t="b">
        <f t="shared" si="6"/>
        <v>1</v>
      </c>
      <c r="K14" s="15">
        <f t="shared" si="7"/>
        <v>0.9900171005</v>
      </c>
      <c r="L14" s="10">
        <f t="shared" si="8"/>
        <v>0.4389320879</v>
      </c>
      <c r="M14" s="10">
        <f>'Precinct Vote Data'!H42</f>
        <v>0.4296875</v>
      </c>
      <c r="N14" s="10">
        <f>'Precinct Vote Data'!H43</f>
        <v>0.3769230769</v>
      </c>
      <c r="O14" s="10">
        <f>'Precinct Vote Data'!H44</f>
        <v>0.4579124579</v>
      </c>
      <c r="U14" s="16">
        <f t="shared" si="9"/>
        <v>1.949474779</v>
      </c>
      <c r="V14" s="5" t="b">
        <f t="shared" si="10"/>
        <v>1</v>
      </c>
      <c r="W14" s="5">
        <f t="shared" si="11"/>
        <v>3.029529604</v>
      </c>
      <c r="X14" s="5">
        <f t="shared" si="12"/>
        <v>3.847511776</v>
      </c>
      <c r="Y14" s="5">
        <f t="shared" si="13"/>
        <v>1.949474779</v>
      </c>
      <c r="Z14" s="10">
        <f>MIN(1,MAX(0,(5.3914776420524+0.021102849201698*'Precinct Vote Data'!I45*100+(-5.72594740176815)*1+0.927016741366831*(O14*100))/100))</f>
        <v>0.4215445505</v>
      </c>
      <c r="AA14" s="16">
        <f t="shared" si="14"/>
        <v>0.210721038</v>
      </c>
      <c r="AB14" s="5" t="b">
        <f t="shared" si="15"/>
        <v>1</v>
      </c>
      <c r="AC14" s="5">
        <f t="shared" si="16"/>
        <v>0.210721038</v>
      </c>
    </row>
    <row r="15" ht="15.0" customHeight="1">
      <c r="A15" s="5" t="s">
        <v>16</v>
      </c>
      <c r="B15" s="5" t="s">
        <v>77</v>
      </c>
      <c r="C15" s="5" t="s">
        <v>87</v>
      </c>
      <c r="D15" s="10">
        <f t="shared" si="1"/>
        <v>0.3399379315</v>
      </c>
      <c r="E15" s="10">
        <f>'Precinct Vote Data'!H49</f>
        <v>0.382781457</v>
      </c>
      <c r="F15" s="16">
        <f t="shared" si="2"/>
        <v>-4.284352547</v>
      </c>
      <c r="G15" s="10">
        <f t="shared" si="3"/>
        <v>0.3904</v>
      </c>
      <c r="H15" s="16">
        <f t="shared" si="4"/>
        <v>0.7618543046</v>
      </c>
      <c r="I15" s="5" t="b">
        <f t="shared" si="5"/>
        <v>1</v>
      </c>
      <c r="J15" s="5" t="b">
        <f t="shared" si="6"/>
        <v>1</v>
      </c>
      <c r="K15" s="15">
        <f t="shared" si="7"/>
        <v>2.546199203</v>
      </c>
      <c r="L15" s="10">
        <f t="shared" si="8"/>
        <v>0.3415848807</v>
      </c>
      <c r="M15" s="10">
        <f>'Precinct Vote Data'!H46</f>
        <v>0.4607142857</v>
      </c>
      <c r="N15" s="10">
        <f>'Precinct Vote Data'!H47</f>
        <v>0.3796423659</v>
      </c>
      <c r="O15" s="10">
        <f>'Precinct Vote Data'!H48</f>
        <v>0.3904</v>
      </c>
      <c r="U15" s="16">
        <f t="shared" si="9"/>
        <v>-4.119657628</v>
      </c>
      <c r="V15" s="5" t="b">
        <f t="shared" si="10"/>
        <v>1</v>
      </c>
      <c r="W15" s="5">
        <f t="shared" si="11"/>
        <v>4.284352547</v>
      </c>
      <c r="X15" s="5">
        <f t="shared" si="12"/>
        <v>0.7618543046</v>
      </c>
      <c r="Y15" s="5">
        <f t="shared" si="13"/>
        <v>4.119657628</v>
      </c>
      <c r="Z15" s="10">
        <f>MIN(1,MAX(0,(5.3914776420524+0.021102849201698*'Precinct Vote Data'!I49*100+(-5.72594740176815)*1+0.927016741366831*(O15*100))/100))</f>
        <v>0.3559585466</v>
      </c>
      <c r="AA15" s="16">
        <f t="shared" si="14"/>
        <v>-2.682291031</v>
      </c>
      <c r="AB15" s="5" t="b">
        <f t="shared" si="15"/>
        <v>1</v>
      </c>
      <c r="AC15" s="5">
        <f t="shared" si="16"/>
        <v>2.682291031</v>
      </c>
    </row>
    <row r="16" ht="15.0" customHeight="1">
      <c r="A16" s="5" t="s">
        <v>16</v>
      </c>
      <c r="B16" s="5" t="s">
        <v>77</v>
      </c>
      <c r="C16" s="5" t="s">
        <v>88</v>
      </c>
      <c r="D16" s="10">
        <f t="shared" si="1"/>
        <v>0.5399735801</v>
      </c>
      <c r="E16" s="10">
        <f>'Precinct Vote Data'!H53</f>
        <v>0.5072992701</v>
      </c>
      <c r="F16" s="16">
        <f t="shared" si="2"/>
        <v>3.267431</v>
      </c>
      <c r="G16" s="10">
        <f t="shared" si="3"/>
        <v>0.5662650602</v>
      </c>
      <c r="H16" s="16">
        <f t="shared" si="4"/>
        <v>5.896579017</v>
      </c>
      <c r="I16" s="5" t="b">
        <f t="shared" si="5"/>
        <v>1</v>
      </c>
      <c r="J16" s="5" t="b">
        <f t="shared" si="6"/>
        <v>1</v>
      </c>
      <c r="K16" s="15">
        <f t="shared" si="7"/>
        <v>1.574240574</v>
      </c>
      <c r="L16" s="10">
        <f t="shared" si="8"/>
        <v>0.5360840982</v>
      </c>
      <c r="M16" s="10">
        <f>'Precinct Vote Data'!H50</f>
        <v>0.5859030837</v>
      </c>
      <c r="N16" s="10">
        <f>'Precinct Vote Data'!H51</f>
        <v>0.5266666667</v>
      </c>
      <c r="O16" s="10">
        <f>'Precinct Vote Data'!H52</f>
        <v>0.5662650602</v>
      </c>
      <c r="U16" s="16">
        <f t="shared" si="9"/>
        <v>2.878482814</v>
      </c>
      <c r="V16" s="5" t="b">
        <f t="shared" si="10"/>
        <v>1</v>
      </c>
      <c r="W16" s="5">
        <f t="shared" si="11"/>
        <v>3.267431</v>
      </c>
      <c r="X16" s="5">
        <f t="shared" si="12"/>
        <v>5.896579017</v>
      </c>
      <c r="Y16" s="5">
        <f t="shared" si="13"/>
        <v>2.878482814</v>
      </c>
      <c r="Z16" s="10">
        <f>MIN(1,MAX(0,(5.3914776420524+0.021102849201698*'Precinct Vote Data'!I53*100+(-5.72594740176815)*1+0.927016741366831*(O16*100))/100))</f>
        <v>0.5235466171</v>
      </c>
      <c r="AA16" s="16">
        <f t="shared" si="14"/>
        <v>1.624734706</v>
      </c>
      <c r="AB16" s="5" t="b">
        <f t="shared" si="15"/>
        <v>1</v>
      </c>
      <c r="AC16" s="5">
        <f t="shared" si="16"/>
        <v>1.624734706</v>
      </c>
    </row>
    <row r="17" ht="15.0" customHeight="1">
      <c r="A17" s="5" t="s">
        <v>16</v>
      </c>
      <c r="B17" s="5" t="s">
        <v>77</v>
      </c>
      <c r="C17" s="5" t="s">
        <v>89</v>
      </c>
      <c r="D17" s="10">
        <f t="shared" si="1"/>
        <v>0.4816222374</v>
      </c>
      <c r="E17" s="10">
        <f>'Precinct Vote Data'!H57</f>
        <v>0.439178515</v>
      </c>
      <c r="F17" s="16">
        <f t="shared" si="2"/>
        <v>4.24437224</v>
      </c>
      <c r="G17" s="10">
        <f t="shared" si="3"/>
        <v>0.4914285714</v>
      </c>
      <c r="H17" s="16">
        <f t="shared" si="4"/>
        <v>5.225005642</v>
      </c>
      <c r="I17" s="5" t="b">
        <f t="shared" si="5"/>
        <v>1</v>
      </c>
      <c r="J17" s="5" t="b">
        <f t="shared" si="6"/>
        <v>1</v>
      </c>
      <c r="K17" s="15">
        <f t="shared" si="7"/>
        <v>1.126686473</v>
      </c>
      <c r="L17" s="10">
        <f t="shared" si="8"/>
        <v>0.4698280091</v>
      </c>
      <c r="M17" s="10">
        <f>'Precinct Vote Data'!H54</f>
        <v>0.461722488</v>
      </c>
      <c r="N17" s="10">
        <f>'Precinct Vote Data'!H55</f>
        <v>0.4025974026</v>
      </c>
      <c r="O17" s="10">
        <f>'Precinct Vote Data'!H56</f>
        <v>0.4914285714</v>
      </c>
      <c r="U17" s="16">
        <f t="shared" si="9"/>
        <v>3.064949408</v>
      </c>
      <c r="V17" s="5" t="b">
        <f t="shared" si="10"/>
        <v>1</v>
      </c>
      <c r="W17" s="5">
        <f t="shared" si="11"/>
        <v>4.24437224</v>
      </c>
      <c r="X17" s="5">
        <f t="shared" si="12"/>
        <v>5.225005642</v>
      </c>
      <c r="Y17" s="5">
        <f t="shared" si="13"/>
        <v>3.064949408</v>
      </c>
      <c r="Z17" s="10">
        <f>MIN(1,MAX(0,(5.3914776420524+0.021102849201698*'Precinct Vote Data'!I57*100+(-5.72594740176815)*1+0.927016741366831*(O17*100))/100))</f>
        <v>0.4512977311</v>
      </c>
      <c r="AA17" s="16">
        <f t="shared" si="14"/>
        <v>1.211921607</v>
      </c>
      <c r="AB17" s="5" t="b">
        <f t="shared" si="15"/>
        <v>1</v>
      </c>
      <c r="AC17" s="5">
        <f t="shared" si="16"/>
        <v>1.211921607</v>
      </c>
    </row>
    <row r="18" ht="15.0" customHeight="1">
      <c r="A18" s="5" t="s">
        <v>16</v>
      </c>
      <c r="B18" s="5" t="s">
        <v>90</v>
      </c>
      <c r="C18" s="5" t="s">
        <v>91</v>
      </c>
      <c r="D18" s="10">
        <f t="shared" si="1"/>
        <v>0.3247694621</v>
      </c>
      <c r="E18" s="10">
        <f>'Precinct Vote Data'!H61</f>
        <v>0.3723076923</v>
      </c>
      <c r="F18" s="16">
        <f t="shared" si="2"/>
        <v>-4.753823022</v>
      </c>
      <c r="G18" s="10">
        <f t="shared" si="3"/>
        <v>0.356</v>
      </c>
      <c r="H18" s="16">
        <f t="shared" si="4"/>
        <v>-1.630769231</v>
      </c>
      <c r="I18" s="5" t="b">
        <f t="shared" si="5"/>
        <v>1</v>
      </c>
      <c r="J18" s="5" t="b">
        <f t="shared" si="6"/>
        <v>1</v>
      </c>
      <c r="K18" s="15">
        <f t="shared" si="7"/>
        <v>1.787665952</v>
      </c>
      <c r="L18" s="10">
        <f t="shared" si="8"/>
        <v>0.3217272979</v>
      </c>
      <c r="M18" s="10">
        <f>'Precinct Vote Data'!H58</f>
        <v>0.3849765258</v>
      </c>
      <c r="N18" s="10">
        <f>'Precinct Vote Data'!H59</f>
        <v>0.3202614379</v>
      </c>
      <c r="O18" s="10">
        <f>'Precinct Vote Data'!H60</f>
        <v>0.356</v>
      </c>
      <c r="U18" s="16">
        <f t="shared" si="9"/>
        <v>-5.058039439</v>
      </c>
      <c r="V18" s="5" t="b">
        <f t="shared" si="10"/>
        <v>1</v>
      </c>
      <c r="W18" s="5">
        <f t="shared" si="11"/>
        <v>4.753823022</v>
      </c>
      <c r="X18" s="5">
        <f t="shared" si="12"/>
        <v>1.630769231</v>
      </c>
      <c r="Y18" s="5">
        <f t="shared" si="13"/>
        <v>5.058039439</v>
      </c>
      <c r="Z18" s="10">
        <f>MIN(1,MAX(0,(5.3914776420524+0.021102849201698*'Precinct Vote Data'!I61*100+(-5.72594740176815)*1+0.927016741366831*(O18*100))/100))</f>
        <v>0.3211253233</v>
      </c>
      <c r="AA18" s="16">
        <f t="shared" si="14"/>
        <v>-5.118236903</v>
      </c>
      <c r="AB18" s="5" t="b">
        <f t="shared" si="15"/>
        <v>1</v>
      </c>
      <c r="AC18" s="5">
        <f t="shared" si="16"/>
        <v>5.118236903</v>
      </c>
    </row>
    <row r="19" ht="15.0" customHeight="1">
      <c r="A19" s="5" t="s">
        <v>16</v>
      </c>
      <c r="B19" s="5" t="s">
        <v>90</v>
      </c>
      <c r="C19" s="5" t="s">
        <v>92</v>
      </c>
      <c r="D19" s="10">
        <f t="shared" si="1"/>
        <v>0.3017502853</v>
      </c>
      <c r="E19" s="10">
        <f>'Precinct Vote Data'!H65</f>
        <v>0.3181189488</v>
      </c>
      <c r="F19" s="16">
        <f t="shared" si="2"/>
        <v>-1.636866349</v>
      </c>
      <c r="G19" s="10">
        <f t="shared" si="3"/>
        <v>0.3202725724</v>
      </c>
      <c r="H19" s="16">
        <f t="shared" si="4"/>
        <v>0.2153623578</v>
      </c>
      <c r="I19" s="5" t="b">
        <f t="shared" si="5"/>
        <v>1</v>
      </c>
      <c r="J19" s="5" t="b">
        <f t="shared" si="6"/>
        <v>1</v>
      </c>
      <c r="K19" s="15">
        <f t="shared" si="7"/>
        <v>1.067251929</v>
      </c>
      <c r="L19" s="10">
        <f t="shared" si="8"/>
        <v>0.2998114748</v>
      </c>
      <c r="M19" s="10">
        <f>'Precinct Vote Data'!H62</f>
        <v>0.3369763206</v>
      </c>
      <c r="N19" s="10">
        <f>'Precinct Vote Data'!H63</f>
        <v>0.2981132075</v>
      </c>
      <c r="O19" s="10">
        <f>'Precinct Vote Data'!H64</f>
        <v>0.3202725724</v>
      </c>
      <c r="U19" s="16">
        <f t="shared" si="9"/>
        <v>-1.830747398</v>
      </c>
      <c r="V19" s="5" t="b">
        <f t="shared" si="10"/>
        <v>1</v>
      </c>
      <c r="W19" s="5">
        <f t="shared" si="11"/>
        <v>1.636866349</v>
      </c>
      <c r="X19" s="5">
        <f t="shared" si="12"/>
        <v>0.2153623578</v>
      </c>
      <c r="Y19" s="5">
        <f t="shared" si="13"/>
        <v>1.830747398</v>
      </c>
      <c r="Z19" s="10">
        <f>MIN(1,MAX(0,(5.3914776420524+0.021102849201698*'Precinct Vote Data'!I65*100+(-5.72594740176815)*1+0.927016741366831*(O19*100))/100))</f>
        <v>0.2880011792</v>
      </c>
      <c r="AA19" s="16">
        <f t="shared" si="14"/>
        <v>-3.011776963</v>
      </c>
      <c r="AB19" s="5" t="b">
        <f t="shared" si="15"/>
        <v>1</v>
      </c>
      <c r="AC19" s="5">
        <f t="shared" si="16"/>
        <v>3.011776963</v>
      </c>
    </row>
    <row r="20" ht="15.0" customHeight="1">
      <c r="A20" s="5" t="s">
        <v>16</v>
      </c>
      <c r="B20" s="5" t="s">
        <v>93</v>
      </c>
      <c r="C20" s="5" t="s">
        <v>94</v>
      </c>
      <c r="D20" s="10">
        <f t="shared" si="1"/>
        <v>0.3337792642</v>
      </c>
      <c r="E20" s="10">
        <f>'Precinct Vote Data'!H69</f>
        <v>0.3881987578</v>
      </c>
      <c r="F20" s="16">
        <f t="shared" si="2"/>
        <v>-5.441949355</v>
      </c>
      <c r="G20" s="10">
        <f t="shared" si="3"/>
        <v>0.3933747412</v>
      </c>
      <c r="H20" s="16">
        <f t="shared" si="4"/>
        <v>0.5175983437</v>
      </c>
      <c r="I20" s="5" t="b">
        <f t="shared" si="5"/>
        <v>1</v>
      </c>
      <c r="J20" s="5" t="b">
        <f t="shared" si="6"/>
        <v>1</v>
      </c>
      <c r="K20" s="15">
        <f t="shared" si="7"/>
        <v>2.698127296</v>
      </c>
      <c r="L20" s="10">
        <f t="shared" si="8"/>
        <v>0.341646893</v>
      </c>
      <c r="M20" s="10">
        <f>'Precinct Vote Data'!H66</f>
        <v>0.4976190476</v>
      </c>
      <c r="N20" s="10">
        <f>'Precinct Vote Data'!H67</f>
        <v>0.4230769231</v>
      </c>
      <c r="O20" s="10">
        <f>'Precinct Vote Data'!H68</f>
        <v>0.3933747412</v>
      </c>
      <c r="U20" s="16">
        <f t="shared" si="9"/>
        <v>-4.655186478</v>
      </c>
      <c r="V20" s="5" t="b">
        <f t="shared" si="10"/>
        <v>1</v>
      </c>
      <c r="W20" s="5">
        <f t="shared" si="11"/>
        <v>5.441949355</v>
      </c>
      <c r="X20" s="5">
        <f t="shared" si="12"/>
        <v>0.5175983437</v>
      </c>
      <c r="Y20" s="5">
        <f t="shared" si="13"/>
        <v>4.655186478</v>
      </c>
      <c r="Z20" s="10">
        <f>MIN(1,MAX(0,(5.3914776420524+0.021102849201698*'Precinct Vote Data'!I69*100+(-5.72594740176815)*1+0.927016741366831*(O20*100))/100))</f>
        <v>0.3614194565</v>
      </c>
      <c r="AA20" s="16">
        <f t="shared" si="14"/>
        <v>-2.677930125</v>
      </c>
      <c r="AB20" s="5" t="b">
        <f t="shared" si="15"/>
        <v>1</v>
      </c>
      <c r="AC20" s="5">
        <f t="shared" si="16"/>
        <v>2.677930125</v>
      </c>
    </row>
    <row r="21" ht="15.0" customHeight="1">
      <c r="A21" s="5" t="s">
        <v>16</v>
      </c>
      <c r="B21" s="5" t="s">
        <v>93</v>
      </c>
      <c r="C21" s="5" t="s">
        <v>95</v>
      </c>
      <c r="D21" s="10">
        <f t="shared" si="1"/>
        <v>0.387916809</v>
      </c>
      <c r="E21" s="10">
        <f>'Precinct Vote Data'!H73</f>
        <v>0.391198044</v>
      </c>
      <c r="F21" s="16">
        <f t="shared" si="2"/>
        <v>-0.3281234966</v>
      </c>
      <c r="G21" s="10">
        <f t="shared" si="3"/>
        <v>0.425087108</v>
      </c>
      <c r="H21" s="16">
        <f t="shared" si="4"/>
        <v>3.3889064</v>
      </c>
      <c r="I21" s="5" t="b">
        <f t="shared" si="5"/>
        <v>1</v>
      </c>
      <c r="J21" s="5" t="b">
        <f t="shared" si="6"/>
        <v>1</v>
      </c>
      <c r="K21" s="15">
        <f t="shared" si="7"/>
        <v>1.930341129</v>
      </c>
      <c r="L21" s="10">
        <f t="shared" si="8"/>
        <v>0.3880790717</v>
      </c>
      <c r="M21" s="10">
        <f>'Precinct Vote Data'!H70</f>
        <v>0.4731182796</v>
      </c>
      <c r="N21" s="10">
        <f>'Precinct Vote Data'!H71</f>
        <v>0.4096385542</v>
      </c>
      <c r="O21" s="10">
        <f>'Precinct Vote Data'!H72</f>
        <v>0.425087108</v>
      </c>
      <c r="U21" s="16">
        <f t="shared" si="9"/>
        <v>-0.3118972304</v>
      </c>
      <c r="V21" s="5" t="b">
        <f t="shared" si="10"/>
        <v>1</v>
      </c>
      <c r="W21" s="5">
        <f t="shared" si="11"/>
        <v>0.3281234966</v>
      </c>
      <c r="X21" s="5">
        <f t="shared" si="12"/>
        <v>3.3889064</v>
      </c>
      <c r="Y21" s="5">
        <f t="shared" si="13"/>
        <v>0.3118972304</v>
      </c>
      <c r="Z21" s="10">
        <f>MIN(1,MAX(0,(5.3914776420524+0.021102849201698*'Precinct Vote Data'!I73*100+(-5.72594740176815)*1+0.927016741366831*(O21*100))/100))</f>
        <v>0.3895532908</v>
      </c>
      <c r="AA21" s="16">
        <f t="shared" si="14"/>
        <v>-0.1644753215</v>
      </c>
      <c r="AB21" s="5" t="b">
        <f t="shared" si="15"/>
        <v>1</v>
      </c>
      <c r="AC21" s="5">
        <f t="shared" si="16"/>
        <v>0.1644753215</v>
      </c>
    </row>
    <row r="22" ht="15.0" customHeight="1">
      <c r="A22" s="5" t="s">
        <v>16</v>
      </c>
      <c r="B22" s="5" t="s">
        <v>93</v>
      </c>
      <c r="C22" s="5" t="s">
        <v>96</v>
      </c>
      <c r="D22" s="10">
        <f t="shared" si="1"/>
        <v>0.4280078756</v>
      </c>
      <c r="E22" s="10">
        <f>'Precinct Vote Data'!H77</f>
        <v>0.4104477612</v>
      </c>
      <c r="F22" s="16">
        <f t="shared" si="2"/>
        <v>1.756011439</v>
      </c>
      <c r="G22" s="10">
        <f t="shared" si="3"/>
        <v>0.4695652174</v>
      </c>
      <c r="H22" s="16">
        <f t="shared" si="4"/>
        <v>5.91174562</v>
      </c>
      <c r="I22" s="5" t="b">
        <f t="shared" si="5"/>
        <v>1</v>
      </c>
      <c r="J22" s="5" t="b">
        <f t="shared" si="6"/>
        <v>1</v>
      </c>
      <c r="K22" s="15">
        <f t="shared" si="7"/>
        <v>2.333798431</v>
      </c>
      <c r="L22" s="10">
        <f t="shared" si="8"/>
        <v>0.4248221946</v>
      </c>
      <c r="M22" s="10">
        <f>'Precinct Vote Data'!H74</f>
        <v>0.5112107623</v>
      </c>
      <c r="N22" s="10">
        <f>'Precinct Vote Data'!H75</f>
        <v>0.4281842818</v>
      </c>
      <c r="O22" s="10">
        <f>'Precinct Vote Data'!H76</f>
        <v>0.4695652174</v>
      </c>
      <c r="U22" s="16">
        <f t="shared" si="9"/>
        <v>1.437443343</v>
      </c>
      <c r="V22" s="5" t="b">
        <f t="shared" si="10"/>
        <v>1</v>
      </c>
      <c r="W22" s="5">
        <f t="shared" si="11"/>
        <v>1.756011439</v>
      </c>
      <c r="X22" s="5">
        <f t="shared" si="12"/>
        <v>5.91174562</v>
      </c>
      <c r="Y22" s="5">
        <f t="shared" si="13"/>
        <v>1.437443343</v>
      </c>
      <c r="Z22" s="10">
        <f>MIN(1,MAX(0,(5.3914776420524+0.021102849201698*'Precinct Vote Data'!I77*100+(-5.72594740176815)*1+0.927016741366831*(O22*100))/100))</f>
        <v>0.4317812973</v>
      </c>
      <c r="AA22" s="16">
        <f t="shared" si="14"/>
        <v>2.13335361</v>
      </c>
      <c r="AB22" s="5" t="b">
        <f t="shared" si="15"/>
        <v>1</v>
      </c>
      <c r="AC22" s="5">
        <f t="shared" si="16"/>
        <v>2.13335361</v>
      </c>
    </row>
    <row r="23" ht="15.0" customHeight="1">
      <c r="A23" s="5" t="s">
        <v>16</v>
      </c>
      <c r="B23" s="5" t="s">
        <v>97</v>
      </c>
      <c r="C23" s="5" t="s">
        <v>98</v>
      </c>
      <c r="D23" s="10">
        <f t="shared" si="1"/>
        <v>0.2969851148</v>
      </c>
      <c r="E23" s="10">
        <f>'Precinct Vote Data'!H81</f>
        <v>0.2620689655</v>
      </c>
      <c r="F23" s="16">
        <f t="shared" si="2"/>
        <v>3.491614928</v>
      </c>
      <c r="G23" s="10">
        <f t="shared" si="3"/>
        <v>0.3130434783</v>
      </c>
      <c r="H23" s="16">
        <f t="shared" si="4"/>
        <v>5.097451274</v>
      </c>
      <c r="I23" s="5" t="b">
        <f t="shared" si="5"/>
        <v>1</v>
      </c>
      <c r="J23" s="5" t="b">
        <f t="shared" si="6"/>
        <v>1</v>
      </c>
      <c r="K23" s="15">
        <f t="shared" si="7"/>
        <v>0.8958471554</v>
      </c>
      <c r="L23" s="10">
        <f t="shared" si="8"/>
        <v>0.2958685118</v>
      </c>
      <c r="M23" s="10">
        <f>'Precinct Vote Data'!H78</f>
        <v>0.3295454545</v>
      </c>
      <c r="N23" s="10">
        <f>'Precinct Vote Data'!H79</f>
        <v>0.2978723404</v>
      </c>
      <c r="O23" s="10">
        <f>'Precinct Vote Data'!H80</f>
        <v>0.3130434783</v>
      </c>
      <c r="U23" s="16">
        <f t="shared" si="9"/>
        <v>3.379954633</v>
      </c>
      <c r="V23" s="5" t="b">
        <f t="shared" si="10"/>
        <v>1</v>
      </c>
      <c r="W23" s="5">
        <f t="shared" si="11"/>
        <v>3.491614928</v>
      </c>
      <c r="X23" s="5">
        <f t="shared" si="12"/>
        <v>5.097451274</v>
      </c>
      <c r="Y23" s="5">
        <f t="shared" si="13"/>
        <v>3.379954633</v>
      </c>
      <c r="Z23" s="10">
        <f>MIN(1,MAX(0,(5.3914776420524+0.021102849201698*'Precinct Vote Data'!I81*100+(-5.72594740176815)*1+0.927016741366831*(O23*100))/100))</f>
        <v>0.2800904946</v>
      </c>
      <c r="AA23" s="16">
        <f t="shared" si="14"/>
        <v>1.802152912</v>
      </c>
      <c r="AB23" s="5" t="b">
        <f t="shared" si="15"/>
        <v>1</v>
      </c>
      <c r="AC23" s="5">
        <f t="shared" si="16"/>
        <v>1.802152912</v>
      </c>
    </row>
    <row r="24" ht="15.0" customHeight="1">
      <c r="A24" s="5" t="s">
        <v>16</v>
      </c>
      <c r="B24" s="5" t="s">
        <v>99</v>
      </c>
      <c r="C24" s="5" t="s">
        <v>100</v>
      </c>
      <c r="D24" s="10">
        <f t="shared" si="1"/>
        <v>0.2157470473</v>
      </c>
      <c r="E24" s="10">
        <f>'Precinct Vote Data'!H85</f>
        <v>0.2116788321</v>
      </c>
      <c r="F24" s="16">
        <f t="shared" si="2"/>
        <v>0.4068215205</v>
      </c>
      <c r="G24" s="10">
        <f t="shared" si="3"/>
        <v>0.2157676349</v>
      </c>
      <c r="H24" s="16">
        <f t="shared" si="4"/>
        <v>0.4088802738</v>
      </c>
      <c r="I24" s="5" t="b">
        <f t="shared" si="5"/>
        <v>1</v>
      </c>
      <c r="J24" s="5" t="b">
        <f t="shared" si="6"/>
        <v>1</v>
      </c>
      <c r="K24" s="15">
        <f t="shared" si="7"/>
        <v>0.216898717</v>
      </c>
      <c r="L24" s="10">
        <f t="shared" si="8"/>
        <v>0.2116093048</v>
      </c>
      <c r="M24" s="10">
        <f>'Precinct Vote Data'!H82</f>
        <v>0.2009803922</v>
      </c>
      <c r="N24" s="10">
        <f>'Precinct Vote Data'!H83</f>
        <v>0.1861313869</v>
      </c>
      <c r="O24" s="10">
        <f>'Precinct Vote Data'!H84</f>
        <v>0.2157676349</v>
      </c>
      <c r="U24" s="16">
        <f t="shared" si="9"/>
        <v>-0.00695273477</v>
      </c>
      <c r="V24" s="5" t="b">
        <f t="shared" si="10"/>
        <v>1</v>
      </c>
      <c r="W24" s="5">
        <f t="shared" si="11"/>
        <v>0.4068215205</v>
      </c>
      <c r="X24" s="5">
        <f t="shared" si="12"/>
        <v>0.4088802738</v>
      </c>
      <c r="Y24" s="5">
        <f t="shared" si="13"/>
        <v>0.00695273477</v>
      </c>
      <c r="Z24" s="10">
        <f>MIN(1,MAX(0,(5.3914776420524+0.021102849201698*'Precinct Vote Data'!I85*100+(-5.72594740176815)*1+0.927016741366831*(O24*100))/100))</f>
        <v>0.1848916812</v>
      </c>
      <c r="AA24" s="16">
        <f t="shared" si="14"/>
        <v>-2.678715095</v>
      </c>
      <c r="AB24" s="5" t="b">
        <f t="shared" si="15"/>
        <v>1</v>
      </c>
      <c r="AC24" s="5">
        <f t="shared" si="16"/>
        <v>2.678715095</v>
      </c>
    </row>
    <row r="25" ht="15.0" customHeight="1">
      <c r="A25" s="5" t="s">
        <v>16</v>
      </c>
      <c r="B25" s="5" t="s">
        <v>101</v>
      </c>
      <c r="C25" s="5" t="s">
        <v>102</v>
      </c>
      <c r="D25" s="10">
        <f t="shared" si="1"/>
        <v>0.369453107</v>
      </c>
      <c r="E25" s="10">
        <f>'Precinct Vote Data'!H89</f>
        <v>0.3956574186</v>
      </c>
      <c r="F25" s="16">
        <f t="shared" si="2"/>
        <v>-2.620431154</v>
      </c>
      <c r="G25" s="10">
        <f t="shared" si="3"/>
        <v>0.4116607774</v>
      </c>
      <c r="H25" s="16">
        <f t="shared" si="4"/>
        <v>1.600335881</v>
      </c>
      <c r="I25" s="5" t="b">
        <f t="shared" si="5"/>
        <v>1</v>
      </c>
      <c r="J25" s="5" t="b">
        <f t="shared" si="6"/>
        <v>1</v>
      </c>
      <c r="K25" s="15">
        <f t="shared" si="7"/>
        <v>2.372399995</v>
      </c>
      <c r="L25" s="10">
        <f t="shared" si="8"/>
        <v>0.3661776947</v>
      </c>
      <c r="M25" s="10">
        <f>'Precinct Vote Data'!H86</f>
        <v>0.453815261</v>
      </c>
      <c r="N25" s="10">
        <f>'Precinct Vote Data'!H87</f>
        <v>0.3693467337</v>
      </c>
      <c r="O25" s="10">
        <f>'Precinct Vote Data'!H88</f>
        <v>0.4116607774</v>
      </c>
      <c r="U25" s="16">
        <f t="shared" si="9"/>
        <v>-2.947972386</v>
      </c>
      <c r="V25" s="5" t="b">
        <f t="shared" si="10"/>
        <v>1</v>
      </c>
      <c r="W25" s="5">
        <f t="shared" si="11"/>
        <v>2.620431154</v>
      </c>
      <c r="X25" s="5">
        <f t="shared" si="12"/>
        <v>1.600335881</v>
      </c>
      <c r="Y25" s="5">
        <f t="shared" si="13"/>
        <v>2.947972386</v>
      </c>
      <c r="Z25" s="10">
        <f>MIN(1,MAX(0,(5.3914776420524+0.021102849201698*'Precinct Vote Data'!I89*100+(-5.72594740176815)*1+0.927016741366831*(O25*100))/100))</f>
        <v>0.3758153632</v>
      </c>
      <c r="AA25" s="16">
        <f t="shared" si="14"/>
        <v>-1.984205542</v>
      </c>
      <c r="AB25" s="5" t="b">
        <f t="shared" si="15"/>
        <v>1</v>
      </c>
      <c r="AC25" s="5">
        <f t="shared" si="16"/>
        <v>1.984205542</v>
      </c>
    </row>
    <row r="26" ht="15.0" customHeight="1">
      <c r="A26" s="5" t="s">
        <v>16</v>
      </c>
      <c r="B26" s="5" t="s">
        <v>101</v>
      </c>
      <c r="C26" s="5" t="s">
        <v>103</v>
      </c>
      <c r="D26" s="10">
        <f t="shared" si="1"/>
        <v>0.4432425684</v>
      </c>
      <c r="E26" s="10">
        <f>'Precinct Vote Data'!H93</f>
        <v>0.3932885906</v>
      </c>
      <c r="F26" s="16">
        <f t="shared" si="2"/>
        <v>4.995397778</v>
      </c>
      <c r="G26" s="10">
        <f t="shared" si="3"/>
        <v>0.4592030361</v>
      </c>
      <c r="H26" s="16">
        <f t="shared" si="4"/>
        <v>6.591444545</v>
      </c>
      <c r="I26" s="5" t="b">
        <f t="shared" si="5"/>
        <v>1</v>
      </c>
      <c r="J26" s="5" t="b">
        <f t="shared" si="6"/>
        <v>1</v>
      </c>
      <c r="K26" s="15">
        <f t="shared" si="7"/>
        <v>1.284150413</v>
      </c>
      <c r="L26" s="10">
        <f t="shared" si="8"/>
        <v>0.4345836129</v>
      </c>
      <c r="M26" s="10">
        <f>'Precinct Vote Data'!H90</f>
        <v>0.4485776805</v>
      </c>
      <c r="N26" s="10">
        <f>'Precinct Vote Data'!H91</f>
        <v>0.390070922</v>
      </c>
      <c r="O26" s="10">
        <f>'Precinct Vote Data'!H92</f>
        <v>0.4592030361</v>
      </c>
      <c r="U26" s="16">
        <f t="shared" si="9"/>
        <v>4.129502228</v>
      </c>
      <c r="V26" s="5" t="b">
        <f t="shared" si="10"/>
        <v>1</v>
      </c>
      <c r="W26" s="5">
        <f t="shared" si="11"/>
        <v>4.995397778</v>
      </c>
      <c r="X26" s="5">
        <f t="shared" si="12"/>
        <v>6.591444545</v>
      </c>
      <c r="Y26" s="5">
        <f t="shared" si="13"/>
        <v>4.129502228</v>
      </c>
      <c r="Z26" s="10">
        <f>MIN(1,MAX(0,(5.3914776420524+0.021102849201698*'Precinct Vote Data'!I93*100+(-5.72594740176815)*1+0.927016741366831*(O26*100))/100))</f>
        <v>0.4197063484</v>
      </c>
      <c r="AA26" s="16">
        <f t="shared" si="14"/>
        <v>2.641775776</v>
      </c>
      <c r="AB26" s="5" t="b">
        <f t="shared" si="15"/>
        <v>1</v>
      </c>
      <c r="AC26" s="5">
        <f t="shared" si="16"/>
        <v>2.641775776</v>
      </c>
    </row>
    <row r="27" ht="15.0" customHeight="1">
      <c r="A27" s="5" t="s">
        <v>16</v>
      </c>
      <c r="B27" s="5" t="s">
        <v>101</v>
      </c>
      <c r="C27" s="5" t="s">
        <v>104</v>
      </c>
      <c r="D27" s="10">
        <f t="shared" si="1"/>
        <v>0.3578178374</v>
      </c>
      <c r="E27" s="10">
        <f>'Precinct Vote Data'!H97</f>
        <v>0.3773364486</v>
      </c>
      <c r="F27" s="16">
        <f t="shared" si="2"/>
        <v>-1.951861124</v>
      </c>
      <c r="G27" s="10">
        <f t="shared" si="3"/>
        <v>0.425087108</v>
      </c>
      <c r="H27" s="16">
        <f t="shared" si="4"/>
        <v>4.775065942</v>
      </c>
      <c r="I27" s="5" t="b">
        <f t="shared" si="5"/>
        <v>1</v>
      </c>
      <c r="J27" s="5" t="b">
        <f t="shared" si="6"/>
        <v>1</v>
      </c>
      <c r="K27" s="15">
        <f t="shared" si="7"/>
        <v>3.744499839</v>
      </c>
      <c r="L27" s="10">
        <f t="shared" si="8"/>
        <v>0.3532984568</v>
      </c>
      <c r="M27" s="10">
        <f>'Precinct Vote Data'!H94</f>
        <v>0.4947807933</v>
      </c>
      <c r="N27" s="10">
        <f>'Precinct Vote Data'!H95</f>
        <v>0.3626666667</v>
      </c>
      <c r="O27" s="10">
        <f>'Precinct Vote Data'!H96</f>
        <v>0.425087108</v>
      </c>
      <c r="U27" s="16">
        <f t="shared" si="9"/>
        <v>-2.403799179</v>
      </c>
      <c r="V27" s="5" t="b">
        <f t="shared" si="10"/>
        <v>1</v>
      </c>
      <c r="W27" s="5">
        <f t="shared" si="11"/>
        <v>1.951861124</v>
      </c>
      <c r="X27" s="5">
        <f t="shared" si="12"/>
        <v>4.775065942</v>
      </c>
      <c r="Y27" s="5">
        <f t="shared" si="13"/>
        <v>2.403799179</v>
      </c>
      <c r="Z27" s="10">
        <f>MIN(1,MAX(0,(5.3914776420524+0.021102849201698*'Precinct Vote Data'!I97*100+(-5.72594740176815)*1+0.927016741366831*(O27*100))/100))</f>
        <v>0.3880359959</v>
      </c>
      <c r="AA27" s="16">
        <f t="shared" si="14"/>
        <v>1.069954734</v>
      </c>
      <c r="AB27" s="5" t="b">
        <f t="shared" si="15"/>
        <v>1</v>
      </c>
      <c r="AC27" s="5">
        <f t="shared" si="16"/>
        <v>1.069954734</v>
      </c>
    </row>
    <row r="28" ht="15.0" customHeight="1">
      <c r="A28" s="5" t="s">
        <v>16</v>
      </c>
      <c r="B28" s="5" t="s">
        <v>105</v>
      </c>
      <c r="C28" s="5" t="s">
        <v>106</v>
      </c>
      <c r="D28" s="10">
        <f t="shared" si="1"/>
        <v>0.2680008411</v>
      </c>
      <c r="E28" s="10">
        <f>'Precinct Vote Data'!H101</f>
        <v>0.2721217888</v>
      </c>
      <c r="F28" s="16">
        <f t="shared" si="2"/>
        <v>-0.4120947637</v>
      </c>
      <c r="G28" s="10">
        <f t="shared" si="3"/>
        <v>0.3078848561</v>
      </c>
      <c r="H28" s="16">
        <f t="shared" si="4"/>
        <v>3.57630673</v>
      </c>
      <c r="I28" s="5" t="b">
        <f t="shared" si="5"/>
        <v>1</v>
      </c>
      <c r="J28" s="5" t="b">
        <f t="shared" si="6"/>
        <v>1</v>
      </c>
      <c r="K28" s="15">
        <f t="shared" si="7"/>
        <v>2.125592138</v>
      </c>
      <c r="L28" s="10">
        <f t="shared" si="8"/>
        <v>0.2671335143</v>
      </c>
      <c r="M28" s="10">
        <f>'Precinct Vote Data'!H98</f>
        <v>0.3556942278</v>
      </c>
      <c r="N28" s="10">
        <f>'Precinct Vote Data'!H99</f>
        <v>0.2838515547</v>
      </c>
      <c r="O28" s="10">
        <f>'Precinct Vote Data'!H100</f>
        <v>0.3078848561</v>
      </c>
      <c r="U28" s="16">
        <f t="shared" si="9"/>
        <v>-0.498827444</v>
      </c>
      <c r="V28" s="5" t="b">
        <f t="shared" si="10"/>
        <v>1</v>
      </c>
      <c r="W28" s="5">
        <f t="shared" si="11"/>
        <v>0.4120947637</v>
      </c>
      <c r="X28" s="5">
        <f t="shared" si="12"/>
        <v>3.57630673</v>
      </c>
      <c r="Y28" s="5">
        <f t="shared" si="13"/>
        <v>0.498827444</v>
      </c>
      <c r="Z28" s="10">
        <f>MIN(1,MAX(0,(5.3914776420524+0.021102849201698*'Precinct Vote Data'!I101*100+(-5.72594740176815)*1+0.927016741366831*(O28*100))/100))</f>
        <v>0.2759308996</v>
      </c>
      <c r="AA28" s="16">
        <f t="shared" si="14"/>
        <v>0.3809110788</v>
      </c>
      <c r="AB28" s="5" t="b">
        <f t="shared" si="15"/>
        <v>1</v>
      </c>
      <c r="AC28" s="5">
        <f t="shared" si="16"/>
        <v>0.3809110788</v>
      </c>
    </row>
    <row r="29" ht="15.0" customHeight="1">
      <c r="A29" s="5" t="s">
        <v>16</v>
      </c>
      <c r="B29" s="5" t="s">
        <v>105</v>
      </c>
      <c r="C29" s="5" t="s">
        <v>107</v>
      </c>
      <c r="D29" s="10">
        <f t="shared" si="1"/>
        <v>0.2936739747</v>
      </c>
      <c r="E29" s="10">
        <f>'Precinct Vote Data'!H105</f>
        <v>0.3025099075</v>
      </c>
      <c r="F29" s="16">
        <f t="shared" si="2"/>
        <v>-0.8835932837</v>
      </c>
      <c r="G29" s="10">
        <f t="shared" si="3"/>
        <v>0.3363802559</v>
      </c>
      <c r="H29" s="16">
        <f t="shared" si="4"/>
        <v>3.387034841</v>
      </c>
      <c r="I29" s="5" t="b">
        <f t="shared" si="5"/>
        <v>1</v>
      </c>
      <c r="J29" s="5" t="b">
        <f t="shared" si="6"/>
        <v>1</v>
      </c>
      <c r="K29" s="15">
        <f t="shared" si="7"/>
        <v>2.251394596</v>
      </c>
      <c r="L29" s="10">
        <f t="shared" si="8"/>
        <v>0.2932170597</v>
      </c>
      <c r="M29" s="10">
        <f>'Precinct Vote Data'!H102</f>
        <v>0.389261745</v>
      </c>
      <c r="N29" s="10">
        <f>'Precinct Vote Data'!H103</f>
        <v>0.3140243902</v>
      </c>
      <c r="O29" s="10">
        <f>'Precinct Vote Data'!H104</f>
        <v>0.3363802559</v>
      </c>
      <c r="U29" s="16">
        <f t="shared" si="9"/>
        <v>-0.9292847827</v>
      </c>
      <c r="V29" s="5" t="b">
        <f t="shared" si="10"/>
        <v>1</v>
      </c>
      <c r="W29" s="5">
        <f t="shared" si="11"/>
        <v>0.8835932837</v>
      </c>
      <c r="X29" s="5">
        <f t="shared" si="12"/>
        <v>3.387034841</v>
      </c>
      <c r="Y29" s="5">
        <f t="shared" si="13"/>
        <v>0.9292847827</v>
      </c>
      <c r="Z29" s="10">
        <f>MIN(1,MAX(0,(5.3914776420524+0.021102849201698*'Precinct Vote Data'!I105*100+(-5.72594740176815)*1+0.927016741366831*(O29*100))/100))</f>
        <v>0.3018443645</v>
      </c>
      <c r="AA29" s="16">
        <f t="shared" si="14"/>
        <v>-0.06655430476</v>
      </c>
      <c r="AB29" s="5" t="b">
        <f t="shared" si="15"/>
        <v>1</v>
      </c>
      <c r="AC29" s="5">
        <f t="shared" si="16"/>
        <v>0.06655430476</v>
      </c>
    </row>
    <row r="30" ht="15.0" customHeight="1">
      <c r="A30" s="5" t="s">
        <v>16</v>
      </c>
      <c r="B30" s="5" t="s">
        <v>108</v>
      </c>
      <c r="C30" s="5" t="s">
        <v>109</v>
      </c>
      <c r="D30" s="10">
        <f t="shared" si="1"/>
        <v>0.2861873397</v>
      </c>
      <c r="E30" s="10">
        <f>'Precinct Vote Data'!H109</f>
        <v>0.3021784961</v>
      </c>
      <c r="F30" s="16">
        <f t="shared" si="2"/>
        <v>-1.599115645</v>
      </c>
      <c r="G30" s="10">
        <f t="shared" si="3"/>
        <v>0.3246753247</v>
      </c>
      <c r="H30" s="16">
        <f t="shared" si="4"/>
        <v>2.249682854</v>
      </c>
      <c r="I30" s="5" t="b">
        <f t="shared" si="5"/>
        <v>1</v>
      </c>
      <c r="J30" s="5" t="b">
        <f t="shared" si="6"/>
        <v>1</v>
      </c>
      <c r="K30" s="15">
        <f t="shared" si="7"/>
        <v>2.241224</v>
      </c>
      <c r="L30" s="10">
        <f t="shared" si="8"/>
        <v>0.2817071167</v>
      </c>
      <c r="M30" s="10">
        <f>'Precinct Vote Data'!H106</f>
        <v>0.3577680525</v>
      </c>
      <c r="N30" s="10">
        <f>'Precinct Vote Data'!H107</f>
        <v>0.2753968254</v>
      </c>
      <c r="O30" s="10">
        <f>'Precinct Vote Data'!H108</f>
        <v>0.3246753247</v>
      </c>
      <c r="U30" s="16">
        <f t="shared" si="9"/>
        <v>-2.047137947</v>
      </c>
      <c r="V30" s="5" t="b">
        <f t="shared" si="10"/>
        <v>1</v>
      </c>
      <c r="W30" s="5">
        <f t="shared" si="11"/>
        <v>1.599115645</v>
      </c>
      <c r="X30" s="5">
        <f t="shared" si="12"/>
        <v>2.249682854</v>
      </c>
      <c r="Y30" s="5">
        <f t="shared" si="13"/>
        <v>2.047137947</v>
      </c>
      <c r="Z30" s="10">
        <f>MIN(1,MAX(0,(5.3914776420524+0.021102849201698*'Precinct Vote Data'!I109*100+(-5.72594740176815)*1+0.927016741366831*(O30*100))/100))</f>
        <v>0.2910781086</v>
      </c>
      <c r="AA30" s="16">
        <f t="shared" si="14"/>
        <v>-1.11003875</v>
      </c>
      <c r="AB30" s="5" t="b">
        <f t="shared" si="15"/>
        <v>1</v>
      </c>
      <c r="AC30" s="5">
        <f t="shared" si="16"/>
        <v>1.11003875</v>
      </c>
    </row>
    <row r="31" ht="15.0" customHeight="1">
      <c r="A31" s="5" t="s">
        <v>16</v>
      </c>
      <c r="B31" s="5" t="s">
        <v>108</v>
      </c>
      <c r="C31" s="5" t="s">
        <v>110</v>
      </c>
      <c r="D31" s="10">
        <f t="shared" si="1"/>
        <v>0.2221921084</v>
      </c>
      <c r="E31" s="10">
        <f>'Precinct Vote Data'!H113</f>
        <v>0.2578849722</v>
      </c>
      <c r="F31" s="16">
        <f t="shared" si="2"/>
        <v>-3.569286381</v>
      </c>
      <c r="G31" s="10">
        <f t="shared" si="3"/>
        <v>0.2596401028</v>
      </c>
      <c r="H31" s="16">
        <f t="shared" si="4"/>
        <v>0.1755130657</v>
      </c>
      <c r="I31" s="5" t="b">
        <f t="shared" si="5"/>
        <v>1</v>
      </c>
      <c r="J31" s="5" t="b">
        <f t="shared" si="6"/>
        <v>1</v>
      </c>
      <c r="K31" s="15">
        <f t="shared" si="7"/>
        <v>2.107286312</v>
      </c>
      <c r="L31" s="10">
        <f t="shared" si="8"/>
        <v>0.219239716</v>
      </c>
      <c r="M31" s="10">
        <f>'Precinct Vote Data'!H110</f>
        <v>0.296875</v>
      </c>
      <c r="N31" s="10">
        <f>'Precinct Vote Data'!H111</f>
        <v>0.2217659138</v>
      </c>
      <c r="O31" s="10">
        <f>'Precinct Vote Data'!H112</f>
        <v>0.2596401028</v>
      </c>
      <c r="U31" s="16">
        <f t="shared" si="9"/>
        <v>-3.864525619</v>
      </c>
      <c r="V31" s="5" t="b">
        <f t="shared" si="10"/>
        <v>1</v>
      </c>
      <c r="W31" s="5">
        <f t="shared" si="11"/>
        <v>3.569286381</v>
      </c>
      <c r="X31" s="5">
        <f t="shared" si="12"/>
        <v>0.1755130657</v>
      </c>
      <c r="Y31" s="5">
        <f t="shared" si="13"/>
        <v>3.864525619</v>
      </c>
      <c r="Z31" s="10">
        <f>MIN(1,MAX(0,(5.3914776420524+0.021102849201698*'Precinct Vote Data'!I113*100+(-5.72594740176815)*1+0.927016741366831*(O31*100))/100))</f>
        <v>0.2291243544</v>
      </c>
      <c r="AA31" s="16">
        <f t="shared" si="14"/>
        <v>-2.876061777</v>
      </c>
      <c r="AB31" s="5" t="b">
        <f t="shared" si="15"/>
        <v>1</v>
      </c>
      <c r="AC31" s="5">
        <f t="shared" si="16"/>
        <v>2.876061777</v>
      </c>
    </row>
    <row r="32" ht="15.0" customHeight="1">
      <c r="A32" s="5" t="s">
        <v>16</v>
      </c>
      <c r="B32" s="5" t="s">
        <v>108</v>
      </c>
      <c r="C32" s="5" t="s">
        <v>111</v>
      </c>
      <c r="D32" s="10">
        <f t="shared" si="1"/>
        <v>0.2613557845</v>
      </c>
      <c r="E32" s="10">
        <f>'Precinct Vote Data'!H117</f>
        <v>0.2927400468</v>
      </c>
      <c r="F32" s="16">
        <f t="shared" si="2"/>
        <v>-3.138426234</v>
      </c>
      <c r="G32" s="10">
        <f t="shared" si="3"/>
        <v>0.3104575163</v>
      </c>
      <c r="H32" s="16">
        <f t="shared" si="4"/>
        <v>1.77174695</v>
      </c>
      <c r="I32" s="5" t="b">
        <f t="shared" si="5"/>
        <v>1</v>
      </c>
      <c r="J32" s="5" t="b">
        <f t="shared" si="6"/>
        <v>1</v>
      </c>
      <c r="K32" s="15">
        <f t="shared" si="7"/>
        <v>2.564902747</v>
      </c>
      <c r="L32" s="10">
        <f t="shared" si="8"/>
        <v>0.2612838172</v>
      </c>
      <c r="M32" s="10">
        <f>'Precinct Vote Data'!H114</f>
        <v>0.3728813559</v>
      </c>
      <c r="N32" s="10">
        <f>'Precinct Vote Data'!H115</f>
        <v>0.288</v>
      </c>
      <c r="O32" s="10">
        <f>'Precinct Vote Data'!H116</f>
        <v>0.3104575163</v>
      </c>
      <c r="U32" s="16">
        <f t="shared" si="9"/>
        <v>-3.145622968</v>
      </c>
      <c r="V32" s="5" t="b">
        <f t="shared" si="10"/>
        <v>1</v>
      </c>
      <c r="W32" s="5">
        <f t="shared" si="11"/>
        <v>3.138426234</v>
      </c>
      <c r="X32" s="5">
        <f t="shared" si="12"/>
        <v>1.77174695</v>
      </c>
      <c r="Y32" s="5">
        <f t="shared" si="13"/>
        <v>3.145622968</v>
      </c>
      <c r="Z32" s="10">
        <f>MIN(1,MAX(0,(5.3914776420524+0.021102849201698*'Precinct Vote Data'!I117*100+(-5.72594740176815)*1+0.927016741366831*(O32*100))/100))</f>
        <v>0.2781343142</v>
      </c>
      <c r="AA32" s="16">
        <f t="shared" si="14"/>
        <v>-1.460573264</v>
      </c>
      <c r="AB32" s="5" t="b">
        <f t="shared" si="15"/>
        <v>1</v>
      </c>
      <c r="AC32" s="5">
        <f t="shared" si="16"/>
        <v>1.460573264</v>
      </c>
    </row>
    <row r="33" ht="15.0" customHeight="1">
      <c r="A33" s="5" t="s">
        <v>16</v>
      </c>
      <c r="B33" s="5" t="s">
        <v>112</v>
      </c>
      <c r="C33" s="5" t="s">
        <v>113</v>
      </c>
      <c r="D33" s="10">
        <f t="shared" si="1"/>
        <v>0.3900746797</v>
      </c>
      <c r="E33" s="10">
        <f>'Precinct Vote Data'!H121</f>
        <v>0.3854595336</v>
      </c>
      <c r="F33" s="16">
        <f t="shared" si="2"/>
        <v>0.4615146088</v>
      </c>
      <c r="G33" s="10">
        <f t="shared" si="3"/>
        <v>0.4359430605</v>
      </c>
      <c r="H33" s="16">
        <f t="shared" si="4"/>
        <v>5.048352689</v>
      </c>
      <c r="I33" s="5" t="b">
        <f t="shared" si="5"/>
        <v>1</v>
      </c>
      <c r="J33" s="5" t="b">
        <f t="shared" si="6"/>
        <v>1</v>
      </c>
      <c r="K33" s="15">
        <f t="shared" si="7"/>
        <v>2.648089924</v>
      </c>
      <c r="L33" s="10">
        <f t="shared" si="8"/>
        <v>0.3851745167</v>
      </c>
      <c r="M33" s="10">
        <f>'Precinct Vote Data'!H118</f>
        <v>0.4769539078</v>
      </c>
      <c r="N33" s="10">
        <f>'Precinct Vote Data'!H119</f>
        <v>0.3803596127</v>
      </c>
      <c r="O33" s="10">
        <f>'Precinct Vote Data'!H120</f>
        <v>0.4359430605</v>
      </c>
      <c r="U33" s="16">
        <f t="shared" si="9"/>
        <v>-0.02850168589</v>
      </c>
      <c r="V33" s="5" t="b">
        <f t="shared" si="10"/>
        <v>1</v>
      </c>
      <c r="W33" s="5">
        <f t="shared" si="11"/>
        <v>0.4615146088</v>
      </c>
      <c r="X33" s="5">
        <f t="shared" si="12"/>
        <v>5.048352689</v>
      </c>
      <c r="Y33" s="5">
        <f t="shared" si="13"/>
        <v>0.02850168589</v>
      </c>
      <c r="Z33" s="10">
        <f>MIN(1,MAX(0,(5.3914776420524+0.021102849201698*'Precinct Vote Data'!I121*100+(-5.72594740176815)*1+0.927016741366831*(O33*100))/100))</f>
        <v>0.399887057</v>
      </c>
      <c r="AA33" s="16">
        <f t="shared" si="14"/>
        <v>1.442752335</v>
      </c>
      <c r="AB33" s="5" t="b">
        <f t="shared" si="15"/>
        <v>1</v>
      </c>
      <c r="AC33" s="5">
        <f t="shared" si="16"/>
        <v>1.442752335</v>
      </c>
    </row>
    <row r="34" ht="15.0" customHeight="1">
      <c r="A34" s="5" t="s">
        <v>16</v>
      </c>
      <c r="B34" s="5" t="s">
        <v>112</v>
      </c>
      <c r="C34" s="5" t="s">
        <v>114</v>
      </c>
      <c r="D34" s="10">
        <f t="shared" si="1"/>
        <v>0.315781361</v>
      </c>
      <c r="E34" s="10">
        <f>'Precinct Vote Data'!H125</f>
        <v>0.3869407497</v>
      </c>
      <c r="F34" s="16">
        <f t="shared" si="2"/>
        <v>-7.115938874</v>
      </c>
      <c r="G34" s="10">
        <f t="shared" si="3"/>
        <v>0.3844936709</v>
      </c>
      <c r="H34" s="16">
        <f t="shared" si="4"/>
        <v>-0.2447078812</v>
      </c>
      <c r="I34" s="5" t="b">
        <f t="shared" si="5"/>
        <v>1</v>
      </c>
      <c r="J34" s="5" t="b">
        <f t="shared" si="6"/>
        <v>1</v>
      </c>
      <c r="K34" s="15">
        <f t="shared" si="7"/>
        <v>3.485447415</v>
      </c>
      <c r="L34" s="10">
        <f t="shared" si="8"/>
        <v>0.3176715105</v>
      </c>
      <c r="M34" s="10">
        <f>'Precinct Vote Data'!H122</f>
        <v>0.478976234</v>
      </c>
      <c r="N34" s="10">
        <f>'Precinct Vote Data'!H123</f>
        <v>0.3673218673</v>
      </c>
      <c r="O34" s="10">
        <f>'Precinct Vote Data'!H124</f>
        <v>0.3844936709</v>
      </c>
      <c r="U34" s="16">
        <f t="shared" si="9"/>
        <v>-6.926923917</v>
      </c>
      <c r="V34" s="5" t="b">
        <f t="shared" si="10"/>
        <v>1</v>
      </c>
      <c r="W34" s="5">
        <f t="shared" si="11"/>
        <v>7.115938874</v>
      </c>
      <c r="X34" s="5">
        <f t="shared" si="12"/>
        <v>0.2447078812</v>
      </c>
      <c r="Y34" s="5">
        <f t="shared" si="13"/>
        <v>6.926923917</v>
      </c>
      <c r="Z34" s="10">
        <f>MIN(1,MAX(0,(5.3914776420524+0.021102849201698*'Precinct Vote Data'!I125*100+(-5.72594740176815)*1+0.927016741366831*(O34*100))/100))</f>
        <v>0.351529982</v>
      </c>
      <c r="AA34" s="16">
        <f t="shared" si="14"/>
        <v>-3.54107677</v>
      </c>
      <c r="AB34" s="5" t="b">
        <f t="shared" si="15"/>
        <v>1</v>
      </c>
      <c r="AC34" s="5">
        <f t="shared" si="16"/>
        <v>3.54107677</v>
      </c>
    </row>
    <row r="35" ht="15.0" customHeight="1">
      <c r="A35" s="5" t="s">
        <v>16</v>
      </c>
      <c r="B35" s="5" t="s">
        <v>115</v>
      </c>
      <c r="C35" s="5" t="s">
        <v>116</v>
      </c>
      <c r="D35" s="10">
        <f t="shared" si="1"/>
        <v>0.1405987606</v>
      </c>
      <c r="E35" s="10">
        <f>'Precinct Vote Data'!H129</f>
        <v>0.2097026604</v>
      </c>
      <c r="F35" s="16">
        <f t="shared" si="2"/>
        <v>-6.910389977</v>
      </c>
      <c r="G35" s="10">
        <f t="shared" si="3"/>
        <v>0.1777777778</v>
      </c>
      <c r="H35" s="16">
        <f t="shared" si="4"/>
        <v>-3.192488263</v>
      </c>
      <c r="I35" s="5" t="b">
        <f t="shared" si="5"/>
        <v>1</v>
      </c>
      <c r="J35" s="5" t="b">
        <f t="shared" si="6"/>
        <v>1</v>
      </c>
      <c r="K35" s="15">
        <f t="shared" si="7"/>
        <v>1.872611525</v>
      </c>
      <c r="L35" s="10">
        <f t="shared" si="8"/>
        <v>0.1418765196</v>
      </c>
      <c r="M35" s="10">
        <f>'Precinct Vote Data'!H126</f>
        <v>0.2298136646</v>
      </c>
      <c r="N35" s="10">
        <f>'Precinct Vote Data'!H127</f>
        <v>0.1703125</v>
      </c>
      <c r="O35" s="10">
        <f>'Precinct Vote Data'!H128</f>
        <v>0.1777777778</v>
      </c>
      <c r="U35" s="16">
        <f t="shared" si="9"/>
        <v>-6.782614085</v>
      </c>
      <c r="V35" s="5" t="b">
        <f t="shared" si="10"/>
        <v>1</v>
      </c>
      <c r="W35" s="5">
        <f t="shared" si="11"/>
        <v>6.910389977</v>
      </c>
      <c r="X35" s="5">
        <f t="shared" si="12"/>
        <v>3.192488263</v>
      </c>
      <c r="Y35" s="5">
        <f t="shared" si="13"/>
        <v>6.782614085</v>
      </c>
      <c r="Z35" s="10">
        <f>MIN(1,MAX(0,(5.3914776420524+0.021102849201698*'Precinct Vote Data'!I129*100+(-5.72594740176815)*1+0.927016741366831*(O35*100))/100))</f>
        <v>0.1500585195</v>
      </c>
      <c r="AA35" s="16">
        <f t="shared" si="14"/>
        <v>-5.96441409</v>
      </c>
      <c r="AB35" s="5" t="b">
        <f t="shared" si="15"/>
        <v>1</v>
      </c>
      <c r="AC35" s="5">
        <f t="shared" si="16"/>
        <v>5.96441409</v>
      </c>
    </row>
    <row r="36" ht="15.0" customHeight="1">
      <c r="A36" s="5" t="s">
        <v>16</v>
      </c>
      <c r="B36" s="5" t="s">
        <v>117</v>
      </c>
      <c r="C36" s="5" t="s">
        <v>118</v>
      </c>
      <c r="D36" s="10">
        <f t="shared" si="1"/>
        <v>0.3321196945</v>
      </c>
      <c r="E36" s="10">
        <f>'Precinct Vote Data'!H133</f>
        <v>0.3311827957</v>
      </c>
      <c r="F36" s="16">
        <f t="shared" si="2"/>
        <v>0.0936898798</v>
      </c>
      <c r="G36" s="10">
        <f t="shared" si="3"/>
        <v>0.3549337261</v>
      </c>
      <c r="H36" s="16">
        <f t="shared" si="4"/>
        <v>2.375093037</v>
      </c>
      <c r="I36" s="5" t="b">
        <f t="shared" si="5"/>
        <v>1</v>
      </c>
      <c r="J36" s="5" t="b">
        <f t="shared" si="6"/>
        <v>1</v>
      </c>
      <c r="K36" s="15">
        <f t="shared" si="7"/>
        <v>1.34622324</v>
      </c>
      <c r="L36" s="10">
        <f t="shared" si="8"/>
        <v>0.3291242576</v>
      </c>
      <c r="M36" s="10">
        <f>'Precinct Vote Data'!H130</f>
        <v>0.3733333333</v>
      </c>
      <c r="N36" s="10">
        <f>'Precinct Vote Data'!H131</f>
        <v>0.3232908459</v>
      </c>
      <c r="O36" s="10">
        <f>'Precinct Vote Data'!H132</f>
        <v>0.3549337261</v>
      </c>
      <c r="U36" s="16">
        <f t="shared" si="9"/>
        <v>-0.2058538129</v>
      </c>
      <c r="V36" s="5" t="b">
        <f t="shared" si="10"/>
        <v>1</v>
      </c>
      <c r="W36" s="5">
        <f t="shared" si="11"/>
        <v>0.0936898798</v>
      </c>
      <c r="X36" s="5">
        <f t="shared" si="12"/>
        <v>2.375093037</v>
      </c>
      <c r="Y36" s="5">
        <f t="shared" si="13"/>
        <v>0.2058538129</v>
      </c>
      <c r="Z36" s="10">
        <f>MIN(1,MAX(0,(5.3914776420524+0.021102849201698*'Precinct Vote Data'!I133*100+(-5.72594740176815)*1+0.927016741366831*(O36*100))/100))</f>
        <v>0.3212110045</v>
      </c>
      <c r="AA36" s="16">
        <f t="shared" si="14"/>
        <v>-0.9971791186</v>
      </c>
      <c r="AB36" s="5" t="b">
        <f t="shared" si="15"/>
        <v>1</v>
      </c>
      <c r="AC36" s="5">
        <f t="shared" si="16"/>
        <v>0.9971791186</v>
      </c>
    </row>
    <row r="37" ht="15.0" customHeight="1">
      <c r="A37" s="5" t="s">
        <v>16</v>
      </c>
      <c r="B37" s="5" t="s">
        <v>117</v>
      </c>
      <c r="C37" s="5" t="s">
        <v>119</v>
      </c>
      <c r="D37" s="10">
        <f t="shared" si="1"/>
        <v>0.3801387006</v>
      </c>
      <c r="E37" s="10">
        <f>'Precinct Vote Data'!H137</f>
        <v>0.3870728083</v>
      </c>
      <c r="F37" s="16">
        <f t="shared" si="2"/>
        <v>-0.693410771</v>
      </c>
      <c r="G37" s="10">
        <f t="shared" si="3"/>
        <v>0.4188034188</v>
      </c>
      <c r="H37" s="16">
        <f t="shared" si="4"/>
        <v>3.173061048</v>
      </c>
      <c r="I37" s="5" t="b">
        <f t="shared" si="5"/>
        <v>1</v>
      </c>
      <c r="J37" s="5" t="b">
        <f t="shared" si="6"/>
        <v>1</v>
      </c>
      <c r="K37" s="15">
        <f t="shared" si="7"/>
        <v>2.308928691</v>
      </c>
      <c r="L37" s="10">
        <f t="shared" si="8"/>
        <v>0.3745371927</v>
      </c>
      <c r="M37" s="10">
        <f>'Precinct Vote Data'!H134</f>
        <v>0.4481074481</v>
      </c>
      <c r="N37" s="10">
        <f>'Precinct Vote Data'!H135</f>
        <v>0.3614173228</v>
      </c>
      <c r="O37" s="10">
        <f>'Precinct Vote Data'!H136</f>
        <v>0.4188034188</v>
      </c>
      <c r="U37" s="16">
        <f t="shared" si="9"/>
        <v>-1.253561559</v>
      </c>
      <c r="V37" s="5" t="b">
        <f t="shared" si="10"/>
        <v>1</v>
      </c>
      <c r="W37" s="5">
        <f t="shared" si="11"/>
        <v>0.693410771</v>
      </c>
      <c r="X37" s="5">
        <f t="shared" si="12"/>
        <v>3.173061048</v>
      </c>
      <c r="Y37" s="5">
        <f t="shared" si="13"/>
        <v>1.253561559</v>
      </c>
      <c r="Z37" s="10">
        <f>MIN(1,MAX(0,(5.3914776420524+0.021102849201698*'Precinct Vote Data'!I137*100+(-5.72594740176815)*1+0.927016741366831*(O37*100))/100))</f>
        <v>0.3826371884</v>
      </c>
      <c r="AA37" s="16">
        <f t="shared" si="14"/>
        <v>-0.4435619925</v>
      </c>
      <c r="AB37" s="5" t="b">
        <f t="shared" si="15"/>
        <v>1</v>
      </c>
      <c r="AC37" s="5">
        <f t="shared" si="16"/>
        <v>0.4435619925</v>
      </c>
    </row>
    <row r="38" ht="15.0" customHeight="1">
      <c r="A38" s="5" t="s">
        <v>16</v>
      </c>
      <c r="B38" s="5" t="s">
        <v>117</v>
      </c>
      <c r="C38" s="5" t="s">
        <v>120</v>
      </c>
      <c r="D38" s="10">
        <f t="shared" si="1"/>
        <v>0.314119985</v>
      </c>
      <c r="E38" s="10">
        <f>'Precinct Vote Data'!H141</f>
        <v>0.3415730337</v>
      </c>
      <c r="F38" s="16">
        <f t="shared" si="2"/>
        <v>-2.745304874</v>
      </c>
      <c r="G38" s="10">
        <f t="shared" si="3"/>
        <v>0.3537414966</v>
      </c>
      <c r="H38" s="16">
        <f t="shared" si="4"/>
        <v>1.216846289</v>
      </c>
      <c r="I38" s="5" t="b">
        <f t="shared" si="5"/>
        <v>1</v>
      </c>
      <c r="J38" s="5" t="b">
        <f t="shared" si="6"/>
        <v>1</v>
      </c>
      <c r="K38" s="15">
        <f t="shared" si="7"/>
        <v>2.27175395</v>
      </c>
      <c r="L38" s="10">
        <f t="shared" si="8"/>
        <v>0.3101879757</v>
      </c>
      <c r="M38" s="10">
        <f>'Precinct Vote Data'!H138</f>
        <v>0.3902439024</v>
      </c>
      <c r="N38" s="10">
        <f>'Precinct Vote Data'!H139</f>
        <v>0.3078817734</v>
      </c>
      <c r="O38" s="10">
        <f>'Precinct Vote Data'!H140</f>
        <v>0.3537414966</v>
      </c>
      <c r="U38" s="16">
        <f t="shared" si="9"/>
        <v>-3.1385058</v>
      </c>
      <c r="V38" s="5" t="b">
        <f t="shared" si="10"/>
        <v>1</v>
      </c>
      <c r="W38" s="5">
        <f t="shared" si="11"/>
        <v>2.745304874</v>
      </c>
      <c r="X38" s="5">
        <f t="shared" si="12"/>
        <v>1.216846289</v>
      </c>
      <c r="Y38" s="5">
        <f t="shared" si="13"/>
        <v>3.1385058</v>
      </c>
      <c r="Z38" s="10">
        <f>MIN(1,MAX(0,(5.3914776420524+0.021102849201698*'Precinct Vote Data'!I141*100+(-5.72594740176815)*1+0.927016741366831*(O38*100))/100))</f>
        <v>0.3224482041</v>
      </c>
      <c r="AA38" s="16">
        <f t="shared" si="14"/>
        <v>-1.912482961</v>
      </c>
      <c r="AB38" s="5" t="b">
        <f t="shared" si="15"/>
        <v>1</v>
      </c>
      <c r="AC38" s="5">
        <f t="shared" si="16"/>
        <v>1.912482961</v>
      </c>
    </row>
    <row r="39" ht="15.0" customHeight="1">
      <c r="A39" s="5" t="s">
        <v>16</v>
      </c>
      <c r="B39" s="5" t="s">
        <v>121</v>
      </c>
      <c r="C39" s="5" t="s">
        <v>122</v>
      </c>
      <c r="D39" s="10">
        <f t="shared" si="1"/>
        <v>0.2286425903</v>
      </c>
      <c r="E39" s="10">
        <f>'Precinct Vote Data'!H145</f>
        <v>0.313559322</v>
      </c>
      <c r="F39" s="16">
        <f t="shared" si="2"/>
        <v>-8.491673175</v>
      </c>
      <c r="G39" s="10">
        <f t="shared" si="3"/>
        <v>0.2727272727</v>
      </c>
      <c r="H39" s="16">
        <f t="shared" si="4"/>
        <v>-4.083204931</v>
      </c>
      <c r="I39" s="5" t="b">
        <f t="shared" si="5"/>
        <v>1</v>
      </c>
      <c r="J39" s="5" t="b">
        <f t="shared" si="6"/>
        <v>1</v>
      </c>
      <c r="K39" s="15">
        <f t="shared" si="7"/>
        <v>2.41298535</v>
      </c>
      <c r="L39" s="10">
        <f t="shared" si="8"/>
        <v>0.2264660974</v>
      </c>
      <c r="M39" s="10">
        <f>'Precinct Vote Data'!H142</f>
        <v>0.3212121212</v>
      </c>
      <c r="N39" s="10">
        <f>'Precinct Vote Data'!H143</f>
        <v>0.2374429224</v>
      </c>
      <c r="O39" s="10">
        <f>'Precinct Vote Data'!H144</f>
        <v>0.2727272727</v>
      </c>
      <c r="U39" s="16">
        <f t="shared" si="9"/>
        <v>-8.709322465</v>
      </c>
      <c r="V39" s="5" t="b">
        <f t="shared" si="10"/>
        <v>1</v>
      </c>
      <c r="W39" s="5">
        <f t="shared" si="11"/>
        <v>8.491673175</v>
      </c>
      <c r="X39" s="5">
        <f t="shared" si="12"/>
        <v>4.083204931</v>
      </c>
      <c r="Y39" s="5">
        <f t="shared" si="13"/>
        <v>8.709322465</v>
      </c>
      <c r="Z39" s="10">
        <f>MIN(1,MAX(0,(5.3914776420524+0.021102849201698*'Precinct Vote Data'!I145*100+(-5.72594740176815)*1+0.927016741366831*(O39*100))/100))</f>
        <v>0.2440968235</v>
      </c>
      <c r="AA39" s="16">
        <f t="shared" si="14"/>
        <v>-6.946249853</v>
      </c>
      <c r="AB39" s="5" t="b">
        <f t="shared" si="15"/>
        <v>1</v>
      </c>
      <c r="AC39" s="5">
        <f t="shared" si="16"/>
        <v>6.946249853</v>
      </c>
    </row>
    <row r="40" ht="15.0" customHeight="1">
      <c r="A40" s="5" t="s">
        <v>16</v>
      </c>
      <c r="B40" s="5" t="s">
        <v>123</v>
      </c>
      <c r="C40" s="5" t="s">
        <v>124</v>
      </c>
      <c r="D40" s="10">
        <f t="shared" si="1"/>
        <v>0.325390219</v>
      </c>
      <c r="E40" s="10">
        <f>'Precinct Vote Data'!H149</f>
        <v>0.363800905</v>
      </c>
      <c r="F40" s="16">
        <f t="shared" si="2"/>
        <v>-3.8410686</v>
      </c>
      <c r="G40" s="10">
        <f t="shared" si="3"/>
        <v>0.3526785714</v>
      </c>
      <c r="H40" s="16">
        <f t="shared" si="4"/>
        <v>-1.112233355</v>
      </c>
      <c r="I40" s="5" t="b">
        <f t="shared" si="5"/>
        <v>1</v>
      </c>
      <c r="J40" s="5" t="b">
        <f t="shared" si="6"/>
        <v>1</v>
      </c>
      <c r="K40" s="15">
        <f t="shared" si="7"/>
        <v>1.414237505</v>
      </c>
      <c r="L40" s="10">
        <f t="shared" si="8"/>
        <v>0.3255651498</v>
      </c>
      <c r="M40" s="10">
        <f>'Precinct Vote Data'!H146</f>
        <v>0.3881401617</v>
      </c>
      <c r="N40" s="10">
        <f>'Precinct Vote Data'!H147</f>
        <v>0.3417366947</v>
      </c>
      <c r="O40" s="10">
        <f>'Precinct Vote Data'!H148</f>
        <v>0.3526785714</v>
      </c>
      <c r="U40" s="16">
        <f t="shared" si="9"/>
        <v>-3.823575519</v>
      </c>
      <c r="V40" s="5" t="b">
        <f t="shared" si="10"/>
        <v>1</v>
      </c>
      <c r="W40" s="5">
        <f t="shared" si="11"/>
        <v>3.8410686</v>
      </c>
      <c r="X40" s="5">
        <f t="shared" si="12"/>
        <v>1.112233355</v>
      </c>
      <c r="Y40" s="5">
        <f t="shared" si="13"/>
        <v>3.823575519</v>
      </c>
      <c r="Z40" s="10">
        <f>MIN(1,MAX(0,(5.3914776420524+0.021102849201698*'Precinct Vote Data'!I149*100+(-5.72594740176815)*1+0.927016741366831*(O40*100))/100))</f>
        <v>0.3194981794</v>
      </c>
      <c r="AA40" s="16">
        <f t="shared" si="14"/>
        <v>-4.430272557</v>
      </c>
      <c r="AB40" s="5" t="b">
        <f t="shared" si="15"/>
        <v>1</v>
      </c>
      <c r="AC40" s="5">
        <f t="shared" si="16"/>
        <v>4.430272557</v>
      </c>
    </row>
    <row r="41" ht="15.0" customHeight="1">
      <c r="A41" s="5" t="s">
        <v>16</v>
      </c>
      <c r="B41" s="5" t="s">
        <v>123</v>
      </c>
      <c r="C41" s="5" t="s">
        <v>125</v>
      </c>
      <c r="D41" s="10">
        <f t="shared" si="1"/>
        <v>0.2637678046</v>
      </c>
      <c r="E41" s="10">
        <f>'Precinct Vote Data'!H153</f>
        <v>0.3166051661</v>
      </c>
      <c r="F41" s="16">
        <f t="shared" si="2"/>
        <v>-5.283736149</v>
      </c>
      <c r="G41" s="10">
        <f t="shared" si="3"/>
        <v>0.3120155039</v>
      </c>
      <c r="H41" s="16">
        <f t="shared" si="4"/>
        <v>-0.4589662176</v>
      </c>
      <c r="I41" s="5" t="b">
        <f t="shared" si="5"/>
        <v>1</v>
      </c>
      <c r="J41" s="5" t="b">
        <f t="shared" si="6"/>
        <v>1</v>
      </c>
      <c r="K41" s="15">
        <f t="shared" si="7"/>
        <v>2.329495605</v>
      </c>
      <c r="L41" s="10">
        <f t="shared" si="8"/>
        <v>0.2673549739</v>
      </c>
      <c r="M41" s="10">
        <f>'Precinct Vote Data'!H150</f>
        <v>0.3864491844</v>
      </c>
      <c r="N41" s="10">
        <f>'Precinct Vote Data'!H151</f>
        <v>0.3161397671</v>
      </c>
      <c r="O41" s="10">
        <f>'Precinct Vote Data'!H152</f>
        <v>0.3120155039</v>
      </c>
      <c r="U41" s="16">
        <f t="shared" si="9"/>
        <v>-4.925019219</v>
      </c>
      <c r="V41" s="5" t="b">
        <f t="shared" si="10"/>
        <v>1</v>
      </c>
      <c r="W41" s="5">
        <f t="shared" si="11"/>
        <v>5.283736149</v>
      </c>
      <c r="X41" s="5">
        <f t="shared" si="12"/>
        <v>0.4589662176</v>
      </c>
      <c r="Y41" s="5">
        <f t="shared" si="13"/>
        <v>4.925019219</v>
      </c>
      <c r="Z41" s="10">
        <f>MIN(1,MAX(0,(5.3914776420524+0.021102849201698*'Precinct Vote Data'!I153*100+(-5.72594740176815)*1+0.927016741366831*(O41*100))/100))</f>
        <v>0.2801905774</v>
      </c>
      <c r="AA41" s="16">
        <f t="shared" si="14"/>
        <v>-3.64145887</v>
      </c>
      <c r="AB41" s="5" t="b">
        <f t="shared" si="15"/>
        <v>1</v>
      </c>
      <c r="AC41" s="5">
        <f t="shared" si="16"/>
        <v>3.64145887</v>
      </c>
    </row>
    <row r="42" ht="15.0" customHeight="1">
      <c r="A42" s="5" t="s">
        <v>16</v>
      </c>
      <c r="B42" s="5" t="s">
        <v>123</v>
      </c>
      <c r="C42" s="5" t="s">
        <v>126</v>
      </c>
      <c r="D42" s="10">
        <f t="shared" si="1"/>
        <v>0.3588393649</v>
      </c>
      <c r="E42" s="10">
        <f>'Precinct Vote Data'!H157</f>
        <v>0.3802575107</v>
      </c>
      <c r="F42" s="16">
        <f t="shared" si="2"/>
        <v>-2.141814582</v>
      </c>
      <c r="G42" s="10">
        <f t="shared" si="3"/>
        <v>0.3886198547</v>
      </c>
      <c r="H42" s="16">
        <f t="shared" si="4"/>
        <v>0.8362343992</v>
      </c>
      <c r="I42" s="5" t="b">
        <f t="shared" si="5"/>
        <v>1</v>
      </c>
      <c r="J42" s="5" t="b">
        <f t="shared" si="6"/>
        <v>1</v>
      </c>
      <c r="K42" s="15">
        <f t="shared" si="7"/>
        <v>1.315485061</v>
      </c>
      <c r="L42" s="10">
        <f t="shared" si="8"/>
        <v>0.3633996912</v>
      </c>
      <c r="M42" s="10">
        <f>'Precinct Vote Data'!H154</f>
        <v>0.442962963</v>
      </c>
      <c r="N42" s="10">
        <f>'Precinct Vote Data'!H155</f>
        <v>0.4079646018</v>
      </c>
      <c r="O42" s="10">
        <f>'Precinct Vote Data'!H156</f>
        <v>0.3886198547</v>
      </c>
      <c r="U42" s="16">
        <f t="shared" si="9"/>
        <v>-1.685781952</v>
      </c>
      <c r="V42" s="5" t="b">
        <f t="shared" si="10"/>
        <v>1</v>
      </c>
      <c r="W42" s="5">
        <f t="shared" si="11"/>
        <v>2.141814582</v>
      </c>
      <c r="X42" s="5">
        <f t="shared" si="12"/>
        <v>0.8362343992</v>
      </c>
      <c r="Y42" s="5">
        <f t="shared" si="13"/>
        <v>1.685781952</v>
      </c>
      <c r="Z42" s="10">
        <f>MIN(1,MAX(0,(5.3914776420524+0.021102849201698*'Precinct Vote Data'!I157*100+(-5.72594740176815)*1+0.927016741366831*(O42*100))/100))</f>
        <v>0.3545573358</v>
      </c>
      <c r="AA42" s="16">
        <f t="shared" si="14"/>
        <v>-2.570017494</v>
      </c>
      <c r="AB42" s="5" t="b">
        <f t="shared" si="15"/>
        <v>1</v>
      </c>
      <c r="AC42" s="5">
        <f t="shared" si="16"/>
        <v>2.570017494</v>
      </c>
    </row>
    <row r="43" ht="15.0" customHeight="1">
      <c r="A43" s="5" t="s">
        <v>16</v>
      </c>
      <c r="B43" s="5" t="s">
        <v>123</v>
      </c>
      <c r="C43" s="5" t="s">
        <v>127</v>
      </c>
      <c r="D43" s="10">
        <f t="shared" si="1"/>
        <v>0.3668193863</v>
      </c>
      <c r="E43" s="10">
        <f>'Precinct Vote Data'!H161</f>
        <v>0.3597633136</v>
      </c>
      <c r="F43" s="16">
        <f t="shared" si="2"/>
        <v>0.7056072694</v>
      </c>
      <c r="G43" s="10">
        <f t="shared" si="3"/>
        <v>0.3834951456</v>
      </c>
      <c r="H43" s="16">
        <f t="shared" si="4"/>
        <v>2.373183202</v>
      </c>
      <c r="I43" s="5" t="b">
        <f t="shared" si="5"/>
        <v>1</v>
      </c>
      <c r="J43" s="5" t="b">
        <f t="shared" si="6"/>
        <v>1</v>
      </c>
      <c r="K43" s="15">
        <f t="shared" si="7"/>
        <v>0.8475343946</v>
      </c>
      <c r="L43" s="10">
        <f t="shared" si="8"/>
        <v>0.3672464199</v>
      </c>
      <c r="M43" s="10">
        <f>'Precinct Vote Data'!H158</f>
        <v>0.4063116371</v>
      </c>
      <c r="N43" s="10">
        <f>'Precinct Vote Data'!H159</f>
        <v>0.3791008505</v>
      </c>
      <c r="O43" s="10">
        <f>'Precinct Vote Data'!H160</f>
        <v>0.3834951456</v>
      </c>
      <c r="U43" s="16">
        <f t="shared" si="9"/>
        <v>0.7483106251</v>
      </c>
      <c r="V43" s="5" t="b">
        <f t="shared" si="10"/>
        <v>1</v>
      </c>
      <c r="W43" s="5">
        <f t="shared" si="11"/>
        <v>0.7056072694</v>
      </c>
      <c r="X43" s="5">
        <f t="shared" si="12"/>
        <v>2.373183202</v>
      </c>
      <c r="Y43" s="5">
        <f t="shared" si="13"/>
        <v>0.7483106251</v>
      </c>
      <c r="Z43" s="10">
        <f>MIN(1,MAX(0,(5.3914776420524+0.021102849201698*'Precinct Vote Data'!I161*100+(-5.72594740176815)*1+0.927016741366831*(O43*100))/100))</f>
        <v>0.3485510251</v>
      </c>
      <c r="AA43" s="16">
        <f t="shared" si="14"/>
        <v>-1.121228847</v>
      </c>
      <c r="AB43" s="5" t="b">
        <f t="shared" si="15"/>
        <v>1</v>
      </c>
      <c r="AC43" s="5">
        <f t="shared" si="16"/>
        <v>1.121228847</v>
      </c>
    </row>
    <row r="44" ht="15.0" customHeight="1">
      <c r="A44" s="5" t="s">
        <v>16</v>
      </c>
      <c r="B44" s="5" t="s">
        <v>123</v>
      </c>
      <c r="C44" s="5" t="s">
        <v>128</v>
      </c>
      <c r="D44" s="10">
        <f t="shared" si="1"/>
        <v>0.3683919877</v>
      </c>
      <c r="E44" s="10">
        <f>'Precinct Vote Data'!H165</f>
        <v>0.3666927287</v>
      </c>
      <c r="F44" s="16">
        <f t="shared" si="2"/>
        <v>0.1699259038</v>
      </c>
      <c r="G44" s="10">
        <f t="shared" si="3"/>
        <v>0.3970588235</v>
      </c>
      <c r="H44" s="16">
        <f t="shared" si="4"/>
        <v>3.036609484</v>
      </c>
      <c r="I44" s="5" t="b">
        <f t="shared" si="5"/>
        <v>1</v>
      </c>
      <c r="J44" s="5" t="b">
        <f t="shared" si="6"/>
        <v>1</v>
      </c>
      <c r="K44" s="15">
        <f t="shared" si="7"/>
        <v>1.497541301</v>
      </c>
      <c r="L44" s="10">
        <f t="shared" si="8"/>
        <v>0.3683483215</v>
      </c>
      <c r="M44" s="10">
        <f>'Precinct Vote Data'!H162</f>
        <v>0.4334975369</v>
      </c>
      <c r="N44" s="10">
        <f>'Precinct Vote Data'!H163</f>
        <v>0.383935743</v>
      </c>
      <c r="O44" s="10">
        <f>'Precinct Vote Data'!H164</f>
        <v>0.3970588235</v>
      </c>
      <c r="U44" s="16">
        <f t="shared" si="9"/>
        <v>0.1655592838</v>
      </c>
      <c r="V44" s="5" t="b">
        <f t="shared" si="10"/>
        <v>1</v>
      </c>
      <c r="W44" s="5">
        <f t="shared" si="11"/>
        <v>0.1699259038</v>
      </c>
      <c r="X44" s="5">
        <f t="shared" si="12"/>
        <v>3.036609484</v>
      </c>
      <c r="Y44" s="5">
        <f t="shared" si="13"/>
        <v>0.1655592838</v>
      </c>
      <c r="Z44" s="10">
        <f>MIN(1,MAX(0,(5.3914776420524+0.021102849201698*'Precinct Vote Data'!I165*100+(-5.72594740176815)*1+0.927016741366831*(O44*100))/100))</f>
        <v>0.3613843467</v>
      </c>
      <c r="AA44" s="16">
        <f t="shared" si="14"/>
        <v>-0.5308382025</v>
      </c>
      <c r="AB44" s="5" t="b">
        <f t="shared" si="15"/>
        <v>1</v>
      </c>
      <c r="AC44" s="5">
        <f t="shared" si="16"/>
        <v>0.5308382025</v>
      </c>
    </row>
    <row r="45" ht="15.0" customHeight="1">
      <c r="A45" s="5" t="s">
        <v>16</v>
      </c>
      <c r="B45" s="5" t="s">
        <v>129</v>
      </c>
      <c r="C45" s="5" t="s">
        <v>130</v>
      </c>
      <c r="D45" s="10">
        <f t="shared" si="1"/>
        <v>0.4092260845</v>
      </c>
      <c r="E45" s="10">
        <f>'Precinct Vote Data'!H169</f>
        <v>0.4521963824</v>
      </c>
      <c r="F45" s="16">
        <f t="shared" si="2"/>
        <v>-4.297029796</v>
      </c>
      <c r="G45" s="10">
        <f t="shared" si="3"/>
        <v>0.4791666667</v>
      </c>
      <c r="H45" s="16">
        <f t="shared" si="4"/>
        <v>2.697028424</v>
      </c>
      <c r="I45" s="5" t="b">
        <f t="shared" si="5"/>
        <v>1</v>
      </c>
      <c r="J45" s="5" t="b">
        <f t="shared" si="6"/>
        <v>1</v>
      </c>
      <c r="K45" s="15">
        <f t="shared" si="7"/>
        <v>3.582491538</v>
      </c>
      <c r="L45" s="10">
        <f t="shared" si="8"/>
        <v>0.4104839997</v>
      </c>
      <c r="M45" s="10">
        <f>'Precinct Vote Data'!H166</f>
        <v>0.5729537367</v>
      </c>
      <c r="N45" s="10">
        <f>'Precinct Vote Data'!H167</f>
        <v>0.4569190601</v>
      </c>
      <c r="O45" s="10">
        <f>'Precinct Vote Data'!H168</f>
        <v>0.4791666667</v>
      </c>
      <c r="U45" s="16">
        <f t="shared" si="9"/>
        <v>-4.171238273</v>
      </c>
      <c r="V45" s="5" t="b">
        <f t="shared" si="10"/>
        <v>1</v>
      </c>
      <c r="W45" s="5">
        <f t="shared" si="11"/>
        <v>4.297029796</v>
      </c>
      <c r="X45" s="5">
        <f t="shared" si="12"/>
        <v>2.697028424</v>
      </c>
      <c r="Y45" s="5">
        <f t="shared" si="13"/>
        <v>4.171238273</v>
      </c>
      <c r="Z45" s="10">
        <f>MIN(1,MAX(0,(5.3914776420524+0.021102849201698*'Precinct Vote Data'!I169*100+(-5.72594740176815)*1+0.927016741366831*(O45*100))/100))</f>
        <v>0.4429526681</v>
      </c>
      <c r="AA45" s="16">
        <f t="shared" si="14"/>
        <v>-0.9243714341</v>
      </c>
      <c r="AB45" s="5" t="b">
        <f t="shared" si="15"/>
        <v>1</v>
      </c>
      <c r="AC45" s="5">
        <f t="shared" si="16"/>
        <v>0.9243714341</v>
      </c>
    </row>
    <row r="46" ht="15.0" customHeight="1">
      <c r="A46" s="5" t="s">
        <v>16</v>
      </c>
      <c r="B46" s="5" t="s">
        <v>129</v>
      </c>
      <c r="C46" s="5" t="s">
        <v>131</v>
      </c>
      <c r="D46" s="10">
        <f t="shared" si="1"/>
        <v>0.474303802</v>
      </c>
      <c r="E46" s="10">
        <f>'Precinct Vote Data'!H173</f>
        <v>0.4710327456</v>
      </c>
      <c r="F46" s="16">
        <f t="shared" si="2"/>
        <v>0.3271056402</v>
      </c>
      <c r="G46" s="10">
        <f t="shared" si="3"/>
        <v>0.5192307692</v>
      </c>
      <c r="H46" s="16">
        <f t="shared" si="4"/>
        <v>4.819802364</v>
      </c>
      <c r="I46" s="5" t="b">
        <f t="shared" si="5"/>
        <v>1</v>
      </c>
      <c r="J46" s="5" t="b">
        <f t="shared" si="6"/>
        <v>0</v>
      </c>
      <c r="K46" s="15">
        <f t="shared" si="7"/>
        <v>2.56369924</v>
      </c>
      <c r="L46" s="10">
        <f t="shared" si="8"/>
        <v>0.4700801434</v>
      </c>
      <c r="M46" s="10">
        <f>'Precinct Vote Data'!H170</f>
        <v>0.561461794</v>
      </c>
      <c r="N46" s="10">
        <f>'Precinct Vote Data'!H171</f>
        <v>0.4689119171</v>
      </c>
      <c r="O46" s="10">
        <f>'Precinct Vote Data'!H172</f>
        <v>0.5192307692</v>
      </c>
      <c r="U46" s="16">
        <f t="shared" si="9"/>
        <v>-0.09526021991</v>
      </c>
      <c r="V46" s="5" t="b">
        <f t="shared" si="10"/>
        <v>1</v>
      </c>
      <c r="W46" s="5">
        <f t="shared" si="11"/>
        <v>0.3271056402</v>
      </c>
      <c r="X46" s="5">
        <f t="shared" si="12"/>
        <v>4.819802364</v>
      </c>
      <c r="Y46" s="5">
        <f t="shared" si="13"/>
        <v>0.09526021991</v>
      </c>
      <c r="Z46" s="10">
        <f>MIN(1,MAX(0,(5.3914776420524+0.021102849201698*'Precinct Vote Data'!I173*100+(-5.72594740176815)*1+0.927016741366831*(O46*100))/100))</f>
        <v>0.4805253703</v>
      </c>
      <c r="AA46" s="16">
        <f t="shared" si="14"/>
        <v>0.949262471</v>
      </c>
      <c r="AB46" s="5" t="b">
        <f t="shared" si="15"/>
        <v>1</v>
      </c>
      <c r="AC46" s="5">
        <f t="shared" si="16"/>
        <v>0.949262471</v>
      </c>
    </row>
    <row r="47" ht="15.0" customHeight="1">
      <c r="A47" s="5" t="s">
        <v>16</v>
      </c>
      <c r="B47" s="5" t="s">
        <v>129</v>
      </c>
      <c r="C47" s="5" t="s">
        <v>132</v>
      </c>
      <c r="D47" s="10">
        <f t="shared" si="1"/>
        <v>0.3439734078</v>
      </c>
      <c r="E47" s="10">
        <f>'Precinct Vote Data'!H177</f>
        <v>0.3955375254</v>
      </c>
      <c r="F47" s="16">
        <f t="shared" si="2"/>
        <v>-5.156411752</v>
      </c>
      <c r="G47" s="10">
        <f t="shared" si="3"/>
        <v>0.4140625</v>
      </c>
      <c r="H47" s="16">
        <f t="shared" si="4"/>
        <v>1.852497465</v>
      </c>
      <c r="I47" s="5" t="b">
        <f t="shared" si="5"/>
        <v>1</v>
      </c>
      <c r="J47" s="5" t="b">
        <f t="shared" si="6"/>
        <v>1</v>
      </c>
      <c r="K47" s="15">
        <f t="shared" si="7"/>
        <v>3.797857307</v>
      </c>
      <c r="L47" s="10">
        <f t="shared" si="8"/>
        <v>0.3412508922</v>
      </c>
      <c r="M47" s="10">
        <f>'Precinct Vote Data'!H174</f>
        <v>0.4937888199</v>
      </c>
      <c r="N47" s="10">
        <f>'Precinct Vote Data'!H175</f>
        <v>0.3632478632</v>
      </c>
      <c r="O47" s="10">
        <f>'Precinct Vote Data'!H176</f>
        <v>0.4140625</v>
      </c>
      <c r="U47" s="16">
        <f t="shared" si="9"/>
        <v>-5.428663311</v>
      </c>
      <c r="V47" s="5" t="b">
        <f t="shared" si="10"/>
        <v>1</v>
      </c>
      <c r="W47" s="5">
        <f t="shared" si="11"/>
        <v>5.156411752</v>
      </c>
      <c r="X47" s="5">
        <f t="shared" si="12"/>
        <v>1.852497465</v>
      </c>
      <c r="Y47" s="5">
        <f t="shared" si="13"/>
        <v>5.428663311</v>
      </c>
      <c r="Z47" s="10">
        <f>MIN(1,MAX(0,(5.3914776420524+0.021102849201698*'Precinct Vote Data'!I177*100+(-5.72594740176815)*1+0.927016741366831*(O47*100))/100))</f>
        <v>0.3792509935</v>
      </c>
      <c r="AA47" s="16">
        <f t="shared" si="14"/>
        <v>-1.628653187</v>
      </c>
      <c r="AB47" s="5" t="b">
        <f t="shared" si="15"/>
        <v>1</v>
      </c>
      <c r="AC47" s="5">
        <f t="shared" si="16"/>
        <v>1.628653187</v>
      </c>
    </row>
    <row r="48" ht="15.0" customHeight="1">
      <c r="A48" s="5" t="s">
        <v>16</v>
      </c>
      <c r="B48" s="5" t="s">
        <v>129</v>
      </c>
      <c r="C48" s="5" t="s">
        <v>133</v>
      </c>
      <c r="D48" s="10">
        <f t="shared" si="1"/>
        <v>0.3807759002</v>
      </c>
      <c r="E48" s="10">
        <f>'Precinct Vote Data'!H181</f>
        <v>0.347972973</v>
      </c>
      <c r="F48" s="16">
        <f t="shared" si="2"/>
        <v>3.280292726</v>
      </c>
      <c r="G48" s="10">
        <f t="shared" si="3"/>
        <v>0.390438247</v>
      </c>
      <c r="H48" s="16">
        <f t="shared" si="4"/>
        <v>4.246527404</v>
      </c>
      <c r="I48" s="5" t="b">
        <f t="shared" si="5"/>
        <v>1</v>
      </c>
      <c r="J48" s="5" t="b">
        <f t="shared" si="6"/>
        <v>1</v>
      </c>
      <c r="K48" s="15">
        <f t="shared" si="7"/>
        <v>1.034222285</v>
      </c>
      <c r="L48" s="10">
        <f t="shared" si="8"/>
        <v>0.3706103859</v>
      </c>
      <c r="M48" s="10">
        <f>'Precinct Vote Data'!H178</f>
        <v>0.3663793103</v>
      </c>
      <c r="N48" s="10">
        <f>'Precinct Vote Data'!H179</f>
        <v>0.3133333333</v>
      </c>
      <c r="O48" s="10">
        <f>'Precinct Vote Data'!H180</f>
        <v>0.390438247</v>
      </c>
      <c r="U48" s="16">
        <f t="shared" si="9"/>
        <v>2.263741288</v>
      </c>
      <c r="V48" s="5" t="b">
        <f t="shared" si="10"/>
        <v>1</v>
      </c>
      <c r="W48" s="5">
        <f t="shared" si="11"/>
        <v>3.280292726</v>
      </c>
      <c r="X48" s="5">
        <f t="shared" si="12"/>
        <v>4.246527404</v>
      </c>
      <c r="Y48" s="5">
        <f t="shared" si="13"/>
        <v>2.263741288</v>
      </c>
      <c r="Z48" s="10">
        <f>MIN(1,MAX(0,(5.3914776420524+0.021102849201698*'Precinct Vote Data'!I181*100+(-5.72594740176815)*1+0.927016741366831*(O48*100))/100))</f>
        <v>0.3551646603</v>
      </c>
      <c r="AA48" s="16">
        <f t="shared" si="14"/>
        <v>0.7191687315</v>
      </c>
      <c r="AB48" s="5" t="b">
        <f t="shared" si="15"/>
        <v>1</v>
      </c>
      <c r="AC48" s="5">
        <f t="shared" si="16"/>
        <v>0.7191687315</v>
      </c>
    </row>
    <row r="49" ht="15.0" customHeight="1">
      <c r="A49" s="5" t="s">
        <v>16</v>
      </c>
      <c r="B49" s="5" t="s">
        <v>134</v>
      </c>
      <c r="C49" s="5" t="s">
        <v>135</v>
      </c>
      <c r="D49" s="10">
        <f t="shared" si="1"/>
        <v>0.2615368953</v>
      </c>
      <c r="E49" s="10">
        <f>'Precinct Vote Data'!H185</f>
        <v>0.3194154489</v>
      </c>
      <c r="F49" s="16">
        <f t="shared" si="2"/>
        <v>-5.787855359</v>
      </c>
      <c r="G49" s="10">
        <f t="shared" si="3"/>
        <v>0.2956152758</v>
      </c>
      <c r="H49" s="16">
        <f t="shared" si="4"/>
        <v>-2.380017304</v>
      </c>
      <c r="I49" s="5" t="b">
        <f t="shared" si="5"/>
        <v>1</v>
      </c>
      <c r="J49" s="5" t="b">
        <f t="shared" si="6"/>
        <v>1</v>
      </c>
      <c r="K49" s="15">
        <f t="shared" si="7"/>
        <v>1.675029023</v>
      </c>
      <c r="L49" s="10">
        <f t="shared" si="8"/>
        <v>0.2635020219</v>
      </c>
      <c r="M49" s="10">
        <f>'Precinct Vote Data'!H182</f>
        <v>0.3461538462</v>
      </c>
      <c r="N49" s="10">
        <f>'Precinct Vote Data'!H183</f>
        <v>0.2944572748</v>
      </c>
      <c r="O49" s="10">
        <f>'Precinct Vote Data'!H184</f>
        <v>0.2956152758</v>
      </c>
      <c r="U49" s="16">
        <f t="shared" si="9"/>
        <v>-5.591342699</v>
      </c>
      <c r="V49" s="5" t="b">
        <f t="shared" si="10"/>
        <v>1</v>
      </c>
      <c r="W49" s="5">
        <f t="shared" si="11"/>
        <v>5.787855359</v>
      </c>
      <c r="X49" s="5">
        <f t="shared" si="12"/>
        <v>2.380017304</v>
      </c>
      <c r="Y49" s="5">
        <f t="shared" si="13"/>
        <v>5.591342699</v>
      </c>
      <c r="Z49" s="10">
        <f>MIN(1,MAX(0,(5.3914776420524+0.021102849201698*'Precinct Vote Data'!I185*100+(-5.72594740176815)*1+0.927016741366831*(O49*100))/100))</f>
        <v>0.2642866768</v>
      </c>
      <c r="AA49" s="16">
        <f t="shared" si="14"/>
        <v>-5.512877207</v>
      </c>
      <c r="AB49" s="5" t="b">
        <f t="shared" si="15"/>
        <v>1</v>
      </c>
      <c r="AC49" s="5">
        <f t="shared" si="16"/>
        <v>5.512877207</v>
      </c>
    </row>
    <row r="50" ht="15.0" customHeight="1">
      <c r="A50" s="5" t="s">
        <v>16</v>
      </c>
      <c r="B50" s="5" t="s">
        <v>134</v>
      </c>
      <c r="C50" s="5" t="s">
        <v>136</v>
      </c>
      <c r="D50" s="10">
        <f t="shared" si="1"/>
        <v>0.2222441984</v>
      </c>
      <c r="E50" s="10">
        <f>'Precinct Vote Data'!H189</f>
        <v>0.262345679</v>
      </c>
      <c r="F50" s="16">
        <f t="shared" si="2"/>
        <v>-4.010148059</v>
      </c>
      <c r="G50" s="10">
        <f t="shared" si="3"/>
        <v>0.2815013405</v>
      </c>
      <c r="H50" s="16">
        <f t="shared" si="4"/>
        <v>1.915566147</v>
      </c>
      <c r="I50" s="5" t="b">
        <f t="shared" si="5"/>
        <v>1</v>
      </c>
      <c r="J50" s="5" t="b">
        <f t="shared" si="6"/>
        <v>1</v>
      </c>
      <c r="K50" s="15">
        <f t="shared" si="7"/>
        <v>3.111386251</v>
      </c>
      <c r="L50" s="10">
        <f t="shared" si="8"/>
        <v>0.2218505909</v>
      </c>
      <c r="M50" s="10">
        <f>'Precinct Vote Data'!H186</f>
        <v>0.3557377049</v>
      </c>
      <c r="N50" s="10">
        <f>'Precinct Vote Data'!H187</f>
        <v>0.2522026432</v>
      </c>
      <c r="O50" s="10">
        <f>'Precinct Vote Data'!H188</f>
        <v>0.2815013405</v>
      </c>
      <c r="U50" s="16">
        <f t="shared" si="9"/>
        <v>-4.049508813</v>
      </c>
      <c r="V50" s="5" t="b">
        <f t="shared" si="10"/>
        <v>1</v>
      </c>
      <c r="W50" s="5">
        <f t="shared" si="11"/>
        <v>4.010148059</v>
      </c>
      <c r="X50" s="5">
        <f t="shared" si="12"/>
        <v>1.915566147</v>
      </c>
      <c r="Y50" s="5">
        <f t="shared" si="13"/>
        <v>4.049508813</v>
      </c>
      <c r="Z50" s="10">
        <f>MIN(1,MAX(0,(5.3914776420524+0.021102849201698*'Precinct Vote Data'!I189*100+(-5.72594740176815)*1+0.927016741366831*(O50*100))/100))</f>
        <v>0.2505823987</v>
      </c>
      <c r="AA50" s="16">
        <f t="shared" si="14"/>
        <v>-1.176328033</v>
      </c>
      <c r="AB50" s="5" t="b">
        <f t="shared" si="15"/>
        <v>1</v>
      </c>
      <c r="AC50" s="5">
        <f t="shared" si="16"/>
        <v>1.176328033</v>
      </c>
    </row>
    <row r="51" ht="15.0" customHeight="1">
      <c r="A51" s="5" t="s">
        <v>16</v>
      </c>
      <c r="B51" s="5" t="s">
        <v>134</v>
      </c>
      <c r="C51" s="5" t="s">
        <v>137</v>
      </c>
      <c r="D51" s="10">
        <f t="shared" si="1"/>
        <v>0.2670373427</v>
      </c>
      <c r="E51" s="10">
        <f>'Precinct Vote Data'!H193</f>
        <v>0.2914147521</v>
      </c>
      <c r="F51" s="16">
        <f t="shared" si="2"/>
        <v>-2.437740942</v>
      </c>
      <c r="G51" s="10">
        <f t="shared" si="3"/>
        <v>0.3038348083</v>
      </c>
      <c r="H51" s="16">
        <f t="shared" si="4"/>
        <v>1.242005614</v>
      </c>
      <c r="I51" s="5" t="b">
        <f t="shared" si="5"/>
        <v>1</v>
      </c>
      <c r="J51" s="5" t="b">
        <f t="shared" si="6"/>
        <v>1</v>
      </c>
      <c r="K51" s="15">
        <f t="shared" si="7"/>
        <v>1.942709204</v>
      </c>
      <c r="L51" s="10">
        <f t="shared" si="8"/>
        <v>0.2665896542</v>
      </c>
      <c r="M51" s="10">
        <f>'Precinct Vote Data'!H190</f>
        <v>0.3492063492</v>
      </c>
      <c r="N51" s="10">
        <f>'Precinct Vote Data'!H191</f>
        <v>0.2841854935</v>
      </c>
      <c r="O51" s="10">
        <f>'Precinct Vote Data'!H192</f>
        <v>0.3038348083</v>
      </c>
      <c r="U51" s="16">
        <f t="shared" si="9"/>
        <v>-2.482509794</v>
      </c>
      <c r="V51" s="5" t="b">
        <f t="shared" si="10"/>
        <v>1</v>
      </c>
      <c r="W51" s="5">
        <f t="shared" si="11"/>
        <v>2.437740942</v>
      </c>
      <c r="X51" s="5">
        <f t="shared" si="12"/>
        <v>1.242005614</v>
      </c>
      <c r="Y51" s="5">
        <f t="shared" si="13"/>
        <v>2.482509794</v>
      </c>
      <c r="Z51" s="10">
        <f>MIN(1,MAX(0,(5.3914776420524+0.021102849201698*'Precinct Vote Data'!I193*100+(-5.72594740176815)*1+0.927016741366831*(O51*100))/100))</f>
        <v>0.271699513</v>
      </c>
      <c r="AA51" s="16">
        <f t="shared" si="14"/>
        <v>-1.971523907</v>
      </c>
      <c r="AB51" s="5" t="b">
        <f t="shared" si="15"/>
        <v>1</v>
      </c>
      <c r="AC51" s="5">
        <f t="shared" si="16"/>
        <v>1.971523907</v>
      </c>
    </row>
    <row r="52" ht="15.0" customHeight="1">
      <c r="A52" s="5" t="s">
        <v>16</v>
      </c>
      <c r="B52" s="5" t="s">
        <v>138</v>
      </c>
      <c r="C52" s="5" t="s">
        <v>139</v>
      </c>
      <c r="D52" s="10">
        <f t="shared" si="1"/>
        <v>0.2412567353</v>
      </c>
      <c r="E52" s="10">
        <f>'Precinct Vote Data'!H197</f>
        <v>0.3067173638</v>
      </c>
      <c r="F52" s="16">
        <f t="shared" si="2"/>
        <v>-6.54606285</v>
      </c>
      <c r="G52" s="10">
        <f t="shared" si="3"/>
        <v>0.2774086379</v>
      </c>
      <c r="H52" s="16">
        <f t="shared" si="4"/>
        <v>-2.930872588</v>
      </c>
      <c r="I52" s="5" t="b">
        <f t="shared" si="5"/>
        <v>1</v>
      </c>
      <c r="J52" s="5" t="b">
        <f t="shared" si="6"/>
        <v>1</v>
      </c>
      <c r="K52" s="15">
        <f t="shared" si="7"/>
        <v>1.838671451</v>
      </c>
      <c r="L52" s="10">
        <f t="shared" si="8"/>
        <v>0.2421580706</v>
      </c>
      <c r="M52" s="10">
        <f>'Precinct Vote Data'!H194</f>
        <v>0.3267857143</v>
      </c>
      <c r="N52" s="10">
        <f>'Precinct Vote Data'!H195</f>
        <v>0.2677070828</v>
      </c>
      <c r="O52" s="10">
        <f>'Precinct Vote Data'!H196</f>
        <v>0.2774086379</v>
      </c>
      <c r="U52" s="16">
        <f t="shared" si="9"/>
        <v>-6.455929315</v>
      </c>
      <c r="V52" s="5" t="b">
        <f t="shared" si="10"/>
        <v>1</v>
      </c>
      <c r="W52" s="5">
        <f t="shared" si="11"/>
        <v>6.54606285</v>
      </c>
      <c r="X52" s="5">
        <f t="shared" si="12"/>
        <v>2.930872588</v>
      </c>
      <c r="Y52" s="5">
        <f t="shared" si="13"/>
        <v>6.455929315</v>
      </c>
      <c r="Z52" s="10">
        <f>MIN(1,MAX(0,(5.3914776420524+0.021102849201698*'Precinct Vote Data'!I197*100+(-5.72594740176815)*1+0.927016741366831*(O52*100))/100))</f>
        <v>0.2475924134</v>
      </c>
      <c r="AA52" s="16">
        <f t="shared" si="14"/>
        <v>-5.912495035</v>
      </c>
      <c r="AB52" s="5" t="b">
        <f t="shared" si="15"/>
        <v>1</v>
      </c>
      <c r="AC52" s="5">
        <f t="shared" si="16"/>
        <v>5.912495035</v>
      </c>
    </row>
    <row r="53" ht="15.0" customHeight="1">
      <c r="A53" s="5" t="s">
        <v>16</v>
      </c>
      <c r="B53" s="5" t="s">
        <v>138</v>
      </c>
      <c r="C53" s="5" t="s">
        <v>140</v>
      </c>
      <c r="D53" s="10">
        <f t="shared" si="1"/>
        <v>0.2246775064</v>
      </c>
      <c r="E53" s="10">
        <f>'Precinct Vote Data'!H201</f>
        <v>0.2652068127</v>
      </c>
      <c r="F53" s="16">
        <f t="shared" si="2"/>
        <v>-4.052930622</v>
      </c>
      <c r="G53" s="10">
        <f t="shared" si="3"/>
        <v>0.2608695652</v>
      </c>
      <c r="H53" s="16">
        <f t="shared" si="4"/>
        <v>-0.4337247435</v>
      </c>
      <c r="I53" s="5" t="b">
        <f t="shared" si="5"/>
        <v>1</v>
      </c>
      <c r="J53" s="5" t="b">
        <f t="shared" si="6"/>
        <v>1</v>
      </c>
      <c r="K53" s="15">
        <f t="shared" si="7"/>
        <v>1.792818722</v>
      </c>
      <c r="L53" s="10">
        <f t="shared" si="8"/>
        <v>0.2264980754</v>
      </c>
      <c r="M53" s="10">
        <f>'Precinct Vote Data'!H198</f>
        <v>0.3135888502</v>
      </c>
      <c r="N53" s="10">
        <f>'Precinct Vote Data'!H199</f>
        <v>0.2577319588</v>
      </c>
      <c r="O53" s="10">
        <f>'Precinct Vote Data'!H200</f>
        <v>0.2608695652</v>
      </c>
      <c r="U53" s="16">
        <f t="shared" si="9"/>
        <v>-3.870873721</v>
      </c>
      <c r="V53" s="5" t="b">
        <f t="shared" si="10"/>
        <v>1</v>
      </c>
      <c r="W53" s="5">
        <f t="shared" si="11"/>
        <v>4.052930622</v>
      </c>
      <c r="X53" s="5">
        <f t="shared" si="12"/>
        <v>0.4337247435</v>
      </c>
      <c r="Y53" s="5">
        <f t="shared" si="13"/>
        <v>3.870873721</v>
      </c>
      <c r="Z53" s="10">
        <f>MIN(1,MAX(0,(5.3914776420524+0.021102849201698*'Precinct Vote Data'!I201*100+(-5.72594740176815)*1+0.927016741366831*(O53*100))/100))</f>
        <v>0.232429239</v>
      </c>
      <c r="AA53" s="16">
        <f t="shared" si="14"/>
        <v>-3.27775737</v>
      </c>
      <c r="AB53" s="5" t="b">
        <f t="shared" si="15"/>
        <v>1</v>
      </c>
      <c r="AC53" s="5">
        <f t="shared" si="16"/>
        <v>3.27775737</v>
      </c>
    </row>
    <row r="54" ht="15.0" customHeight="1">
      <c r="A54" s="5" t="s">
        <v>16</v>
      </c>
      <c r="B54" s="5" t="s">
        <v>141</v>
      </c>
      <c r="C54" s="5" t="s">
        <v>142</v>
      </c>
      <c r="D54" s="10">
        <f t="shared" si="1"/>
        <v>0.4082735316</v>
      </c>
      <c r="E54" s="10">
        <f>'Precinct Vote Data'!H205</f>
        <v>0.3558282209</v>
      </c>
      <c r="F54" s="16">
        <f t="shared" si="2"/>
        <v>5.244531078</v>
      </c>
      <c r="G54" s="10">
        <f t="shared" si="3"/>
        <v>0.46</v>
      </c>
      <c r="H54" s="16">
        <f t="shared" si="4"/>
        <v>10.41717791</v>
      </c>
      <c r="I54" s="5" t="b">
        <f t="shared" si="5"/>
        <v>1</v>
      </c>
      <c r="J54" s="5" t="b">
        <f t="shared" si="6"/>
        <v>1</v>
      </c>
      <c r="K54" s="15">
        <f t="shared" si="7"/>
        <v>2.928661299</v>
      </c>
      <c r="L54" s="10">
        <f t="shared" si="8"/>
        <v>0.4038524093</v>
      </c>
      <c r="M54" s="10">
        <f>'Precinct Vote Data'!H202</f>
        <v>0.5102040816</v>
      </c>
      <c r="N54" s="10">
        <f>'Precinct Vote Data'!H203</f>
        <v>0.4052287582</v>
      </c>
      <c r="O54" s="10">
        <f>'Precinct Vote Data'!H204</f>
        <v>0.46</v>
      </c>
      <c r="U54" s="16">
        <f t="shared" si="9"/>
        <v>4.802418841</v>
      </c>
      <c r="V54" s="5" t="b">
        <f t="shared" si="10"/>
        <v>1</v>
      </c>
      <c r="W54" s="5">
        <f t="shared" si="11"/>
        <v>5.244531078</v>
      </c>
      <c r="X54" s="5">
        <f t="shared" si="12"/>
        <v>10.41717791</v>
      </c>
      <c r="Y54" s="5">
        <f t="shared" si="13"/>
        <v>4.802418841</v>
      </c>
      <c r="Z54" s="10">
        <f>MIN(1,MAX(0,(5.3914776420524+0.021102849201698*'Precinct Vote Data'!I205*100+(-5.72594740176815)*1+0.927016741366831*(O54*100))/100))</f>
        <v>0.4201940234</v>
      </c>
      <c r="AA54" s="16">
        <f t="shared" si="14"/>
        <v>6.436580252</v>
      </c>
      <c r="AB54" s="5" t="b">
        <f t="shared" si="15"/>
        <v>1</v>
      </c>
      <c r="AC54" s="5">
        <f t="shared" si="16"/>
        <v>6.436580252</v>
      </c>
    </row>
    <row r="55" ht="15.0" customHeight="1">
      <c r="A55" s="5" t="s">
        <v>143</v>
      </c>
      <c r="B55" s="5" t="s">
        <v>144</v>
      </c>
      <c r="C55" s="5" t="s">
        <v>18</v>
      </c>
      <c r="D55" s="10">
        <f t="shared" si="1"/>
        <v>0.4539442604</v>
      </c>
      <c r="E55" s="10">
        <f>'Precinct Vote Data'!H209</f>
        <v>0.4396488661</v>
      </c>
      <c r="F55" s="16">
        <f t="shared" si="2"/>
        <v>1.429539423</v>
      </c>
      <c r="G55" s="10">
        <f t="shared" si="3"/>
        <v>0.4876604146</v>
      </c>
      <c r="H55" s="16">
        <f t="shared" si="4"/>
        <v>4.801154848</v>
      </c>
      <c r="I55" s="5" t="b">
        <f t="shared" si="5"/>
        <v>1</v>
      </c>
      <c r="J55" s="5" t="b">
        <f t="shared" si="6"/>
        <v>1</v>
      </c>
      <c r="K55" s="15">
        <f t="shared" si="7"/>
        <v>1.799347174</v>
      </c>
      <c r="L55" s="10">
        <f t="shared" si="8"/>
        <v>0.4531637629</v>
      </c>
      <c r="M55" s="10">
        <f>'Precinct Vote Data'!H206</f>
        <v>0.5279069767</v>
      </c>
      <c r="N55" s="10">
        <f>'Precinct Vote Data'!H207</f>
        <v>0.4670050761</v>
      </c>
      <c r="O55" s="10">
        <f>'Precinct Vote Data'!H208</f>
        <v>0.4876604146</v>
      </c>
      <c r="U55" s="16">
        <f t="shared" si="9"/>
        <v>1.35148968</v>
      </c>
      <c r="V55" s="5" t="b">
        <f t="shared" si="10"/>
        <v>1</v>
      </c>
      <c r="W55" s="5">
        <f t="shared" si="11"/>
        <v>1.429539423</v>
      </c>
      <c r="X55" s="5">
        <f t="shared" si="12"/>
        <v>4.801154848</v>
      </c>
      <c r="Y55" s="5">
        <f t="shared" si="13"/>
        <v>1.35148968</v>
      </c>
      <c r="Z55" s="10">
        <f>MIN(1,MAX(0,(5.3914776420524+0.021102849201698*'Precinct Vote Data'!I209*100+(-5.72594740176815)*1+0.927016741366831*(O55*100))/100))</f>
        <v>0.4480177254</v>
      </c>
      <c r="AA55" s="16">
        <f t="shared" si="14"/>
        <v>0.836885927</v>
      </c>
      <c r="AB55" s="5" t="b">
        <f t="shared" si="15"/>
        <v>1</v>
      </c>
      <c r="AC55" s="5">
        <f t="shared" si="16"/>
        <v>0.836885927</v>
      </c>
    </row>
    <row r="56" ht="15.0" customHeight="1">
      <c r="A56" s="5" t="s">
        <v>143</v>
      </c>
      <c r="B56" s="5" t="s">
        <v>145</v>
      </c>
      <c r="C56" s="5" t="s">
        <v>146</v>
      </c>
      <c r="D56" s="10">
        <f t="shared" si="1"/>
        <v>0.7134263374</v>
      </c>
      <c r="E56" s="10">
        <f>'Precinct Vote Data'!H213</f>
        <v>0.7182890855</v>
      </c>
      <c r="F56" s="16">
        <f t="shared" si="2"/>
        <v>-0.4862748165</v>
      </c>
      <c r="G56" s="10">
        <f t="shared" si="3"/>
        <v>0.7920792079</v>
      </c>
      <c r="H56" s="16">
        <f t="shared" si="4"/>
        <v>7.379012238</v>
      </c>
      <c r="I56" s="5" t="b">
        <f t="shared" si="5"/>
        <v>1</v>
      </c>
      <c r="J56" s="5" t="b">
        <f t="shared" si="6"/>
        <v>1</v>
      </c>
      <c r="K56" s="15">
        <f t="shared" si="7"/>
        <v>3.768897431</v>
      </c>
      <c r="L56" s="10">
        <f t="shared" si="8"/>
        <v>0.7198228119</v>
      </c>
      <c r="M56" s="10">
        <f>'Precinct Vote Data'!H210</f>
        <v>0.9153846154</v>
      </c>
      <c r="N56" s="10">
        <f>'Precinct Vote Data'!H211</f>
        <v>0.8027314112</v>
      </c>
      <c r="O56" s="10">
        <f>'Precinct Vote Data'!H212</f>
        <v>0.7920792079</v>
      </c>
      <c r="U56" s="16">
        <f t="shared" si="9"/>
        <v>0.1533726403</v>
      </c>
      <c r="V56" s="5" t="b">
        <f t="shared" si="10"/>
        <v>1</v>
      </c>
      <c r="W56" s="5">
        <f t="shared" si="11"/>
        <v>0.4862748165</v>
      </c>
      <c r="X56" s="5">
        <f t="shared" si="12"/>
        <v>7.379012238</v>
      </c>
      <c r="Y56" s="5">
        <f t="shared" si="13"/>
        <v>0.1533726403</v>
      </c>
      <c r="Z56" s="10">
        <f>MIN(1,MAX(0,(5.3914776420524+0.021102849201698*'Precinct Vote Data'!I213*100+(-5.72594740176815)*1+0.927016741366831*(O56*100))/100))</f>
        <v>0.7403209771</v>
      </c>
      <c r="AA56" s="16">
        <f t="shared" si="14"/>
        <v>2.203189155</v>
      </c>
      <c r="AB56" s="5" t="b">
        <f t="shared" si="15"/>
        <v>1</v>
      </c>
      <c r="AC56" s="5">
        <f t="shared" si="16"/>
        <v>2.203189155</v>
      </c>
    </row>
    <row r="57" ht="15.0" customHeight="1">
      <c r="A57" s="5" t="s">
        <v>143</v>
      </c>
      <c r="B57" s="5" t="s">
        <v>145</v>
      </c>
      <c r="C57" s="5" t="s">
        <v>147</v>
      </c>
      <c r="D57" s="10">
        <f t="shared" si="1"/>
        <v>0.7150926395</v>
      </c>
      <c r="E57" s="10">
        <f>'Precinct Vote Data'!H217</f>
        <v>0.6978297162</v>
      </c>
      <c r="F57" s="16">
        <f t="shared" si="2"/>
        <v>1.726292327</v>
      </c>
      <c r="G57" s="10">
        <f t="shared" si="3"/>
        <v>0.7763157895</v>
      </c>
      <c r="H57" s="16">
        <f t="shared" si="4"/>
        <v>7.848607328</v>
      </c>
      <c r="I57" s="5" t="b">
        <f t="shared" si="5"/>
        <v>1</v>
      </c>
      <c r="J57" s="5" t="b">
        <f t="shared" si="6"/>
        <v>1</v>
      </c>
      <c r="K57" s="15">
        <f t="shared" si="7"/>
        <v>3.075799415</v>
      </c>
      <c r="L57" s="10">
        <f t="shared" si="8"/>
        <v>0.7173473021</v>
      </c>
      <c r="M57" s="10">
        <f>'Precinct Vote Data'!H214</f>
        <v>0.8625429553</v>
      </c>
      <c r="N57" s="10">
        <f>'Precinct Vote Data'!H215</f>
        <v>0.7651006711</v>
      </c>
      <c r="O57" s="10">
        <f>'Precinct Vote Data'!H216</f>
        <v>0.7763157895</v>
      </c>
      <c r="U57" s="16">
        <f t="shared" si="9"/>
        <v>1.951758594</v>
      </c>
      <c r="V57" s="5" t="b">
        <f t="shared" si="10"/>
        <v>1</v>
      </c>
      <c r="W57" s="5">
        <f t="shared" si="11"/>
        <v>1.726292327</v>
      </c>
      <c r="X57" s="5">
        <f t="shared" si="12"/>
        <v>7.848607328</v>
      </c>
      <c r="Y57" s="5">
        <f t="shared" si="13"/>
        <v>1.951758594</v>
      </c>
      <c r="Z57" s="10">
        <f>MIN(1,MAX(0,(5.3914776420524+0.021102849201698*'Precinct Vote Data'!I217*100+(-5.72594740176815)*1+0.927016741366831*(O57*100))/100))</f>
        <v>0.7242266043</v>
      </c>
      <c r="AA57" s="16">
        <f t="shared" si="14"/>
        <v>2.639688809</v>
      </c>
      <c r="AB57" s="5" t="b">
        <f t="shared" si="15"/>
        <v>1</v>
      </c>
      <c r="AC57" s="5">
        <f t="shared" si="16"/>
        <v>2.639688809</v>
      </c>
    </row>
    <row r="58" ht="15.0" customHeight="1">
      <c r="A58" s="5" t="s">
        <v>143</v>
      </c>
      <c r="B58" s="5" t="s">
        <v>145</v>
      </c>
      <c r="C58" s="5" t="s">
        <v>55</v>
      </c>
      <c r="D58" s="10">
        <f t="shared" si="1"/>
        <v>0.7879131224</v>
      </c>
      <c r="E58" s="10">
        <f>'Precinct Vote Data'!H221</f>
        <v>0.7194473964</v>
      </c>
      <c r="F58" s="16">
        <f t="shared" si="2"/>
        <v>6.846572603</v>
      </c>
      <c r="G58" s="10">
        <f t="shared" si="3"/>
        <v>0.8352402746</v>
      </c>
      <c r="H58" s="16">
        <f t="shared" si="4"/>
        <v>11.57928782</v>
      </c>
      <c r="I58" s="5" t="b">
        <f t="shared" si="5"/>
        <v>1</v>
      </c>
      <c r="J58" s="5" t="b">
        <f t="shared" si="6"/>
        <v>1</v>
      </c>
      <c r="K58" s="15">
        <f t="shared" si="7"/>
        <v>2.817214008</v>
      </c>
      <c r="L58" s="10">
        <f t="shared" si="8"/>
        <v>0.7812293246</v>
      </c>
      <c r="M58" s="10">
        <f>'Precinct Vote Data'!H218</f>
        <v>0.8717277487</v>
      </c>
      <c r="N58" s="10">
        <f>'Precinct Vote Data'!H219</f>
        <v>0.7662337662</v>
      </c>
      <c r="O58" s="10">
        <f>'Precinct Vote Data'!H220</f>
        <v>0.8352402746</v>
      </c>
      <c r="U58" s="16">
        <f t="shared" si="9"/>
        <v>6.178192817</v>
      </c>
      <c r="V58" s="5" t="b">
        <f t="shared" si="10"/>
        <v>1</v>
      </c>
      <c r="W58" s="5">
        <f t="shared" si="11"/>
        <v>6.846572603</v>
      </c>
      <c r="X58" s="5">
        <f t="shared" si="12"/>
        <v>11.57928782</v>
      </c>
      <c r="Y58" s="5">
        <f t="shared" si="13"/>
        <v>6.178192817</v>
      </c>
      <c r="Z58" s="10">
        <f>MIN(1,MAX(0,(5.3914776420524+0.021102849201698*'Precinct Vote Data'!I221*100+(-5.72594740176815)*1+0.927016741366831*(O58*100))/100))</f>
        <v>0.7799774806</v>
      </c>
      <c r="AA58" s="16">
        <f t="shared" si="14"/>
        <v>6.053008423</v>
      </c>
      <c r="AB58" s="5" t="b">
        <f t="shared" si="15"/>
        <v>1</v>
      </c>
      <c r="AC58" s="5">
        <f t="shared" si="16"/>
        <v>6.053008423</v>
      </c>
    </row>
    <row r="59" ht="15.0" customHeight="1">
      <c r="A59" s="5" t="s">
        <v>143</v>
      </c>
      <c r="B59" s="5" t="s">
        <v>145</v>
      </c>
      <c r="C59" s="5" t="s">
        <v>57</v>
      </c>
      <c r="D59" s="10">
        <f t="shared" si="1"/>
        <v>0.7015413179</v>
      </c>
      <c r="E59" s="10">
        <f>'Precinct Vote Data'!H225</f>
        <v>0.6722090261</v>
      </c>
      <c r="F59" s="16">
        <f t="shared" si="2"/>
        <v>2.933229177</v>
      </c>
      <c r="G59" s="10">
        <f t="shared" si="3"/>
        <v>0.7456896552</v>
      </c>
      <c r="H59" s="16">
        <f t="shared" si="4"/>
        <v>7.348062904</v>
      </c>
      <c r="I59" s="5" t="b">
        <f t="shared" si="5"/>
        <v>1</v>
      </c>
      <c r="J59" s="5" t="b">
        <f t="shared" si="6"/>
        <v>1</v>
      </c>
      <c r="K59" s="15">
        <f t="shared" si="7"/>
        <v>2.018478426</v>
      </c>
      <c r="L59" s="10">
        <f t="shared" si="8"/>
        <v>0.7069918718</v>
      </c>
      <c r="M59" s="10">
        <f>'Precinct Vote Data'!H222</f>
        <v>0.8215613383</v>
      </c>
      <c r="N59" s="10">
        <f>'Precinct Vote Data'!H223</f>
        <v>0.7649880096</v>
      </c>
      <c r="O59" s="10">
        <f>'Precinct Vote Data'!H224</f>
        <v>0.7456896552</v>
      </c>
      <c r="U59" s="16">
        <f t="shared" si="9"/>
        <v>3.478284565</v>
      </c>
      <c r="V59" s="5" t="b">
        <f t="shared" si="10"/>
        <v>1</v>
      </c>
      <c r="W59" s="5">
        <f t="shared" si="11"/>
        <v>2.933229177</v>
      </c>
      <c r="X59" s="5">
        <f t="shared" si="12"/>
        <v>7.348062904</v>
      </c>
      <c r="Y59" s="5">
        <f t="shared" si="13"/>
        <v>3.478284565</v>
      </c>
      <c r="Z59" s="10">
        <f>MIN(1,MAX(0,(5.3914776420524+0.021102849201698*'Precinct Vote Data'!I225*100+(-5.72594740176815)*1+0.927016741366831*(O59*100))/100))</f>
        <v>0.69646453</v>
      </c>
      <c r="AA59" s="16">
        <f t="shared" si="14"/>
        <v>2.425550384</v>
      </c>
      <c r="AB59" s="5" t="b">
        <f t="shared" si="15"/>
        <v>1</v>
      </c>
      <c r="AC59" s="5">
        <f t="shared" si="16"/>
        <v>2.425550384</v>
      </c>
    </row>
    <row r="60" ht="15.0" customHeight="1">
      <c r="A60" s="5" t="s">
        <v>143</v>
      </c>
      <c r="B60" s="5" t="s">
        <v>145</v>
      </c>
      <c r="C60" s="5" t="s">
        <v>59</v>
      </c>
      <c r="D60" s="10">
        <f t="shared" si="1"/>
        <v>0.7613992889</v>
      </c>
      <c r="E60" s="10">
        <f>'Precinct Vote Data'!H229</f>
        <v>0.7462437396</v>
      </c>
      <c r="F60" s="16">
        <f t="shared" si="2"/>
        <v>1.515554933</v>
      </c>
      <c r="G60" s="10">
        <f t="shared" si="3"/>
        <v>0.7971530249</v>
      </c>
      <c r="H60" s="16">
        <f t="shared" si="4"/>
        <v>5.090928535</v>
      </c>
      <c r="I60" s="5" t="b">
        <f t="shared" si="5"/>
        <v>1</v>
      </c>
      <c r="J60" s="5" t="b">
        <f t="shared" si="6"/>
        <v>1</v>
      </c>
      <c r="K60" s="15">
        <f t="shared" si="7"/>
        <v>1.68731596</v>
      </c>
      <c r="L60" s="10">
        <f t="shared" si="8"/>
        <v>0.7648042088</v>
      </c>
      <c r="M60" s="10">
        <f>'Precinct Vote Data'!H226</f>
        <v>0.8549848943</v>
      </c>
      <c r="N60" s="10">
        <f>'Precinct Vote Data'!H227</f>
        <v>0.8055555556</v>
      </c>
      <c r="O60" s="10">
        <f>'Precinct Vote Data'!H228</f>
        <v>0.7971530249</v>
      </c>
      <c r="U60" s="16">
        <f t="shared" si="9"/>
        <v>1.856046919</v>
      </c>
      <c r="V60" s="5" t="b">
        <f t="shared" si="10"/>
        <v>1</v>
      </c>
      <c r="W60" s="5">
        <f t="shared" si="11"/>
        <v>1.515554933</v>
      </c>
      <c r="X60" s="5">
        <f t="shared" si="12"/>
        <v>5.090928535</v>
      </c>
      <c r="Y60" s="5">
        <f t="shared" si="13"/>
        <v>1.856046919</v>
      </c>
      <c r="Z60" s="10">
        <f>MIN(1,MAX(0,(5.3914776420524+0.021102849201698*'Precinct Vote Data'!I229*100+(-5.72594740176815)*1+0.927016741366831*(O60*100))/100))</f>
        <v>0.7446868448</v>
      </c>
      <c r="AA60" s="16">
        <f t="shared" si="14"/>
        <v>-0.1556894762</v>
      </c>
      <c r="AB60" s="5" t="b">
        <f t="shared" si="15"/>
        <v>1</v>
      </c>
      <c r="AC60" s="5">
        <f t="shared" si="16"/>
        <v>0.1556894762</v>
      </c>
    </row>
    <row r="61" ht="15.0" customHeight="1">
      <c r="A61" s="5" t="s">
        <v>143</v>
      </c>
      <c r="B61" s="5" t="s">
        <v>145</v>
      </c>
      <c r="C61" s="5" t="s">
        <v>63</v>
      </c>
      <c r="D61" s="10">
        <f t="shared" si="1"/>
        <v>0.7125305213</v>
      </c>
      <c r="E61" s="10">
        <f>'Precinct Vote Data'!H233</f>
        <v>0.6151202749</v>
      </c>
      <c r="F61" s="16">
        <f t="shared" si="2"/>
        <v>9.741024643</v>
      </c>
      <c r="G61" s="10">
        <f t="shared" si="3"/>
        <v>0.756097561</v>
      </c>
      <c r="H61" s="16">
        <f t="shared" si="4"/>
        <v>14.09772861</v>
      </c>
      <c r="I61" s="5" t="b">
        <f t="shared" si="5"/>
        <v>1</v>
      </c>
      <c r="J61" s="5" t="b">
        <f t="shared" si="6"/>
        <v>1</v>
      </c>
      <c r="K61" s="15">
        <f t="shared" si="7"/>
        <v>2.053640403</v>
      </c>
      <c r="L61" s="10">
        <f t="shared" si="8"/>
        <v>0.7167256606</v>
      </c>
      <c r="M61" s="10">
        <f>'Precinct Vote Data'!H230</f>
        <v>0.8267326733</v>
      </c>
      <c r="N61" s="10">
        <f>'Precinct Vote Data'!H231</f>
        <v>0.7666666667</v>
      </c>
      <c r="O61" s="10">
        <f>'Precinct Vote Data'!H232</f>
        <v>0.756097561</v>
      </c>
      <c r="U61" s="16">
        <f t="shared" si="9"/>
        <v>10.16053857</v>
      </c>
      <c r="V61" s="5" t="b">
        <f t="shared" si="10"/>
        <v>1</v>
      </c>
      <c r="W61" s="5">
        <f t="shared" si="11"/>
        <v>9.741024643</v>
      </c>
      <c r="X61" s="5">
        <f t="shared" si="12"/>
        <v>14.09772861</v>
      </c>
      <c r="Y61" s="5">
        <f t="shared" si="13"/>
        <v>10.16053857</v>
      </c>
      <c r="Z61" s="10">
        <f>MIN(1,MAX(0,(5.3914776420524+0.021102849201698*'Precinct Vote Data'!I233*100+(-5.72594740176815)*1+0.927016741366831*(O61*100))/100))</f>
        <v>0.7052539469</v>
      </c>
      <c r="AA61" s="16">
        <f t="shared" si="14"/>
        <v>9.013367201</v>
      </c>
      <c r="AB61" s="5" t="b">
        <f t="shared" si="15"/>
        <v>1</v>
      </c>
      <c r="AC61" s="5">
        <f t="shared" si="16"/>
        <v>9.013367201</v>
      </c>
    </row>
    <row r="62" ht="15.0" customHeight="1">
      <c r="A62" s="5" t="s">
        <v>143</v>
      </c>
      <c r="B62" s="5" t="s">
        <v>145</v>
      </c>
      <c r="C62" s="5" t="s">
        <v>73</v>
      </c>
      <c r="D62" s="10">
        <f t="shared" si="1"/>
        <v>0.6746412544</v>
      </c>
      <c r="E62" s="10">
        <f>'Precinct Vote Data'!H237</f>
        <v>0.6134020619</v>
      </c>
      <c r="F62" s="16">
        <f t="shared" si="2"/>
        <v>6.123919257</v>
      </c>
      <c r="G62" s="10">
        <f t="shared" si="3"/>
        <v>0.7103448276</v>
      </c>
      <c r="H62" s="16">
        <f t="shared" si="4"/>
        <v>9.694276573</v>
      </c>
      <c r="I62" s="5" t="b">
        <f t="shared" si="5"/>
        <v>1</v>
      </c>
      <c r="J62" s="5" t="b">
        <f t="shared" si="6"/>
        <v>1</v>
      </c>
      <c r="K62" s="15">
        <f t="shared" si="7"/>
        <v>1.632373009</v>
      </c>
      <c r="L62" s="10">
        <f t="shared" si="8"/>
        <v>0.6790493645</v>
      </c>
      <c r="M62" s="10">
        <f>'Precinct Vote Data'!H234</f>
        <v>0.7717041801</v>
      </c>
      <c r="N62" s="10">
        <f>'Precinct Vote Data'!H235</f>
        <v>0.7259528131</v>
      </c>
      <c r="O62" s="10">
        <f>'Precinct Vote Data'!H236</f>
        <v>0.7103448276</v>
      </c>
      <c r="U62" s="16">
        <f t="shared" si="9"/>
        <v>6.564730262</v>
      </c>
      <c r="V62" s="5" t="b">
        <f t="shared" si="10"/>
        <v>1</v>
      </c>
      <c r="W62" s="5">
        <f t="shared" si="11"/>
        <v>6.123919257</v>
      </c>
      <c r="X62" s="5">
        <f t="shared" si="12"/>
        <v>9.694276573</v>
      </c>
      <c r="Y62" s="5">
        <f t="shared" si="13"/>
        <v>6.564730262</v>
      </c>
      <c r="Z62" s="10">
        <f>MIN(1,MAX(0,(5.3914776420524+0.021102849201698*'Precinct Vote Data'!I237*100+(-5.72594740176815)*1+0.927016741366831*(O62*100))/100))</f>
        <v>0.6627053389</v>
      </c>
      <c r="AA62" s="16">
        <f t="shared" si="14"/>
        <v>4.930327702</v>
      </c>
      <c r="AB62" s="5" t="b">
        <f t="shared" si="15"/>
        <v>1</v>
      </c>
      <c r="AC62" s="5">
        <f t="shared" si="16"/>
        <v>4.930327702</v>
      </c>
    </row>
    <row r="63" ht="15.0" customHeight="1">
      <c r="A63" s="5" t="s">
        <v>143</v>
      </c>
      <c r="B63" s="5" t="s">
        <v>145</v>
      </c>
      <c r="C63" s="5" t="s">
        <v>74</v>
      </c>
      <c r="D63" s="10">
        <f t="shared" si="1"/>
        <v>0.7100803061</v>
      </c>
      <c r="E63" s="10">
        <f>'Precinct Vote Data'!H241</f>
        <v>0.729312763</v>
      </c>
      <c r="F63" s="16">
        <f t="shared" si="2"/>
        <v>-1.923245686</v>
      </c>
      <c r="G63" s="10">
        <f t="shared" si="3"/>
        <v>0.7644110276</v>
      </c>
      <c r="H63" s="16">
        <f t="shared" si="4"/>
        <v>3.50982646</v>
      </c>
      <c r="I63" s="5" t="b">
        <f t="shared" si="5"/>
        <v>1</v>
      </c>
      <c r="J63" s="5" t="b">
        <f t="shared" si="6"/>
        <v>1</v>
      </c>
      <c r="K63" s="15">
        <f t="shared" si="7"/>
        <v>2.564639143</v>
      </c>
      <c r="L63" s="10">
        <f t="shared" si="8"/>
        <v>0.7152423821</v>
      </c>
      <c r="M63" s="10">
        <f>'Precinct Vote Data'!H238</f>
        <v>0.852248394</v>
      </c>
      <c r="N63" s="10">
        <f>'Precinct Vote Data'!H239</f>
        <v>0.7770935961</v>
      </c>
      <c r="O63" s="10">
        <f>'Precinct Vote Data'!H240</f>
        <v>0.7644110276</v>
      </c>
      <c r="U63" s="16">
        <f t="shared" si="9"/>
        <v>-1.407038084</v>
      </c>
      <c r="V63" s="5" t="b">
        <f t="shared" si="10"/>
        <v>1</v>
      </c>
      <c r="W63" s="5">
        <f t="shared" si="11"/>
        <v>1.923245686</v>
      </c>
      <c r="X63" s="5">
        <f t="shared" si="12"/>
        <v>3.50982646</v>
      </c>
      <c r="Y63" s="5">
        <f t="shared" si="13"/>
        <v>1.407038084</v>
      </c>
      <c r="Z63" s="10">
        <f>MIN(1,MAX(0,(5.3914776420524+0.021102849201698*'Precinct Vote Data'!I241*100+(-5.72594740176815)*1+0.927016741366831*(O63*100))/100))</f>
        <v>0.7139693858</v>
      </c>
      <c r="AA63" s="16">
        <f t="shared" si="14"/>
        <v>-1.534337714</v>
      </c>
      <c r="AB63" s="5" t="b">
        <f t="shared" si="15"/>
        <v>1</v>
      </c>
      <c r="AC63" s="5">
        <f t="shared" si="16"/>
        <v>1.534337714</v>
      </c>
    </row>
    <row r="64" ht="15.0" customHeight="1">
      <c r="A64" s="5" t="s">
        <v>143</v>
      </c>
      <c r="B64" s="5" t="s">
        <v>145</v>
      </c>
      <c r="C64" s="5" t="s">
        <v>78</v>
      </c>
      <c r="D64" s="10">
        <f t="shared" si="1"/>
        <v>0.7784544556</v>
      </c>
      <c r="E64" s="10">
        <f>'Precinct Vote Data'!H245</f>
        <v>0.7171052632</v>
      </c>
      <c r="F64" s="16">
        <f t="shared" si="2"/>
        <v>6.134919243</v>
      </c>
      <c r="G64" s="10">
        <f t="shared" si="3"/>
        <v>0.8226950355</v>
      </c>
      <c r="H64" s="16">
        <f t="shared" si="4"/>
        <v>10.55897723</v>
      </c>
      <c r="I64" s="5" t="b">
        <f t="shared" si="5"/>
        <v>1</v>
      </c>
      <c r="J64" s="5" t="b">
        <f t="shared" si="6"/>
        <v>1</v>
      </c>
      <c r="K64" s="15">
        <f t="shared" si="7"/>
        <v>2.782702267</v>
      </c>
      <c r="L64" s="10">
        <f t="shared" si="8"/>
        <v>0.7693457362</v>
      </c>
      <c r="M64" s="10">
        <f>'Precinct Vote Data'!H242</f>
        <v>0.8465608466</v>
      </c>
      <c r="N64" s="10">
        <f>'Precinct Vote Data'!H243</f>
        <v>0.737704918</v>
      </c>
      <c r="O64" s="10">
        <f>'Precinct Vote Data'!H244</f>
        <v>0.8226950355</v>
      </c>
      <c r="U64" s="16">
        <f t="shared" si="9"/>
        <v>5.224047305</v>
      </c>
      <c r="V64" s="5" t="b">
        <f t="shared" si="10"/>
        <v>1</v>
      </c>
      <c r="W64" s="5">
        <f t="shared" si="11"/>
        <v>6.134919243</v>
      </c>
      <c r="X64" s="5">
        <f t="shared" si="12"/>
        <v>10.55897723</v>
      </c>
      <c r="Y64" s="5">
        <f t="shared" si="13"/>
        <v>5.224047305</v>
      </c>
      <c r="Z64" s="10">
        <f>MIN(1,MAX(0,(5.3914776420524+0.021102849201698*'Precinct Vote Data'!I245*100+(-5.72594740176815)*1+0.927016741366831*(O64*100))/100))</f>
        <v>0.7683351722</v>
      </c>
      <c r="AA64" s="16">
        <f t="shared" si="14"/>
        <v>5.122990905</v>
      </c>
      <c r="AB64" s="5" t="b">
        <f t="shared" si="15"/>
        <v>1</v>
      </c>
      <c r="AC64" s="5">
        <f t="shared" si="16"/>
        <v>5.122990905</v>
      </c>
    </row>
    <row r="65" ht="15.0" customHeight="1">
      <c r="A65" s="5" t="s">
        <v>143</v>
      </c>
      <c r="B65" s="5" t="s">
        <v>145</v>
      </c>
      <c r="C65" s="5" t="s">
        <v>79</v>
      </c>
      <c r="D65" s="10">
        <f t="shared" si="1"/>
        <v>0.8168550624</v>
      </c>
      <c r="E65" s="10">
        <f>'Precinct Vote Data'!H249</f>
        <v>0.7061994609</v>
      </c>
      <c r="F65" s="16">
        <f t="shared" si="2"/>
        <v>11.06556015</v>
      </c>
      <c r="G65" s="10">
        <f t="shared" si="3"/>
        <v>0.8497109827</v>
      </c>
      <c r="H65" s="16">
        <f t="shared" si="4"/>
        <v>14.35115217</v>
      </c>
      <c r="I65" s="5" t="b">
        <f t="shared" si="5"/>
        <v>1</v>
      </c>
      <c r="J65" s="5" t="b">
        <f t="shared" si="6"/>
        <v>1</v>
      </c>
      <c r="K65" s="15">
        <f t="shared" si="7"/>
        <v>2.070224964</v>
      </c>
      <c r="L65" s="10">
        <f t="shared" si="8"/>
        <v>0.8100211271</v>
      </c>
      <c r="M65" s="10">
        <f>'Precinct Vote Data'!H246</f>
        <v>0.8671875</v>
      </c>
      <c r="N65" s="10">
        <f>'Precinct Vote Data'!H247</f>
        <v>0.7860962567</v>
      </c>
      <c r="O65" s="10">
        <f>'Precinct Vote Data'!H248</f>
        <v>0.8497109827</v>
      </c>
      <c r="U65" s="16">
        <f t="shared" si="9"/>
        <v>10.38216662</v>
      </c>
      <c r="V65" s="5" t="b">
        <f t="shared" si="10"/>
        <v>1</v>
      </c>
      <c r="W65" s="5">
        <f t="shared" si="11"/>
        <v>11.06556015</v>
      </c>
      <c r="X65" s="5">
        <f t="shared" si="12"/>
        <v>14.35115217</v>
      </c>
      <c r="Y65" s="5">
        <f t="shared" si="13"/>
        <v>10.38216662</v>
      </c>
      <c r="Z65" s="10">
        <f>MIN(1,MAX(0,(5.3914776420524+0.021102849201698*'Precinct Vote Data'!I249*100+(-5.72594740176815)*1+0.927016741366831*(O65*100))/100))</f>
        <v>0.7938943171</v>
      </c>
      <c r="AA65" s="16">
        <f t="shared" si="14"/>
        <v>8.769485614</v>
      </c>
      <c r="AB65" s="5" t="b">
        <f t="shared" si="15"/>
        <v>1</v>
      </c>
      <c r="AC65" s="5">
        <f t="shared" si="16"/>
        <v>8.769485614</v>
      </c>
    </row>
    <row r="66" ht="15.0" customHeight="1">
      <c r="A66" s="5" t="s">
        <v>143</v>
      </c>
      <c r="B66" s="5" t="s">
        <v>145</v>
      </c>
      <c r="C66" s="5" t="s">
        <v>87</v>
      </c>
      <c r="D66" s="10">
        <f t="shared" si="1"/>
        <v>0.7434771343</v>
      </c>
      <c r="E66" s="10">
        <f>'Precinct Vote Data'!H253</f>
        <v>0.7373913043</v>
      </c>
      <c r="F66" s="16">
        <f t="shared" si="2"/>
        <v>0.6085829996</v>
      </c>
      <c r="G66" s="10">
        <f t="shared" si="3"/>
        <v>0.8</v>
      </c>
      <c r="H66" s="16">
        <f t="shared" si="4"/>
        <v>6.260869565</v>
      </c>
      <c r="I66" s="5" t="b">
        <f t="shared" si="5"/>
        <v>1</v>
      </c>
      <c r="J66" s="5" t="b">
        <f t="shared" si="6"/>
        <v>1</v>
      </c>
      <c r="K66" s="15">
        <f t="shared" si="7"/>
        <v>2.928728101</v>
      </c>
      <c r="L66" s="10">
        <f t="shared" si="8"/>
        <v>0.7438511286</v>
      </c>
      <c r="M66" s="10">
        <f>'Precinct Vote Data'!H250</f>
        <v>0.8734939759</v>
      </c>
      <c r="N66" s="10">
        <f>'Precinct Vote Data'!H251</f>
        <v>0.7774193548</v>
      </c>
      <c r="O66" s="10">
        <f>'Precinct Vote Data'!H252</f>
        <v>0.8</v>
      </c>
      <c r="U66" s="16">
        <f t="shared" si="9"/>
        <v>0.6459824213</v>
      </c>
      <c r="V66" s="5" t="b">
        <f t="shared" si="10"/>
        <v>1</v>
      </c>
      <c r="W66" s="5">
        <f t="shared" si="11"/>
        <v>0.6085829996</v>
      </c>
      <c r="X66" s="5">
        <f t="shared" si="12"/>
        <v>6.260869565</v>
      </c>
      <c r="Y66" s="5">
        <f t="shared" si="13"/>
        <v>0.6459824213</v>
      </c>
      <c r="Z66" s="10">
        <f>MIN(1,MAX(0,(5.3914776420524+0.021102849201698*'Precinct Vote Data'!I253*100+(-5.72594740176815)*1+0.927016741366831*(O66*100))/100))</f>
        <v>0.7477333234</v>
      </c>
      <c r="AA66" s="16">
        <f t="shared" si="14"/>
        <v>1.034201902</v>
      </c>
      <c r="AB66" s="5" t="b">
        <f t="shared" si="15"/>
        <v>1</v>
      </c>
      <c r="AC66" s="5">
        <f t="shared" si="16"/>
        <v>1.034201902</v>
      </c>
    </row>
    <row r="67" ht="15.0" customHeight="1">
      <c r="A67" s="5" t="s">
        <v>143</v>
      </c>
      <c r="B67" s="5" t="s">
        <v>145</v>
      </c>
      <c r="C67" s="5" t="s">
        <v>88</v>
      </c>
      <c r="D67" s="10">
        <f t="shared" si="1"/>
        <v>0.6279012737</v>
      </c>
      <c r="E67" s="10">
        <f>'Precinct Vote Data'!H257</f>
        <v>0.6710213777</v>
      </c>
      <c r="F67" s="16">
        <f t="shared" si="2"/>
        <v>-4.312010394</v>
      </c>
      <c r="G67" s="10">
        <f t="shared" si="3"/>
        <v>0.6800804829</v>
      </c>
      <c r="H67" s="16">
        <f t="shared" si="4"/>
        <v>0.9059105225</v>
      </c>
      <c r="I67" s="5" t="b">
        <f t="shared" si="5"/>
        <v>1</v>
      </c>
      <c r="J67" s="5" t="b">
        <f t="shared" si="6"/>
        <v>1</v>
      </c>
      <c r="K67" s="15">
        <f t="shared" si="7"/>
        <v>2.377058975</v>
      </c>
      <c r="L67" s="10">
        <f t="shared" si="8"/>
        <v>0.6345080794</v>
      </c>
      <c r="M67" s="10">
        <f>'Precinct Vote Data'!H254</f>
        <v>0.7703435805</v>
      </c>
      <c r="N67" s="10">
        <f>'Precinct Vote Data'!H255</f>
        <v>0.7040690506</v>
      </c>
      <c r="O67" s="10">
        <f>'Precinct Vote Data'!H256</f>
        <v>0.6800804829</v>
      </c>
      <c r="U67" s="16">
        <f t="shared" si="9"/>
        <v>-3.651329829</v>
      </c>
      <c r="V67" s="5" t="b">
        <f t="shared" si="10"/>
        <v>1</v>
      </c>
      <c r="W67" s="5">
        <f t="shared" si="11"/>
        <v>4.312010394</v>
      </c>
      <c r="X67" s="5">
        <f t="shared" si="12"/>
        <v>0.9059105225</v>
      </c>
      <c r="Y67" s="5">
        <f t="shared" si="13"/>
        <v>3.651329829</v>
      </c>
      <c r="Z67" s="10">
        <f>MIN(1,MAX(0,(5.3914776420524+0.021102849201698*'Precinct Vote Data'!I257*100+(-5.72594740176815)*1+0.927016741366831*(O67*100))/100))</f>
        <v>0.6357808974</v>
      </c>
      <c r="AA67" s="16">
        <f t="shared" si="14"/>
        <v>-3.524048027</v>
      </c>
      <c r="AB67" s="5" t="b">
        <f t="shared" si="15"/>
        <v>1</v>
      </c>
      <c r="AC67" s="5">
        <f t="shared" si="16"/>
        <v>3.524048027</v>
      </c>
    </row>
    <row r="68" ht="15.0" customHeight="1">
      <c r="A68" s="5" t="s">
        <v>143</v>
      </c>
      <c r="B68" s="5" t="s">
        <v>145</v>
      </c>
      <c r="C68" s="5" t="s">
        <v>89</v>
      </c>
      <c r="D68" s="10">
        <f t="shared" si="1"/>
        <v>0.6798900158</v>
      </c>
      <c r="E68" s="10">
        <f>'Precinct Vote Data'!H261</f>
        <v>0.6824146982</v>
      </c>
      <c r="F68" s="16">
        <f t="shared" si="2"/>
        <v>-0.2524682374</v>
      </c>
      <c r="G68" s="10">
        <f t="shared" si="3"/>
        <v>0.7247706422</v>
      </c>
      <c r="H68" s="16">
        <f t="shared" si="4"/>
        <v>4.235594404</v>
      </c>
      <c r="I68" s="5" t="b">
        <f t="shared" si="5"/>
        <v>1</v>
      </c>
      <c r="J68" s="5" t="b">
        <f t="shared" si="6"/>
        <v>1</v>
      </c>
      <c r="K68" s="15">
        <f t="shared" si="7"/>
        <v>1.969694613</v>
      </c>
      <c r="L68" s="10">
        <f t="shared" si="8"/>
        <v>0.6870081303</v>
      </c>
      <c r="M68" s="10">
        <f>'Precinct Vote Data'!H258</f>
        <v>0.8075471698</v>
      </c>
      <c r="N68" s="10">
        <f>'Precinct Vote Data'!H259</f>
        <v>0.7556818182</v>
      </c>
      <c r="O68" s="10">
        <f>'Precinct Vote Data'!H260</f>
        <v>0.7247706422</v>
      </c>
      <c r="U68" s="16">
        <f t="shared" si="9"/>
        <v>0.4593432185</v>
      </c>
      <c r="V68" s="5" t="b">
        <f t="shared" si="10"/>
        <v>1</v>
      </c>
      <c r="W68" s="5">
        <f t="shared" si="11"/>
        <v>0.2524682374</v>
      </c>
      <c r="X68" s="5">
        <f t="shared" si="12"/>
        <v>4.235594404</v>
      </c>
      <c r="Y68" s="5">
        <f t="shared" si="13"/>
        <v>0.4593432185</v>
      </c>
      <c r="Z68" s="10">
        <f>MIN(1,MAX(0,(5.3914776420524+0.021102849201698*'Precinct Vote Data'!I261*100+(-5.72594740176815)*1+0.927016741366831*(O68*100))/100))</f>
        <v>0.6761057442</v>
      </c>
      <c r="AA68" s="16">
        <f t="shared" si="14"/>
        <v>-0.6308953924</v>
      </c>
      <c r="AB68" s="5" t="b">
        <f t="shared" si="15"/>
        <v>1</v>
      </c>
      <c r="AC68" s="5">
        <f t="shared" si="16"/>
        <v>0.6308953924</v>
      </c>
    </row>
    <row r="69" ht="15.0" customHeight="1">
      <c r="A69" s="5" t="s">
        <v>143</v>
      </c>
      <c r="B69" s="5" t="s">
        <v>145</v>
      </c>
      <c r="C69" s="5" t="s">
        <v>91</v>
      </c>
      <c r="D69" s="10">
        <f t="shared" si="1"/>
        <v>0.6882990929</v>
      </c>
      <c r="E69" s="10">
        <f>'Precinct Vote Data'!H265</f>
        <v>0.6759061834</v>
      </c>
      <c r="F69" s="16">
        <f t="shared" si="2"/>
        <v>1.239290948</v>
      </c>
      <c r="G69" s="10">
        <f t="shared" si="3"/>
        <v>0.756302521</v>
      </c>
      <c r="H69" s="16">
        <f t="shared" si="4"/>
        <v>8.039633764</v>
      </c>
      <c r="I69" s="5" t="b">
        <f t="shared" si="5"/>
        <v>1</v>
      </c>
      <c r="J69" s="5" t="b">
        <f t="shared" si="6"/>
        <v>1</v>
      </c>
      <c r="K69" s="15">
        <f t="shared" si="7"/>
        <v>3.1839632</v>
      </c>
      <c r="L69" s="10">
        <f t="shared" si="8"/>
        <v>0.6952603436</v>
      </c>
      <c r="M69" s="10">
        <f>'Precinct Vote Data'!H262</f>
        <v>0.8680351906</v>
      </c>
      <c r="N69" s="10">
        <f>'Precinct Vote Data'!H263</f>
        <v>0.7757575758</v>
      </c>
      <c r="O69" s="10">
        <f>'Precinct Vote Data'!H264</f>
        <v>0.756302521</v>
      </c>
      <c r="U69" s="16">
        <f t="shared" si="9"/>
        <v>1.93541602</v>
      </c>
      <c r="V69" s="5" t="b">
        <f t="shared" si="10"/>
        <v>1</v>
      </c>
      <c r="W69" s="5">
        <f t="shared" si="11"/>
        <v>1.239290948</v>
      </c>
      <c r="X69" s="5">
        <f t="shared" si="12"/>
        <v>8.039633764</v>
      </c>
      <c r="Y69" s="5">
        <f t="shared" si="13"/>
        <v>1.93541602</v>
      </c>
      <c r="Z69" s="10">
        <f>MIN(1,MAX(0,(5.3914776420524+0.021102849201698*'Precinct Vote Data'!I265*100+(-5.72594740176815)*1+0.927016741366831*(O69*100))/100))</f>
        <v>0.706997118</v>
      </c>
      <c r="AA69" s="16">
        <f t="shared" si="14"/>
        <v>3.109093464</v>
      </c>
      <c r="AB69" s="5" t="b">
        <f t="shared" si="15"/>
        <v>1</v>
      </c>
      <c r="AC69" s="5">
        <f t="shared" si="16"/>
        <v>3.109093464</v>
      </c>
    </row>
    <row r="70" ht="15.0" customHeight="1">
      <c r="A70" s="5" t="s">
        <v>143</v>
      </c>
      <c r="B70" s="5" t="s">
        <v>145</v>
      </c>
      <c r="C70" s="5" t="s">
        <v>92</v>
      </c>
      <c r="D70" s="10">
        <f t="shared" si="1"/>
        <v>0.6456594497</v>
      </c>
      <c r="E70" s="10">
        <f>'Precinct Vote Data'!H269</f>
        <v>0.6162790698</v>
      </c>
      <c r="F70" s="16">
        <f t="shared" si="2"/>
        <v>2.938037998</v>
      </c>
      <c r="G70" s="10">
        <f t="shared" si="3"/>
        <v>0.6516587678</v>
      </c>
      <c r="H70" s="16">
        <f t="shared" si="4"/>
        <v>3.537969801</v>
      </c>
      <c r="I70" s="5" t="b">
        <f t="shared" si="5"/>
        <v>1</v>
      </c>
      <c r="J70" s="5" t="b">
        <f t="shared" si="6"/>
        <v>1</v>
      </c>
      <c r="K70" s="15">
        <f t="shared" si="7"/>
        <v>0.5750545192</v>
      </c>
      <c r="L70" s="10">
        <f t="shared" si="8"/>
        <v>0.6406339607</v>
      </c>
      <c r="M70" s="10">
        <f>'Precinct Vote Data'!H266</f>
        <v>0.6413255361</v>
      </c>
      <c r="N70" s="10">
        <f>'Precinct Vote Data'!H267</f>
        <v>0.6129943503</v>
      </c>
      <c r="O70" s="10">
        <f>'Precinct Vote Data'!H268</f>
        <v>0.6516587678</v>
      </c>
      <c r="U70" s="16">
        <f t="shared" si="9"/>
        <v>2.435489094</v>
      </c>
      <c r="V70" s="5" t="b">
        <f t="shared" si="10"/>
        <v>1</v>
      </c>
      <c r="W70" s="5">
        <f t="shared" si="11"/>
        <v>2.938037998</v>
      </c>
      <c r="X70" s="5">
        <f t="shared" si="12"/>
        <v>3.537969801</v>
      </c>
      <c r="Y70" s="5">
        <f t="shared" si="13"/>
        <v>2.435489094</v>
      </c>
      <c r="Z70" s="10">
        <f>MIN(1,MAX(0,(5.3914776420524+0.021102849201698*'Precinct Vote Data'!I269*100+(-5.72594740176815)*1+0.927016741366831*(O70*100))/100))</f>
        <v>0.6067365475</v>
      </c>
      <c r="AA70" s="16">
        <f t="shared" si="14"/>
        <v>-0.9542522232</v>
      </c>
      <c r="AB70" s="5" t="b">
        <f t="shared" si="15"/>
        <v>1</v>
      </c>
      <c r="AC70" s="5">
        <f t="shared" si="16"/>
        <v>0.9542522232</v>
      </c>
    </row>
    <row r="71" ht="15.0" customHeight="1">
      <c r="A71" s="5" t="s">
        <v>143</v>
      </c>
      <c r="B71" s="5" t="s">
        <v>145</v>
      </c>
      <c r="C71" s="5" t="s">
        <v>94</v>
      </c>
      <c r="D71" s="10">
        <f t="shared" si="1"/>
        <v>0.7422655388</v>
      </c>
      <c r="E71" s="10">
        <f>'Precinct Vote Data'!H273</f>
        <v>0.6856725146</v>
      </c>
      <c r="F71" s="16">
        <f t="shared" si="2"/>
        <v>5.659302422</v>
      </c>
      <c r="G71" s="10">
        <f t="shared" si="3"/>
        <v>0.7973421927</v>
      </c>
      <c r="H71" s="16">
        <f t="shared" si="4"/>
        <v>11.16696781</v>
      </c>
      <c r="I71" s="5" t="b">
        <f t="shared" si="5"/>
        <v>1</v>
      </c>
      <c r="J71" s="5" t="b">
        <f t="shared" si="6"/>
        <v>1</v>
      </c>
      <c r="K71" s="15">
        <f t="shared" si="7"/>
        <v>2.996584977</v>
      </c>
      <c r="L71" s="10">
        <f t="shared" si="8"/>
        <v>0.7398923855</v>
      </c>
      <c r="M71" s="10">
        <f>'Precinct Vote Data'!H270</f>
        <v>0.8591549296</v>
      </c>
      <c r="N71" s="10">
        <f>'Precinct Vote Data'!H271</f>
        <v>0.7557377049</v>
      </c>
      <c r="O71" s="10">
        <f>'Precinct Vote Data'!H272</f>
        <v>0.7973421927</v>
      </c>
      <c r="U71" s="16">
        <f t="shared" si="9"/>
        <v>5.421987091</v>
      </c>
      <c r="V71" s="5" t="b">
        <f t="shared" si="10"/>
        <v>1</v>
      </c>
      <c r="W71" s="5">
        <f t="shared" si="11"/>
        <v>5.659302422</v>
      </c>
      <c r="X71" s="5">
        <f t="shared" si="12"/>
        <v>11.16696781</v>
      </c>
      <c r="Y71" s="5">
        <f t="shared" si="13"/>
        <v>5.421987091</v>
      </c>
      <c r="Z71" s="10">
        <f>MIN(1,MAX(0,(5.3914776420524+0.021102849201698*'Precinct Vote Data'!I273*100+(-5.72594740176815)*1+0.927016741366831*(O71*100))/100))</f>
        <v>0.7453243589</v>
      </c>
      <c r="AA71" s="16">
        <f t="shared" si="14"/>
        <v>5.965184428</v>
      </c>
      <c r="AB71" s="5" t="b">
        <f t="shared" si="15"/>
        <v>1</v>
      </c>
      <c r="AC71" s="5">
        <f t="shared" si="16"/>
        <v>5.965184428</v>
      </c>
    </row>
    <row r="72" ht="15.0" customHeight="1">
      <c r="A72" s="5" t="s">
        <v>143</v>
      </c>
      <c r="B72" s="5" t="s">
        <v>145</v>
      </c>
      <c r="C72" s="5" t="s">
        <v>95</v>
      </c>
      <c r="D72" s="10">
        <f t="shared" si="1"/>
        <v>0.7300268577</v>
      </c>
      <c r="E72" s="10">
        <f>'Precinct Vote Data'!H277</f>
        <v>0.7163934426</v>
      </c>
      <c r="F72" s="16">
        <f t="shared" si="2"/>
        <v>1.363341508</v>
      </c>
      <c r="G72" s="10">
        <f t="shared" si="3"/>
        <v>0.7880597015</v>
      </c>
      <c r="H72" s="16">
        <f t="shared" si="4"/>
        <v>7.166625887</v>
      </c>
      <c r="I72" s="5" t="b">
        <f t="shared" si="5"/>
        <v>1</v>
      </c>
      <c r="J72" s="5" t="b">
        <f t="shared" si="6"/>
        <v>1</v>
      </c>
      <c r="K72" s="15">
        <f t="shared" si="7"/>
        <v>2.844324717</v>
      </c>
      <c r="L72" s="10">
        <f t="shared" si="8"/>
        <v>0.7335289915</v>
      </c>
      <c r="M72" s="10">
        <f>'Precinct Vote Data'!H274</f>
        <v>0.8746803069</v>
      </c>
      <c r="N72" s="10">
        <f>'Precinct Vote Data'!H275</f>
        <v>0.787202381</v>
      </c>
      <c r="O72" s="10">
        <f>'Precinct Vote Data'!H276</f>
        <v>0.7880597015</v>
      </c>
      <c r="U72" s="16">
        <f t="shared" si="9"/>
        <v>1.713554883</v>
      </c>
      <c r="V72" s="5" t="b">
        <f t="shared" si="10"/>
        <v>1</v>
      </c>
      <c r="W72" s="5">
        <f t="shared" si="11"/>
        <v>1.363341508</v>
      </c>
      <c r="X72" s="5">
        <f t="shared" si="12"/>
        <v>7.166625887</v>
      </c>
      <c r="Y72" s="5">
        <f t="shared" si="13"/>
        <v>1.713554883</v>
      </c>
      <c r="Z72" s="10">
        <f>MIN(1,MAX(0,(5.3914776420524+0.021102849201698*'Precinct Vote Data'!I277*100+(-5.72594740176815)*1+0.927016741366831*(O72*100))/100))</f>
        <v>0.7361094618</v>
      </c>
      <c r="AA72" s="16">
        <f t="shared" si="14"/>
        <v>1.971601919</v>
      </c>
      <c r="AB72" s="5" t="b">
        <f t="shared" si="15"/>
        <v>1</v>
      </c>
      <c r="AC72" s="5">
        <f t="shared" si="16"/>
        <v>1.971601919</v>
      </c>
    </row>
    <row r="73" ht="15.0" customHeight="1">
      <c r="A73" s="5" t="s">
        <v>143</v>
      </c>
      <c r="B73" s="5" t="s">
        <v>145</v>
      </c>
      <c r="C73" s="5" t="s">
        <v>96</v>
      </c>
      <c r="D73" s="10">
        <f t="shared" si="1"/>
        <v>0.6851771859</v>
      </c>
      <c r="E73" s="10">
        <f>'Precinct Vote Data'!H281</f>
        <v>0.6546906188</v>
      </c>
      <c r="F73" s="16">
        <f t="shared" si="2"/>
        <v>3.048656716</v>
      </c>
      <c r="G73" s="10">
        <f t="shared" si="3"/>
        <v>0.7272727273</v>
      </c>
      <c r="H73" s="16">
        <f t="shared" si="4"/>
        <v>7.258210851</v>
      </c>
      <c r="I73" s="5" t="b">
        <f t="shared" si="5"/>
        <v>1</v>
      </c>
      <c r="J73" s="5" t="b">
        <f t="shared" si="6"/>
        <v>1</v>
      </c>
      <c r="K73" s="15">
        <f t="shared" si="7"/>
        <v>2.065188411</v>
      </c>
      <c r="L73" s="10">
        <f t="shared" si="8"/>
        <v>0.6876794313</v>
      </c>
      <c r="M73" s="10">
        <f>'Precinct Vote Data'!H278</f>
        <v>0.789968652</v>
      </c>
      <c r="N73" s="10">
        <f>'Precinct Vote Data'!H279</f>
        <v>0.7263779528</v>
      </c>
      <c r="O73" s="10">
        <f>'Precinct Vote Data'!H280</f>
        <v>0.7272727273</v>
      </c>
      <c r="U73" s="16">
        <f t="shared" si="9"/>
        <v>3.298881252</v>
      </c>
      <c r="V73" s="5" t="b">
        <f t="shared" si="10"/>
        <v>1</v>
      </c>
      <c r="W73" s="5">
        <f t="shared" si="11"/>
        <v>3.048656716</v>
      </c>
      <c r="X73" s="5">
        <f t="shared" si="12"/>
        <v>7.258210851</v>
      </c>
      <c r="Y73" s="5">
        <f t="shared" si="13"/>
        <v>3.298881252</v>
      </c>
      <c r="Z73" s="10">
        <f>MIN(1,MAX(0,(5.3914776420524+0.021102849201698*'Precinct Vote Data'!I281*100+(-5.72594740176815)*1+0.927016741366831*(O73*100))/100))</f>
        <v>0.6792862152</v>
      </c>
      <c r="AA73" s="16">
        <f t="shared" si="14"/>
        <v>2.459559647</v>
      </c>
      <c r="AB73" s="5" t="b">
        <f t="shared" si="15"/>
        <v>1</v>
      </c>
      <c r="AC73" s="5">
        <f t="shared" si="16"/>
        <v>2.459559647</v>
      </c>
    </row>
    <row r="74" ht="15.0" customHeight="1">
      <c r="A74" s="5" t="s">
        <v>143</v>
      </c>
      <c r="B74" s="5" t="s">
        <v>145</v>
      </c>
      <c r="C74" s="5" t="s">
        <v>98</v>
      </c>
      <c r="D74" s="10">
        <f t="shared" si="1"/>
        <v>0.7583696717</v>
      </c>
      <c r="E74" s="10">
        <f>'Precinct Vote Data'!H285</f>
        <v>0.7024291498</v>
      </c>
      <c r="F74" s="16">
        <f t="shared" si="2"/>
        <v>5.594052192</v>
      </c>
      <c r="G74" s="10">
        <f t="shared" si="3"/>
        <v>0.7991631799</v>
      </c>
      <c r="H74" s="16">
        <f t="shared" si="4"/>
        <v>9.673403012</v>
      </c>
      <c r="I74" s="5" t="b">
        <f t="shared" si="5"/>
        <v>1</v>
      </c>
      <c r="J74" s="5" t="b">
        <f t="shared" si="6"/>
        <v>1</v>
      </c>
      <c r="K74" s="15">
        <f t="shared" si="7"/>
        <v>2.180527775</v>
      </c>
      <c r="L74" s="10">
        <f t="shared" si="8"/>
        <v>0.7573586254</v>
      </c>
      <c r="M74" s="10">
        <f>'Precinct Vote Data'!H282</f>
        <v>0.8476190476</v>
      </c>
      <c r="N74" s="10">
        <f>'Precinct Vote Data'!H283</f>
        <v>0.7736943907</v>
      </c>
      <c r="O74" s="10">
        <f>'Precinct Vote Data'!H284</f>
        <v>0.7991631799</v>
      </c>
      <c r="U74" s="16">
        <f t="shared" si="9"/>
        <v>5.492947556</v>
      </c>
      <c r="V74" s="5" t="b">
        <f t="shared" si="10"/>
        <v>1</v>
      </c>
      <c r="W74" s="5">
        <f t="shared" si="11"/>
        <v>5.594052192</v>
      </c>
      <c r="X74" s="5">
        <f t="shared" si="12"/>
        <v>9.673403012</v>
      </c>
      <c r="Y74" s="5">
        <f t="shared" si="13"/>
        <v>5.492947556</v>
      </c>
      <c r="Z74" s="10">
        <f>MIN(1,MAX(0,(5.3914776420524+0.021102849201698*'Precinct Vote Data'!I285*100+(-5.72594740176815)*1+0.927016741366831*(O74*100))/100))</f>
        <v>0.745860229</v>
      </c>
      <c r="AA74" s="16">
        <f t="shared" si="14"/>
        <v>4.343107918</v>
      </c>
      <c r="AB74" s="5" t="b">
        <f t="shared" si="15"/>
        <v>1</v>
      </c>
      <c r="AC74" s="5">
        <f t="shared" si="16"/>
        <v>4.343107918</v>
      </c>
    </row>
    <row r="75" ht="15.0" customHeight="1">
      <c r="A75" s="5" t="s">
        <v>143</v>
      </c>
      <c r="B75" s="5" t="s">
        <v>145</v>
      </c>
      <c r="C75" s="5" t="s">
        <v>100</v>
      </c>
      <c r="D75" s="10">
        <f t="shared" si="1"/>
        <v>0.7471159884</v>
      </c>
      <c r="E75" s="10">
        <f>'Precinct Vote Data'!H289</f>
        <v>0.6781857451</v>
      </c>
      <c r="F75" s="16">
        <f t="shared" si="2"/>
        <v>6.893024327</v>
      </c>
      <c r="G75" s="10">
        <f t="shared" si="3"/>
        <v>0.7647058824</v>
      </c>
      <c r="H75" s="16">
        <f t="shared" si="4"/>
        <v>8.652013721</v>
      </c>
      <c r="I75" s="5" t="b">
        <f t="shared" si="5"/>
        <v>1</v>
      </c>
      <c r="J75" s="5" t="b">
        <f t="shared" si="6"/>
        <v>1</v>
      </c>
      <c r="K75" s="15">
        <f t="shared" si="7"/>
        <v>1.134330904</v>
      </c>
      <c r="L75" s="10">
        <f t="shared" si="8"/>
        <v>0.7429587628</v>
      </c>
      <c r="M75" s="10">
        <f>'Precinct Vote Data'!H286</f>
        <v>0.7722772277</v>
      </c>
      <c r="N75" s="10">
        <f>'Precinct Vote Data'!H287</f>
        <v>0.7270788913</v>
      </c>
      <c r="O75" s="10">
        <f>'Precinct Vote Data'!H288</f>
        <v>0.7647058824</v>
      </c>
      <c r="U75" s="16">
        <f t="shared" si="9"/>
        <v>6.477301768</v>
      </c>
      <c r="V75" s="5" t="b">
        <f t="shared" si="10"/>
        <v>1</v>
      </c>
      <c r="W75" s="5">
        <f t="shared" si="11"/>
        <v>6.893024327</v>
      </c>
      <c r="X75" s="5">
        <f t="shared" si="12"/>
        <v>8.652013721</v>
      </c>
      <c r="Y75" s="5">
        <f t="shared" si="13"/>
        <v>6.477301768</v>
      </c>
      <c r="Z75" s="10">
        <f>MIN(1,MAX(0,(5.3914776420524+0.021102849201698*'Precinct Vote Data'!I289*100+(-5.72594740176815)*1+0.927016741366831*(O75*100))/100))</f>
        <v>0.7140527955</v>
      </c>
      <c r="AA75" s="16">
        <f t="shared" si="14"/>
        <v>3.586705037</v>
      </c>
      <c r="AB75" s="5" t="b">
        <f t="shared" si="15"/>
        <v>1</v>
      </c>
      <c r="AC75" s="5">
        <f t="shared" si="16"/>
        <v>3.586705037</v>
      </c>
    </row>
    <row r="76" ht="15.0" customHeight="1">
      <c r="A76" s="5" t="s">
        <v>143</v>
      </c>
      <c r="B76" s="5" t="s">
        <v>145</v>
      </c>
      <c r="C76" s="5" t="s">
        <v>102</v>
      </c>
      <c r="D76" s="10">
        <f t="shared" si="1"/>
        <v>0.7449215302</v>
      </c>
      <c r="E76" s="10">
        <f>'Precinct Vote Data'!H293</f>
        <v>0.7265469062</v>
      </c>
      <c r="F76" s="16">
        <f t="shared" si="2"/>
        <v>1.8374624</v>
      </c>
      <c r="G76" s="10">
        <f t="shared" si="3"/>
        <v>0.7844827586</v>
      </c>
      <c r="H76" s="16">
        <f t="shared" si="4"/>
        <v>5.793585243</v>
      </c>
      <c r="I76" s="5" t="b">
        <f t="shared" si="5"/>
        <v>1</v>
      </c>
      <c r="J76" s="5" t="b">
        <f t="shared" si="6"/>
        <v>1</v>
      </c>
      <c r="K76" s="15">
        <f t="shared" si="7"/>
        <v>2.039701557</v>
      </c>
      <c r="L76" s="10">
        <f t="shared" si="8"/>
        <v>0.7453780905</v>
      </c>
      <c r="M76" s="10">
        <f>'Precinct Vote Data'!H290</f>
        <v>0.8366197183</v>
      </c>
      <c r="N76" s="10">
        <f>'Precinct Vote Data'!H291</f>
        <v>0.7700729927</v>
      </c>
      <c r="O76" s="10">
        <f>'Precinct Vote Data'!H292</f>
        <v>0.7844827586</v>
      </c>
      <c r="U76" s="16">
        <f t="shared" si="9"/>
        <v>1.883118428</v>
      </c>
      <c r="V76" s="5" t="b">
        <f t="shared" si="10"/>
        <v>1</v>
      </c>
      <c r="W76" s="5">
        <f t="shared" si="11"/>
        <v>1.8374624</v>
      </c>
      <c r="X76" s="5">
        <f t="shared" si="12"/>
        <v>5.793585243</v>
      </c>
      <c r="Y76" s="5">
        <f t="shared" si="13"/>
        <v>1.883118428</v>
      </c>
      <c r="Z76" s="10">
        <f>MIN(1,MAX(0,(5.3914776420524+0.021102849201698*'Precinct Vote Data'!I293*100+(-5.72594740176815)*1+0.927016741366831*(O76*100))/100))</f>
        <v>0.7334435436</v>
      </c>
      <c r="AA76" s="16">
        <f t="shared" si="14"/>
        <v>0.6896637459</v>
      </c>
      <c r="AB76" s="5" t="b">
        <f t="shared" si="15"/>
        <v>1</v>
      </c>
      <c r="AC76" s="5">
        <f t="shared" si="16"/>
        <v>0.6896637459</v>
      </c>
    </row>
    <row r="77" ht="15.0" customHeight="1">
      <c r="A77" s="5" t="s">
        <v>143</v>
      </c>
      <c r="B77" s="5" t="s">
        <v>145</v>
      </c>
      <c r="C77" s="5" t="s">
        <v>103</v>
      </c>
      <c r="D77" s="10">
        <f t="shared" si="1"/>
        <v>0.6712263939</v>
      </c>
      <c r="E77" s="10">
        <f>'Precinct Vote Data'!H297</f>
        <v>0.7</v>
      </c>
      <c r="F77" s="16">
        <f t="shared" si="2"/>
        <v>-2.877360609</v>
      </c>
      <c r="G77" s="10">
        <f t="shared" si="3"/>
        <v>0.7206703911</v>
      </c>
      <c r="H77" s="16">
        <f t="shared" si="4"/>
        <v>2.067039106</v>
      </c>
      <c r="I77" s="5" t="b">
        <f t="shared" si="5"/>
        <v>1</v>
      </c>
      <c r="J77" s="5" t="b">
        <f t="shared" si="6"/>
        <v>1</v>
      </c>
      <c r="K77" s="15">
        <f t="shared" si="7"/>
        <v>2.387348758</v>
      </c>
      <c r="L77" s="10">
        <f t="shared" si="8"/>
        <v>0.6749007143</v>
      </c>
      <c r="M77" s="10">
        <f>'Precinct Vote Data'!H294</f>
        <v>0.7969432314</v>
      </c>
      <c r="N77" s="10">
        <f>'Precinct Vote Data'!H295</f>
        <v>0.7248840804</v>
      </c>
      <c r="O77" s="10">
        <f>'Precinct Vote Data'!H296</f>
        <v>0.7206703911</v>
      </c>
      <c r="U77" s="16">
        <f t="shared" si="9"/>
        <v>-2.509928571</v>
      </c>
      <c r="V77" s="5" t="b">
        <f t="shared" si="10"/>
        <v>1</v>
      </c>
      <c r="W77" s="5">
        <f t="shared" si="11"/>
        <v>2.877360609</v>
      </c>
      <c r="X77" s="5">
        <f t="shared" si="12"/>
        <v>2.067039106</v>
      </c>
      <c r="Y77" s="5">
        <f t="shared" si="13"/>
        <v>2.509928571</v>
      </c>
      <c r="Z77" s="10">
        <f>MIN(1,MAX(0,(5.3914776420524+0.021102849201698*'Precinct Vote Data'!I297*100+(-5.72594740176815)*1+0.927016741366831*(O77*100))/100))</f>
        <v>0.6722329931</v>
      </c>
      <c r="AA77" s="16">
        <f t="shared" si="14"/>
        <v>-2.77670069</v>
      </c>
      <c r="AB77" s="5" t="b">
        <f t="shared" si="15"/>
        <v>1</v>
      </c>
      <c r="AC77" s="5">
        <f t="shared" si="16"/>
        <v>2.77670069</v>
      </c>
    </row>
    <row r="78" ht="15.0" customHeight="1">
      <c r="A78" s="5" t="s">
        <v>143</v>
      </c>
      <c r="B78" s="5" t="s">
        <v>145</v>
      </c>
      <c r="C78" s="5" t="s">
        <v>104</v>
      </c>
      <c r="D78" s="10">
        <f t="shared" si="1"/>
        <v>0.7737792193</v>
      </c>
      <c r="E78" s="10">
        <f>'Precinct Vote Data'!H301</f>
        <v>0.7839272176</v>
      </c>
      <c r="F78" s="16">
        <f t="shared" si="2"/>
        <v>-1.01479983</v>
      </c>
      <c r="G78" s="10">
        <f t="shared" si="3"/>
        <v>0.7986928105</v>
      </c>
      <c r="H78" s="16">
        <f t="shared" si="4"/>
        <v>1.476559287</v>
      </c>
      <c r="I78" s="5" t="b">
        <f t="shared" si="5"/>
        <v>1</v>
      </c>
      <c r="J78" s="5" t="b">
        <f t="shared" si="6"/>
        <v>1</v>
      </c>
      <c r="K78" s="15">
        <f t="shared" si="7"/>
        <v>1.494681567</v>
      </c>
      <c r="L78" s="10">
        <f t="shared" si="8"/>
        <v>0.7700371346</v>
      </c>
      <c r="M78" s="10">
        <f>'Precinct Vote Data'!H298</f>
        <v>0.8170995671</v>
      </c>
      <c r="N78" s="10">
        <f>'Precinct Vote Data'!H299</f>
        <v>0.7607655502</v>
      </c>
      <c r="O78" s="10">
        <f>'Precinct Vote Data'!H300</f>
        <v>0.7986928105</v>
      </c>
      <c r="U78" s="16">
        <f t="shared" si="9"/>
        <v>-1.3890083</v>
      </c>
      <c r="V78" s="5" t="b">
        <f t="shared" si="10"/>
        <v>1</v>
      </c>
      <c r="W78" s="5">
        <f t="shared" si="11"/>
        <v>1.01479983</v>
      </c>
      <c r="X78" s="5">
        <f t="shared" si="12"/>
        <v>1.476559287</v>
      </c>
      <c r="Y78" s="5">
        <f t="shared" si="13"/>
        <v>1.3890083</v>
      </c>
      <c r="Z78" s="10">
        <f>MIN(1,MAX(0,(5.3914776420524+0.021102849201698*'Precinct Vote Data'!I301*100+(-5.72594740176815)*1+0.927016741366831*(O78*100))/100))</f>
        <v>0.7476800832</v>
      </c>
      <c r="AA78" s="16">
        <f t="shared" si="14"/>
        <v>-3.624713439</v>
      </c>
      <c r="AB78" s="5" t="b">
        <f t="shared" si="15"/>
        <v>1</v>
      </c>
      <c r="AC78" s="5">
        <f t="shared" si="16"/>
        <v>3.624713439</v>
      </c>
    </row>
    <row r="79" ht="15.0" customHeight="1">
      <c r="A79" s="5" t="s">
        <v>143</v>
      </c>
      <c r="B79" s="5" t="s">
        <v>145</v>
      </c>
      <c r="C79" s="5" t="s">
        <v>106</v>
      </c>
      <c r="D79" s="10">
        <f t="shared" si="1"/>
        <v>0.6820056786</v>
      </c>
      <c r="E79" s="10">
        <f>'Precinct Vote Data'!H305</f>
        <v>0.6649029982</v>
      </c>
      <c r="F79" s="16">
        <f t="shared" si="2"/>
        <v>1.710268035</v>
      </c>
      <c r="G79" s="10">
        <f t="shared" si="3"/>
        <v>0.701754386</v>
      </c>
      <c r="H79" s="16">
        <f t="shared" si="4"/>
        <v>3.685138773</v>
      </c>
      <c r="I79" s="5" t="b">
        <f t="shared" si="5"/>
        <v>1</v>
      </c>
      <c r="J79" s="5" t="b">
        <f t="shared" si="6"/>
        <v>1</v>
      </c>
      <c r="K79" s="15">
        <f t="shared" si="7"/>
        <v>1.399183895</v>
      </c>
      <c r="L79" s="10">
        <f t="shared" si="8"/>
        <v>0.6749295685</v>
      </c>
      <c r="M79" s="10">
        <f>'Precinct Vote Data'!H302</f>
        <v>0.7016317016</v>
      </c>
      <c r="N79" s="10">
        <f>'Precinct Vote Data'!H303</f>
        <v>0.6422628952</v>
      </c>
      <c r="O79" s="10">
        <f>'Precinct Vote Data'!H304</f>
        <v>0.701754386</v>
      </c>
      <c r="U79" s="16">
        <f t="shared" si="9"/>
        <v>1.002657028</v>
      </c>
      <c r="V79" s="5" t="b">
        <f t="shared" si="10"/>
        <v>1</v>
      </c>
      <c r="W79" s="5">
        <f t="shared" si="11"/>
        <v>1.710268035</v>
      </c>
      <c r="X79" s="5">
        <f t="shared" si="12"/>
        <v>3.685138773</v>
      </c>
      <c r="Y79" s="5">
        <f t="shared" si="13"/>
        <v>1.002657028</v>
      </c>
      <c r="Z79" s="10">
        <f>MIN(1,MAX(0,(5.3914776420524+0.021102849201698*'Precinct Vote Data'!I305*100+(-5.72594740176815)*1+0.927016741366831*(O79*100))/100))</f>
        <v>0.653840764</v>
      </c>
      <c r="AA79" s="16">
        <f t="shared" si="14"/>
        <v>-1.106223422</v>
      </c>
      <c r="AB79" s="5" t="b">
        <f t="shared" si="15"/>
        <v>1</v>
      </c>
      <c r="AC79" s="5">
        <f t="shared" si="16"/>
        <v>1.106223422</v>
      </c>
    </row>
    <row r="80" ht="15.0" customHeight="1">
      <c r="A80" s="5" t="s">
        <v>143</v>
      </c>
      <c r="B80" s="5" t="s">
        <v>145</v>
      </c>
      <c r="C80" s="5" t="s">
        <v>109</v>
      </c>
      <c r="D80" s="10">
        <f t="shared" si="1"/>
        <v>0.592530561</v>
      </c>
      <c r="E80" s="10">
        <f>'Precinct Vote Data'!H309</f>
        <v>0.6074582924</v>
      </c>
      <c r="F80" s="16">
        <f t="shared" si="2"/>
        <v>-1.492773142</v>
      </c>
      <c r="G80" s="10">
        <f t="shared" si="3"/>
        <v>0.6168359942</v>
      </c>
      <c r="H80" s="16">
        <f t="shared" si="4"/>
        <v>0.9377701751</v>
      </c>
      <c r="I80" s="5" t="b">
        <f t="shared" si="5"/>
        <v>1</v>
      </c>
      <c r="J80" s="5" t="b">
        <f t="shared" si="6"/>
        <v>1</v>
      </c>
      <c r="K80" s="15">
        <f t="shared" si="7"/>
        <v>1.112754145</v>
      </c>
      <c r="L80" s="10">
        <f t="shared" si="8"/>
        <v>0.5955025391</v>
      </c>
      <c r="M80" s="10">
        <f>'Precinct Vote Data'!H306</f>
        <v>0.6585034014</v>
      </c>
      <c r="N80" s="10">
        <f>'Precinct Vote Data'!H307</f>
        <v>0.627254509</v>
      </c>
      <c r="O80" s="10">
        <f>'Precinct Vote Data'!H308</f>
        <v>0.6168359942</v>
      </c>
      <c r="U80" s="16">
        <f t="shared" si="9"/>
        <v>-1.195575335</v>
      </c>
      <c r="V80" s="5" t="b">
        <f t="shared" si="10"/>
        <v>1</v>
      </c>
      <c r="W80" s="5">
        <f t="shared" si="11"/>
        <v>1.492773142</v>
      </c>
      <c r="X80" s="5">
        <f t="shared" si="12"/>
        <v>0.9377701751</v>
      </c>
      <c r="Y80" s="5">
        <f t="shared" si="13"/>
        <v>1.195575335</v>
      </c>
      <c r="Z80" s="10">
        <f>MIN(1,MAX(0,(5.3914776420524+0.021102849201698*'Precinct Vote Data'!I309*100+(-5.72594740176815)*1+0.927016741366831*(O80*100))/100))</f>
        <v>0.5742885409</v>
      </c>
      <c r="AA80" s="16">
        <f t="shared" si="14"/>
        <v>-3.31697515</v>
      </c>
      <c r="AB80" s="5" t="b">
        <f t="shared" si="15"/>
        <v>1</v>
      </c>
      <c r="AC80" s="5">
        <f t="shared" si="16"/>
        <v>3.31697515</v>
      </c>
    </row>
    <row r="81" ht="15.0" customHeight="1">
      <c r="A81" s="5" t="s">
        <v>143</v>
      </c>
      <c r="B81" s="5" t="s">
        <v>145</v>
      </c>
      <c r="C81" s="5" t="s">
        <v>110</v>
      </c>
      <c r="D81" s="10">
        <f t="shared" si="1"/>
        <v>0.606664406</v>
      </c>
      <c r="E81" s="10">
        <f>'Precinct Vote Data'!H313</f>
        <v>0.6284074605</v>
      </c>
      <c r="F81" s="16">
        <f t="shared" si="2"/>
        <v>-2.17430545</v>
      </c>
      <c r="G81" s="10">
        <f t="shared" si="3"/>
        <v>0.6231617647</v>
      </c>
      <c r="H81" s="16">
        <f t="shared" si="4"/>
        <v>-0.5245695839</v>
      </c>
      <c r="I81" s="5" t="b">
        <f t="shared" si="5"/>
        <v>1</v>
      </c>
      <c r="J81" s="5" t="b">
        <f t="shared" si="6"/>
        <v>1</v>
      </c>
      <c r="K81" s="15">
        <f t="shared" si="7"/>
        <v>0.7562666752</v>
      </c>
      <c r="L81" s="10">
        <f t="shared" si="8"/>
        <v>0.6086628017</v>
      </c>
      <c r="M81" s="10">
        <f>'Precinct Vote Data'!H310</f>
        <v>0.6513761468</v>
      </c>
      <c r="N81" s="10">
        <f>'Precinct Vote Data'!H311</f>
        <v>0.6300984529</v>
      </c>
      <c r="O81" s="10">
        <f>'Precinct Vote Data'!H312</f>
        <v>0.6231617647</v>
      </c>
      <c r="U81" s="16">
        <f t="shared" si="9"/>
        <v>-1.974465882</v>
      </c>
      <c r="V81" s="5" t="b">
        <f t="shared" si="10"/>
        <v>1</v>
      </c>
      <c r="W81" s="5">
        <f t="shared" si="11"/>
        <v>2.17430545</v>
      </c>
      <c r="X81" s="5">
        <f t="shared" si="12"/>
        <v>0.5245695839</v>
      </c>
      <c r="Y81" s="5">
        <f t="shared" si="13"/>
        <v>1.974465882</v>
      </c>
      <c r="Z81" s="10">
        <f>MIN(1,MAX(0,(5.3914776420524+0.021102849201698*'Precinct Vote Data'!I313*100+(-5.72594740176815)*1+0.927016741366831*(O81*100))/100))</f>
        <v>0.5798065494</v>
      </c>
      <c r="AA81" s="16">
        <f t="shared" si="14"/>
        <v>-4.860091117</v>
      </c>
      <c r="AB81" s="5" t="b">
        <f t="shared" si="15"/>
        <v>1</v>
      </c>
      <c r="AC81" s="5">
        <f t="shared" si="16"/>
        <v>4.860091117</v>
      </c>
    </row>
    <row r="82" ht="15.0" customHeight="1">
      <c r="A82" s="5" t="s">
        <v>143</v>
      </c>
      <c r="B82" s="5" t="s">
        <v>145</v>
      </c>
      <c r="C82" s="5" t="s">
        <v>111</v>
      </c>
      <c r="D82" s="10">
        <f t="shared" si="1"/>
        <v>0.7210243405</v>
      </c>
      <c r="E82" s="10">
        <f>'Precinct Vote Data'!H317</f>
        <v>0.6869983949</v>
      </c>
      <c r="F82" s="16">
        <f t="shared" si="2"/>
        <v>3.402594567</v>
      </c>
      <c r="G82" s="10">
        <f t="shared" si="3"/>
        <v>0.7473958333</v>
      </c>
      <c r="H82" s="16">
        <f t="shared" si="4"/>
        <v>6.039743847</v>
      </c>
      <c r="I82" s="5" t="b">
        <f t="shared" si="5"/>
        <v>1</v>
      </c>
      <c r="J82" s="5" t="b">
        <f t="shared" si="6"/>
        <v>1</v>
      </c>
      <c r="K82" s="15">
        <f t="shared" si="7"/>
        <v>1.557412226</v>
      </c>
      <c r="L82" s="10">
        <f t="shared" si="8"/>
        <v>0.7175375003</v>
      </c>
      <c r="M82" s="10">
        <f>'Precinct Vote Data'!H314</f>
        <v>0.7685774947</v>
      </c>
      <c r="N82" s="10">
        <f>'Precinct Vote Data'!H315</f>
        <v>0.7106446777</v>
      </c>
      <c r="O82" s="10">
        <f>'Precinct Vote Data'!H316</f>
        <v>0.7473958333</v>
      </c>
      <c r="U82" s="16">
        <f t="shared" si="9"/>
        <v>3.053910548</v>
      </c>
      <c r="V82" s="5" t="b">
        <f t="shared" si="10"/>
        <v>1</v>
      </c>
      <c r="W82" s="5">
        <f t="shared" si="11"/>
        <v>3.402594567</v>
      </c>
      <c r="X82" s="5">
        <f t="shared" si="12"/>
        <v>6.039743847</v>
      </c>
      <c r="Y82" s="5">
        <f t="shared" si="13"/>
        <v>3.053910548</v>
      </c>
      <c r="Z82" s="10">
        <f>MIN(1,MAX(0,(5.3914776420524+0.021102849201698*'Precinct Vote Data'!I317*100+(-5.72594740176815)*1+0.927016741366831*(O82*100))/100))</f>
        <v>0.6971092192</v>
      </c>
      <c r="AA82" s="16">
        <f t="shared" si="14"/>
        <v>1.011082432</v>
      </c>
      <c r="AB82" s="5" t="b">
        <f t="shared" si="15"/>
        <v>1</v>
      </c>
      <c r="AC82" s="5">
        <f t="shared" si="16"/>
        <v>1.011082432</v>
      </c>
    </row>
    <row r="83" ht="15.0" customHeight="1">
      <c r="A83" s="5" t="s">
        <v>143</v>
      </c>
      <c r="B83" s="5" t="s">
        <v>145</v>
      </c>
      <c r="C83" s="5" t="s">
        <v>113</v>
      </c>
      <c r="D83" s="10">
        <f t="shared" si="1"/>
        <v>0.6253114883</v>
      </c>
      <c r="E83" s="10">
        <f>'Precinct Vote Data'!H321</f>
        <v>0.6361581921</v>
      </c>
      <c r="F83" s="16">
        <f t="shared" si="2"/>
        <v>-1.084670378</v>
      </c>
      <c r="G83" s="10">
        <f t="shared" si="3"/>
        <v>0.6728395062</v>
      </c>
      <c r="H83" s="16">
        <f t="shared" si="4"/>
        <v>3.668131408</v>
      </c>
      <c r="I83" s="5" t="b">
        <f t="shared" si="5"/>
        <v>1</v>
      </c>
      <c r="J83" s="5" t="b">
        <f t="shared" si="6"/>
        <v>1</v>
      </c>
      <c r="K83" s="15">
        <f t="shared" si="7"/>
        <v>2.20833804</v>
      </c>
      <c r="L83" s="10">
        <f t="shared" si="8"/>
        <v>0.6305017799</v>
      </c>
      <c r="M83" s="10">
        <f>'Precinct Vote Data'!H318</f>
        <v>0.7520938023</v>
      </c>
      <c r="N83" s="10">
        <f>'Precinct Vote Data'!H319</f>
        <v>0.6887640449</v>
      </c>
      <c r="O83" s="10">
        <f>'Precinct Vote Data'!H320</f>
        <v>0.6728395062</v>
      </c>
      <c r="U83" s="16">
        <f t="shared" si="9"/>
        <v>-0.5656412211</v>
      </c>
      <c r="V83" s="5" t="b">
        <f t="shared" si="10"/>
        <v>1</v>
      </c>
      <c r="W83" s="5">
        <f t="shared" si="11"/>
        <v>1.084670378</v>
      </c>
      <c r="X83" s="5">
        <f t="shared" si="12"/>
        <v>3.668131408</v>
      </c>
      <c r="Y83" s="5">
        <f t="shared" si="13"/>
        <v>0.5656412211</v>
      </c>
      <c r="Z83" s="10">
        <f>MIN(1,MAX(0,(5.3914776420524+0.021102849201698*'Precinct Vote Data'!I321*100+(-5.72594740176815)*1+0.927016741366831*(O83*100))/100))</f>
        <v>0.6278106609</v>
      </c>
      <c r="AA83" s="16">
        <f t="shared" si="14"/>
        <v>-0.8347531148</v>
      </c>
      <c r="AB83" s="5" t="b">
        <f t="shared" si="15"/>
        <v>1</v>
      </c>
      <c r="AC83" s="5">
        <f t="shared" si="16"/>
        <v>0.8347531148</v>
      </c>
    </row>
    <row r="84" ht="15.0" customHeight="1">
      <c r="A84" s="5" t="s">
        <v>143</v>
      </c>
      <c r="B84" s="5" t="s">
        <v>145</v>
      </c>
      <c r="C84" s="5" t="s">
        <v>114</v>
      </c>
      <c r="D84" s="10">
        <f t="shared" si="1"/>
        <v>0.6075021616</v>
      </c>
      <c r="E84" s="10">
        <f>'Precinct Vote Data'!H325</f>
        <v>0.633557047</v>
      </c>
      <c r="F84" s="16">
        <f t="shared" si="2"/>
        <v>-2.60548854</v>
      </c>
      <c r="G84" s="10">
        <f t="shared" si="3"/>
        <v>0.622983871</v>
      </c>
      <c r="H84" s="16">
        <f t="shared" si="4"/>
        <v>-1.057317601</v>
      </c>
      <c r="I84" s="5" t="b">
        <f t="shared" si="5"/>
        <v>1</v>
      </c>
      <c r="J84" s="5" t="b">
        <f t="shared" si="6"/>
        <v>1</v>
      </c>
      <c r="K84" s="15">
        <f t="shared" si="7"/>
        <v>0.7207608318</v>
      </c>
      <c r="L84" s="10">
        <f t="shared" si="8"/>
        <v>0.6091656175</v>
      </c>
      <c r="M84" s="10">
        <f>'Precinct Vote Data'!H322</f>
        <v>0.6487025948</v>
      </c>
      <c r="N84" s="10">
        <f>'Precinct Vote Data'!H323</f>
        <v>0.6279761905</v>
      </c>
      <c r="O84" s="10">
        <f>'Precinct Vote Data'!H324</f>
        <v>0.622983871</v>
      </c>
      <c r="U84" s="16">
        <f t="shared" si="9"/>
        <v>-2.43914295</v>
      </c>
      <c r="V84" s="5" t="b">
        <f t="shared" si="10"/>
        <v>1</v>
      </c>
      <c r="W84" s="5">
        <f t="shared" si="11"/>
        <v>2.60548854</v>
      </c>
      <c r="X84" s="5">
        <f t="shared" si="12"/>
        <v>1.057317601</v>
      </c>
      <c r="Y84" s="5">
        <f t="shared" si="13"/>
        <v>2.43914295</v>
      </c>
      <c r="Z84" s="10">
        <f>MIN(1,MAX(0,(5.3914776420524+0.021102849201698*'Precinct Vote Data'!I325*100+(-5.72594740176815)*1+0.927016741366831*(O84*100))/100))</f>
        <v>0.5803464741</v>
      </c>
      <c r="AA84" s="16">
        <f t="shared" si="14"/>
        <v>-5.321057291</v>
      </c>
      <c r="AB84" s="5" t="b">
        <f t="shared" si="15"/>
        <v>1</v>
      </c>
      <c r="AC84" s="5">
        <f t="shared" si="16"/>
        <v>5.321057291</v>
      </c>
    </row>
    <row r="85" ht="15.0" customHeight="1">
      <c r="A85" s="5" t="s">
        <v>143</v>
      </c>
      <c r="B85" s="5" t="s">
        <v>145</v>
      </c>
      <c r="C85" s="5" t="s">
        <v>116</v>
      </c>
      <c r="D85" s="10">
        <f t="shared" si="1"/>
        <v>0.5680787029</v>
      </c>
      <c r="E85" s="10">
        <f>'Precinct Vote Data'!H329</f>
        <v>0.5627476882</v>
      </c>
      <c r="F85" s="16">
        <f t="shared" si="2"/>
        <v>0.5331014692</v>
      </c>
      <c r="G85" s="10">
        <f t="shared" si="3"/>
        <v>0.5901060071</v>
      </c>
      <c r="H85" s="16">
        <f t="shared" si="4"/>
        <v>2.735831882</v>
      </c>
      <c r="I85" s="5" t="b">
        <f t="shared" si="5"/>
        <v>1</v>
      </c>
      <c r="J85" s="5" t="b">
        <f t="shared" si="6"/>
        <v>1</v>
      </c>
      <c r="K85" s="15">
        <f t="shared" si="7"/>
        <v>1.210505119</v>
      </c>
      <c r="L85" s="10">
        <f t="shared" si="8"/>
        <v>0.5668984938</v>
      </c>
      <c r="M85" s="10">
        <f>'Precinct Vote Data'!H326</f>
        <v>0.614</v>
      </c>
      <c r="N85" s="10">
        <f>'Precinct Vote Data'!H327</f>
        <v>0.5718120805</v>
      </c>
      <c r="O85" s="10">
        <f>'Precinct Vote Data'!H328</f>
        <v>0.5901060071</v>
      </c>
      <c r="U85" s="16">
        <f t="shared" si="9"/>
        <v>0.4150805535</v>
      </c>
      <c r="V85" s="5" t="b">
        <f t="shared" si="10"/>
        <v>1</v>
      </c>
      <c r="W85" s="5">
        <f t="shared" si="11"/>
        <v>0.5331014692</v>
      </c>
      <c r="X85" s="5">
        <f t="shared" si="12"/>
        <v>2.735831882</v>
      </c>
      <c r="Y85" s="5">
        <f t="shared" si="13"/>
        <v>0.4150805535</v>
      </c>
      <c r="Z85" s="10">
        <f>MIN(1,MAX(0,(5.3914776420524+0.021102849201698*'Precinct Vote Data'!I329*100+(-5.72594740176815)*1+0.927016741366831*(O85*100))/100))</f>
        <v>0.5470867883</v>
      </c>
      <c r="AA85" s="16">
        <f t="shared" si="14"/>
        <v>-1.566089996</v>
      </c>
      <c r="AB85" s="5" t="b">
        <f t="shared" si="15"/>
        <v>1</v>
      </c>
      <c r="AC85" s="5">
        <f t="shared" si="16"/>
        <v>1.566089996</v>
      </c>
    </row>
    <row r="86" ht="15.0" customHeight="1">
      <c r="A86" s="5" t="s">
        <v>143</v>
      </c>
      <c r="B86" s="5" t="s">
        <v>145</v>
      </c>
      <c r="C86" s="5" t="s">
        <v>118</v>
      </c>
      <c r="D86" s="10">
        <f t="shared" si="1"/>
        <v>0.5728145446</v>
      </c>
      <c r="E86" s="10">
        <f>'Precinct Vote Data'!H333</f>
        <v>0.6005747126</v>
      </c>
      <c r="F86" s="16">
        <f t="shared" si="2"/>
        <v>-2.776016807</v>
      </c>
      <c r="G86" s="10">
        <f t="shared" si="3"/>
        <v>0.6243902439</v>
      </c>
      <c r="H86" s="16">
        <f t="shared" si="4"/>
        <v>2.381553126</v>
      </c>
      <c r="I86" s="5" t="b">
        <f t="shared" si="5"/>
        <v>1</v>
      </c>
      <c r="J86" s="5" t="b">
        <f t="shared" si="6"/>
        <v>1</v>
      </c>
      <c r="K86" s="15">
        <f t="shared" si="7"/>
        <v>2.397774824</v>
      </c>
      <c r="L86" s="10">
        <f t="shared" si="8"/>
        <v>0.5784206811</v>
      </c>
      <c r="M86" s="10">
        <f>'Precinct Vote Data'!H330</f>
        <v>0.7103004292</v>
      </c>
      <c r="N86" s="10">
        <f>'Precinct Vote Data'!H331</f>
        <v>0.6414835165</v>
      </c>
      <c r="O86" s="10">
        <f>'Precinct Vote Data'!H332</f>
        <v>0.6243902439</v>
      </c>
      <c r="U86" s="16">
        <f t="shared" si="9"/>
        <v>-2.215403153</v>
      </c>
      <c r="V86" s="5" t="b">
        <f t="shared" si="10"/>
        <v>1</v>
      </c>
      <c r="W86" s="5">
        <f t="shared" si="11"/>
        <v>2.776016807</v>
      </c>
      <c r="X86" s="5">
        <f t="shared" si="12"/>
        <v>2.381553126</v>
      </c>
      <c r="Y86" s="5">
        <f t="shared" si="13"/>
        <v>2.215403153</v>
      </c>
      <c r="Z86" s="10">
        <f>MIN(1,MAX(0,(5.3914776420524+0.021102849201698*'Precinct Vote Data'!I333*100+(-5.72594740176815)*1+0.927016741366831*(O86*100))/100))</f>
        <v>0.5827602152</v>
      </c>
      <c r="AA86" s="16">
        <f t="shared" si="14"/>
        <v>-1.781449745</v>
      </c>
      <c r="AB86" s="5" t="b">
        <f t="shared" si="15"/>
        <v>1</v>
      </c>
      <c r="AC86" s="5">
        <f t="shared" si="16"/>
        <v>1.781449745</v>
      </c>
    </row>
    <row r="87" ht="15.0" customHeight="1">
      <c r="A87" s="5" t="s">
        <v>143</v>
      </c>
      <c r="B87" s="5" t="s">
        <v>145</v>
      </c>
      <c r="C87" s="5" t="s">
        <v>119</v>
      </c>
      <c r="D87" s="10">
        <f t="shared" si="1"/>
        <v>0.7484455307</v>
      </c>
      <c r="E87" s="10">
        <f>'Precinct Vote Data'!H337</f>
        <v>0.6928104575</v>
      </c>
      <c r="F87" s="16">
        <f t="shared" si="2"/>
        <v>5.563507323</v>
      </c>
      <c r="G87" s="10">
        <f t="shared" si="3"/>
        <v>0.7873563218</v>
      </c>
      <c r="H87" s="16">
        <f t="shared" si="4"/>
        <v>9.454586432</v>
      </c>
      <c r="I87" s="5" t="b">
        <f t="shared" si="5"/>
        <v>1</v>
      </c>
      <c r="J87" s="5" t="b">
        <f t="shared" si="6"/>
        <v>1</v>
      </c>
      <c r="K87" s="15">
        <f t="shared" si="7"/>
        <v>2.010521064</v>
      </c>
      <c r="L87" s="10">
        <f t="shared" si="8"/>
        <v>0.7488110951</v>
      </c>
      <c r="M87" s="10">
        <f>'Precinct Vote Data'!H334</f>
        <v>0.8383371824</v>
      </c>
      <c r="N87" s="10">
        <f>'Precinct Vote Data'!H335</f>
        <v>0.7725856698</v>
      </c>
      <c r="O87" s="10">
        <f>'Precinct Vote Data'!H336</f>
        <v>0.7873563218</v>
      </c>
      <c r="U87" s="16">
        <f t="shared" si="9"/>
        <v>5.600063757</v>
      </c>
      <c r="V87" s="5" t="b">
        <f t="shared" si="10"/>
        <v>1</v>
      </c>
      <c r="W87" s="5">
        <f t="shared" si="11"/>
        <v>5.563507323</v>
      </c>
      <c r="X87" s="5">
        <f t="shared" si="12"/>
        <v>9.454586432</v>
      </c>
      <c r="Y87" s="5">
        <f t="shared" si="13"/>
        <v>5.600063757</v>
      </c>
      <c r="Z87" s="10">
        <f>MIN(1,MAX(0,(5.3914776420524+0.021102849201698*'Precinct Vote Data'!I337*100+(-5.72594740176815)*1+0.927016741366831*(O87*100))/100))</f>
        <v>0.7351366538</v>
      </c>
      <c r="AA87" s="16">
        <f t="shared" si="14"/>
        <v>4.232619628</v>
      </c>
      <c r="AB87" s="5" t="b">
        <f t="shared" si="15"/>
        <v>1</v>
      </c>
      <c r="AC87" s="5">
        <f t="shared" si="16"/>
        <v>4.232619628</v>
      </c>
    </row>
    <row r="88" ht="15.0" customHeight="1">
      <c r="A88" s="5" t="s">
        <v>143</v>
      </c>
      <c r="B88" s="5" t="s">
        <v>145</v>
      </c>
      <c r="C88" s="5" t="s">
        <v>120</v>
      </c>
      <c r="D88" s="10">
        <f t="shared" si="1"/>
        <v>0.6924734794</v>
      </c>
      <c r="E88" s="10">
        <f>'Precinct Vote Data'!H341</f>
        <v>0.6285714286</v>
      </c>
      <c r="F88" s="16">
        <f t="shared" si="2"/>
        <v>6.390205081</v>
      </c>
      <c r="G88" s="10">
        <f t="shared" si="3"/>
        <v>0.7176870748</v>
      </c>
      <c r="H88" s="16">
        <f t="shared" si="4"/>
        <v>8.911564626</v>
      </c>
      <c r="I88" s="5" t="b">
        <f t="shared" si="5"/>
        <v>1</v>
      </c>
      <c r="J88" s="5" t="b">
        <f t="shared" si="6"/>
        <v>1</v>
      </c>
      <c r="K88" s="15">
        <f t="shared" si="7"/>
        <v>1.540951961</v>
      </c>
      <c r="L88" s="10">
        <f t="shared" si="8"/>
        <v>0.6881443141</v>
      </c>
      <c r="M88" s="10">
        <f>'Precinct Vote Data'!H338</f>
        <v>0.734375</v>
      </c>
      <c r="N88" s="10">
        <f>'Precinct Vote Data'!H339</f>
        <v>0.6754221388</v>
      </c>
      <c r="O88" s="10">
        <f>'Precinct Vote Data'!H340</f>
        <v>0.7176870748</v>
      </c>
      <c r="U88" s="16">
        <f t="shared" si="9"/>
        <v>5.957288552</v>
      </c>
      <c r="V88" s="5" t="b">
        <f t="shared" si="10"/>
        <v>1</v>
      </c>
      <c r="W88" s="5">
        <f t="shared" si="11"/>
        <v>6.390205081</v>
      </c>
      <c r="X88" s="5">
        <f t="shared" si="12"/>
        <v>8.911564626</v>
      </c>
      <c r="Y88" s="5">
        <f t="shared" si="13"/>
        <v>5.957288552</v>
      </c>
      <c r="Z88" s="10">
        <f>MIN(1,MAX(0,(5.3914776420524+0.021102849201698*'Precinct Vote Data'!I341*100+(-5.72594740176815)*1+0.927016741366831*(O88*100))/100))</f>
        <v>0.6701553619</v>
      </c>
      <c r="AA88" s="16">
        <f t="shared" si="14"/>
        <v>4.158393332</v>
      </c>
      <c r="AB88" s="5" t="b">
        <f t="shared" si="15"/>
        <v>1</v>
      </c>
      <c r="AC88" s="5">
        <f t="shared" si="16"/>
        <v>4.158393332</v>
      </c>
    </row>
    <row r="89" ht="15.0" customHeight="1">
      <c r="A89" s="5" t="s">
        <v>143</v>
      </c>
      <c r="B89" s="5" t="s">
        <v>145</v>
      </c>
      <c r="C89" s="5" t="s">
        <v>122</v>
      </c>
      <c r="D89" s="10">
        <f t="shared" si="1"/>
        <v>0.635088971</v>
      </c>
      <c r="E89" s="10">
        <f>'Precinct Vote Data'!H345</f>
        <v>0.6552748886</v>
      </c>
      <c r="F89" s="16">
        <f t="shared" si="2"/>
        <v>-2.018591753</v>
      </c>
      <c r="G89" s="10">
        <f t="shared" si="3"/>
        <v>0.6754617414</v>
      </c>
      <c r="H89" s="16">
        <f t="shared" si="4"/>
        <v>2.018685287</v>
      </c>
      <c r="I89" s="5" t="b">
        <f t="shared" si="5"/>
        <v>1</v>
      </c>
      <c r="J89" s="5" t="b">
        <f t="shared" si="6"/>
        <v>1</v>
      </c>
      <c r="K89" s="15">
        <f t="shared" si="7"/>
        <v>1.857661821</v>
      </c>
      <c r="L89" s="10">
        <f t="shared" si="8"/>
        <v>0.6398470954</v>
      </c>
      <c r="M89" s="10">
        <f>'Precinct Vote Data'!H342</f>
        <v>0.7440347072</v>
      </c>
      <c r="N89" s="10">
        <f>'Precinct Vote Data'!H343</f>
        <v>0.6914893617</v>
      </c>
      <c r="O89" s="10">
        <f>'Precinct Vote Data'!H344</f>
        <v>0.6754617414</v>
      </c>
      <c r="U89" s="16">
        <f t="shared" si="9"/>
        <v>-1.542779321</v>
      </c>
      <c r="V89" s="5" t="b">
        <f t="shared" si="10"/>
        <v>1</v>
      </c>
      <c r="W89" s="5">
        <f t="shared" si="11"/>
        <v>2.018591753</v>
      </c>
      <c r="X89" s="5">
        <f t="shared" si="12"/>
        <v>2.018685287</v>
      </c>
      <c r="Y89" s="5">
        <f t="shared" si="13"/>
        <v>1.542779321</v>
      </c>
      <c r="Z89" s="10">
        <f>MIN(1,MAX(0,(5.3914776420524+0.021102849201698*'Precinct Vote Data'!I345*100+(-5.72594740176815)*1+0.927016741366831*(O89*100))/100))</f>
        <v>0.6304884203</v>
      </c>
      <c r="AA89" s="16">
        <f t="shared" si="14"/>
        <v>-2.47864683</v>
      </c>
      <c r="AB89" s="5" t="b">
        <f t="shared" si="15"/>
        <v>1</v>
      </c>
      <c r="AC89" s="5">
        <f t="shared" si="16"/>
        <v>2.47864683</v>
      </c>
    </row>
    <row r="90" ht="15.0" customHeight="1">
      <c r="A90" s="5" t="s">
        <v>143</v>
      </c>
      <c r="B90" s="5" t="s">
        <v>145</v>
      </c>
      <c r="C90" s="5" t="s">
        <v>124</v>
      </c>
      <c r="D90" s="10">
        <f t="shared" si="1"/>
        <v>0.7213643431</v>
      </c>
      <c r="E90" s="10">
        <f>'Precinct Vote Data'!H349</f>
        <v>0.6688034188</v>
      </c>
      <c r="F90" s="16">
        <f t="shared" si="2"/>
        <v>5.256092432</v>
      </c>
      <c r="G90" s="10">
        <f t="shared" si="3"/>
        <v>0.7182130584</v>
      </c>
      <c r="H90" s="16">
        <f t="shared" si="4"/>
        <v>4.940963962</v>
      </c>
      <c r="I90" s="5" t="b">
        <f t="shared" si="5"/>
        <v>1</v>
      </c>
      <c r="J90" s="5" t="b">
        <f t="shared" si="6"/>
        <v>1</v>
      </c>
      <c r="K90" s="15">
        <f t="shared" si="7"/>
        <v>-0.04841601751</v>
      </c>
      <c r="L90" s="10">
        <f t="shared" si="8"/>
        <v>0.7191412787</v>
      </c>
      <c r="M90" s="10">
        <f>'Precinct Vote Data'!H346</f>
        <v>0.706231454</v>
      </c>
      <c r="N90" s="10">
        <f>'Precinct Vote Data'!H347</f>
        <v>0.7037037037</v>
      </c>
      <c r="O90" s="10">
        <f>'Precinct Vote Data'!H348</f>
        <v>0.7182130584</v>
      </c>
      <c r="U90" s="16">
        <f t="shared" si="9"/>
        <v>5.033785987</v>
      </c>
      <c r="V90" s="5" t="b">
        <f t="shared" si="10"/>
        <v>1</v>
      </c>
      <c r="W90" s="5">
        <f t="shared" si="11"/>
        <v>5.256092432</v>
      </c>
      <c r="X90" s="5">
        <f t="shared" si="12"/>
        <v>4.940963962</v>
      </c>
      <c r="Y90" s="5">
        <f t="shared" si="13"/>
        <v>5.033785987</v>
      </c>
      <c r="Z90" s="10">
        <f>MIN(1,MAX(0,(5.3914776420524+0.021102849201698*'Precinct Vote Data'!I349*100+(-5.72594740176815)*1+0.927016741366831*(O90*100))/100))</f>
        <v>0.6706197444</v>
      </c>
      <c r="AA90" s="16">
        <f t="shared" si="14"/>
        <v>0.1816325548</v>
      </c>
      <c r="AB90" s="5" t="b">
        <f t="shared" si="15"/>
        <v>1</v>
      </c>
      <c r="AC90" s="5">
        <f t="shared" si="16"/>
        <v>0.1816325548</v>
      </c>
    </row>
    <row r="91" ht="15.0" customHeight="1">
      <c r="A91" s="5" t="s">
        <v>143</v>
      </c>
      <c r="B91" s="5" t="s">
        <v>145</v>
      </c>
      <c r="C91" s="5" t="s">
        <v>130</v>
      </c>
      <c r="D91" s="10">
        <f t="shared" si="1"/>
        <v>0.5890620706</v>
      </c>
      <c r="E91" s="10">
        <f>'Precinct Vote Data'!H353</f>
        <v>0.6369796709</v>
      </c>
      <c r="F91" s="16">
        <f t="shared" si="2"/>
        <v>-4.791760031</v>
      </c>
      <c r="G91" s="10">
        <f t="shared" si="3"/>
        <v>0.6411149826</v>
      </c>
      <c r="H91" s="16">
        <f t="shared" si="4"/>
        <v>0.4135311717</v>
      </c>
      <c r="I91" s="5" t="b">
        <f t="shared" si="5"/>
        <v>1</v>
      </c>
      <c r="J91" s="5" t="b">
        <f t="shared" si="6"/>
        <v>1</v>
      </c>
      <c r="K91" s="15">
        <f t="shared" si="7"/>
        <v>2.324806416</v>
      </c>
      <c r="L91" s="10">
        <f t="shared" si="8"/>
        <v>0.5965443526</v>
      </c>
      <c r="M91" s="10">
        <f>'Precinct Vote Data'!H350</f>
        <v>0.734351145</v>
      </c>
      <c r="N91" s="10">
        <f>'Precinct Vote Data'!H351</f>
        <v>0.6714285714</v>
      </c>
      <c r="O91" s="10">
        <f>'Precinct Vote Data'!H352</f>
        <v>0.6411149826</v>
      </c>
      <c r="U91" s="16">
        <f t="shared" si="9"/>
        <v>-4.043531829</v>
      </c>
      <c r="V91" s="5" t="b">
        <f t="shared" si="10"/>
        <v>1</v>
      </c>
      <c r="W91" s="5">
        <f t="shared" si="11"/>
        <v>4.791760031</v>
      </c>
      <c r="X91" s="5">
        <f t="shared" si="12"/>
        <v>0.4135311717</v>
      </c>
      <c r="Y91" s="5">
        <f t="shared" si="13"/>
        <v>4.043531829</v>
      </c>
      <c r="Z91" s="10">
        <f>MIN(1,MAX(0,(5.3914776420524+0.021102849201698*'Precinct Vote Data'!I353*100+(-5.72594740176815)*1+0.927016741366831*(O91*100))/100))</f>
        <v>0.5983825039</v>
      </c>
      <c r="AA91" s="16">
        <f t="shared" si="14"/>
        <v>-3.859716697</v>
      </c>
      <c r="AB91" s="5" t="b">
        <f t="shared" si="15"/>
        <v>1</v>
      </c>
      <c r="AC91" s="5">
        <f t="shared" si="16"/>
        <v>3.859716697</v>
      </c>
    </row>
    <row r="92" ht="15.0" customHeight="1">
      <c r="A92" s="5" t="s">
        <v>143</v>
      </c>
      <c r="B92" s="5" t="s">
        <v>145</v>
      </c>
      <c r="C92" s="5" t="s">
        <v>131</v>
      </c>
      <c r="D92" s="10">
        <f t="shared" si="1"/>
        <v>0.6329466391</v>
      </c>
      <c r="E92" s="10">
        <f>'Precinct Vote Data'!H357</f>
        <v>0.6404805915</v>
      </c>
      <c r="F92" s="16">
        <f t="shared" si="2"/>
        <v>-0.7533952416</v>
      </c>
      <c r="G92" s="10">
        <f t="shared" si="3"/>
        <v>0.6962025316</v>
      </c>
      <c r="H92" s="16">
        <f t="shared" si="4"/>
        <v>5.572194015</v>
      </c>
      <c r="I92" s="5" t="b">
        <f t="shared" si="5"/>
        <v>1</v>
      </c>
      <c r="J92" s="5" t="b">
        <f t="shared" si="6"/>
        <v>1</v>
      </c>
      <c r="K92" s="15">
        <f t="shared" si="7"/>
        <v>2.95895214</v>
      </c>
      <c r="L92" s="10">
        <f t="shared" si="8"/>
        <v>0.6394742122</v>
      </c>
      <c r="M92" s="10">
        <f>'Precinct Vote Data'!H354</f>
        <v>0.8003220612</v>
      </c>
      <c r="N92" s="10">
        <f>'Precinct Vote Data'!H355</f>
        <v>0.714673913</v>
      </c>
      <c r="O92" s="10">
        <f>'Precinct Vote Data'!H356</f>
        <v>0.6962025316</v>
      </c>
      <c r="U92" s="16">
        <f t="shared" si="9"/>
        <v>-0.1006379304</v>
      </c>
      <c r="V92" s="5" t="b">
        <f t="shared" si="10"/>
        <v>1</v>
      </c>
      <c r="W92" s="5">
        <f t="shared" si="11"/>
        <v>0.7533952416</v>
      </c>
      <c r="X92" s="5">
        <f t="shared" si="12"/>
        <v>5.572194015</v>
      </c>
      <c r="Y92" s="5">
        <f t="shared" si="13"/>
        <v>0.1006379304</v>
      </c>
      <c r="Z92" s="10">
        <f>MIN(1,MAX(0,(5.3914776420524+0.021102849201698*'Precinct Vote Data'!I357*100+(-5.72594740176815)*1+0.927016741366831*(O92*100))/100))</f>
        <v>0.6499307291</v>
      </c>
      <c r="AA92" s="16">
        <f t="shared" si="14"/>
        <v>0.9450137585</v>
      </c>
      <c r="AB92" s="5" t="b">
        <f t="shared" si="15"/>
        <v>1</v>
      </c>
      <c r="AC92" s="5">
        <f t="shared" si="16"/>
        <v>0.9450137585</v>
      </c>
    </row>
    <row r="93" ht="15.0" customHeight="1">
      <c r="A93" s="5" t="s">
        <v>143</v>
      </c>
      <c r="B93" s="5" t="s">
        <v>145</v>
      </c>
      <c r="C93" s="5" t="s">
        <v>132</v>
      </c>
      <c r="D93" s="10">
        <f t="shared" si="1"/>
        <v>0.5442417263</v>
      </c>
      <c r="E93" s="10">
        <f>'Precinct Vote Data'!H361</f>
        <v>0.538647343</v>
      </c>
      <c r="F93" s="16">
        <f t="shared" si="2"/>
        <v>0.5594383326</v>
      </c>
      <c r="G93" s="10">
        <f t="shared" si="3"/>
        <v>0.5889101338</v>
      </c>
      <c r="H93" s="16">
        <f t="shared" si="4"/>
        <v>5.026279085</v>
      </c>
      <c r="I93" s="5" t="b">
        <f t="shared" si="5"/>
        <v>1</v>
      </c>
      <c r="J93" s="5" t="b">
        <f t="shared" si="6"/>
        <v>1</v>
      </c>
      <c r="K93" s="15">
        <f t="shared" si="7"/>
        <v>1.93388096</v>
      </c>
      <c r="L93" s="10">
        <f t="shared" si="8"/>
        <v>0.5518342328</v>
      </c>
      <c r="M93" s="10">
        <f>'Precinct Vote Data'!H358</f>
        <v>0.6731141199</v>
      </c>
      <c r="N93" s="10">
        <f>'Precinct Vote Data'!H359</f>
        <v>0.6233128834</v>
      </c>
      <c r="O93" s="10">
        <f>'Precinct Vote Data'!H360</f>
        <v>0.5889101338</v>
      </c>
      <c r="U93" s="16">
        <f t="shared" si="9"/>
        <v>1.318688976</v>
      </c>
      <c r="V93" s="5" t="b">
        <f t="shared" si="10"/>
        <v>1</v>
      </c>
      <c r="W93" s="5">
        <f t="shared" si="11"/>
        <v>0.5594383326</v>
      </c>
      <c r="X93" s="5">
        <f t="shared" si="12"/>
        <v>5.026279085</v>
      </c>
      <c r="Y93" s="5">
        <f t="shared" si="13"/>
        <v>1.318688976</v>
      </c>
      <c r="Z93" s="10">
        <f>MIN(1,MAX(0,(5.3914776420524+0.021102849201698*'Precinct Vote Data'!I361*100+(-5.72594740176815)*1+0.927016741366831*(O93*100))/100))</f>
        <v>0.5485084254</v>
      </c>
      <c r="AA93" s="16">
        <f t="shared" si="14"/>
        <v>0.9861082412</v>
      </c>
      <c r="AB93" s="5" t="b">
        <f t="shared" si="15"/>
        <v>1</v>
      </c>
      <c r="AC93" s="5">
        <f t="shared" si="16"/>
        <v>0.9861082412</v>
      </c>
    </row>
    <row r="94" ht="15.0" customHeight="1">
      <c r="A94" s="5" t="s">
        <v>143</v>
      </c>
      <c r="B94" s="5" t="s">
        <v>145</v>
      </c>
      <c r="C94" s="5" t="s">
        <v>133</v>
      </c>
      <c r="D94" s="10">
        <f t="shared" si="1"/>
        <v>0.6303355429</v>
      </c>
      <c r="E94" s="10">
        <f>'Precinct Vote Data'!H365</f>
        <v>0.6171259843</v>
      </c>
      <c r="F94" s="16">
        <f t="shared" si="2"/>
        <v>1.320955864</v>
      </c>
      <c r="G94" s="10">
        <f t="shared" si="3"/>
        <v>0.6516666667</v>
      </c>
      <c r="H94" s="16">
        <f t="shared" si="4"/>
        <v>3.454068241</v>
      </c>
      <c r="I94" s="5" t="b">
        <f t="shared" si="5"/>
        <v>1</v>
      </c>
      <c r="J94" s="5" t="b">
        <f t="shared" si="6"/>
        <v>1</v>
      </c>
      <c r="K94" s="15">
        <f t="shared" si="7"/>
        <v>1.109428106</v>
      </c>
      <c r="L94" s="10">
        <f t="shared" si="8"/>
        <v>0.6303969776</v>
      </c>
      <c r="M94" s="10">
        <f>'Precinct Vote Data'!H362</f>
        <v>0.6791171477</v>
      </c>
      <c r="N94" s="10">
        <f>'Precinct Vote Data'!H363</f>
        <v>0.6425742574</v>
      </c>
      <c r="O94" s="10">
        <f>'Precinct Vote Data'!H364</f>
        <v>0.6516666667</v>
      </c>
      <c r="U94" s="16">
        <f t="shared" si="9"/>
        <v>1.327099333</v>
      </c>
      <c r="V94" s="5" t="b">
        <f t="shared" si="10"/>
        <v>1</v>
      </c>
      <c r="W94" s="5">
        <f t="shared" si="11"/>
        <v>1.320955864</v>
      </c>
      <c r="X94" s="5">
        <f t="shared" si="12"/>
        <v>3.454068241</v>
      </c>
      <c r="Y94" s="5">
        <f t="shared" si="13"/>
        <v>1.327099333</v>
      </c>
      <c r="Z94" s="10">
        <f>MIN(1,MAX(0,(5.3914776420524+0.021102849201698*'Precinct Vote Data'!I365*100+(-5.72594740176815)*1+0.927016741366831*(O94*100))/100))</f>
        <v>0.607032979</v>
      </c>
      <c r="AA94" s="16">
        <f t="shared" si="14"/>
        <v>-1.009300528</v>
      </c>
      <c r="AB94" s="5" t="b">
        <f t="shared" si="15"/>
        <v>1</v>
      </c>
      <c r="AC94" s="5">
        <f t="shared" si="16"/>
        <v>1.009300528</v>
      </c>
    </row>
    <row r="95" ht="15.0" customHeight="1">
      <c r="A95" s="5" t="s">
        <v>143</v>
      </c>
      <c r="B95" s="5" t="s">
        <v>145</v>
      </c>
      <c r="C95" s="5" t="s">
        <v>135</v>
      </c>
      <c r="D95" s="10">
        <f t="shared" si="1"/>
        <v>0.6209133647</v>
      </c>
      <c r="E95" s="10">
        <f>'Precinct Vote Data'!H369</f>
        <v>0.6067732832</v>
      </c>
      <c r="F95" s="16">
        <f t="shared" si="2"/>
        <v>1.41400815</v>
      </c>
      <c r="G95" s="10">
        <f t="shared" si="3"/>
        <v>0.6382660688</v>
      </c>
      <c r="H95" s="16">
        <f t="shared" si="4"/>
        <v>3.14927856</v>
      </c>
      <c r="I95" s="5" t="b">
        <f t="shared" si="5"/>
        <v>1</v>
      </c>
      <c r="J95" s="5" t="b">
        <f t="shared" si="6"/>
        <v>1</v>
      </c>
      <c r="K95" s="15">
        <f t="shared" si="7"/>
        <v>0.7338044584</v>
      </c>
      <c r="L95" s="10">
        <f t="shared" si="8"/>
        <v>0.624197746</v>
      </c>
      <c r="M95" s="10">
        <f>'Precinct Vote Data'!H366</f>
        <v>0.6721763085</v>
      </c>
      <c r="N95" s="10">
        <f>'Precinct Vote Data'!H367</f>
        <v>0.654028436</v>
      </c>
      <c r="O95" s="10">
        <f>'Precinct Vote Data'!H368</f>
        <v>0.6382660688</v>
      </c>
      <c r="U95" s="16">
        <f t="shared" si="9"/>
        <v>1.742446284</v>
      </c>
      <c r="V95" s="5" t="b">
        <f t="shared" si="10"/>
        <v>1</v>
      </c>
      <c r="W95" s="5">
        <f t="shared" si="11"/>
        <v>1.41400815</v>
      </c>
      <c r="X95" s="5">
        <f t="shared" si="12"/>
        <v>3.14927856</v>
      </c>
      <c r="Y95" s="5">
        <f t="shared" si="13"/>
        <v>1.742446284</v>
      </c>
      <c r="Z95" s="10">
        <f>MIN(1,MAX(0,(5.3914776420524+0.021102849201698*'Precinct Vote Data'!I369*100+(-5.72594740176815)*1+0.927016741366831*(O95*100))/100))</f>
        <v>0.5944436879</v>
      </c>
      <c r="AA95" s="16">
        <f t="shared" si="14"/>
        <v>-1.23295953</v>
      </c>
      <c r="AB95" s="5" t="b">
        <f t="shared" si="15"/>
        <v>1</v>
      </c>
      <c r="AC95" s="5">
        <f t="shared" si="16"/>
        <v>1.23295953</v>
      </c>
    </row>
    <row r="96" ht="15.0" customHeight="1">
      <c r="A96" s="5" t="s">
        <v>143</v>
      </c>
      <c r="B96" s="5" t="s">
        <v>145</v>
      </c>
      <c r="C96" s="5" t="s">
        <v>136</v>
      </c>
      <c r="D96" s="10">
        <f t="shared" si="1"/>
        <v>0.5770578769</v>
      </c>
      <c r="E96" s="10">
        <f>'Precinct Vote Data'!H373</f>
        <v>0.5699873897</v>
      </c>
      <c r="F96" s="16">
        <f t="shared" si="2"/>
        <v>0.707048721</v>
      </c>
      <c r="G96" s="10">
        <f t="shared" si="3"/>
        <v>0.6206896552</v>
      </c>
      <c r="H96" s="16">
        <f t="shared" si="4"/>
        <v>5.070226551</v>
      </c>
      <c r="I96" s="5" t="b">
        <f t="shared" si="5"/>
        <v>1</v>
      </c>
      <c r="J96" s="5" t="b">
        <f t="shared" si="6"/>
        <v>1</v>
      </c>
      <c r="K96" s="15">
        <f t="shared" si="7"/>
        <v>1.776053914</v>
      </c>
      <c r="L96" s="10">
        <f t="shared" si="8"/>
        <v>0.5866395763</v>
      </c>
      <c r="M96" s="10">
        <f>'Precinct Vote Data'!H370</f>
        <v>0.7106918239</v>
      </c>
      <c r="N96" s="10">
        <f>'Precinct Vote Data'!H371</f>
        <v>0.6697986577</v>
      </c>
      <c r="O96" s="10">
        <f>'Precinct Vote Data'!H372</f>
        <v>0.6206896552</v>
      </c>
      <c r="U96" s="16">
        <f t="shared" si="9"/>
        <v>1.665218663</v>
      </c>
      <c r="V96" s="5" t="b">
        <f t="shared" si="10"/>
        <v>1</v>
      </c>
      <c r="W96" s="5">
        <f t="shared" si="11"/>
        <v>0.707048721</v>
      </c>
      <c r="X96" s="5">
        <f t="shared" si="12"/>
        <v>5.070226551</v>
      </c>
      <c r="Y96" s="5">
        <f t="shared" si="13"/>
        <v>1.665218663</v>
      </c>
      <c r="Z96" s="10">
        <f>MIN(1,MAX(0,(5.3914776420524+0.021102849201698*'Precinct Vote Data'!I373*100+(-5.72594740176815)*1+0.927016741366831*(O96*100))/100))</f>
        <v>0.5783653073</v>
      </c>
      <c r="AA96" s="16">
        <f t="shared" si="14"/>
        <v>0.8377917617</v>
      </c>
      <c r="AB96" s="5" t="b">
        <f t="shared" si="15"/>
        <v>1</v>
      </c>
      <c r="AC96" s="5">
        <f t="shared" si="16"/>
        <v>0.8377917617</v>
      </c>
    </row>
    <row r="97" ht="15.0" customHeight="1">
      <c r="A97" s="5" t="s">
        <v>143</v>
      </c>
      <c r="B97" s="5" t="s">
        <v>145</v>
      </c>
      <c r="C97" s="5" t="s">
        <v>139</v>
      </c>
      <c r="D97" s="10">
        <f t="shared" si="1"/>
        <v>0.6048862547</v>
      </c>
      <c r="E97" s="10">
        <f>'Precinct Vote Data'!H377</f>
        <v>0.6247113164</v>
      </c>
      <c r="F97" s="16">
        <f t="shared" si="2"/>
        <v>-1.982506166</v>
      </c>
      <c r="G97" s="10">
        <f t="shared" si="3"/>
        <v>0.641723356</v>
      </c>
      <c r="H97" s="16">
        <f t="shared" si="4"/>
        <v>1.701203961</v>
      </c>
      <c r="I97" s="5" t="b">
        <f t="shared" si="5"/>
        <v>1</v>
      </c>
      <c r="J97" s="5" t="b">
        <f t="shared" si="6"/>
        <v>1</v>
      </c>
      <c r="K97" s="15">
        <f t="shared" si="7"/>
        <v>1.533969671</v>
      </c>
      <c r="L97" s="10">
        <f t="shared" si="8"/>
        <v>0.612314458</v>
      </c>
      <c r="M97" s="10">
        <f>'Precinct Vote Data'!H374</f>
        <v>0.7153419593</v>
      </c>
      <c r="N97" s="10">
        <f>'Precinct Vote Data'!H375</f>
        <v>0.6784492588</v>
      </c>
      <c r="O97" s="10">
        <f>'Precinct Vote Data'!H376</f>
        <v>0.641723356</v>
      </c>
      <c r="U97" s="16">
        <f t="shared" si="9"/>
        <v>-1.239685835</v>
      </c>
      <c r="V97" s="5" t="b">
        <f t="shared" si="10"/>
        <v>1</v>
      </c>
      <c r="W97" s="5">
        <f t="shared" si="11"/>
        <v>1.982506166</v>
      </c>
      <c r="X97" s="5">
        <f t="shared" si="12"/>
        <v>1.701203961</v>
      </c>
      <c r="Y97" s="5">
        <f t="shared" si="13"/>
        <v>1.239685835</v>
      </c>
      <c r="Z97" s="10">
        <f>MIN(1,MAX(0,(5.3914776420524+0.021102849201698*'Precinct Vote Data'!I377*100+(-5.72594740176815)*1+0.927016741366831*(O97*100))/100))</f>
        <v>0.5986531466</v>
      </c>
      <c r="AA97" s="16">
        <f t="shared" si="14"/>
        <v>-2.605816975</v>
      </c>
      <c r="AB97" s="5" t="b">
        <f t="shared" si="15"/>
        <v>1</v>
      </c>
      <c r="AC97" s="5">
        <f t="shared" si="16"/>
        <v>2.605816975</v>
      </c>
    </row>
    <row r="98" ht="15.0" customHeight="1">
      <c r="A98" s="5" t="s">
        <v>143</v>
      </c>
      <c r="B98" s="5" t="s">
        <v>145</v>
      </c>
      <c r="C98" s="5" t="s">
        <v>140</v>
      </c>
      <c r="D98" s="10">
        <f t="shared" si="1"/>
        <v>0.5647953504</v>
      </c>
      <c r="E98" s="10">
        <f>'Precinct Vote Data'!H381</f>
        <v>0.5821561338</v>
      </c>
      <c r="F98" s="16">
        <f t="shared" si="2"/>
        <v>-1.73607834</v>
      </c>
      <c r="G98" s="10">
        <f t="shared" si="3"/>
        <v>0.6124031008</v>
      </c>
      <c r="H98" s="16">
        <f t="shared" si="4"/>
        <v>3.024696695</v>
      </c>
      <c r="I98" s="5" t="b">
        <f t="shared" si="5"/>
        <v>1</v>
      </c>
      <c r="J98" s="5" t="b">
        <f t="shared" si="6"/>
        <v>1</v>
      </c>
      <c r="K98" s="15">
        <f t="shared" si="7"/>
        <v>2.285737417</v>
      </c>
      <c r="L98" s="10">
        <f t="shared" si="8"/>
        <v>0.5685814922</v>
      </c>
      <c r="M98" s="10">
        <f>'Precinct Vote Data'!H378</f>
        <v>0.6867321867</v>
      </c>
      <c r="N98" s="10">
        <f>'Precinct Vote Data'!H379</f>
        <v>0.6182380216</v>
      </c>
      <c r="O98" s="10">
        <f>'Precinct Vote Data'!H380</f>
        <v>0.6124031008</v>
      </c>
      <c r="U98" s="16">
        <f t="shared" si="9"/>
        <v>-1.357464161</v>
      </c>
      <c r="V98" s="5" t="b">
        <f t="shared" si="10"/>
        <v>1</v>
      </c>
      <c r="W98" s="5">
        <f t="shared" si="11"/>
        <v>1.73607834</v>
      </c>
      <c r="X98" s="5">
        <f t="shared" si="12"/>
        <v>3.024696695</v>
      </c>
      <c r="Y98" s="5">
        <f t="shared" si="13"/>
        <v>1.357464161</v>
      </c>
      <c r="Z98" s="10">
        <f>MIN(1,MAX(0,(5.3914776420524+0.021102849201698*'Precinct Vote Data'!I381*100+(-5.72594740176815)*1+0.927016741366831*(O98*100))/100))</f>
        <v>0.5714537866</v>
      </c>
      <c r="AA98" s="16">
        <f t="shared" si="14"/>
        <v>-1.070234721</v>
      </c>
      <c r="AB98" s="5" t="b">
        <f t="shared" si="15"/>
        <v>1</v>
      </c>
      <c r="AC98" s="5">
        <f t="shared" si="16"/>
        <v>1.070234721</v>
      </c>
    </row>
    <row r="99" ht="15.0" customHeight="1">
      <c r="A99" s="5" t="s">
        <v>143</v>
      </c>
      <c r="B99" s="5" t="s">
        <v>145</v>
      </c>
      <c r="C99" s="5" t="s">
        <v>142</v>
      </c>
      <c r="D99" s="10">
        <f t="shared" si="1"/>
        <v>0.7063170669</v>
      </c>
      <c r="E99" s="10">
        <f>'Precinct Vote Data'!H385</f>
        <v>0.6755952381</v>
      </c>
      <c r="F99" s="16">
        <f t="shared" si="2"/>
        <v>3.072182877</v>
      </c>
      <c r="G99" s="10">
        <f t="shared" si="3"/>
        <v>0.7032520325</v>
      </c>
      <c r="H99" s="16">
        <f t="shared" si="4"/>
        <v>2.765679443</v>
      </c>
      <c r="I99" s="5" t="b">
        <f t="shared" si="5"/>
        <v>1</v>
      </c>
      <c r="J99" s="5" t="b">
        <f t="shared" si="6"/>
        <v>1</v>
      </c>
      <c r="K99" s="15">
        <f t="shared" si="7"/>
        <v>0.1698705882</v>
      </c>
      <c r="L99" s="10">
        <f t="shared" si="8"/>
        <v>0.6999953144</v>
      </c>
      <c r="M99" s="10">
        <f>'Precinct Vote Data'!H382</f>
        <v>0.6767068273</v>
      </c>
      <c r="N99" s="10">
        <f>'Precinct Vote Data'!H383</f>
        <v>0.6593567251</v>
      </c>
      <c r="O99" s="10">
        <f>'Precinct Vote Data'!H384</f>
        <v>0.7032520325</v>
      </c>
      <c r="U99" s="16">
        <f t="shared" si="9"/>
        <v>2.440007632</v>
      </c>
      <c r="V99" s="5" t="b">
        <f t="shared" si="10"/>
        <v>1</v>
      </c>
      <c r="W99" s="5">
        <f t="shared" si="11"/>
        <v>3.072182877</v>
      </c>
      <c r="X99" s="5">
        <f t="shared" si="12"/>
        <v>2.765679443</v>
      </c>
      <c r="Y99" s="5">
        <f t="shared" si="13"/>
        <v>2.440007632</v>
      </c>
      <c r="Z99" s="10">
        <f>MIN(1,MAX(0,(5.3914776420524+0.021102849201698*'Precinct Vote Data'!I385*100+(-5.72594740176815)*1+0.927016741366831*(O99*100))/100))</f>
        <v>0.6552227766</v>
      </c>
      <c r="AA99" s="16">
        <f t="shared" si="14"/>
        <v>-2.03724615</v>
      </c>
      <c r="AB99" s="5" t="b">
        <f t="shared" si="15"/>
        <v>1</v>
      </c>
      <c r="AC99" s="5">
        <f t="shared" si="16"/>
        <v>2.03724615</v>
      </c>
    </row>
    <row r="100" ht="15.0" customHeight="1">
      <c r="A100" s="5" t="s">
        <v>143</v>
      </c>
      <c r="B100" s="5" t="s">
        <v>145</v>
      </c>
      <c r="C100" s="5" t="s">
        <v>148</v>
      </c>
      <c r="D100" s="10">
        <f t="shared" si="1"/>
        <v>0.6506037084</v>
      </c>
      <c r="E100" s="10">
        <f>'Precinct Vote Data'!H389</f>
        <v>0.6469072165</v>
      </c>
      <c r="F100" s="16">
        <f t="shared" si="2"/>
        <v>0.3696491885</v>
      </c>
      <c r="G100" s="10">
        <f t="shared" si="3"/>
        <v>0.6591639871</v>
      </c>
      <c r="H100" s="16">
        <f t="shared" si="4"/>
        <v>1.225677064</v>
      </c>
      <c r="I100" s="5" t="b">
        <f t="shared" si="5"/>
        <v>1</v>
      </c>
      <c r="J100" s="5" t="b">
        <f t="shared" si="6"/>
        <v>1</v>
      </c>
      <c r="K100" s="15">
        <f t="shared" si="7"/>
        <v>0.7280609062</v>
      </c>
      <c r="L100" s="10">
        <f t="shared" si="8"/>
        <v>0.6452057784</v>
      </c>
      <c r="M100" s="10">
        <f>'Precinct Vote Data'!H386</f>
        <v>0.6507666099</v>
      </c>
      <c r="N100" s="10">
        <f>'Precinct Vote Data'!H387</f>
        <v>0.6166883963</v>
      </c>
      <c r="O100" s="10">
        <f>'Precinct Vote Data'!H388</f>
        <v>0.6591639871</v>
      </c>
      <c r="U100" s="16">
        <f t="shared" si="9"/>
        <v>-0.1701438114</v>
      </c>
      <c r="V100" s="5" t="b">
        <f t="shared" si="10"/>
        <v>1</v>
      </c>
      <c r="W100" s="5">
        <f t="shared" si="11"/>
        <v>0.3696491885</v>
      </c>
      <c r="X100" s="5">
        <f t="shared" si="12"/>
        <v>1.225677064</v>
      </c>
      <c r="Y100" s="5">
        <f t="shared" si="13"/>
        <v>0.1701438114</v>
      </c>
      <c r="Z100" s="10">
        <f>MIN(1,MAX(0,(5.3914776420524+0.021102849201698*'Precinct Vote Data'!I389*100+(-5.72594740176815)*1+0.927016741366831*(O100*100))/100))</f>
        <v>0.6126768542</v>
      </c>
      <c r="AA100" s="16">
        <f t="shared" si="14"/>
        <v>-3.423036229</v>
      </c>
      <c r="AB100" s="5" t="b">
        <f t="shared" si="15"/>
        <v>1</v>
      </c>
      <c r="AC100" s="5">
        <f t="shared" si="16"/>
        <v>3.423036229</v>
      </c>
    </row>
    <row r="101" ht="15.0" customHeight="1">
      <c r="A101" s="5" t="s">
        <v>143</v>
      </c>
      <c r="B101" s="5" t="s">
        <v>145</v>
      </c>
      <c r="C101" s="5" t="s">
        <v>149</v>
      </c>
      <c r="D101" s="10">
        <f t="shared" si="1"/>
        <v>0.6499210675</v>
      </c>
      <c r="E101" s="10">
        <f>'Precinct Vote Data'!H393</f>
        <v>0.6394904459</v>
      </c>
      <c r="F101" s="16">
        <f t="shared" si="2"/>
        <v>1.043062163</v>
      </c>
      <c r="G101" s="10">
        <f t="shared" si="3"/>
        <v>0.6510948905</v>
      </c>
      <c r="H101" s="16">
        <f t="shared" si="4"/>
        <v>1.160444465</v>
      </c>
      <c r="I101" s="5" t="b">
        <f t="shared" si="5"/>
        <v>1</v>
      </c>
      <c r="J101" s="5" t="b">
        <f t="shared" si="6"/>
        <v>1</v>
      </c>
      <c r="K101" s="15">
        <f t="shared" si="7"/>
        <v>0.2671193721</v>
      </c>
      <c r="L101" s="10">
        <f t="shared" si="8"/>
        <v>0.6459737421</v>
      </c>
      <c r="M101" s="10">
        <f>'Precinct Vote Data'!H390</f>
        <v>0.6384615385</v>
      </c>
      <c r="N101" s="10">
        <f>'Precinct Vote Data'!H391</f>
        <v>0.6223067174</v>
      </c>
      <c r="O101" s="10">
        <f>'Precinct Vote Data'!H392</f>
        <v>0.6510948905</v>
      </c>
      <c r="U101" s="16">
        <f t="shared" si="9"/>
        <v>0.6483296231</v>
      </c>
      <c r="V101" s="5" t="b">
        <f t="shared" si="10"/>
        <v>1</v>
      </c>
      <c r="W101" s="5">
        <f t="shared" si="11"/>
        <v>1.043062163</v>
      </c>
      <c r="X101" s="5">
        <f t="shared" si="12"/>
        <v>1.160444465</v>
      </c>
      <c r="Y101" s="5">
        <f t="shared" si="13"/>
        <v>0.6483296231</v>
      </c>
      <c r="Z101" s="10">
        <f>MIN(1,MAX(0,(5.3914776420524+0.021102849201698*'Precinct Vote Data'!I393*100+(-5.72594740176815)*1+0.927016741366831*(O101*100))/100))</f>
        <v>0.6037447905</v>
      </c>
      <c r="AA101" s="16">
        <f t="shared" si="14"/>
        <v>-3.574565534</v>
      </c>
      <c r="AB101" s="5" t="b">
        <f t="shared" si="15"/>
        <v>1</v>
      </c>
      <c r="AC101" s="5">
        <f t="shared" si="16"/>
        <v>3.574565534</v>
      </c>
    </row>
    <row r="102" ht="15.0" customHeight="1">
      <c r="A102" s="5" t="s">
        <v>143</v>
      </c>
      <c r="B102" s="5" t="s">
        <v>145</v>
      </c>
      <c r="C102" s="5" t="s">
        <v>150</v>
      </c>
      <c r="D102" s="10">
        <f t="shared" si="1"/>
        <v>0.7067286859</v>
      </c>
      <c r="E102" s="10">
        <f>'Precinct Vote Data'!H397</f>
        <v>0.6594594595</v>
      </c>
      <c r="F102" s="16">
        <f t="shared" si="2"/>
        <v>4.726922642</v>
      </c>
      <c r="G102" s="10">
        <f t="shared" si="3"/>
        <v>0.7130434783</v>
      </c>
      <c r="H102" s="16">
        <f t="shared" si="4"/>
        <v>5.35840188</v>
      </c>
      <c r="I102" s="5" t="b">
        <f t="shared" si="5"/>
        <v>1</v>
      </c>
      <c r="J102" s="5" t="b">
        <f t="shared" si="6"/>
        <v>1</v>
      </c>
      <c r="K102" s="15">
        <f t="shared" si="7"/>
        <v>0.5723973436</v>
      </c>
      <c r="L102" s="10">
        <f t="shared" si="8"/>
        <v>0.7020696139</v>
      </c>
      <c r="M102" s="10">
        <f>'Precinct Vote Data'!H394</f>
        <v>0.7044247788</v>
      </c>
      <c r="N102" s="10">
        <f>'Precinct Vote Data'!H395</f>
        <v>0.6768617021</v>
      </c>
      <c r="O102" s="10">
        <f>'Precinct Vote Data'!H396</f>
        <v>0.7130434783</v>
      </c>
      <c r="U102" s="16">
        <f t="shared" si="9"/>
        <v>4.261015446</v>
      </c>
      <c r="V102" s="5" t="b">
        <f t="shared" si="10"/>
        <v>1</v>
      </c>
      <c r="W102" s="5">
        <f t="shared" si="11"/>
        <v>4.726922642</v>
      </c>
      <c r="X102" s="5">
        <f t="shared" si="12"/>
        <v>5.35840188</v>
      </c>
      <c r="Y102" s="5">
        <f t="shared" si="13"/>
        <v>4.261015446</v>
      </c>
      <c r="Z102" s="10">
        <f>MIN(1,MAX(0,(5.3914776420524+0.021102849201698*'Precinct Vote Data'!I397*100+(-5.72594740176815)*1+0.927016741366831*(O102*100))/100))</f>
        <v>0.6637192824</v>
      </c>
      <c r="AA102" s="16">
        <f t="shared" si="14"/>
        <v>0.4259822904</v>
      </c>
      <c r="AB102" s="5" t="b">
        <f t="shared" si="15"/>
        <v>1</v>
      </c>
      <c r="AC102" s="5">
        <f t="shared" si="16"/>
        <v>0.4259822904</v>
      </c>
    </row>
    <row r="103" ht="15.0" customHeight="1">
      <c r="A103" s="5" t="s">
        <v>143</v>
      </c>
      <c r="B103" s="5" t="s">
        <v>145</v>
      </c>
      <c r="C103" s="5" t="s">
        <v>151</v>
      </c>
      <c r="D103" s="10">
        <f t="shared" si="1"/>
        <v>0.521203882</v>
      </c>
      <c r="E103" s="10">
        <f>'Precinct Vote Data'!H401</f>
        <v>0.55</v>
      </c>
      <c r="F103" s="16">
        <f t="shared" si="2"/>
        <v>-2.879611795</v>
      </c>
      <c r="G103" s="10">
        <f t="shared" si="3"/>
        <v>0.5776566757</v>
      </c>
      <c r="H103" s="16">
        <f t="shared" si="4"/>
        <v>2.765667575</v>
      </c>
      <c r="I103" s="5" t="b">
        <f t="shared" si="5"/>
        <v>1</v>
      </c>
      <c r="J103" s="5" t="b">
        <f t="shared" si="6"/>
        <v>1</v>
      </c>
      <c r="K103" s="15">
        <f t="shared" si="7"/>
        <v>2.430029961</v>
      </c>
      <c r="L103" s="10">
        <f t="shared" si="8"/>
        <v>0.5310687252</v>
      </c>
      <c r="M103" s="10">
        <f>'Precinct Vote Data'!H398</f>
        <v>0.6850393701</v>
      </c>
      <c r="N103" s="10">
        <f>'Precinct Vote Data'!H399</f>
        <v>0.6230636833</v>
      </c>
      <c r="O103" s="10">
        <f>'Precinct Vote Data'!H400</f>
        <v>0.5776566757</v>
      </c>
      <c r="U103" s="16">
        <f t="shared" si="9"/>
        <v>-1.893127477</v>
      </c>
      <c r="V103" s="5" t="b">
        <f t="shared" si="10"/>
        <v>1</v>
      </c>
      <c r="W103" s="5">
        <f t="shared" si="11"/>
        <v>2.879611795</v>
      </c>
      <c r="X103" s="5">
        <f t="shared" si="12"/>
        <v>2.765667575</v>
      </c>
      <c r="Y103" s="5">
        <f t="shared" si="13"/>
        <v>1.893127477</v>
      </c>
      <c r="Z103" s="10">
        <f>MIN(1,MAX(0,(5.3914776420524+0.021102849201698*'Precinct Vote Data'!I401*100+(-5.72594740176815)*1+0.927016741366831*(O103*100))/100))</f>
        <v>0.5372553805</v>
      </c>
      <c r="AA103" s="16">
        <f t="shared" si="14"/>
        <v>-1.274461948</v>
      </c>
      <c r="AB103" s="5" t="b">
        <f t="shared" si="15"/>
        <v>1</v>
      </c>
      <c r="AC103" s="5">
        <f t="shared" si="16"/>
        <v>1.274461948</v>
      </c>
    </row>
    <row r="104" ht="15.0" customHeight="1">
      <c r="A104" s="5" t="s">
        <v>143</v>
      </c>
      <c r="B104" s="5" t="s">
        <v>145</v>
      </c>
      <c r="C104" s="5" t="s">
        <v>152</v>
      </c>
      <c r="D104" s="10">
        <f t="shared" si="1"/>
        <v>0.6699905387</v>
      </c>
      <c r="E104" s="10">
        <f>'Precinct Vote Data'!H405</f>
        <v>0.6396103896</v>
      </c>
      <c r="F104" s="16">
        <f t="shared" si="2"/>
        <v>3.038014913</v>
      </c>
      <c r="G104" s="10">
        <f t="shared" si="3"/>
        <v>0.6981818182</v>
      </c>
      <c r="H104" s="16">
        <f t="shared" si="4"/>
        <v>5.857142857</v>
      </c>
      <c r="I104" s="5" t="b">
        <f t="shared" si="5"/>
        <v>1</v>
      </c>
      <c r="J104" s="5" t="b">
        <f t="shared" si="6"/>
        <v>1</v>
      </c>
      <c r="K104" s="15">
        <f t="shared" si="7"/>
        <v>1.278628607</v>
      </c>
      <c r="L104" s="10">
        <f t="shared" si="8"/>
        <v>0.6736682577</v>
      </c>
      <c r="M104" s="10">
        <f>'Precinct Vote Data'!H402</f>
        <v>0.7473363775</v>
      </c>
      <c r="N104" s="10">
        <f>'Precinct Vote Data'!H403</f>
        <v>0.7119170984</v>
      </c>
      <c r="O104" s="10">
        <f>'Precinct Vote Data'!H404</f>
        <v>0.6981818182</v>
      </c>
      <c r="U104" s="16">
        <f t="shared" si="9"/>
        <v>3.405786814</v>
      </c>
      <c r="V104" s="5" t="b">
        <f t="shared" si="10"/>
        <v>1</v>
      </c>
      <c r="W104" s="5">
        <f t="shared" si="11"/>
        <v>3.038014913</v>
      </c>
      <c r="X104" s="5">
        <f t="shared" si="12"/>
        <v>5.857142857</v>
      </c>
      <c r="Y104" s="5">
        <f t="shared" si="13"/>
        <v>3.405786814</v>
      </c>
      <c r="Z104" s="10">
        <f>MIN(1,MAX(0,(5.3914776420524+0.021102849201698*'Precinct Vote Data'!I405*100+(-5.72594740176815)*1+0.927016741366831*(O104*100))/100))</f>
        <v>0.6519090602</v>
      </c>
      <c r="AA104" s="16">
        <f t="shared" si="14"/>
        <v>1.22986706</v>
      </c>
      <c r="AB104" s="5" t="b">
        <f t="shared" si="15"/>
        <v>1</v>
      </c>
      <c r="AC104" s="5">
        <f t="shared" si="16"/>
        <v>1.22986706</v>
      </c>
    </row>
    <row r="105" ht="15.0" customHeight="1">
      <c r="A105" s="5" t="s">
        <v>143</v>
      </c>
      <c r="B105" s="5" t="s">
        <v>145</v>
      </c>
      <c r="C105" s="5" t="s">
        <v>153</v>
      </c>
      <c r="D105" s="10">
        <f t="shared" si="1"/>
        <v>0.5811101481</v>
      </c>
      <c r="E105" s="10">
        <f>'Precinct Vote Data'!H409</f>
        <v>0.5881355932</v>
      </c>
      <c r="F105" s="16">
        <f t="shared" si="2"/>
        <v>-0.7025445124</v>
      </c>
      <c r="G105" s="10">
        <f t="shared" si="3"/>
        <v>0.6033254157</v>
      </c>
      <c r="H105" s="16">
        <f t="shared" si="4"/>
        <v>1.518982246</v>
      </c>
      <c r="I105" s="5" t="b">
        <f t="shared" si="5"/>
        <v>1</v>
      </c>
      <c r="J105" s="5" t="b">
        <f t="shared" si="6"/>
        <v>1</v>
      </c>
      <c r="K105" s="15">
        <f t="shared" si="7"/>
        <v>1.221778855</v>
      </c>
      <c r="L105" s="10">
        <f t="shared" si="8"/>
        <v>0.579901765</v>
      </c>
      <c r="M105" s="10">
        <f>'Precinct Vote Data'!H406</f>
        <v>0.6273584906</v>
      </c>
      <c r="N105" s="10">
        <f>'Precinct Vote Data'!H407</f>
        <v>0.5847457627</v>
      </c>
      <c r="O105" s="10">
        <f>'Precinct Vote Data'!H408</f>
        <v>0.6033254157</v>
      </c>
      <c r="U105" s="16">
        <f t="shared" si="9"/>
        <v>-0.8233828193</v>
      </c>
      <c r="V105" s="5" t="b">
        <f t="shared" si="10"/>
        <v>1</v>
      </c>
      <c r="W105" s="5">
        <f t="shared" si="11"/>
        <v>0.7025445124</v>
      </c>
      <c r="X105" s="5">
        <f t="shared" si="12"/>
        <v>1.518982246</v>
      </c>
      <c r="Y105" s="5">
        <f t="shared" si="13"/>
        <v>0.8233828193</v>
      </c>
      <c r="Z105" s="10">
        <f>MIN(1,MAX(0,(5.3914776420524+0.021102849201698*'Precinct Vote Data'!I409*100+(-5.72594740176815)*1+0.927016741366831*(O105*100))/100))</f>
        <v>0.5599977</v>
      </c>
      <c r="AA105" s="16">
        <f t="shared" si="14"/>
        <v>-2.813789323</v>
      </c>
      <c r="AB105" s="5" t="b">
        <f t="shared" si="15"/>
        <v>1</v>
      </c>
      <c r="AC105" s="5">
        <f t="shared" si="16"/>
        <v>2.813789323</v>
      </c>
    </row>
    <row r="106" ht="15.0" customHeight="1">
      <c r="A106" s="5" t="s">
        <v>143</v>
      </c>
      <c r="B106" s="5" t="s">
        <v>145</v>
      </c>
      <c r="C106" s="5" t="s">
        <v>154</v>
      </c>
      <c r="D106" s="10">
        <f t="shared" si="1"/>
        <v>0.6650962546</v>
      </c>
      <c r="E106" s="10">
        <f>'Precinct Vote Data'!H413</f>
        <v>0.6294706724</v>
      </c>
      <c r="F106" s="16">
        <f t="shared" si="2"/>
        <v>3.562558225</v>
      </c>
      <c r="G106" s="10">
        <f t="shared" si="3"/>
        <v>0.6865284974</v>
      </c>
      <c r="H106" s="16">
        <f t="shared" si="4"/>
        <v>5.705782502</v>
      </c>
      <c r="I106" s="5" t="b">
        <f t="shared" si="5"/>
        <v>1</v>
      </c>
      <c r="J106" s="5" t="b">
        <f t="shared" si="6"/>
        <v>1</v>
      </c>
      <c r="K106" s="15">
        <f t="shared" si="7"/>
        <v>1.026024309</v>
      </c>
      <c r="L106" s="10">
        <f t="shared" si="8"/>
        <v>0.6668578059</v>
      </c>
      <c r="M106" s="10">
        <f>'Precinct Vote Data'!H410</f>
        <v>0.7201946472</v>
      </c>
      <c r="N106" s="10">
        <f>'Precinct Vote Data'!H411</f>
        <v>0.6895640687</v>
      </c>
      <c r="O106" s="10">
        <f>'Precinct Vote Data'!H412</f>
        <v>0.6865284974</v>
      </c>
      <c r="U106" s="16">
        <f t="shared" si="9"/>
        <v>3.738713349</v>
      </c>
      <c r="V106" s="5" t="b">
        <f t="shared" si="10"/>
        <v>1</v>
      </c>
      <c r="W106" s="5">
        <f t="shared" si="11"/>
        <v>3.562558225</v>
      </c>
      <c r="X106" s="5">
        <f t="shared" si="12"/>
        <v>5.705782502</v>
      </c>
      <c r="Y106" s="5">
        <f t="shared" si="13"/>
        <v>3.738713349</v>
      </c>
      <c r="Z106" s="10">
        <f>MIN(1,MAX(0,(5.3914776420524+0.021102849201698*'Precinct Vote Data'!I413*100+(-5.72594740176815)*1+0.927016741366831*(O106*100))/100))</f>
        <v>0.6411547733</v>
      </c>
      <c r="AA106" s="16">
        <f t="shared" si="14"/>
        <v>1.168410093</v>
      </c>
      <c r="AB106" s="5" t="b">
        <f t="shared" si="15"/>
        <v>1</v>
      </c>
      <c r="AC106" s="5">
        <f t="shared" si="16"/>
        <v>1.168410093</v>
      </c>
    </row>
    <row r="107" ht="15.0" customHeight="1">
      <c r="A107" s="5" t="s">
        <v>143</v>
      </c>
      <c r="B107" s="5" t="s">
        <v>145</v>
      </c>
      <c r="C107" s="5" t="s">
        <v>155</v>
      </c>
      <c r="D107" s="10">
        <f t="shared" si="1"/>
        <v>0.5672629167</v>
      </c>
      <c r="E107" s="10">
        <f>'Precinct Vote Data'!H417</f>
        <v>0.6010869565</v>
      </c>
      <c r="F107" s="16">
        <f t="shared" si="2"/>
        <v>-3.382403981</v>
      </c>
      <c r="G107" s="10">
        <f t="shared" si="3"/>
        <v>0.5811258278</v>
      </c>
      <c r="H107" s="16">
        <f t="shared" si="4"/>
        <v>-1.996112871</v>
      </c>
      <c r="I107" s="5" t="b">
        <f t="shared" si="5"/>
        <v>1</v>
      </c>
      <c r="J107" s="5" t="b">
        <f t="shared" si="6"/>
        <v>1</v>
      </c>
      <c r="K107" s="15">
        <f t="shared" si="7"/>
        <v>0.7249517775</v>
      </c>
      <c r="L107" s="10">
        <f t="shared" si="8"/>
        <v>0.5672272265</v>
      </c>
      <c r="M107" s="10">
        <f>'Precinct Vote Data'!H414</f>
        <v>0.5986949429</v>
      </c>
      <c r="N107" s="10">
        <f>'Precinct Vote Data'!H415</f>
        <v>0.5746753247</v>
      </c>
      <c r="O107" s="10">
        <f>'Precinct Vote Data'!H416</f>
        <v>0.5811258278</v>
      </c>
      <c r="U107" s="16">
        <f t="shared" si="9"/>
        <v>-3.385973</v>
      </c>
      <c r="V107" s="5" t="b">
        <f t="shared" si="10"/>
        <v>1</v>
      </c>
      <c r="W107" s="5">
        <f t="shared" si="11"/>
        <v>3.382403981</v>
      </c>
      <c r="X107" s="5">
        <f t="shared" si="12"/>
        <v>1.996112871</v>
      </c>
      <c r="Y107" s="5">
        <f t="shared" si="13"/>
        <v>3.385973</v>
      </c>
      <c r="Z107" s="10">
        <f>MIN(1,MAX(0,(5.3914776420524+0.021102849201698*'Precinct Vote Data'!I417*100+(-5.72594740176815)*1+0.927016741366831*(O107*100))/100))</f>
        <v>0.5407161356</v>
      </c>
      <c r="AA107" s="16">
        <f t="shared" si="14"/>
        <v>-6.037082091</v>
      </c>
      <c r="AB107" s="5" t="b">
        <f t="shared" si="15"/>
        <v>1</v>
      </c>
      <c r="AC107" s="5">
        <f t="shared" si="16"/>
        <v>6.037082091</v>
      </c>
    </row>
    <row r="108" ht="15.0" customHeight="1">
      <c r="A108" s="5" t="s">
        <v>143</v>
      </c>
      <c r="B108" s="5" t="s">
        <v>145</v>
      </c>
      <c r="C108" s="5" t="s">
        <v>156</v>
      </c>
      <c r="D108" s="10">
        <f t="shared" si="1"/>
        <v>0.6026784049</v>
      </c>
      <c r="E108" s="10">
        <f>'Precinct Vote Data'!H421</f>
        <v>0.6196226415</v>
      </c>
      <c r="F108" s="16">
        <f t="shared" si="2"/>
        <v>-1.694423665</v>
      </c>
      <c r="G108" s="10">
        <f t="shared" si="3"/>
        <v>0.6402597403</v>
      </c>
      <c r="H108" s="16">
        <f t="shared" si="4"/>
        <v>2.063709875</v>
      </c>
      <c r="I108" s="5" t="b">
        <f t="shared" si="5"/>
        <v>1</v>
      </c>
      <c r="J108" s="5" t="b">
        <f t="shared" si="6"/>
        <v>1</v>
      </c>
      <c r="K108" s="15">
        <f t="shared" si="7"/>
        <v>1.55350465</v>
      </c>
      <c r="L108" s="10">
        <f t="shared" si="8"/>
        <v>0.6104763224</v>
      </c>
      <c r="M108" s="10">
        <f>'Precinct Vote Data'!H418</f>
        <v>0.716152019</v>
      </c>
      <c r="N108" s="10">
        <f>'Precinct Vote Data'!H419</f>
        <v>0.6793002915</v>
      </c>
      <c r="O108" s="10">
        <f>'Precinct Vote Data'!H420</f>
        <v>0.6402597403</v>
      </c>
      <c r="U108" s="16">
        <f t="shared" si="9"/>
        <v>-0.9146319126</v>
      </c>
      <c r="V108" s="5" t="b">
        <f t="shared" si="10"/>
        <v>1</v>
      </c>
      <c r="W108" s="5">
        <f t="shared" si="11"/>
        <v>1.694423665</v>
      </c>
      <c r="X108" s="5">
        <f t="shared" si="12"/>
        <v>2.063709875</v>
      </c>
      <c r="Y108" s="5">
        <f t="shared" si="13"/>
        <v>0.9146319126</v>
      </c>
      <c r="Z108" s="10">
        <f>MIN(1,MAX(0,(5.3914776420524+0.021102849201698*'Precinct Vote Data'!I421*100+(-5.72594740176815)*1+0.927016741366831*(O108*100))/100))</f>
        <v>0.5967941025</v>
      </c>
      <c r="AA108" s="16">
        <f t="shared" si="14"/>
        <v>-2.282853898</v>
      </c>
      <c r="AB108" s="5" t="b">
        <f t="shared" si="15"/>
        <v>1</v>
      </c>
      <c r="AC108" s="5">
        <f t="shared" si="16"/>
        <v>2.282853898</v>
      </c>
    </row>
    <row r="109" ht="15.0" customHeight="1">
      <c r="A109" s="5" t="s">
        <v>143</v>
      </c>
      <c r="B109" s="5" t="s">
        <v>157</v>
      </c>
      <c r="C109" s="5" t="s">
        <v>158</v>
      </c>
      <c r="D109" s="10">
        <f t="shared" si="1"/>
        <v>0.7335947343</v>
      </c>
      <c r="E109" s="10">
        <f>'Precinct Vote Data'!H425</f>
        <v>0.7027027027</v>
      </c>
      <c r="F109" s="16">
        <f t="shared" si="2"/>
        <v>3.089203162</v>
      </c>
      <c r="G109" s="10">
        <f t="shared" si="3"/>
        <v>0.746835443</v>
      </c>
      <c r="H109" s="16">
        <f t="shared" si="4"/>
        <v>4.413274034</v>
      </c>
      <c r="I109" s="5" t="b">
        <f t="shared" si="5"/>
        <v>1</v>
      </c>
      <c r="J109" s="5" t="b">
        <f t="shared" si="6"/>
        <v>1</v>
      </c>
      <c r="K109" s="15">
        <f t="shared" si="7"/>
        <v>0.8391271852</v>
      </c>
      <c r="L109" s="10">
        <f t="shared" si="8"/>
        <v>0.7307478983</v>
      </c>
      <c r="M109" s="10">
        <f>'Precinct Vote Data'!H422</f>
        <v>0.7535460993</v>
      </c>
      <c r="N109" s="10">
        <f>'Precinct Vote Data'!H423</f>
        <v>0.7205346294</v>
      </c>
      <c r="O109" s="10">
        <f>'Precinct Vote Data'!H424</f>
        <v>0.746835443</v>
      </c>
      <c r="U109" s="16">
        <f t="shared" si="9"/>
        <v>2.804519556</v>
      </c>
      <c r="V109" s="5" t="b">
        <f t="shared" si="10"/>
        <v>1</v>
      </c>
      <c r="W109" s="5">
        <f t="shared" si="11"/>
        <v>3.089203162</v>
      </c>
      <c r="X109" s="5">
        <f t="shared" si="12"/>
        <v>4.413274034</v>
      </c>
      <c r="Y109" s="5">
        <f t="shared" si="13"/>
        <v>2.804519556</v>
      </c>
      <c r="Z109" s="10">
        <f>MIN(1,MAX(0,(5.3914776420524+0.021102849201698*'Precinct Vote Data'!I425*100+(-5.72594740176815)*1+0.927016741366831*(O109*100))/100))</f>
        <v>0.6969210427</v>
      </c>
      <c r="AA109" s="16">
        <f t="shared" si="14"/>
        <v>-0.5781659973</v>
      </c>
      <c r="AB109" s="5" t="b">
        <f t="shared" si="15"/>
        <v>1</v>
      </c>
      <c r="AC109" s="5">
        <f t="shared" si="16"/>
        <v>0.5781659973</v>
      </c>
    </row>
    <row r="110" ht="15.0" customHeight="1">
      <c r="A110" s="5" t="s">
        <v>143</v>
      </c>
      <c r="B110" s="5" t="s">
        <v>157</v>
      </c>
      <c r="C110" s="5" t="s">
        <v>159</v>
      </c>
      <c r="D110" s="10">
        <f t="shared" si="1"/>
        <v>0.6514056709</v>
      </c>
      <c r="E110" s="10">
        <f>'Precinct Vote Data'!H429</f>
        <v>0.6624605678</v>
      </c>
      <c r="F110" s="16">
        <f t="shared" si="2"/>
        <v>-1.105489693</v>
      </c>
      <c r="G110" s="10">
        <f t="shared" si="3"/>
        <v>0.7012987013</v>
      </c>
      <c r="H110" s="16">
        <f t="shared" si="4"/>
        <v>3.883813348</v>
      </c>
      <c r="I110" s="5" t="b">
        <f t="shared" si="5"/>
        <v>1</v>
      </c>
      <c r="J110" s="5" t="b">
        <f t="shared" si="6"/>
        <v>1</v>
      </c>
      <c r="K110" s="15">
        <f t="shared" si="7"/>
        <v>2.761667305</v>
      </c>
      <c r="L110" s="10">
        <f t="shared" si="8"/>
        <v>0.6483526793</v>
      </c>
      <c r="M110" s="10">
        <f>'Precinct Vote Data'!H426</f>
        <v>0.7540603248</v>
      </c>
      <c r="N110" s="10">
        <f>'Precinct Vote Data'!H427</f>
        <v>0.6571428571</v>
      </c>
      <c r="O110" s="10">
        <f>'Precinct Vote Data'!H428</f>
        <v>0.7012987013</v>
      </c>
      <c r="U110" s="16">
        <f t="shared" si="9"/>
        <v>-1.410788853</v>
      </c>
      <c r="V110" s="5" t="b">
        <f t="shared" si="10"/>
        <v>1</v>
      </c>
      <c r="W110" s="5">
        <f t="shared" si="11"/>
        <v>1.105489693</v>
      </c>
      <c r="X110" s="5">
        <f t="shared" si="12"/>
        <v>3.883813348</v>
      </c>
      <c r="Y110" s="5">
        <f t="shared" si="13"/>
        <v>1.410788853</v>
      </c>
      <c r="Z110" s="10">
        <f>MIN(1,MAX(0,(5.3914776420524+0.021102849201698*'Precinct Vote Data'!I429*100+(-5.72594740176815)*1+0.927016741366831*(O110*100))/100))</f>
        <v>0.6531186762</v>
      </c>
      <c r="AA110" s="16">
        <f t="shared" si="14"/>
        <v>-0.9341891578</v>
      </c>
      <c r="AB110" s="5" t="b">
        <f t="shared" si="15"/>
        <v>1</v>
      </c>
      <c r="AC110" s="5">
        <f t="shared" si="16"/>
        <v>0.9341891578</v>
      </c>
    </row>
    <row r="111" ht="15.0" customHeight="1">
      <c r="A111" s="5" t="s">
        <v>143</v>
      </c>
      <c r="B111" s="5" t="s">
        <v>157</v>
      </c>
      <c r="C111" s="5" t="s">
        <v>160</v>
      </c>
      <c r="D111" s="10">
        <f t="shared" si="1"/>
        <v>0.7299034826</v>
      </c>
      <c r="E111" s="10">
        <f>'Precinct Vote Data'!H433</f>
        <v>0.7133550489</v>
      </c>
      <c r="F111" s="16">
        <f t="shared" si="2"/>
        <v>1.654843377</v>
      </c>
      <c r="G111" s="10">
        <f t="shared" si="3"/>
        <v>0.7469387755</v>
      </c>
      <c r="H111" s="16">
        <f t="shared" si="4"/>
        <v>3.358372665</v>
      </c>
      <c r="I111" s="5" t="b">
        <f t="shared" si="5"/>
        <v>1</v>
      </c>
      <c r="J111" s="5" t="b">
        <f t="shared" si="6"/>
        <v>1</v>
      </c>
      <c r="K111" s="15">
        <f t="shared" si="7"/>
        <v>1.152463001</v>
      </c>
      <c r="L111" s="10">
        <f t="shared" si="8"/>
        <v>0.7248440318</v>
      </c>
      <c r="M111" s="10">
        <f>'Precinct Vote Data'!H430</f>
        <v>0.7505720824</v>
      </c>
      <c r="N111" s="10">
        <f>'Precinct Vote Data'!H431</f>
        <v>0.7030995106</v>
      </c>
      <c r="O111" s="10">
        <f>'Precinct Vote Data'!H432</f>
        <v>0.7469387755</v>
      </c>
      <c r="U111" s="16">
        <f t="shared" si="9"/>
        <v>1.148898291</v>
      </c>
      <c r="V111" s="5" t="b">
        <f t="shared" si="10"/>
        <v>1</v>
      </c>
      <c r="W111" s="5">
        <f t="shared" si="11"/>
        <v>1.654843377</v>
      </c>
      <c r="X111" s="5">
        <f t="shared" si="12"/>
        <v>3.358372665</v>
      </c>
      <c r="Y111" s="5">
        <f t="shared" si="13"/>
        <v>1.148898291</v>
      </c>
      <c r="Z111" s="10">
        <f>MIN(1,MAX(0,(5.3914776420524+0.021102849201698*'Precinct Vote Data'!I433*100+(-5.72594740176815)*1+0.927016741366831*(O111*100))/100))</f>
        <v>0.6969514148</v>
      </c>
      <c r="AA111" s="16">
        <f t="shared" si="14"/>
        <v>-1.640363403</v>
      </c>
      <c r="AB111" s="5" t="b">
        <f t="shared" si="15"/>
        <v>1</v>
      </c>
      <c r="AC111" s="5">
        <f t="shared" si="16"/>
        <v>1.640363403</v>
      </c>
    </row>
    <row r="112" ht="15.0" customHeight="1">
      <c r="A112" s="5" t="s">
        <v>143</v>
      </c>
      <c r="B112" s="5" t="s">
        <v>157</v>
      </c>
      <c r="C112" s="5" t="s">
        <v>161</v>
      </c>
      <c r="D112" s="10">
        <f t="shared" si="1"/>
        <v>0.6918953277</v>
      </c>
      <c r="E112" s="10">
        <f>'Precinct Vote Data'!H437</f>
        <v>0.6788856305</v>
      </c>
      <c r="F112" s="16">
        <f t="shared" si="2"/>
        <v>1.300969724</v>
      </c>
      <c r="G112" s="10">
        <f t="shared" si="3"/>
        <v>0.7142857143</v>
      </c>
      <c r="H112" s="16">
        <f t="shared" si="4"/>
        <v>3.540008379</v>
      </c>
      <c r="I112" s="5" t="b">
        <f t="shared" si="5"/>
        <v>1</v>
      </c>
      <c r="J112" s="5" t="b">
        <f t="shared" si="6"/>
        <v>1</v>
      </c>
      <c r="K112" s="15">
        <f t="shared" si="7"/>
        <v>1.302824695</v>
      </c>
      <c r="L112" s="10">
        <f t="shared" si="8"/>
        <v>0.6893082723</v>
      </c>
      <c r="M112" s="10">
        <f>'Precinct Vote Data'!H434</f>
        <v>0.7336065574</v>
      </c>
      <c r="N112" s="10">
        <f>'Precinct Vote Data'!H435</f>
        <v>0.6857562408</v>
      </c>
      <c r="O112" s="10">
        <f>'Precinct Vote Data'!H436</f>
        <v>0.7142857143</v>
      </c>
      <c r="U112" s="16">
        <f t="shared" si="9"/>
        <v>1.042264178</v>
      </c>
      <c r="V112" s="5" t="b">
        <f t="shared" si="10"/>
        <v>1</v>
      </c>
      <c r="W112" s="5">
        <f t="shared" si="11"/>
        <v>1.300969724</v>
      </c>
      <c r="X112" s="5">
        <f t="shared" si="12"/>
        <v>3.540008379</v>
      </c>
      <c r="Y112" s="5">
        <f t="shared" si="13"/>
        <v>1.042264178</v>
      </c>
      <c r="Z112" s="10">
        <f>MIN(1,MAX(0,(5.3914776420524+0.021102849201698*'Precinct Vote Data'!I437*100+(-5.72594740176815)*1+0.927016741366831*(O112*100))/100))</f>
        <v>0.6658774619</v>
      </c>
      <c r="AA112" s="16">
        <f t="shared" si="14"/>
        <v>-1.300816864</v>
      </c>
      <c r="AB112" s="5" t="b">
        <f t="shared" si="15"/>
        <v>1</v>
      </c>
      <c r="AC112" s="5">
        <f t="shared" si="16"/>
        <v>1.300816864</v>
      </c>
    </row>
    <row r="113" ht="15.0" customHeight="1">
      <c r="A113" s="5" t="s">
        <v>143</v>
      </c>
      <c r="B113" s="5" t="s">
        <v>157</v>
      </c>
      <c r="C113" s="5" t="s">
        <v>162</v>
      </c>
      <c r="D113" s="10">
        <f t="shared" si="1"/>
        <v>0.6421733942</v>
      </c>
      <c r="E113" s="10">
        <f>'Precinct Vote Data'!H441</f>
        <v>0.6593591906</v>
      </c>
      <c r="F113" s="16">
        <f t="shared" si="2"/>
        <v>-1.718579634</v>
      </c>
      <c r="G113" s="10">
        <f t="shared" si="3"/>
        <v>0.6608796296</v>
      </c>
      <c r="H113" s="16">
        <f t="shared" si="4"/>
        <v>0.1520439073</v>
      </c>
      <c r="I113" s="5" t="b">
        <f t="shared" si="5"/>
        <v>1</v>
      </c>
      <c r="J113" s="5" t="b">
        <f t="shared" si="6"/>
        <v>1</v>
      </c>
      <c r="K113" s="15">
        <f t="shared" si="7"/>
        <v>0.9220606999</v>
      </c>
      <c r="L113" s="10">
        <f t="shared" si="8"/>
        <v>0.6432021034</v>
      </c>
      <c r="M113" s="10">
        <f>'Precinct Vote Data'!H438</f>
        <v>0.6884422111</v>
      </c>
      <c r="N113" s="10">
        <f>'Precinct Vote Data'!H439</f>
        <v>0.6598860862</v>
      </c>
      <c r="O113" s="10">
        <f>'Precinct Vote Data'!H440</f>
        <v>0.6608796296</v>
      </c>
      <c r="U113" s="16">
        <f t="shared" si="9"/>
        <v>-1.615708712</v>
      </c>
      <c r="V113" s="5" t="b">
        <f t="shared" si="10"/>
        <v>1</v>
      </c>
      <c r="W113" s="5">
        <f t="shared" si="11"/>
        <v>1.718579634</v>
      </c>
      <c r="X113" s="5">
        <f t="shared" si="12"/>
        <v>0.1520439073</v>
      </c>
      <c r="Y113" s="5">
        <f t="shared" si="13"/>
        <v>1.615708712</v>
      </c>
      <c r="Z113" s="10">
        <f>MIN(1,MAX(0,(5.3914776420524+0.021102849201698*'Precinct Vote Data'!I441*100+(-5.72594740176815)*1+0.927016741366831*(O113*100))/100))</f>
        <v>0.6154448225</v>
      </c>
      <c r="AA113" s="16">
        <f t="shared" si="14"/>
        <v>-4.391436806</v>
      </c>
      <c r="AB113" s="5" t="b">
        <f t="shared" si="15"/>
        <v>1</v>
      </c>
      <c r="AC113" s="5">
        <f t="shared" si="16"/>
        <v>4.391436806</v>
      </c>
    </row>
    <row r="114" ht="15.0" customHeight="1">
      <c r="A114" s="5" t="s">
        <v>143</v>
      </c>
      <c r="B114" s="5" t="s">
        <v>157</v>
      </c>
      <c r="C114" s="5" t="s">
        <v>163</v>
      </c>
      <c r="D114" s="10">
        <f t="shared" si="1"/>
        <v>0.6249062266</v>
      </c>
      <c r="E114" s="10">
        <f>'Precinct Vote Data'!H445</f>
        <v>0.6126674787</v>
      </c>
      <c r="F114" s="16">
        <f t="shared" si="2"/>
        <v>1.223874787</v>
      </c>
      <c r="G114" s="10">
        <f t="shared" si="3"/>
        <v>0.6451612903</v>
      </c>
      <c r="H114" s="16">
        <f t="shared" si="4"/>
        <v>3.249381164</v>
      </c>
      <c r="I114" s="5" t="b">
        <f t="shared" si="5"/>
        <v>1</v>
      </c>
      <c r="J114" s="5" t="b">
        <f t="shared" si="6"/>
        <v>1</v>
      </c>
      <c r="K114" s="15">
        <f t="shared" si="7"/>
        <v>1.189406634</v>
      </c>
      <c r="L114" s="10">
        <f t="shared" si="8"/>
        <v>0.6223582721</v>
      </c>
      <c r="M114" s="10">
        <f>'Precinct Vote Data'!H442</f>
        <v>0.6618962433</v>
      </c>
      <c r="N114" s="10">
        <f>'Precinct Vote Data'!H443</f>
        <v>0.617866005</v>
      </c>
      <c r="O114" s="10">
        <f>'Precinct Vote Data'!H444</f>
        <v>0.6451612903</v>
      </c>
      <c r="U114" s="16">
        <f t="shared" si="9"/>
        <v>0.9690793433</v>
      </c>
      <c r="V114" s="5" t="b">
        <f t="shared" si="10"/>
        <v>1</v>
      </c>
      <c r="W114" s="5">
        <f t="shared" si="11"/>
        <v>1.223874787</v>
      </c>
      <c r="X114" s="5">
        <f t="shared" si="12"/>
        <v>3.249381164</v>
      </c>
      <c r="Y114" s="5">
        <f t="shared" si="13"/>
        <v>0.9690793433</v>
      </c>
      <c r="Z114" s="10">
        <f>MIN(1,MAX(0,(5.3914776420524+0.021102849201698*'Precinct Vote Data'!I445*100+(-5.72594740176815)*1+0.927016741366831*(O114*100))/100))</f>
        <v>0.6005465647</v>
      </c>
      <c r="AA114" s="16">
        <f t="shared" si="14"/>
        <v>-1.212091403</v>
      </c>
      <c r="AB114" s="5" t="b">
        <f t="shared" si="15"/>
        <v>1</v>
      </c>
      <c r="AC114" s="5">
        <f t="shared" si="16"/>
        <v>1.212091403</v>
      </c>
    </row>
    <row r="115" ht="15.0" customHeight="1">
      <c r="A115" s="5" t="s">
        <v>143</v>
      </c>
      <c r="B115" s="5" t="s">
        <v>157</v>
      </c>
      <c r="C115" s="5" t="s">
        <v>164</v>
      </c>
      <c r="D115" s="10">
        <f t="shared" si="1"/>
        <v>0.6231250912</v>
      </c>
      <c r="E115" s="10">
        <f>'Precinct Vote Data'!H449</f>
        <v>0.6012084592</v>
      </c>
      <c r="F115" s="16">
        <f t="shared" si="2"/>
        <v>2.191663195</v>
      </c>
      <c r="G115" s="10">
        <f t="shared" si="3"/>
        <v>0.621657754</v>
      </c>
      <c r="H115" s="16">
        <f t="shared" si="4"/>
        <v>2.04492948</v>
      </c>
      <c r="I115" s="5" t="b">
        <f t="shared" si="5"/>
        <v>1</v>
      </c>
      <c r="J115" s="5" t="b">
        <f t="shared" si="6"/>
        <v>1</v>
      </c>
      <c r="K115" s="15">
        <f t="shared" si="7"/>
        <v>0.2456956083</v>
      </c>
      <c r="L115" s="10">
        <f t="shared" si="8"/>
        <v>0.6169473368</v>
      </c>
      <c r="M115" s="10">
        <f>'Precinct Vote Data'!H446</f>
        <v>0.5976676385</v>
      </c>
      <c r="N115" s="10">
        <f>'Precinct Vote Data'!H447</f>
        <v>0.5780795344</v>
      </c>
      <c r="O115" s="10">
        <f>'Precinct Vote Data'!H448</f>
        <v>0.621657754</v>
      </c>
      <c r="U115" s="16">
        <f t="shared" si="9"/>
        <v>1.573887763</v>
      </c>
      <c r="V115" s="5" t="b">
        <f t="shared" si="10"/>
        <v>1</v>
      </c>
      <c r="W115" s="5">
        <f t="shared" si="11"/>
        <v>2.191663195</v>
      </c>
      <c r="X115" s="5">
        <f t="shared" si="12"/>
        <v>2.04492948</v>
      </c>
      <c r="Y115" s="5">
        <f t="shared" si="13"/>
        <v>1.573887763</v>
      </c>
      <c r="Z115" s="10">
        <f>MIN(1,MAX(0,(5.3914776420524+0.021102849201698*'Precinct Vote Data'!I449*100+(-5.72594740176815)*1+0.927016741366831*(O115*100))/100))</f>
        <v>0.5766227847</v>
      </c>
      <c r="AA115" s="16">
        <f t="shared" si="14"/>
        <v>-2.458567454</v>
      </c>
      <c r="AB115" s="5" t="b">
        <f t="shared" si="15"/>
        <v>1</v>
      </c>
      <c r="AC115" s="5">
        <f t="shared" si="16"/>
        <v>2.458567454</v>
      </c>
    </row>
    <row r="116" ht="15.0" customHeight="1">
      <c r="A116" s="5" t="s">
        <v>143</v>
      </c>
      <c r="B116" s="5" t="s">
        <v>157</v>
      </c>
      <c r="C116" s="5" t="s">
        <v>165</v>
      </c>
      <c r="D116" s="10">
        <f t="shared" si="1"/>
        <v>0.6243851777</v>
      </c>
      <c r="E116" s="10">
        <f>'Precinct Vote Data'!H453</f>
        <v>0.6005314438</v>
      </c>
      <c r="F116" s="16">
        <f t="shared" si="2"/>
        <v>2.385373391</v>
      </c>
      <c r="G116" s="10">
        <f t="shared" si="3"/>
        <v>0.6350762527</v>
      </c>
      <c r="H116" s="16">
        <f t="shared" si="4"/>
        <v>3.454480897</v>
      </c>
      <c r="I116" s="5" t="b">
        <f t="shared" si="5"/>
        <v>1</v>
      </c>
      <c r="J116" s="5" t="b">
        <f t="shared" si="6"/>
        <v>1</v>
      </c>
      <c r="K116" s="15">
        <f t="shared" si="7"/>
        <v>0.8715027692</v>
      </c>
      <c r="L116" s="10">
        <f t="shared" si="8"/>
        <v>0.618368011</v>
      </c>
      <c r="M116" s="10">
        <f>'Precinct Vote Data'!H450</f>
        <v>0.6271820449</v>
      </c>
      <c r="N116" s="10">
        <f>'Precinct Vote Data'!H451</f>
        <v>0.5872146119</v>
      </c>
      <c r="O116" s="10">
        <f>'Precinct Vote Data'!H452</f>
        <v>0.6350762527</v>
      </c>
      <c r="U116" s="16">
        <f t="shared" si="9"/>
        <v>1.783656728</v>
      </c>
      <c r="V116" s="5" t="b">
        <f t="shared" si="10"/>
        <v>1</v>
      </c>
      <c r="W116" s="5">
        <f t="shared" si="11"/>
        <v>2.385373391</v>
      </c>
      <c r="X116" s="5">
        <f t="shared" si="12"/>
        <v>3.454480897</v>
      </c>
      <c r="Y116" s="5">
        <f t="shared" si="13"/>
        <v>1.783656728</v>
      </c>
      <c r="Z116" s="10">
        <f>MIN(1,MAX(0,(5.3914776420524+0.021102849201698*'Precinct Vote Data'!I453*100+(-5.72594740176815)*1+0.927016741366831*(O116*100))/100))</f>
        <v>0.5897541311</v>
      </c>
      <c r="AA116" s="16">
        <f t="shared" si="14"/>
        <v>-1.077731268</v>
      </c>
      <c r="AB116" s="5" t="b">
        <f t="shared" si="15"/>
        <v>1</v>
      </c>
      <c r="AC116" s="5">
        <f t="shared" si="16"/>
        <v>1.077731268</v>
      </c>
    </row>
    <row r="117" ht="15.0" customHeight="1">
      <c r="A117" s="5" t="s">
        <v>143</v>
      </c>
      <c r="B117" s="5" t="s">
        <v>157</v>
      </c>
      <c r="C117" s="5" t="s">
        <v>166</v>
      </c>
      <c r="D117" s="10">
        <f t="shared" si="1"/>
        <v>0.6015390632</v>
      </c>
      <c r="E117" s="10">
        <f>'Precinct Vote Data'!H457</f>
        <v>0.615746181</v>
      </c>
      <c r="F117" s="16">
        <f t="shared" si="2"/>
        <v>-1.42071178</v>
      </c>
      <c r="G117" s="10">
        <f t="shared" si="3"/>
        <v>0.6355283308</v>
      </c>
      <c r="H117" s="16">
        <f t="shared" si="4"/>
        <v>1.978214982</v>
      </c>
      <c r="I117" s="5" t="b">
        <f t="shared" si="5"/>
        <v>1</v>
      </c>
      <c r="J117" s="5" t="b">
        <f t="shared" si="6"/>
        <v>1</v>
      </c>
      <c r="K117" s="15">
        <f t="shared" si="7"/>
        <v>1.704569341</v>
      </c>
      <c r="L117" s="10">
        <f t="shared" si="8"/>
        <v>0.6028487369</v>
      </c>
      <c r="M117" s="10">
        <f>'Precinct Vote Data'!H454</f>
        <v>0.6836065574</v>
      </c>
      <c r="N117" s="10">
        <f>'Precinct Vote Data'!H455</f>
        <v>0.6297169811</v>
      </c>
      <c r="O117" s="10">
        <f>'Precinct Vote Data'!H456</f>
        <v>0.6355283308</v>
      </c>
      <c r="U117" s="16">
        <f t="shared" si="9"/>
        <v>-1.289744402</v>
      </c>
      <c r="V117" s="5" t="b">
        <f t="shared" si="10"/>
        <v>1</v>
      </c>
      <c r="W117" s="5">
        <f t="shared" si="11"/>
        <v>1.42071178</v>
      </c>
      <c r="X117" s="5">
        <f t="shared" si="12"/>
        <v>1.978214982</v>
      </c>
      <c r="Y117" s="5">
        <f t="shared" si="13"/>
        <v>1.289744402</v>
      </c>
      <c r="Z117" s="10">
        <f>MIN(1,MAX(0,(5.3914776420524+0.021102849201698*'Precinct Vote Data'!I457*100+(-5.72594740176815)*1+0.927016741366831*(O117*100))/100))</f>
        <v>0.5902006487</v>
      </c>
      <c r="AA117" s="16">
        <f t="shared" si="14"/>
        <v>-2.554553226</v>
      </c>
      <c r="AB117" s="5" t="b">
        <f t="shared" si="15"/>
        <v>1</v>
      </c>
      <c r="AC117" s="5">
        <f t="shared" si="16"/>
        <v>2.554553226</v>
      </c>
    </row>
    <row r="118" ht="15.0" customHeight="1">
      <c r="A118" s="5" t="s">
        <v>143</v>
      </c>
      <c r="B118" s="5" t="s">
        <v>157</v>
      </c>
      <c r="C118" s="5" t="s">
        <v>167</v>
      </c>
      <c r="D118" s="10">
        <f t="shared" si="1"/>
        <v>0.5397250619</v>
      </c>
      <c r="E118" s="10">
        <f>'Precinct Vote Data'!H461</f>
        <v>0.5595390525</v>
      </c>
      <c r="F118" s="16">
        <f t="shared" si="2"/>
        <v>-1.981399061</v>
      </c>
      <c r="G118" s="10">
        <f t="shared" si="3"/>
        <v>0.5655877342</v>
      </c>
      <c r="H118" s="16">
        <f t="shared" si="4"/>
        <v>0.6048681745</v>
      </c>
      <c r="I118" s="5" t="b">
        <f t="shared" si="5"/>
        <v>1</v>
      </c>
      <c r="J118" s="5" t="b">
        <f t="shared" si="6"/>
        <v>1</v>
      </c>
      <c r="K118" s="15">
        <f t="shared" si="7"/>
        <v>1.358379623</v>
      </c>
      <c r="L118" s="10">
        <f t="shared" si="8"/>
        <v>0.5395452065</v>
      </c>
      <c r="M118" s="10">
        <f>'Precinct Vote Data'!H458</f>
        <v>0.5979591837</v>
      </c>
      <c r="N118" s="10">
        <f>'Precinct Vote Data'!H459</f>
        <v>0.552742616</v>
      </c>
      <c r="O118" s="10">
        <f>'Precinct Vote Data'!H460</f>
        <v>0.5655877342</v>
      </c>
      <c r="U118" s="16">
        <f t="shared" si="9"/>
        <v>-1.9993846</v>
      </c>
      <c r="V118" s="5" t="b">
        <f t="shared" si="10"/>
        <v>1</v>
      </c>
      <c r="W118" s="5">
        <f t="shared" si="11"/>
        <v>1.981399061</v>
      </c>
      <c r="X118" s="5">
        <f t="shared" si="12"/>
        <v>0.6048681745</v>
      </c>
      <c r="Y118" s="5">
        <f t="shared" si="13"/>
        <v>1.9993846</v>
      </c>
      <c r="Z118" s="10">
        <f>MIN(1,MAX(0,(5.3914776420524+0.021102849201698*'Precinct Vote Data'!I461*100+(-5.72594740176815)*1+0.927016741366831*(O118*100))/100))</f>
        <v>0.5241025944</v>
      </c>
      <c r="AA118" s="16">
        <f t="shared" si="14"/>
        <v>-3.543645806</v>
      </c>
      <c r="AB118" s="5" t="b">
        <f t="shared" si="15"/>
        <v>1</v>
      </c>
      <c r="AC118" s="5">
        <f t="shared" si="16"/>
        <v>3.543645806</v>
      </c>
    </row>
    <row r="119" ht="15.0" customHeight="1">
      <c r="A119" s="5" t="s">
        <v>143</v>
      </c>
      <c r="B119" s="5" t="s">
        <v>157</v>
      </c>
      <c r="C119" s="5" t="s">
        <v>168</v>
      </c>
      <c r="D119" s="10">
        <f t="shared" si="1"/>
        <v>0.6415535388</v>
      </c>
      <c r="E119" s="10">
        <f>'Precinct Vote Data'!H465</f>
        <v>0.6294691224</v>
      </c>
      <c r="F119" s="16">
        <f t="shared" si="2"/>
        <v>1.208441639</v>
      </c>
      <c r="G119" s="10">
        <f t="shared" si="3"/>
        <v>0.653125</v>
      </c>
      <c r="H119" s="16">
        <f t="shared" si="4"/>
        <v>2.365587757</v>
      </c>
      <c r="I119" s="5" t="b">
        <f t="shared" si="5"/>
        <v>1</v>
      </c>
      <c r="J119" s="5" t="b">
        <f t="shared" si="6"/>
        <v>1</v>
      </c>
      <c r="K119" s="15">
        <f t="shared" si="7"/>
        <v>0.6902534012</v>
      </c>
      <c r="L119" s="10">
        <f t="shared" si="8"/>
        <v>0.6398916276</v>
      </c>
      <c r="M119" s="10">
        <f>'Precinct Vote Data'!H462</f>
        <v>0.6619469027</v>
      </c>
      <c r="N119" s="10">
        <f>'Precinct Vote Data'!H463</f>
        <v>0.6360544218</v>
      </c>
      <c r="O119" s="10">
        <f>'Precinct Vote Data'!H464</f>
        <v>0.653125</v>
      </c>
      <c r="U119" s="16">
        <f t="shared" si="9"/>
        <v>1.042250522</v>
      </c>
      <c r="V119" s="5" t="b">
        <f t="shared" si="10"/>
        <v>1</v>
      </c>
      <c r="W119" s="5">
        <f t="shared" si="11"/>
        <v>1.208441639</v>
      </c>
      <c r="X119" s="5">
        <f t="shared" si="12"/>
        <v>2.365587757</v>
      </c>
      <c r="Y119" s="5">
        <f t="shared" si="13"/>
        <v>1.042250522</v>
      </c>
      <c r="Z119" s="10">
        <f>MIN(1,MAX(0,(5.3914776420524+0.021102849201698*'Precinct Vote Data'!I465*100+(-5.72594740176815)*1+0.927016741366831*(O119*100))/100))</f>
        <v>0.6070237446</v>
      </c>
      <c r="AA119" s="16">
        <f t="shared" si="14"/>
        <v>-2.244537781</v>
      </c>
      <c r="AB119" s="5" t="b">
        <f t="shared" si="15"/>
        <v>1</v>
      </c>
      <c r="AC119" s="5">
        <f t="shared" si="16"/>
        <v>2.244537781</v>
      </c>
    </row>
    <row r="120" ht="15.0" customHeight="1">
      <c r="A120" s="5" t="s">
        <v>143</v>
      </c>
      <c r="B120" s="5" t="s">
        <v>157</v>
      </c>
      <c r="C120" s="5" t="s">
        <v>169</v>
      </c>
      <c r="D120" s="10">
        <f t="shared" si="1"/>
        <v>0.6030207341</v>
      </c>
      <c r="E120" s="10">
        <f>'Precinct Vote Data'!H469</f>
        <v>0.6024464832</v>
      </c>
      <c r="F120" s="16">
        <f t="shared" si="2"/>
        <v>0.05742508748</v>
      </c>
      <c r="G120" s="10">
        <f t="shared" si="3"/>
        <v>0.6106321839</v>
      </c>
      <c r="H120" s="16">
        <f t="shared" si="4"/>
        <v>0.8185700728</v>
      </c>
      <c r="I120" s="5" t="b">
        <f t="shared" si="5"/>
        <v>1</v>
      </c>
      <c r="J120" s="5" t="b">
        <f t="shared" si="6"/>
        <v>1</v>
      </c>
      <c r="K120" s="15">
        <f t="shared" si="7"/>
        <v>0.5457505666</v>
      </c>
      <c r="L120" s="10">
        <f t="shared" si="8"/>
        <v>0.6001691852</v>
      </c>
      <c r="M120" s="10">
        <f>'Precinct Vote Data'!H466</f>
        <v>0.6101398601</v>
      </c>
      <c r="N120" s="10">
        <f>'Precinct Vote Data'!H467</f>
        <v>0.5868131868</v>
      </c>
      <c r="O120" s="10">
        <f>'Precinct Vote Data'!H468</f>
        <v>0.6106321839</v>
      </c>
      <c r="U120" s="16">
        <f t="shared" si="9"/>
        <v>-0.2277298004</v>
      </c>
      <c r="V120" s="5" t="b">
        <f t="shared" si="10"/>
        <v>1</v>
      </c>
      <c r="W120" s="5">
        <f t="shared" si="11"/>
        <v>0.05742508748</v>
      </c>
      <c r="X120" s="5">
        <f t="shared" si="12"/>
        <v>0.8185700728</v>
      </c>
      <c r="Y120" s="5">
        <f t="shared" si="13"/>
        <v>0.2277298004</v>
      </c>
      <c r="Z120" s="10">
        <f>MIN(1,MAX(0,(5.3914776420524+0.021102849201698*'Precinct Vote Data'!I469*100+(-5.72594740176815)*1+0.927016741366831*(O120*100))/100))</f>
        <v>0.5674148334</v>
      </c>
      <c r="AA120" s="16">
        <f t="shared" si="14"/>
        <v>-3.503164981</v>
      </c>
      <c r="AB120" s="5" t="b">
        <f t="shared" si="15"/>
        <v>1</v>
      </c>
      <c r="AC120" s="5">
        <f t="shared" si="16"/>
        <v>3.503164981</v>
      </c>
    </row>
    <row r="121" ht="15.0" customHeight="1">
      <c r="A121" s="5" t="s">
        <v>143</v>
      </c>
      <c r="B121" s="5" t="s">
        <v>170</v>
      </c>
      <c r="C121" s="5" t="s">
        <v>171</v>
      </c>
      <c r="D121" s="10">
        <f t="shared" si="1"/>
        <v>0.5386773049</v>
      </c>
      <c r="E121" s="10">
        <f>'Precinct Vote Data'!H473</f>
        <v>0.5509396637</v>
      </c>
      <c r="F121" s="16">
        <f t="shared" si="2"/>
        <v>-1.226235885</v>
      </c>
      <c r="G121" s="10">
        <f t="shared" si="3"/>
        <v>0.5824665676</v>
      </c>
      <c r="H121" s="16">
        <f t="shared" si="4"/>
        <v>3.152690391</v>
      </c>
      <c r="I121" s="5" t="b">
        <f t="shared" si="5"/>
        <v>1</v>
      </c>
      <c r="J121" s="5" t="b">
        <f t="shared" si="6"/>
        <v>1</v>
      </c>
      <c r="K121" s="15">
        <f t="shared" si="7"/>
        <v>2.227279775</v>
      </c>
      <c r="L121" s="10">
        <f t="shared" si="8"/>
        <v>0.5397656949</v>
      </c>
      <c r="M121" s="10">
        <f>'Precinct Vote Data'!H470</f>
        <v>0.6422628952</v>
      </c>
      <c r="N121" s="10">
        <f>'Precinct Vote Data'!H471</f>
        <v>0.5706914345</v>
      </c>
      <c r="O121" s="10">
        <f>'Precinct Vote Data'!H472</f>
        <v>0.5824665676</v>
      </c>
      <c r="U121" s="16">
        <f t="shared" si="9"/>
        <v>-1.117396877</v>
      </c>
      <c r="V121" s="5" t="b">
        <f t="shared" si="10"/>
        <v>1</v>
      </c>
      <c r="W121" s="5">
        <f t="shared" si="11"/>
        <v>1.226235885</v>
      </c>
      <c r="X121" s="5">
        <f t="shared" si="12"/>
        <v>3.152690391</v>
      </c>
      <c r="Y121" s="5">
        <f t="shared" si="13"/>
        <v>1.117396877</v>
      </c>
      <c r="Z121" s="10">
        <f>MIN(1,MAX(0,(5.3914776420524+0.021102849201698*'Precinct Vote Data'!I473*100+(-5.72594740176815)*1+0.927016741366831*(O121*100))/100))</f>
        <v>0.5404311776</v>
      </c>
      <c r="AA121" s="16">
        <f t="shared" si="14"/>
        <v>-1.050848613</v>
      </c>
      <c r="AB121" s="5" t="b">
        <f t="shared" si="15"/>
        <v>1</v>
      </c>
      <c r="AC121" s="5">
        <f t="shared" si="16"/>
        <v>1.050848613</v>
      </c>
    </row>
    <row r="122" ht="15.0" customHeight="1">
      <c r="A122" s="5" t="s">
        <v>143</v>
      </c>
      <c r="B122" s="5" t="s">
        <v>170</v>
      </c>
      <c r="C122" s="5" t="s">
        <v>172</v>
      </c>
      <c r="D122" s="10">
        <f t="shared" si="1"/>
        <v>0.4841117084</v>
      </c>
      <c r="E122" s="10">
        <f>'Precinct Vote Data'!H477</f>
        <v>0.4765306122</v>
      </c>
      <c r="F122" s="16">
        <f t="shared" si="2"/>
        <v>0.7581096202</v>
      </c>
      <c r="G122" s="10">
        <f t="shared" si="3"/>
        <v>0.5007496252</v>
      </c>
      <c r="H122" s="16">
        <f t="shared" si="4"/>
        <v>2.421901294</v>
      </c>
      <c r="I122" s="5" t="b">
        <f t="shared" si="5"/>
        <v>1</v>
      </c>
      <c r="J122" s="5" t="b">
        <f t="shared" si="6"/>
        <v>0</v>
      </c>
      <c r="K122" s="15">
        <f t="shared" si="7"/>
        <v>0.9956043285</v>
      </c>
      <c r="L122" s="10">
        <f t="shared" si="8"/>
        <v>0.4816621382</v>
      </c>
      <c r="M122" s="10">
        <f>'Precinct Vote Data'!H474</f>
        <v>0.5132192846</v>
      </c>
      <c r="N122" s="10">
        <f>'Precinct Vote Data'!H475</f>
        <v>0.4757751938</v>
      </c>
      <c r="O122" s="10">
        <f>'Precinct Vote Data'!H476</f>
        <v>0.5007496252</v>
      </c>
      <c r="U122" s="16">
        <f t="shared" si="9"/>
        <v>0.5131525977</v>
      </c>
      <c r="V122" s="5" t="b">
        <f t="shared" si="10"/>
        <v>1</v>
      </c>
      <c r="W122" s="5">
        <f t="shared" si="11"/>
        <v>0.7581096202</v>
      </c>
      <c r="X122" s="5">
        <f t="shared" si="12"/>
        <v>2.421901294</v>
      </c>
      <c r="Y122" s="5">
        <f t="shared" si="13"/>
        <v>0.5131525977</v>
      </c>
      <c r="Z122" s="10">
        <f>MIN(1,MAX(0,(5.3914776420524+0.021102849201698*'Precinct Vote Data'!I477*100+(-5.72594740176815)*1+0.927016741366831*(O122*100))/100))</f>
        <v>0.4624012065</v>
      </c>
      <c r="AA122" s="16">
        <f t="shared" si="14"/>
        <v>-1.412940578</v>
      </c>
      <c r="AB122" s="5" t="b">
        <f t="shared" si="15"/>
        <v>1</v>
      </c>
      <c r="AC122" s="5">
        <f t="shared" si="16"/>
        <v>1.412940578</v>
      </c>
    </row>
    <row r="123" ht="15.0" customHeight="1">
      <c r="A123" s="5" t="s">
        <v>143</v>
      </c>
      <c r="B123" s="5" t="s">
        <v>170</v>
      </c>
      <c r="C123" s="5" t="s">
        <v>173</v>
      </c>
      <c r="D123" s="10">
        <f t="shared" si="1"/>
        <v>0.4816464545</v>
      </c>
      <c r="E123" s="10">
        <f>'Precinct Vote Data'!H481</f>
        <v>0.5056603774</v>
      </c>
      <c r="F123" s="16">
        <f t="shared" si="2"/>
        <v>-2.401392288</v>
      </c>
      <c r="G123" s="10">
        <f t="shared" si="3"/>
        <v>0.5311688312</v>
      </c>
      <c r="H123" s="16">
        <f t="shared" si="4"/>
        <v>2.550845381</v>
      </c>
      <c r="I123" s="5" t="b">
        <f t="shared" si="5"/>
        <v>0</v>
      </c>
      <c r="J123" s="5" t="b">
        <f t="shared" si="6"/>
        <v>1</v>
      </c>
      <c r="K123" s="15">
        <f t="shared" si="7"/>
        <v>2.652315738</v>
      </c>
      <c r="L123" s="10">
        <f t="shared" si="8"/>
        <v>0.4803192711</v>
      </c>
      <c r="M123" s="10">
        <f>'Precinct Vote Data'!H478</f>
        <v>0.5896358543</v>
      </c>
      <c r="N123" s="10">
        <f>'Precinct Vote Data'!H479</f>
        <v>0.4995357474</v>
      </c>
      <c r="O123" s="10">
        <f>'Precinct Vote Data'!H480</f>
        <v>0.5311688312</v>
      </c>
      <c r="U123" s="16">
        <f t="shared" si="9"/>
        <v>-2.534110623</v>
      </c>
      <c r="V123" s="5" t="b">
        <f t="shared" si="10"/>
        <v>0</v>
      </c>
      <c r="W123" s="5">
        <f t="shared" si="11"/>
        <v>2.401392288</v>
      </c>
      <c r="X123" s="5">
        <f t="shared" si="12"/>
        <v>2.550845381</v>
      </c>
      <c r="Y123" s="5">
        <f t="shared" si="13"/>
        <v>2.534110623</v>
      </c>
      <c r="Z123" s="10">
        <f>MIN(1,MAX(0,(5.3914776420524+0.021102849201698*'Precinct Vote Data'!I481*100+(-5.72594740176815)*1+0.927016741366831*(O123*100))/100))</f>
        <v>0.490047425</v>
      </c>
      <c r="AA123" s="16">
        <f t="shared" si="14"/>
        <v>-1.561295234</v>
      </c>
      <c r="AB123" s="5" t="b">
        <f t="shared" si="15"/>
        <v>0</v>
      </c>
      <c r="AC123" s="5">
        <f t="shared" si="16"/>
        <v>1.561295234</v>
      </c>
    </row>
    <row r="124" ht="15.0" customHeight="1">
      <c r="A124" s="5" t="s">
        <v>143</v>
      </c>
      <c r="B124" s="5" t="s">
        <v>174</v>
      </c>
      <c r="C124" s="5" t="s">
        <v>175</v>
      </c>
      <c r="D124" s="10">
        <f t="shared" si="1"/>
        <v>0.4795914723</v>
      </c>
      <c r="E124" s="10">
        <f>'Precinct Vote Data'!H485</f>
        <v>0.477582846</v>
      </c>
      <c r="F124" s="16">
        <f t="shared" si="2"/>
        <v>0.2008626317</v>
      </c>
      <c r="G124" s="10">
        <f t="shared" si="3"/>
        <v>0.5094339623</v>
      </c>
      <c r="H124" s="16">
        <f t="shared" si="4"/>
        <v>3.185111626</v>
      </c>
      <c r="I124" s="5" t="b">
        <f t="shared" si="5"/>
        <v>1</v>
      </c>
      <c r="J124" s="5" t="b">
        <f t="shared" si="6"/>
        <v>0</v>
      </c>
      <c r="K124" s="15">
        <f t="shared" si="7"/>
        <v>1.74012566</v>
      </c>
      <c r="L124" s="10">
        <f t="shared" si="8"/>
        <v>0.4760726912</v>
      </c>
      <c r="M124" s="10">
        <f>'Precinct Vote Data'!H482</f>
        <v>0.5349322211</v>
      </c>
      <c r="N124" s="10">
        <f>'Precinct Vote Data'!H483</f>
        <v>0.47090301</v>
      </c>
      <c r="O124" s="10">
        <f>'Precinct Vote Data'!H484</f>
        <v>0.5094339623</v>
      </c>
      <c r="U124" s="16">
        <f t="shared" si="9"/>
        <v>-0.1510154789</v>
      </c>
      <c r="V124" s="5" t="b">
        <f t="shared" si="10"/>
        <v>1</v>
      </c>
      <c r="W124" s="5">
        <f t="shared" si="11"/>
        <v>0.2008626317</v>
      </c>
      <c r="X124" s="5">
        <f t="shared" si="12"/>
        <v>3.185111626</v>
      </c>
      <c r="Y124" s="5">
        <f t="shared" si="13"/>
        <v>0.1510154789</v>
      </c>
      <c r="Z124" s="10">
        <f>MIN(1,MAX(0,(5.3914776420524+0.021102849201698*'Precinct Vote Data'!I485*100+(-5.72594740176815)*1+0.927016741366831*(O124*100))/100))</f>
        <v>0.4667502926</v>
      </c>
      <c r="AA124" s="16">
        <f t="shared" si="14"/>
        <v>-1.083255343</v>
      </c>
      <c r="AB124" s="5" t="b">
        <f t="shared" si="15"/>
        <v>1</v>
      </c>
      <c r="AC124" s="5">
        <f t="shared" si="16"/>
        <v>1.083255343</v>
      </c>
    </row>
    <row r="125" ht="15.0" customHeight="1">
      <c r="A125" s="5" t="s">
        <v>143</v>
      </c>
      <c r="B125" s="5" t="s">
        <v>176</v>
      </c>
      <c r="C125" s="5" t="s">
        <v>177</v>
      </c>
      <c r="D125" s="10">
        <f t="shared" si="1"/>
        <v>0.4868089277</v>
      </c>
      <c r="E125" s="10">
        <f>'Precinct Vote Data'!H489</f>
        <v>0.4927152318</v>
      </c>
      <c r="F125" s="16">
        <f t="shared" si="2"/>
        <v>-0.5906304117</v>
      </c>
      <c r="G125" s="10">
        <f t="shared" si="3"/>
        <v>0.5254545455</v>
      </c>
      <c r="H125" s="16">
        <f t="shared" si="4"/>
        <v>3.273931367</v>
      </c>
      <c r="I125" s="5" t="b">
        <f t="shared" si="5"/>
        <v>1</v>
      </c>
      <c r="J125" s="5" t="b">
        <f t="shared" si="6"/>
        <v>0</v>
      </c>
      <c r="K125" s="15">
        <f t="shared" si="7"/>
        <v>2.11714162</v>
      </c>
      <c r="L125" s="10">
        <f t="shared" si="8"/>
        <v>0.484865215</v>
      </c>
      <c r="M125" s="10">
        <f>'Precinct Vote Data'!H486</f>
        <v>0.5678294574</v>
      </c>
      <c r="N125" s="10">
        <f>'Precinct Vote Data'!H487</f>
        <v>0.4942675159</v>
      </c>
      <c r="O125" s="10">
        <f>'Precinct Vote Data'!H488</f>
        <v>0.5254545455</v>
      </c>
      <c r="U125" s="16">
        <f t="shared" si="9"/>
        <v>-0.785001678</v>
      </c>
      <c r="V125" s="5" t="b">
        <f t="shared" si="10"/>
        <v>1</v>
      </c>
      <c r="W125" s="5">
        <f t="shared" si="11"/>
        <v>0.5906304117</v>
      </c>
      <c r="X125" s="5">
        <f t="shared" si="12"/>
        <v>3.273931367</v>
      </c>
      <c r="Y125" s="5">
        <f t="shared" si="13"/>
        <v>0.785001678</v>
      </c>
      <c r="Z125" s="10">
        <f>MIN(1,MAX(0,(5.3914776420524+0.021102849201698*'Precinct Vote Data'!I489*100+(-5.72594740176815)*1+0.927016741366831*(O125*100))/100))</f>
        <v>0.4853030811</v>
      </c>
      <c r="AA125" s="16">
        <f t="shared" si="14"/>
        <v>-0.7412150645</v>
      </c>
      <c r="AB125" s="5" t="b">
        <f t="shared" si="15"/>
        <v>1</v>
      </c>
      <c r="AC125" s="5">
        <f t="shared" si="16"/>
        <v>0.7412150645</v>
      </c>
    </row>
    <row r="126" ht="15.0" customHeight="1">
      <c r="A126" s="5" t="s">
        <v>143</v>
      </c>
      <c r="B126" s="5" t="s">
        <v>176</v>
      </c>
      <c r="C126" s="5" t="s">
        <v>178</v>
      </c>
      <c r="D126" s="10">
        <f t="shared" si="1"/>
        <v>0.5158760747</v>
      </c>
      <c r="E126" s="10">
        <f>'Precinct Vote Data'!H493</f>
        <v>0.5057581574</v>
      </c>
      <c r="F126" s="16">
        <f t="shared" si="2"/>
        <v>1.011791733</v>
      </c>
      <c r="G126" s="10">
        <f t="shared" si="3"/>
        <v>0.5381526104</v>
      </c>
      <c r="H126" s="16">
        <f t="shared" si="4"/>
        <v>3.239445305</v>
      </c>
      <c r="I126" s="5" t="b">
        <f t="shared" si="5"/>
        <v>1</v>
      </c>
      <c r="J126" s="5" t="b">
        <f t="shared" si="6"/>
        <v>1</v>
      </c>
      <c r="K126" s="15">
        <f t="shared" si="7"/>
        <v>1.303059525</v>
      </c>
      <c r="L126" s="10">
        <f t="shared" si="8"/>
        <v>0.5131706663</v>
      </c>
      <c r="M126" s="10">
        <f>'Precinct Vote Data'!H490</f>
        <v>0.5569044006</v>
      </c>
      <c r="N126" s="10">
        <f>'Precinct Vote Data'!H491</f>
        <v>0.5088265836</v>
      </c>
      <c r="O126" s="10">
        <f>'Precinct Vote Data'!H492</f>
        <v>0.5381526104</v>
      </c>
      <c r="U126" s="16">
        <f t="shared" si="9"/>
        <v>0.7412508936</v>
      </c>
      <c r="V126" s="5" t="b">
        <f t="shared" si="10"/>
        <v>1</v>
      </c>
      <c r="W126" s="5">
        <f t="shared" si="11"/>
        <v>1.011791733</v>
      </c>
      <c r="X126" s="5">
        <f t="shared" si="12"/>
        <v>3.239445305</v>
      </c>
      <c r="Y126" s="5">
        <f t="shared" si="13"/>
        <v>0.7412508936</v>
      </c>
      <c r="Z126" s="10">
        <f>MIN(1,MAX(0,(5.3914776420524+0.021102849201698*'Precinct Vote Data'!I493*100+(-5.72594740176815)*1+0.927016741366831*(O126*100))/100))</f>
        <v>0.4980219179</v>
      </c>
      <c r="AA126" s="16">
        <f t="shared" si="14"/>
        <v>-0.7736239491</v>
      </c>
      <c r="AB126" s="5" t="b">
        <f t="shared" si="15"/>
        <v>0</v>
      </c>
      <c r="AC126" s="5">
        <f t="shared" si="16"/>
        <v>0.7736239491</v>
      </c>
    </row>
    <row r="127" ht="15.0" customHeight="1">
      <c r="A127" s="5" t="s">
        <v>143</v>
      </c>
      <c r="B127" s="5" t="s">
        <v>179</v>
      </c>
      <c r="C127" s="5" t="s">
        <v>180</v>
      </c>
      <c r="D127" s="10">
        <f t="shared" si="1"/>
        <v>0.5433782419</v>
      </c>
      <c r="E127" s="10">
        <f>'Precinct Vote Data'!H497</f>
        <v>0.5306893296</v>
      </c>
      <c r="F127" s="16">
        <f t="shared" si="2"/>
        <v>1.268891239</v>
      </c>
      <c r="G127" s="10">
        <f t="shared" si="3"/>
        <v>0.5562347188</v>
      </c>
      <c r="H127" s="16">
        <f t="shared" si="4"/>
        <v>2.554538927</v>
      </c>
      <c r="I127" s="5" t="b">
        <f t="shared" si="5"/>
        <v>1</v>
      </c>
      <c r="J127" s="5" t="b">
        <f t="shared" si="6"/>
        <v>1</v>
      </c>
      <c r="K127" s="15">
        <f t="shared" si="7"/>
        <v>0.6608773888</v>
      </c>
      <c r="L127" s="10">
        <f t="shared" si="8"/>
        <v>0.5435645363</v>
      </c>
      <c r="M127" s="10">
        <f>'Precinct Vote Data'!H494</f>
        <v>0.573313783</v>
      </c>
      <c r="N127" s="10">
        <f>'Precinct Vote Data'!H495</f>
        <v>0.5518234165</v>
      </c>
      <c r="O127" s="10">
        <f>'Precinct Vote Data'!H496</f>
        <v>0.5562347188</v>
      </c>
      <c r="U127" s="16">
        <f t="shared" si="9"/>
        <v>1.287520677</v>
      </c>
      <c r="V127" s="5" t="b">
        <f t="shared" si="10"/>
        <v>1</v>
      </c>
      <c r="W127" s="5">
        <f t="shared" si="11"/>
        <v>1.268891239</v>
      </c>
      <c r="X127" s="5">
        <f t="shared" si="12"/>
        <v>2.554538927</v>
      </c>
      <c r="Y127" s="5">
        <f t="shared" si="13"/>
        <v>1.287520677</v>
      </c>
      <c r="Z127" s="10">
        <f>MIN(1,MAX(0,(5.3914776420524+0.021102849201698*'Precinct Vote Data'!I497*100+(-5.72594740176815)*1+0.927016741366831*(O127*100))/100))</f>
        <v>0.5138621406</v>
      </c>
      <c r="AA127" s="16">
        <f t="shared" si="14"/>
        <v>-1.682718898</v>
      </c>
      <c r="AB127" s="5" t="b">
        <f t="shared" si="15"/>
        <v>1</v>
      </c>
      <c r="AC127" s="5">
        <f t="shared" si="16"/>
        <v>1.682718898</v>
      </c>
    </row>
    <row r="128" ht="15.0" customHeight="1">
      <c r="A128" s="5" t="s">
        <v>143</v>
      </c>
      <c r="B128" s="5" t="s">
        <v>179</v>
      </c>
      <c r="C128" s="5" t="s">
        <v>181</v>
      </c>
      <c r="D128" s="10">
        <f t="shared" si="1"/>
        <v>0.5559605888</v>
      </c>
      <c r="E128" s="10">
        <f>'Precinct Vote Data'!H501</f>
        <v>0.5265116279</v>
      </c>
      <c r="F128" s="16">
        <f t="shared" si="2"/>
        <v>2.944896092</v>
      </c>
      <c r="G128" s="10">
        <f t="shared" si="3"/>
        <v>0.5552795031</v>
      </c>
      <c r="H128" s="16">
        <f t="shared" si="4"/>
        <v>2.87678752</v>
      </c>
      <c r="I128" s="5" t="b">
        <f t="shared" si="5"/>
        <v>1</v>
      </c>
      <c r="J128" s="5" t="b">
        <f t="shared" si="6"/>
        <v>1</v>
      </c>
      <c r="K128" s="15">
        <f t="shared" si="7"/>
        <v>0.1501386513</v>
      </c>
      <c r="L128" s="10">
        <f t="shared" si="8"/>
        <v>0.552401081</v>
      </c>
      <c r="M128" s="10">
        <f>'Precinct Vote Data'!H498</f>
        <v>0.5416666667</v>
      </c>
      <c r="N128" s="10">
        <f>'Precinct Vote Data'!H499</f>
        <v>0.5300970874</v>
      </c>
      <c r="O128" s="10">
        <f>'Precinct Vote Data'!H500</f>
        <v>0.5552795031</v>
      </c>
      <c r="U128" s="16">
        <f t="shared" si="9"/>
        <v>2.588945305</v>
      </c>
      <c r="V128" s="5" t="b">
        <f t="shared" si="10"/>
        <v>1</v>
      </c>
      <c r="W128" s="5">
        <f t="shared" si="11"/>
        <v>2.944896092</v>
      </c>
      <c r="X128" s="5">
        <f t="shared" si="12"/>
        <v>2.87678752</v>
      </c>
      <c r="Y128" s="5">
        <f t="shared" si="13"/>
        <v>2.588945305</v>
      </c>
      <c r="Z128" s="10">
        <f>MIN(1,MAX(0,(5.3914776420524+0.021102849201698*'Precinct Vote Data'!I501*100+(-5.72594740176815)*1+0.927016741366831*(O128*100))/100))</f>
        <v>0.5126959717</v>
      </c>
      <c r="AA128" s="16">
        <f t="shared" si="14"/>
        <v>-1.381565619</v>
      </c>
      <c r="AB128" s="5" t="b">
        <f t="shared" si="15"/>
        <v>1</v>
      </c>
      <c r="AC128" s="5">
        <f t="shared" si="16"/>
        <v>1.381565619</v>
      </c>
    </row>
    <row r="129" ht="15.0" customHeight="1">
      <c r="A129" s="5" t="s">
        <v>143</v>
      </c>
      <c r="B129" s="5" t="s">
        <v>179</v>
      </c>
      <c r="C129" s="5" t="s">
        <v>182</v>
      </c>
      <c r="D129" s="10">
        <f t="shared" si="1"/>
        <v>0.5122131954</v>
      </c>
      <c r="E129" s="10">
        <f>'Precinct Vote Data'!H505</f>
        <v>0.5076828519</v>
      </c>
      <c r="F129" s="16">
        <f t="shared" si="2"/>
        <v>0.4530343557</v>
      </c>
      <c r="G129" s="10">
        <f t="shared" si="3"/>
        <v>0.5166340509</v>
      </c>
      <c r="H129" s="16">
        <f t="shared" si="4"/>
        <v>0.8951199006</v>
      </c>
      <c r="I129" s="5" t="b">
        <f t="shared" si="5"/>
        <v>1</v>
      </c>
      <c r="J129" s="5" t="b">
        <f t="shared" si="6"/>
        <v>1</v>
      </c>
      <c r="K129" s="15">
        <f t="shared" si="7"/>
        <v>0.5048084951</v>
      </c>
      <c r="L129" s="10">
        <f t="shared" si="8"/>
        <v>0.5069559837</v>
      </c>
      <c r="M129" s="10">
        <f>'Precinct Vote Data'!H502</f>
        <v>0.5034562212</v>
      </c>
      <c r="N129" s="10">
        <f>'Precinct Vote Data'!H503</f>
        <v>0.4770158252</v>
      </c>
      <c r="O129" s="10">
        <f>'Precinct Vote Data'!H504</f>
        <v>0.5166340509</v>
      </c>
      <c r="U129" s="16">
        <f t="shared" si="9"/>
        <v>-0.07268681683</v>
      </c>
      <c r="V129" s="5" t="b">
        <f t="shared" si="10"/>
        <v>1</v>
      </c>
      <c r="W129" s="5">
        <f t="shared" si="11"/>
        <v>0.4530343557</v>
      </c>
      <c r="X129" s="5">
        <f t="shared" si="12"/>
        <v>0.8951199006</v>
      </c>
      <c r="Y129" s="5">
        <f t="shared" si="13"/>
        <v>0.07268681683</v>
      </c>
      <c r="Z129" s="10">
        <f>MIN(1,MAX(0,(5.3914776420524+0.021102849201698*'Precinct Vote Data'!I505*100+(-5.72594740176815)*1+0.927016741366831*(O129*100))/100))</f>
        <v>0.4762315742</v>
      </c>
      <c r="AA129" s="16">
        <f t="shared" si="14"/>
        <v>-3.145127767</v>
      </c>
      <c r="AB129" s="5" t="b">
        <f t="shared" si="15"/>
        <v>0</v>
      </c>
      <c r="AC129" s="5">
        <f t="shared" si="16"/>
        <v>3.145127767</v>
      </c>
    </row>
    <row r="130" ht="15.0" customHeight="1">
      <c r="A130" s="5" t="s">
        <v>143</v>
      </c>
      <c r="B130" s="5" t="s">
        <v>179</v>
      </c>
      <c r="C130" s="5" t="s">
        <v>183</v>
      </c>
      <c r="D130" s="10">
        <f t="shared" si="1"/>
        <v>0.5711141177</v>
      </c>
      <c r="E130" s="10">
        <f>'Precinct Vote Data'!H509</f>
        <v>0.541864139</v>
      </c>
      <c r="F130" s="16">
        <f t="shared" si="2"/>
        <v>2.924997863</v>
      </c>
      <c r="G130" s="10">
        <f t="shared" si="3"/>
        <v>0.5870307167</v>
      </c>
      <c r="H130" s="16">
        <f t="shared" si="4"/>
        <v>4.51665777</v>
      </c>
      <c r="I130" s="5" t="b">
        <f t="shared" si="5"/>
        <v>1</v>
      </c>
      <c r="J130" s="5" t="b">
        <f t="shared" si="6"/>
        <v>1</v>
      </c>
      <c r="K130" s="15">
        <f t="shared" si="7"/>
        <v>1.005705513</v>
      </c>
      <c r="L130" s="10">
        <f t="shared" si="8"/>
        <v>0.5677495723</v>
      </c>
      <c r="M130" s="10">
        <f>'Precinct Vote Data'!H506</f>
        <v>0.5953038674</v>
      </c>
      <c r="N130" s="10">
        <f>'Precinct Vote Data'!H507</f>
        <v>0.5558272209</v>
      </c>
      <c r="O130" s="10">
        <f>'Precinct Vote Data'!H508</f>
        <v>0.5870307167</v>
      </c>
      <c r="U130" s="16">
        <f t="shared" si="9"/>
        <v>2.588543325</v>
      </c>
      <c r="V130" s="5" t="b">
        <f t="shared" si="10"/>
        <v>1</v>
      </c>
      <c r="W130" s="5">
        <f t="shared" si="11"/>
        <v>2.924997863</v>
      </c>
      <c r="X130" s="5">
        <f t="shared" si="12"/>
        <v>4.51665777</v>
      </c>
      <c r="Y130" s="5">
        <f t="shared" si="13"/>
        <v>2.588543325</v>
      </c>
      <c r="Z130" s="10">
        <f>MIN(1,MAX(0,(5.3914776420524+0.021102849201698*'Precinct Vote Data'!I509*100+(-5.72594740176815)*1+0.927016741366831*(O130*100))/100))</f>
        <v>0.5428452649</v>
      </c>
      <c r="AA130" s="16">
        <f t="shared" si="14"/>
        <v>0.09811258708</v>
      </c>
      <c r="AB130" s="5" t="b">
        <f t="shared" si="15"/>
        <v>1</v>
      </c>
      <c r="AC130" s="5">
        <f t="shared" si="16"/>
        <v>0.09811258708</v>
      </c>
    </row>
    <row r="131" ht="15.0" customHeight="1">
      <c r="A131" s="5" t="s">
        <v>143</v>
      </c>
      <c r="B131" s="5" t="s">
        <v>179</v>
      </c>
      <c r="C131" s="5" t="s">
        <v>184</v>
      </c>
      <c r="D131" s="10">
        <f t="shared" si="1"/>
        <v>0.5195907657</v>
      </c>
      <c r="E131" s="10">
        <f>'Precinct Vote Data'!H513</f>
        <v>0.494047619</v>
      </c>
      <c r="F131" s="16">
        <f t="shared" si="2"/>
        <v>2.554314665</v>
      </c>
      <c r="G131" s="10">
        <f t="shared" si="3"/>
        <v>0.5306859206</v>
      </c>
      <c r="H131" s="16">
        <f t="shared" si="4"/>
        <v>3.663830153</v>
      </c>
      <c r="I131" s="5" t="b">
        <f t="shared" si="5"/>
        <v>0</v>
      </c>
      <c r="J131" s="5" t="b">
        <f t="shared" si="6"/>
        <v>0</v>
      </c>
      <c r="K131" s="15">
        <f t="shared" si="7"/>
        <v>0.8158877351</v>
      </c>
      <c r="L131" s="10">
        <f t="shared" si="8"/>
        <v>0.515043917</v>
      </c>
      <c r="M131" s="10">
        <f>'Precinct Vote Data'!H510</f>
        <v>0.5285714286</v>
      </c>
      <c r="N131" s="10">
        <f>'Precinct Vote Data'!H511</f>
        <v>0.4931714719</v>
      </c>
      <c r="O131" s="10">
        <f>'Precinct Vote Data'!H512</f>
        <v>0.5306859206</v>
      </c>
      <c r="U131" s="16">
        <f t="shared" si="9"/>
        <v>2.099629791</v>
      </c>
      <c r="V131" s="5" t="b">
        <f t="shared" si="10"/>
        <v>0</v>
      </c>
      <c r="W131" s="5">
        <f t="shared" si="11"/>
        <v>2.554314665</v>
      </c>
      <c r="X131" s="5">
        <f t="shared" si="12"/>
        <v>3.663830153</v>
      </c>
      <c r="Y131" s="5">
        <f t="shared" si="13"/>
        <v>2.099629791</v>
      </c>
      <c r="Z131" s="10">
        <f>MIN(1,MAX(0,(5.3914776420524+0.021102849201698*'Precinct Vote Data'!I513*100+(-5.72594740176815)*1+0.927016741366831*(O131*100))/100))</f>
        <v>0.4884243301</v>
      </c>
      <c r="AA131" s="16">
        <f t="shared" si="14"/>
        <v>-0.5623288935</v>
      </c>
      <c r="AB131" s="5" t="b">
        <f t="shared" si="15"/>
        <v>1</v>
      </c>
      <c r="AC131" s="5">
        <f t="shared" si="16"/>
        <v>0.5623288935</v>
      </c>
    </row>
    <row r="132" ht="15.0" customHeight="1">
      <c r="A132" s="5" t="s">
        <v>143</v>
      </c>
      <c r="B132" s="5" t="s">
        <v>179</v>
      </c>
      <c r="C132" s="5" t="s">
        <v>185</v>
      </c>
      <c r="D132" s="10">
        <f t="shared" si="1"/>
        <v>0.577427243</v>
      </c>
      <c r="E132" s="10">
        <f>'Precinct Vote Data'!H517</f>
        <v>0.5758333333</v>
      </c>
      <c r="F132" s="16">
        <f t="shared" si="2"/>
        <v>0.1593909705</v>
      </c>
      <c r="G132" s="10">
        <f t="shared" si="3"/>
        <v>0.5904572565</v>
      </c>
      <c r="H132" s="16">
        <f t="shared" si="4"/>
        <v>1.462392313</v>
      </c>
      <c r="I132" s="5" t="b">
        <f t="shared" si="5"/>
        <v>1</v>
      </c>
      <c r="J132" s="5" t="b">
        <f t="shared" si="6"/>
        <v>1</v>
      </c>
      <c r="K132" s="15">
        <f t="shared" si="7"/>
        <v>1.056636915</v>
      </c>
      <c r="L132" s="10">
        <f t="shared" si="8"/>
        <v>0.5701996674</v>
      </c>
      <c r="M132" s="10">
        <f>'Precinct Vote Data'!H514</f>
        <v>0.5812154696</v>
      </c>
      <c r="N132" s="10">
        <f>'Precinct Vote Data'!H515</f>
        <v>0.5328836425</v>
      </c>
      <c r="O132" s="10">
        <f>'Precinct Vote Data'!H516</f>
        <v>0.5904572565</v>
      </c>
      <c r="U132" s="16">
        <f t="shared" si="9"/>
        <v>-0.5633665923</v>
      </c>
      <c r="V132" s="5" t="b">
        <f t="shared" si="10"/>
        <v>1</v>
      </c>
      <c r="W132" s="5">
        <f t="shared" si="11"/>
        <v>0.1593909705</v>
      </c>
      <c r="X132" s="5">
        <f t="shared" si="12"/>
        <v>1.462392313</v>
      </c>
      <c r="Y132" s="5">
        <f t="shared" si="13"/>
        <v>0.5633665923</v>
      </c>
      <c r="Z132" s="10">
        <f>MIN(1,MAX(0,(5.3914776420524+0.021102849201698*'Precinct Vote Data'!I517*100+(-5.72594740176815)*1+0.927016741366831*(O132*100))/100))</f>
        <v>0.5458381298</v>
      </c>
      <c r="AA132" s="16">
        <f t="shared" si="14"/>
        <v>-2.999520353</v>
      </c>
      <c r="AB132" s="5" t="b">
        <f t="shared" si="15"/>
        <v>1</v>
      </c>
      <c r="AC132" s="5">
        <f t="shared" si="16"/>
        <v>2.999520353</v>
      </c>
    </row>
    <row r="133" ht="15.0" customHeight="1">
      <c r="A133" s="5" t="s">
        <v>143</v>
      </c>
      <c r="B133" s="5" t="s">
        <v>186</v>
      </c>
      <c r="C133" s="5" t="s">
        <v>187</v>
      </c>
      <c r="D133" s="10">
        <f t="shared" si="1"/>
        <v>0.7078770889</v>
      </c>
      <c r="E133" s="10">
        <f>'Precinct Vote Data'!H521</f>
        <v>0.6647531573</v>
      </c>
      <c r="F133" s="16">
        <f t="shared" si="2"/>
        <v>4.312393162</v>
      </c>
      <c r="G133" s="10">
        <f t="shared" si="3"/>
        <v>0.7232924694</v>
      </c>
      <c r="H133" s="16">
        <f t="shared" si="4"/>
        <v>5.853931206</v>
      </c>
      <c r="I133" s="5" t="b">
        <f t="shared" si="5"/>
        <v>1</v>
      </c>
      <c r="J133" s="5" t="b">
        <f t="shared" si="6"/>
        <v>1</v>
      </c>
      <c r="K133" s="15">
        <f t="shared" si="7"/>
        <v>0.9393461007</v>
      </c>
      <c r="L133" s="10">
        <f t="shared" si="8"/>
        <v>0.7052835516</v>
      </c>
      <c r="M133" s="10">
        <f>'Precinct Vote Data'!H518</f>
        <v>0.733686067</v>
      </c>
      <c r="N133" s="10">
        <f>'Precinct Vote Data'!H519</f>
        <v>0.6978335234</v>
      </c>
      <c r="O133" s="10">
        <f>'Precinct Vote Data'!H520</f>
        <v>0.7232924694</v>
      </c>
      <c r="U133" s="16">
        <f t="shared" si="9"/>
        <v>4.053039432</v>
      </c>
      <c r="V133" s="5" t="b">
        <f t="shared" si="10"/>
        <v>1</v>
      </c>
      <c r="W133" s="5">
        <f t="shared" si="11"/>
        <v>4.312393162</v>
      </c>
      <c r="X133" s="5">
        <f t="shared" si="12"/>
        <v>5.853931206</v>
      </c>
      <c r="Y133" s="5">
        <f t="shared" si="13"/>
        <v>4.053039432</v>
      </c>
      <c r="Z133" s="10">
        <f>MIN(1,MAX(0,(5.3914776420524+0.021102849201698*'Precinct Vote Data'!I521*100+(-5.72594740176815)*1+0.927016741366831*(O133*100))/100))</f>
        <v>0.6743429403</v>
      </c>
      <c r="AA133" s="16">
        <f t="shared" si="14"/>
        <v>0.9589782975</v>
      </c>
      <c r="AB133" s="5" t="b">
        <f t="shared" si="15"/>
        <v>1</v>
      </c>
      <c r="AC133" s="5">
        <f t="shared" si="16"/>
        <v>0.9589782975</v>
      </c>
    </row>
    <row r="134" ht="15.0" customHeight="1">
      <c r="A134" s="5" t="s">
        <v>143</v>
      </c>
      <c r="B134" s="5" t="s">
        <v>186</v>
      </c>
      <c r="C134" s="5" t="s">
        <v>188</v>
      </c>
      <c r="D134" s="10">
        <f t="shared" si="1"/>
        <v>0.6273332033</v>
      </c>
      <c r="E134" s="10">
        <f>'Precinct Vote Data'!H525</f>
        <v>0.6267806268</v>
      </c>
      <c r="F134" s="16">
        <f t="shared" si="2"/>
        <v>0.05525765411</v>
      </c>
      <c r="G134" s="10">
        <f t="shared" si="3"/>
        <v>0.6419491525</v>
      </c>
      <c r="H134" s="16">
        <f t="shared" si="4"/>
        <v>1.516852576</v>
      </c>
      <c r="I134" s="5" t="b">
        <f t="shared" si="5"/>
        <v>1</v>
      </c>
      <c r="J134" s="5" t="b">
        <f t="shared" si="6"/>
        <v>1</v>
      </c>
      <c r="K134" s="15">
        <f t="shared" si="7"/>
        <v>0.635157962</v>
      </c>
      <c r="L134" s="10">
        <f t="shared" si="8"/>
        <v>0.6297720567</v>
      </c>
      <c r="M134" s="10">
        <f>'Precinct Vote Data'!H522</f>
        <v>0.6693386774</v>
      </c>
      <c r="N134" s="10">
        <f>'Precinct Vote Data'!H523</f>
        <v>0.6528803545</v>
      </c>
      <c r="O134" s="10">
        <f>'Precinct Vote Data'!H524</f>
        <v>0.6419491525</v>
      </c>
      <c r="U134" s="16">
        <f t="shared" si="9"/>
        <v>0.2991429929</v>
      </c>
      <c r="V134" s="5" t="b">
        <f t="shared" si="10"/>
        <v>1</v>
      </c>
      <c r="W134" s="5">
        <f t="shared" si="11"/>
        <v>0.05525765411</v>
      </c>
      <c r="X134" s="5">
        <f t="shared" si="12"/>
        <v>1.516852576</v>
      </c>
      <c r="Y134" s="5">
        <f t="shared" si="13"/>
        <v>0.2991429929</v>
      </c>
      <c r="Z134" s="10">
        <f>MIN(1,MAX(0,(5.3914776420524+0.021102849201698*'Precinct Vote Data'!I525*100+(-5.72594740176815)*1+0.927016741366831*(O134*100))/100))</f>
        <v>0.599071382</v>
      </c>
      <c r="AA134" s="16">
        <f t="shared" si="14"/>
        <v>-2.770924476</v>
      </c>
      <c r="AB134" s="5" t="b">
        <f t="shared" si="15"/>
        <v>1</v>
      </c>
      <c r="AC134" s="5">
        <f t="shared" si="16"/>
        <v>2.770924476</v>
      </c>
    </row>
    <row r="135" ht="15.0" customHeight="1">
      <c r="A135" s="5" t="s">
        <v>143</v>
      </c>
      <c r="B135" s="5" t="s">
        <v>186</v>
      </c>
      <c r="C135" s="5" t="s">
        <v>189</v>
      </c>
      <c r="D135" s="10">
        <f t="shared" si="1"/>
        <v>0.687248142</v>
      </c>
      <c r="E135" s="10">
        <f>'Precinct Vote Data'!H529</f>
        <v>0.6339969372</v>
      </c>
      <c r="F135" s="16">
        <f t="shared" si="2"/>
        <v>5.32512048</v>
      </c>
      <c r="G135" s="10">
        <f t="shared" si="3"/>
        <v>0.6996047431</v>
      </c>
      <c r="H135" s="16">
        <f t="shared" si="4"/>
        <v>6.560780587</v>
      </c>
      <c r="I135" s="5" t="b">
        <f t="shared" si="5"/>
        <v>1</v>
      </c>
      <c r="J135" s="5" t="b">
        <f t="shared" si="6"/>
        <v>1</v>
      </c>
      <c r="K135" s="15">
        <f t="shared" si="7"/>
        <v>1.016119316</v>
      </c>
      <c r="L135" s="10">
        <f t="shared" si="8"/>
        <v>0.6801239477</v>
      </c>
      <c r="M135" s="10">
        <f>'Precinct Vote Data'!H526</f>
        <v>0.6898734177</v>
      </c>
      <c r="N135" s="10">
        <f>'Precinct Vote Data'!H527</f>
        <v>0.6430722892</v>
      </c>
      <c r="O135" s="10">
        <f>'Precinct Vote Data'!H528</f>
        <v>0.6996047431</v>
      </c>
      <c r="U135" s="16">
        <f t="shared" si="9"/>
        <v>4.61270105</v>
      </c>
      <c r="V135" s="5" t="b">
        <f t="shared" si="10"/>
        <v>1</v>
      </c>
      <c r="W135" s="5">
        <f t="shared" si="11"/>
        <v>5.32512048</v>
      </c>
      <c r="X135" s="5">
        <f t="shared" si="12"/>
        <v>6.560780587</v>
      </c>
      <c r="Y135" s="5">
        <f t="shared" si="13"/>
        <v>4.61270105</v>
      </c>
      <c r="Z135" s="10">
        <f>MIN(1,MAX(0,(5.3914776420524+0.021102849201698*'Precinct Vote Data'!I529*100+(-5.72594740176815)*1+0.927016741366831*(O135*100))/100))</f>
        <v>0.6508287415</v>
      </c>
      <c r="AA135" s="16">
        <f t="shared" si="14"/>
        <v>1.683180425</v>
      </c>
      <c r="AB135" s="5" t="b">
        <f t="shared" si="15"/>
        <v>1</v>
      </c>
      <c r="AC135" s="5">
        <f t="shared" si="16"/>
        <v>1.683180425</v>
      </c>
    </row>
    <row r="136" ht="15.0" customHeight="1">
      <c r="A136" s="5" t="s">
        <v>143</v>
      </c>
      <c r="B136" s="5" t="s">
        <v>190</v>
      </c>
      <c r="C136" s="5" t="s">
        <v>191</v>
      </c>
      <c r="D136" s="10">
        <f t="shared" si="1"/>
        <v>0.5400721594</v>
      </c>
      <c r="E136" s="10">
        <f>'Precinct Vote Data'!H533</f>
        <v>0.5345557123</v>
      </c>
      <c r="F136" s="16">
        <f t="shared" si="2"/>
        <v>0.5516447133</v>
      </c>
      <c r="G136" s="10">
        <f t="shared" si="3"/>
        <v>0.5610278373</v>
      </c>
      <c r="H136" s="16">
        <f t="shared" si="4"/>
        <v>2.647212499</v>
      </c>
      <c r="I136" s="5" t="b">
        <f t="shared" si="5"/>
        <v>1</v>
      </c>
      <c r="J136" s="5" t="b">
        <f t="shared" si="6"/>
        <v>1</v>
      </c>
      <c r="K136" s="15">
        <f t="shared" si="7"/>
        <v>0.9505326679</v>
      </c>
      <c r="L136" s="10">
        <f t="shared" si="8"/>
        <v>0.5428044533</v>
      </c>
      <c r="M136" s="10">
        <f>'Precinct Vote Data'!H530</f>
        <v>0.5975609756</v>
      </c>
      <c r="N136" s="10">
        <f>'Precinct Vote Data'!H531</f>
        <v>0.5712270804</v>
      </c>
      <c r="O136" s="10">
        <f>'Precinct Vote Data'!H532</f>
        <v>0.5610278373</v>
      </c>
      <c r="U136" s="16">
        <f t="shared" si="9"/>
        <v>0.824874107</v>
      </c>
      <c r="V136" s="5" t="b">
        <f t="shared" si="10"/>
        <v>1</v>
      </c>
      <c r="W136" s="5">
        <f t="shared" si="11"/>
        <v>0.5516447133</v>
      </c>
      <c r="X136" s="5">
        <f t="shared" si="12"/>
        <v>2.647212499</v>
      </c>
      <c r="Y136" s="5">
        <f t="shared" si="13"/>
        <v>0.824874107</v>
      </c>
      <c r="Z136" s="10">
        <f>MIN(1,MAX(0,(5.3914776420524+0.021102849201698*'Precinct Vote Data'!I533*100+(-5.72594740176815)*1+0.927016741366831*(O136*100))/100))</f>
        <v>0.5196855679</v>
      </c>
      <c r="AA136" s="16">
        <f t="shared" si="14"/>
        <v>-1.487014432</v>
      </c>
      <c r="AB136" s="5" t="b">
        <f t="shared" si="15"/>
        <v>1</v>
      </c>
      <c r="AC136" s="5">
        <f t="shared" si="16"/>
        <v>1.487014432</v>
      </c>
    </row>
    <row r="137" ht="15.0" customHeight="1">
      <c r="A137" s="5" t="s">
        <v>143</v>
      </c>
      <c r="B137" s="5" t="s">
        <v>192</v>
      </c>
      <c r="C137" s="5" t="s">
        <v>193</v>
      </c>
      <c r="D137" s="10">
        <f t="shared" si="1"/>
        <v>0.3050861926</v>
      </c>
      <c r="E137" s="10">
        <f>'Precinct Vote Data'!H537</f>
        <v>0.3124701386</v>
      </c>
      <c r="F137" s="16">
        <f t="shared" si="2"/>
        <v>-0.7383945948</v>
      </c>
      <c r="G137" s="10">
        <f t="shared" si="3"/>
        <v>0.3325</v>
      </c>
      <c r="H137" s="16">
        <f t="shared" si="4"/>
        <v>2.002986144</v>
      </c>
      <c r="I137" s="5" t="b">
        <f t="shared" si="5"/>
        <v>1</v>
      </c>
      <c r="J137" s="5" t="b">
        <f t="shared" si="6"/>
        <v>1</v>
      </c>
      <c r="K137" s="15">
        <f t="shared" si="7"/>
        <v>1.503482189</v>
      </c>
      <c r="L137" s="10">
        <f t="shared" si="8"/>
        <v>0.3036756007</v>
      </c>
      <c r="M137" s="10">
        <f>'Precinct Vote Data'!H534</f>
        <v>0.3624454148</v>
      </c>
      <c r="N137" s="10">
        <f>'Precinct Vote Data'!H535</f>
        <v>0.3101494075</v>
      </c>
      <c r="O137" s="10">
        <f>'Precinct Vote Data'!H536</f>
        <v>0.3325</v>
      </c>
      <c r="U137" s="16">
        <f t="shared" si="9"/>
        <v>-0.8794537833</v>
      </c>
      <c r="V137" s="5" t="b">
        <f t="shared" si="10"/>
        <v>1</v>
      </c>
      <c r="W137" s="5">
        <f t="shared" si="11"/>
        <v>0.7383945948</v>
      </c>
      <c r="X137" s="5">
        <f t="shared" si="12"/>
        <v>2.002986144</v>
      </c>
      <c r="Y137" s="5">
        <f t="shared" si="13"/>
        <v>0.8794537833</v>
      </c>
      <c r="Z137" s="10">
        <f>MIN(1,MAX(0,(5.3914776420524+0.021102849201698*'Precinct Vote Data'!I537*100+(-5.72594740176815)*1+0.927016741366831*(O137*100))/100))</f>
        <v>0.2977323927</v>
      </c>
      <c r="AA137" s="16">
        <f t="shared" si="14"/>
        <v>-1.473774581</v>
      </c>
      <c r="AB137" s="5" t="b">
        <f t="shared" si="15"/>
        <v>1</v>
      </c>
      <c r="AC137" s="5">
        <f t="shared" si="16"/>
        <v>1.473774581</v>
      </c>
    </row>
    <row r="138" ht="15.0" customHeight="1">
      <c r="A138" s="5" t="s">
        <v>143</v>
      </c>
      <c r="B138" s="5" t="s">
        <v>194</v>
      </c>
      <c r="C138" s="5" t="s">
        <v>195</v>
      </c>
      <c r="D138" s="10">
        <f t="shared" si="1"/>
        <v>0.5237108065</v>
      </c>
      <c r="E138" s="10">
        <f>'Precinct Vote Data'!H541</f>
        <v>0.4956481906</v>
      </c>
      <c r="F138" s="16">
        <f t="shared" si="2"/>
        <v>2.806261589</v>
      </c>
      <c r="G138" s="10">
        <f t="shared" si="3"/>
        <v>0.5207345972</v>
      </c>
      <c r="H138" s="16">
        <f t="shared" si="4"/>
        <v>2.508640659</v>
      </c>
      <c r="I138" s="5" t="b">
        <f t="shared" si="5"/>
        <v>0</v>
      </c>
      <c r="J138" s="5" t="b">
        <f t="shared" si="6"/>
        <v>0</v>
      </c>
      <c r="K138" s="15">
        <f t="shared" si="7"/>
        <v>0.04515791237</v>
      </c>
      <c r="L138" s="10">
        <f t="shared" si="8"/>
        <v>0.5198688405</v>
      </c>
      <c r="M138" s="10">
        <f>'Precinct Vote Data'!H538</f>
        <v>0.5031806616</v>
      </c>
      <c r="N138" s="10">
        <f>'Precinct Vote Data'!H539</f>
        <v>0.4945553539</v>
      </c>
      <c r="O138" s="10">
        <f>'Precinct Vote Data'!H540</f>
        <v>0.5207345972</v>
      </c>
      <c r="U138" s="16">
        <f t="shared" si="9"/>
        <v>2.422064995</v>
      </c>
      <c r="V138" s="5" t="b">
        <f t="shared" si="10"/>
        <v>0</v>
      </c>
      <c r="W138" s="5">
        <f t="shared" si="11"/>
        <v>2.806261589</v>
      </c>
      <c r="X138" s="5">
        <f t="shared" si="12"/>
        <v>2.508640659</v>
      </c>
      <c r="Y138" s="5">
        <f t="shared" si="13"/>
        <v>2.422064995</v>
      </c>
      <c r="Z138" s="10">
        <f>MIN(1,MAX(0,(5.3914776420524+0.021102849201698*'Precinct Vote Data'!I541*100+(-5.72594740176815)*1+0.927016741366831*(O138*100))/100))</f>
        <v>0.4789713759</v>
      </c>
      <c r="AA138" s="16">
        <f t="shared" si="14"/>
        <v>-1.667681463</v>
      </c>
      <c r="AB138" s="5" t="b">
        <f t="shared" si="15"/>
        <v>1</v>
      </c>
      <c r="AC138" s="5">
        <f t="shared" si="16"/>
        <v>1.667681463</v>
      </c>
    </row>
    <row r="139" ht="15.0" customHeight="1">
      <c r="A139" s="5" t="s">
        <v>143</v>
      </c>
      <c r="B139" s="5" t="s">
        <v>194</v>
      </c>
      <c r="C139" s="5" t="s">
        <v>196</v>
      </c>
      <c r="D139" s="10">
        <f t="shared" si="1"/>
        <v>0.5141276418</v>
      </c>
      <c r="E139" s="10">
        <f>'Precinct Vote Data'!H545</f>
        <v>0.4984760321</v>
      </c>
      <c r="F139" s="16">
        <f t="shared" si="2"/>
        <v>1.565160965</v>
      </c>
      <c r="G139" s="10">
        <f t="shared" si="3"/>
        <v>0.5156037992</v>
      </c>
      <c r="H139" s="16">
        <f t="shared" si="4"/>
        <v>1.712776704</v>
      </c>
      <c r="I139" s="5" t="b">
        <f t="shared" si="5"/>
        <v>0</v>
      </c>
      <c r="J139" s="5" t="b">
        <f t="shared" si="6"/>
        <v>0</v>
      </c>
      <c r="K139" s="15">
        <f t="shared" si="7"/>
        <v>0.227250898</v>
      </c>
      <c r="L139" s="10">
        <f t="shared" si="8"/>
        <v>0.5112469996</v>
      </c>
      <c r="M139" s="10">
        <f>'Precinct Vote Data'!H542</f>
        <v>0.5071752266</v>
      </c>
      <c r="N139" s="10">
        <f>'Precinct Vote Data'!H543</f>
        <v>0.4943181818</v>
      </c>
      <c r="O139" s="10">
        <f>'Precinct Vote Data'!H544</f>
        <v>0.5156037992</v>
      </c>
      <c r="U139" s="16">
        <f t="shared" si="9"/>
        <v>1.277096743</v>
      </c>
      <c r="V139" s="5" t="b">
        <f t="shared" si="10"/>
        <v>0</v>
      </c>
      <c r="W139" s="5">
        <f t="shared" si="11"/>
        <v>1.565160965</v>
      </c>
      <c r="X139" s="5">
        <f t="shared" si="12"/>
        <v>1.712776704</v>
      </c>
      <c r="Y139" s="5">
        <f t="shared" si="13"/>
        <v>1.277096743</v>
      </c>
      <c r="Z139" s="10">
        <f>MIN(1,MAX(0,(5.3914776420524+0.021102849201698*'Precinct Vote Data'!I545*100+(-5.72594740176815)*1+0.927016741366831*(O139*100))/100))</f>
        <v>0.4736241605</v>
      </c>
      <c r="AA139" s="16">
        <f t="shared" si="14"/>
        <v>-2.48518716</v>
      </c>
      <c r="AB139" s="5" t="b">
        <f t="shared" si="15"/>
        <v>1</v>
      </c>
      <c r="AC139" s="5">
        <f t="shared" si="16"/>
        <v>2.48518716</v>
      </c>
    </row>
    <row r="140" ht="15.0" customHeight="1">
      <c r="A140" s="5" t="s">
        <v>143</v>
      </c>
      <c r="B140" s="5" t="s">
        <v>194</v>
      </c>
      <c r="C140" s="5" t="s">
        <v>197</v>
      </c>
      <c r="D140" s="10">
        <f t="shared" si="1"/>
        <v>0.5005810733</v>
      </c>
      <c r="E140" s="10">
        <f>'Precinct Vote Data'!H549</f>
        <v>0.4803817603</v>
      </c>
      <c r="F140" s="16">
        <f t="shared" si="2"/>
        <v>2.019931291</v>
      </c>
      <c r="G140" s="10">
        <f t="shared" si="3"/>
        <v>0.5080428954</v>
      </c>
      <c r="H140" s="16">
        <f t="shared" si="4"/>
        <v>2.76611351</v>
      </c>
      <c r="I140" s="5" t="b">
        <f t="shared" si="5"/>
        <v>0</v>
      </c>
      <c r="J140" s="5" t="b">
        <f t="shared" si="6"/>
        <v>0</v>
      </c>
      <c r="K140" s="15">
        <f t="shared" si="7"/>
        <v>0.5714731454</v>
      </c>
      <c r="L140" s="10">
        <f t="shared" si="8"/>
        <v>0.4970867496</v>
      </c>
      <c r="M140" s="10">
        <f>'Precinct Vote Data'!H546</f>
        <v>0.5050583658</v>
      </c>
      <c r="N140" s="10">
        <f>'Precinct Vote Data'!H547</f>
        <v>0.4796883695</v>
      </c>
      <c r="O140" s="10">
        <f>'Precinct Vote Data'!H548</f>
        <v>0.5080428954</v>
      </c>
      <c r="U140" s="16">
        <f t="shared" si="9"/>
        <v>1.670498927</v>
      </c>
      <c r="V140" s="5" t="b">
        <f t="shared" si="10"/>
        <v>1</v>
      </c>
      <c r="W140" s="5">
        <f t="shared" si="11"/>
        <v>2.019931291</v>
      </c>
      <c r="X140" s="5">
        <f t="shared" si="12"/>
        <v>2.76611351</v>
      </c>
      <c r="Y140" s="5">
        <f t="shared" si="13"/>
        <v>1.670498927</v>
      </c>
      <c r="Z140" s="10">
        <f>MIN(1,MAX(0,(5.3914776420524+0.021102849201698*'Precinct Vote Data'!I549*100+(-5.72594740176815)*1+0.927016741366831*(O140*100))/100))</f>
        <v>0.4661613649</v>
      </c>
      <c r="AA140" s="16">
        <f t="shared" si="14"/>
        <v>-1.422039541</v>
      </c>
      <c r="AB140" s="5" t="b">
        <f t="shared" si="15"/>
        <v>1</v>
      </c>
      <c r="AC140" s="5">
        <f t="shared" si="16"/>
        <v>1.422039541</v>
      </c>
    </row>
    <row r="141" ht="15.0" customHeight="1">
      <c r="A141" s="5" t="s">
        <v>143</v>
      </c>
      <c r="B141" s="5" t="s">
        <v>194</v>
      </c>
      <c r="C141" s="5" t="s">
        <v>198</v>
      </c>
      <c r="D141" s="10">
        <f t="shared" si="1"/>
        <v>0.4951762373</v>
      </c>
      <c r="E141" s="10">
        <f>'Precinct Vote Data'!H553</f>
        <v>0.4829931973</v>
      </c>
      <c r="F141" s="16">
        <f t="shared" si="2"/>
        <v>1.218304001</v>
      </c>
      <c r="G141" s="10">
        <f t="shared" si="3"/>
        <v>0.5062730627</v>
      </c>
      <c r="H141" s="16">
        <f t="shared" si="4"/>
        <v>2.327986545</v>
      </c>
      <c r="I141" s="5" t="b">
        <f t="shared" si="5"/>
        <v>1</v>
      </c>
      <c r="J141" s="5" t="b">
        <f t="shared" si="6"/>
        <v>0</v>
      </c>
      <c r="K141" s="15">
        <f t="shared" si="7"/>
        <v>0.7389299457</v>
      </c>
      <c r="L141" s="10">
        <f t="shared" si="8"/>
        <v>0.4921064754</v>
      </c>
      <c r="M141" s="10">
        <f>'Precinct Vote Data'!H550</f>
        <v>0.5094488189</v>
      </c>
      <c r="N141" s="10">
        <f>'Precinct Vote Data'!H551</f>
        <v>0.4793340987</v>
      </c>
      <c r="O141" s="10">
        <f>'Precinct Vote Data'!H552</f>
        <v>0.5062730627</v>
      </c>
      <c r="U141" s="16">
        <f t="shared" si="9"/>
        <v>0.911327808</v>
      </c>
      <c r="V141" s="5" t="b">
        <f t="shared" si="10"/>
        <v>1</v>
      </c>
      <c r="W141" s="5">
        <f t="shared" si="11"/>
        <v>1.218304001</v>
      </c>
      <c r="X141" s="5">
        <f t="shared" si="12"/>
        <v>2.327986545</v>
      </c>
      <c r="Y141" s="5">
        <f t="shared" si="13"/>
        <v>0.911327808</v>
      </c>
      <c r="Z141" s="10">
        <f>MIN(1,MAX(0,(5.3914776420524+0.021102849201698*'Precinct Vote Data'!I553*100+(-5.72594740176815)*1+0.927016741366831*(O141*100))/100))</f>
        <v>0.4655167549</v>
      </c>
      <c r="AA141" s="16">
        <f t="shared" si="14"/>
        <v>-1.747644242</v>
      </c>
      <c r="AB141" s="5" t="b">
        <f t="shared" si="15"/>
        <v>1</v>
      </c>
      <c r="AC141" s="5">
        <f t="shared" si="16"/>
        <v>1.747644242</v>
      </c>
    </row>
    <row r="142" ht="15.0" customHeight="1">
      <c r="A142" s="5" t="s">
        <v>143</v>
      </c>
      <c r="B142" s="5" t="s">
        <v>194</v>
      </c>
      <c r="C142" s="5" t="s">
        <v>199</v>
      </c>
      <c r="D142" s="10">
        <f t="shared" si="1"/>
        <v>0.5276475364</v>
      </c>
      <c r="E142" s="10">
        <f>'Precinct Vote Data'!H557</f>
        <v>0.5136494253</v>
      </c>
      <c r="F142" s="16">
        <f t="shared" si="2"/>
        <v>1.399811113</v>
      </c>
      <c r="G142" s="10">
        <f t="shared" si="3"/>
        <v>0.5207296849</v>
      </c>
      <c r="H142" s="16">
        <f t="shared" si="4"/>
        <v>0.7080259621</v>
      </c>
      <c r="I142" s="5" t="b">
        <f t="shared" si="5"/>
        <v>1</v>
      </c>
      <c r="J142" s="5" t="b">
        <f t="shared" si="6"/>
        <v>1</v>
      </c>
      <c r="K142" s="15">
        <f t="shared" si="7"/>
        <v>-0.0858320545</v>
      </c>
      <c r="L142" s="10">
        <f t="shared" si="8"/>
        <v>0.5223752364</v>
      </c>
      <c r="M142" s="10">
        <f>'Precinct Vote Data'!H554</f>
        <v>0.4930232558</v>
      </c>
      <c r="N142" s="10">
        <f>'Precinct Vote Data'!H555</f>
        <v>0.4860703812</v>
      </c>
      <c r="O142" s="10">
        <f>'Precinct Vote Data'!H556</f>
        <v>0.5207296849</v>
      </c>
      <c r="U142" s="16">
        <f t="shared" si="9"/>
        <v>0.8725811147</v>
      </c>
      <c r="V142" s="5" t="b">
        <f t="shared" si="10"/>
        <v>1</v>
      </c>
      <c r="W142" s="5">
        <f t="shared" si="11"/>
        <v>1.399811113</v>
      </c>
      <c r="X142" s="5">
        <f t="shared" si="12"/>
        <v>0.7080259621</v>
      </c>
      <c r="Y142" s="5">
        <f t="shared" si="13"/>
        <v>0.8725811147</v>
      </c>
      <c r="Z142" s="10">
        <f>MIN(1,MAX(0,(5.3914776420524+0.021102849201698*'Precinct Vote Data'!I557*100+(-5.72594740176815)*1+0.927016741366831*(O142*100))/100))</f>
        <v>0.4771561977</v>
      </c>
      <c r="AA142" s="16">
        <f t="shared" si="14"/>
        <v>-3.649322755</v>
      </c>
      <c r="AB142" s="5" t="b">
        <f t="shared" si="15"/>
        <v>0</v>
      </c>
      <c r="AC142" s="5">
        <f t="shared" si="16"/>
        <v>3.649322755</v>
      </c>
    </row>
    <row r="143" ht="15.0" customHeight="1">
      <c r="A143" s="5" t="s">
        <v>143</v>
      </c>
      <c r="B143" s="5" t="s">
        <v>194</v>
      </c>
      <c r="C143" s="5" t="s">
        <v>200</v>
      </c>
      <c r="D143" s="10">
        <f t="shared" si="1"/>
        <v>0.5015745552</v>
      </c>
      <c r="E143" s="10">
        <f>'Precinct Vote Data'!H561</f>
        <v>0.482398957</v>
      </c>
      <c r="F143" s="16">
        <f t="shared" si="2"/>
        <v>1.917559821</v>
      </c>
      <c r="G143" s="10">
        <f t="shared" si="3"/>
        <v>0.5316455696</v>
      </c>
      <c r="H143" s="16">
        <f t="shared" si="4"/>
        <v>4.924661265</v>
      </c>
      <c r="I143" s="5" t="b">
        <f t="shared" si="5"/>
        <v>0</v>
      </c>
      <c r="J143" s="5" t="b">
        <f t="shared" si="6"/>
        <v>0</v>
      </c>
      <c r="K143" s="15">
        <f t="shared" si="7"/>
        <v>1.653234693</v>
      </c>
      <c r="L143" s="10">
        <f t="shared" si="8"/>
        <v>0.4999501513</v>
      </c>
      <c r="M143" s="10">
        <f>'Precinct Vote Data'!H558</f>
        <v>0.5642176108</v>
      </c>
      <c r="N143" s="10">
        <f>'Precinct Vote Data'!H559</f>
        <v>0.5065766086</v>
      </c>
      <c r="O143" s="10">
        <f>'Precinct Vote Data'!H560</f>
        <v>0.5316455696</v>
      </c>
      <c r="U143" s="16">
        <f t="shared" si="9"/>
        <v>1.755119435</v>
      </c>
      <c r="V143" s="5" t="b">
        <f t="shared" si="10"/>
        <v>1</v>
      </c>
      <c r="W143" s="5">
        <f t="shared" si="11"/>
        <v>1.917559821</v>
      </c>
      <c r="X143" s="5">
        <f t="shared" si="12"/>
        <v>4.924661265</v>
      </c>
      <c r="Y143" s="5">
        <f t="shared" si="13"/>
        <v>1.755119435</v>
      </c>
      <c r="Z143" s="10">
        <f>MIN(1,MAX(0,(5.3914776420524+0.021102849201698*'Precinct Vote Data'!I561*100+(-5.72594740176815)*1+0.927016741366831*(O143*100))/100))</f>
        <v>0.4899027103</v>
      </c>
      <c r="AA143" s="16">
        <f t="shared" si="14"/>
        <v>0.7503753359</v>
      </c>
      <c r="AB143" s="5" t="b">
        <f t="shared" si="15"/>
        <v>1</v>
      </c>
      <c r="AC143" s="5">
        <f t="shared" si="16"/>
        <v>0.7503753359</v>
      </c>
    </row>
    <row r="144" ht="15.0" customHeight="1">
      <c r="A144" s="5" t="s">
        <v>143</v>
      </c>
      <c r="B144" s="5" t="s">
        <v>194</v>
      </c>
      <c r="C144" s="5" t="s">
        <v>201</v>
      </c>
      <c r="D144" s="10">
        <f t="shared" si="1"/>
        <v>0.5698835301</v>
      </c>
      <c r="E144" s="10">
        <f>'Precinct Vote Data'!H565</f>
        <v>0.530077427</v>
      </c>
      <c r="F144" s="16">
        <f t="shared" si="2"/>
        <v>3.980610309</v>
      </c>
      <c r="G144" s="10">
        <f t="shared" si="3"/>
        <v>0.5630699088</v>
      </c>
      <c r="H144" s="16">
        <f t="shared" si="4"/>
        <v>3.299248177</v>
      </c>
      <c r="I144" s="5" t="b">
        <f t="shared" si="5"/>
        <v>1</v>
      </c>
      <c r="J144" s="5" t="b">
        <f t="shared" si="6"/>
        <v>1</v>
      </c>
      <c r="K144" s="15">
        <f t="shared" si="7"/>
        <v>-0.01427783524</v>
      </c>
      <c r="L144" s="10">
        <f t="shared" si="8"/>
        <v>0.56334364</v>
      </c>
      <c r="M144" s="10">
        <f>'Precinct Vote Data'!H562</f>
        <v>0.5309584394</v>
      </c>
      <c r="N144" s="10">
        <f>'Precinct Vote Data'!H563</f>
        <v>0.5192878338</v>
      </c>
      <c r="O144" s="10">
        <f>'Precinct Vote Data'!H564</f>
        <v>0.5630699088</v>
      </c>
      <c r="U144" s="16">
        <f t="shared" si="9"/>
        <v>3.3266213</v>
      </c>
      <c r="V144" s="5" t="b">
        <f t="shared" si="10"/>
        <v>1</v>
      </c>
      <c r="W144" s="5">
        <f t="shared" si="11"/>
        <v>3.980610309</v>
      </c>
      <c r="X144" s="5">
        <f t="shared" si="12"/>
        <v>3.299248177</v>
      </c>
      <c r="Y144" s="5">
        <f t="shared" si="13"/>
        <v>3.3266213</v>
      </c>
      <c r="Z144" s="10">
        <f>MIN(1,MAX(0,(5.3914776420524+0.021102849201698*'Precinct Vote Data'!I565*100+(-5.72594740176815)*1+0.927016741366831*(O144*100))/100))</f>
        <v>0.5183498665</v>
      </c>
      <c r="AA144" s="16">
        <f t="shared" si="14"/>
        <v>-1.17275605</v>
      </c>
      <c r="AB144" s="5" t="b">
        <f t="shared" si="15"/>
        <v>1</v>
      </c>
      <c r="AC144" s="5">
        <f t="shared" si="16"/>
        <v>1.17275605</v>
      </c>
    </row>
    <row r="145" ht="15.0" customHeight="1">
      <c r="A145" s="5" t="s">
        <v>143</v>
      </c>
      <c r="B145" s="5" t="s">
        <v>194</v>
      </c>
      <c r="C145" s="5" t="s">
        <v>202</v>
      </c>
      <c r="D145" s="10">
        <f t="shared" si="1"/>
        <v>0.5540933872</v>
      </c>
      <c r="E145" s="10">
        <f>'Precinct Vote Data'!H569</f>
        <v>0.5058823529</v>
      </c>
      <c r="F145" s="16">
        <f t="shared" si="2"/>
        <v>4.821103422</v>
      </c>
      <c r="G145" s="10">
        <f t="shared" si="3"/>
        <v>0.5356339085</v>
      </c>
      <c r="H145" s="16">
        <f t="shared" si="4"/>
        <v>2.975155554</v>
      </c>
      <c r="I145" s="5" t="b">
        <f t="shared" si="5"/>
        <v>1</v>
      </c>
      <c r="J145" s="5" t="b">
        <f t="shared" si="6"/>
        <v>1</v>
      </c>
      <c r="K145" s="15">
        <f t="shared" si="7"/>
        <v>-0.6356518908</v>
      </c>
      <c r="L145" s="10">
        <f t="shared" si="8"/>
        <v>0.5478204738</v>
      </c>
      <c r="M145" s="10">
        <f>'Precinct Vote Data'!H566</f>
        <v>0.4896115628</v>
      </c>
      <c r="N145" s="10">
        <f>'Precinct Vote Data'!H567</f>
        <v>0.4989676531</v>
      </c>
      <c r="O145" s="10">
        <f>'Precinct Vote Data'!H568</f>
        <v>0.5356339085</v>
      </c>
      <c r="U145" s="16">
        <f t="shared" si="9"/>
        <v>4.193812085</v>
      </c>
      <c r="V145" s="5" t="b">
        <f t="shared" si="10"/>
        <v>1</v>
      </c>
      <c r="W145" s="5">
        <f t="shared" si="11"/>
        <v>4.821103422</v>
      </c>
      <c r="X145" s="5">
        <f t="shared" si="12"/>
        <v>2.975155554</v>
      </c>
      <c r="Y145" s="5">
        <f t="shared" si="13"/>
        <v>4.193812085</v>
      </c>
      <c r="Z145" s="10">
        <f>MIN(1,MAX(0,(5.3914776420524+0.021102849201698*'Precinct Vote Data'!I569*100+(-5.72594740176815)*1+0.927016741366831*(O145*100))/100))</f>
        <v>0.4912617715</v>
      </c>
      <c r="AA145" s="16">
        <f t="shared" si="14"/>
        <v>-1.462058141</v>
      </c>
      <c r="AB145" s="5" t="b">
        <f t="shared" si="15"/>
        <v>0</v>
      </c>
      <c r="AC145" s="5">
        <f t="shared" si="16"/>
        <v>1.462058141</v>
      </c>
    </row>
    <row r="146" ht="15.0" customHeight="1">
      <c r="A146" s="5" t="s">
        <v>143</v>
      </c>
      <c r="B146" s="5" t="s">
        <v>194</v>
      </c>
      <c r="C146" s="5" t="s">
        <v>203</v>
      </c>
      <c r="D146" s="10">
        <f t="shared" si="1"/>
        <v>0.5558450952</v>
      </c>
      <c r="E146" s="10">
        <f>'Precinct Vote Data'!H573</f>
        <v>0.4981949458</v>
      </c>
      <c r="F146" s="16">
        <f t="shared" si="2"/>
        <v>5.765014935</v>
      </c>
      <c r="G146" s="10">
        <f t="shared" si="3"/>
        <v>0.5492170022</v>
      </c>
      <c r="H146" s="16">
        <f t="shared" si="4"/>
        <v>5.102205639</v>
      </c>
      <c r="I146" s="5" t="b">
        <f t="shared" si="5"/>
        <v>0</v>
      </c>
      <c r="J146" s="5" t="b">
        <f t="shared" si="6"/>
        <v>0</v>
      </c>
      <c r="K146" s="15">
        <f t="shared" si="7"/>
        <v>0.06573294911</v>
      </c>
      <c r="L146" s="10">
        <f t="shared" si="8"/>
        <v>0.5479567859</v>
      </c>
      <c r="M146" s="10">
        <f>'Precinct Vote Data'!H570</f>
        <v>0.5125148987</v>
      </c>
      <c r="N146" s="10">
        <f>'Precinct Vote Data'!H571</f>
        <v>0.495697074</v>
      </c>
      <c r="O146" s="10">
        <f>'Precinct Vote Data'!H572</f>
        <v>0.5492170022</v>
      </c>
      <c r="U146" s="16">
        <f t="shared" si="9"/>
        <v>4.976184008</v>
      </c>
      <c r="V146" s="5" t="b">
        <f t="shared" si="10"/>
        <v>0</v>
      </c>
      <c r="W146" s="5">
        <f t="shared" si="11"/>
        <v>5.765014935</v>
      </c>
      <c r="X146" s="5">
        <f t="shared" si="12"/>
        <v>5.102205639</v>
      </c>
      <c r="Y146" s="5">
        <f t="shared" si="13"/>
        <v>4.976184008</v>
      </c>
      <c r="Z146" s="10">
        <f>MIN(1,MAX(0,(5.3914776420524+0.021102849201698*'Precinct Vote Data'!I573*100+(-5.72594740176815)*1+0.927016741366831*(O146*100))/100))</f>
        <v>0.5048580225</v>
      </c>
      <c r="AA146" s="16">
        <f t="shared" si="14"/>
        <v>0.6663076622</v>
      </c>
      <c r="AB146" s="5" t="b">
        <f t="shared" si="15"/>
        <v>0</v>
      </c>
      <c r="AC146" s="5">
        <f t="shared" si="16"/>
        <v>0.6663076622</v>
      </c>
    </row>
    <row r="147" ht="15.0" customHeight="1">
      <c r="A147" s="5" t="s">
        <v>143</v>
      </c>
      <c r="B147" s="5" t="s">
        <v>194</v>
      </c>
      <c r="C147" s="5" t="s">
        <v>204</v>
      </c>
      <c r="D147" s="10">
        <f t="shared" si="1"/>
        <v>0.4978594419</v>
      </c>
      <c r="E147" s="10">
        <f>'Precinct Vote Data'!H577</f>
        <v>0.48434238</v>
      </c>
      <c r="F147" s="16">
        <f t="shared" si="2"/>
        <v>1.351706192</v>
      </c>
      <c r="G147" s="10">
        <f t="shared" si="3"/>
        <v>0.5069582505</v>
      </c>
      <c r="H147" s="16">
        <f t="shared" si="4"/>
        <v>2.261587054</v>
      </c>
      <c r="I147" s="5" t="b">
        <f t="shared" si="5"/>
        <v>1</v>
      </c>
      <c r="J147" s="5" t="b">
        <f t="shared" si="6"/>
        <v>0</v>
      </c>
      <c r="K147" s="15">
        <f t="shared" si="7"/>
        <v>0.6351582448</v>
      </c>
      <c r="L147" s="10">
        <f t="shared" si="8"/>
        <v>0.4947811492</v>
      </c>
      <c r="M147" s="10">
        <f>'Precinct Vote Data'!H574</f>
        <v>0.5075528701</v>
      </c>
      <c r="N147" s="10">
        <f>'Precinct Vote Data'!H575</f>
        <v>0.4808510638</v>
      </c>
      <c r="O147" s="10">
        <f>'Precinct Vote Data'!H576</f>
        <v>0.5069582505</v>
      </c>
      <c r="U147" s="16">
        <f t="shared" si="9"/>
        <v>1.043876928</v>
      </c>
      <c r="V147" s="5" t="b">
        <f t="shared" si="10"/>
        <v>1</v>
      </c>
      <c r="W147" s="5">
        <f t="shared" si="11"/>
        <v>1.351706192</v>
      </c>
      <c r="X147" s="5">
        <f t="shared" si="12"/>
        <v>2.261587054</v>
      </c>
      <c r="Y147" s="5">
        <f t="shared" si="13"/>
        <v>1.043876928</v>
      </c>
      <c r="Z147" s="10">
        <f>MIN(1,MAX(0,(5.3914776420524+0.021102849201698*'Precinct Vote Data'!I577*100+(-5.72594740176815)*1+0.927016741366831*(O147*100))/100))</f>
        <v>0.464541788</v>
      </c>
      <c r="AA147" s="16">
        <f t="shared" si="14"/>
        <v>-1.980059196</v>
      </c>
      <c r="AB147" s="5" t="b">
        <f t="shared" si="15"/>
        <v>1</v>
      </c>
      <c r="AC147" s="5">
        <f t="shared" si="16"/>
        <v>1.980059196</v>
      </c>
    </row>
    <row r="148" ht="15.0" customHeight="1">
      <c r="A148" s="5" t="s">
        <v>143</v>
      </c>
      <c r="B148" s="5" t="s">
        <v>205</v>
      </c>
      <c r="C148" s="5" t="s">
        <v>206</v>
      </c>
      <c r="D148" s="10">
        <f t="shared" si="1"/>
        <v>0.3806764029</v>
      </c>
      <c r="E148" s="10">
        <f>'Precinct Vote Data'!H581</f>
        <v>0.3831194088</v>
      </c>
      <c r="F148" s="16">
        <f t="shared" si="2"/>
        <v>-0.2443005849</v>
      </c>
      <c r="G148" s="10">
        <f t="shared" si="3"/>
        <v>0.3933364183</v>
      </c>
      <c r="H148" s="16">
        <f t="shared" si="4"/>
        <v>1.021700953</v>
      </c>
      <c r="I148" s="5" t="b">
        <f t="shared" si="5"/>
        <v>1</v>
      </c>
      <c r="J148" s="5" t="b">
        <f t="shared" si="6"/>
        <v>1</v>
      </c>
      <c r="K148" s="15">
        <f t="shared" si="7"/>
        <v>0.8207510686</v>
      </c>
      <c r="L148" s="10">
        <f t="shared" si="8"/>
        <v>0.377601176</v>
      </c>
      <c r="M148" s="10">
        <f>'Precinct Vote Data'!H578</f>
        <v>0.398488121</v>
      </c>
      <c r="N148" s="10">
        <f>'Precinct Vote Data'!H579</f>
        <v>0.3656597774</v>
      </c>
      <c r="O148" s="10">
        <f>'Precinct Vote Data'!H580</f>
        <v>0.3933364183</v>
      </c>
      <c r="U148" s="16">
        <f t="shared" si="9"/>
        <v>-0.5518232745</v>
      </c>
      <c r="V148" s="5" t="b">
        <f t="shared" si="10"/>
        <v>1</v>
      </c>
      <c r="W148" s="5">
        <f t="shared" si="11"/>
        <v>0.2443005849</v>
      </c>
      <c r="X148" s="5">
        <f t="shared" si="12"/>
        <v>1.021700953</v>
      </c>
      <c r="Y148" s="5">
        <f t="shared" si="13"/>
        <v>0.5518232745</v>
      </c>
      <c r="Z148" s="10">
        <f>MIN(1,MAX(0,(5.3914776420524+0.021102849201698*'Precinct Vote Data'!I581*100+(-5.72594740176815)*1+0.927016741366831*(O148*100))/100))</f>
        <v>0.3555468825</v>
      </c>
      <c r="AA148" s="16">
        <f t="shared" si="14"/>
        <v>-2.757252631</v>
      </c>
      <c r="AB148" s="5" t="b">
        <f t="shared" si="15"/>
        <v>1</v>
      </c>
      <c r="AC148" s="5">
        <f t="shared" si="16"/>
        <v>2.757252631</v>
      </c>
    </row>
    <row r="149" ht="15.0" customHeight="1">
      <c r="A149" s="5" t="s">
        <v>143</v>
      </c>
      <c r="B149" s="5" t="s">
        <v>207</v>
      </c>
      <c r="C149" s="5" t="s">
        <v>208</v>
      </c>
      <c r="D149" s="10">
        <f t="shared" si="1"/>
        <v>0.3689386476</v>
      </c>
      <c r="E149" s="10">
        <f>'Precinct Vote Data'!H585</f>
        <v>0.3542074364</v>
      </c>
      <c r="F149" s="16">
        <f t="shared" si="2"/>
        <v>1.473121123</v>
      </c>
      <c r="G149" s="10">
        <f t="shared" si="3"/>
        <v>0.3755135579</v>
      </c>
      <c r="H149" s="16">
        <f t="shared" si="4"/>
        <v>2.130612153</v>
      </c>
      <c r="I149" s="5" t="b">
        <f t="shared" si="5"/>
        <v>1</v>
      </c>
      <c r="J149" s="5" t="b">
        <f t="shared" si="6"/>
        <v>1</v>
      </c>
      <c r="K149" s="15">
        <f t="shared" si="7"/>
        <v>0.4476764045</v>
      </c>
      <c r="L149" s="10">
        <f t="shared" si="8"/>
        <v>0.3669308135</v>
      </c>
      <c r="M149" s="10">
        <f>'Precinct Vote Data'!H582</f>
        <v>0.3767186068</v>
      </c>
      <c r="N149" s="10">
        <f>'Precinct Vote Data'!H583</f>
        <v>0.3581989247</v>
      </c>
      <c r="O149" s="10">
        <f>'Precinct Vote Data'!H584</f>
        <v>0.3755135579</v>
      </c>
      <c r="U149" s="16">
        <f t="shared" si="9"/>
        <v>1.272337707</v>
      </c>
      <c r="V149" s="5" t="b">
        <f t="shared" si="10"/>
        <v>1</v>
      </c>
      <c r="W149" s="5">
        <f t="shared" si="11"/>
        <v>1.473121123</v>
      </c>
      <c r="X149" s="5">
        <f t="shared" si="12"/>
        <v>2.130612153</v>
      </c>
      <c r="Y149" s="5">
        <f t="shared" si="13"/>
        <v>1.272337707</v>
      </c>
      <c r="Z149" s="10">
        <f>MIN(1,MAX(0,(5.3914776420524+0.021102849201698*'Precinct Vote Data'!I585*100+(-5.72594740176815)*1+0.927016741366831*(O149*100))/100))</f>
        <v>0.3382081123</v>
      </c>
      <c r="AA149" s="16">
        <f t="shared" si="14"/>
        <v>-1.599932415</v>
      </c>
      <c r="AB149" s="5" t="b">
        <f t="shared" si="15"/>
        <v>1</v>
      </c>
      <c r="AC149" s="5">
        <f t="shared" si="16"/>
        <v>1.599932415</v>
      </c>
    </row>
    <row r="150" ht="15.0" customHeight="1">
      <c r="A150" s="5" t="s">
        <v>143</v>
      </c>
      <c r="B150" s="5" t="s">
        <v>209</v>
      </c>
      <c r="C150" s="5" t="s">
        <v>210</v>
      </c>
      <c r="D150" s="10">
        <f t="shared" si="1"/>
        <v>0.3022035481</v>
      </c>
      <c r="E150" s="10">
        <f>'Precinct Vote Data'!H589</f>
        <v>0.2730015083</v>
      </c>
      <c r="F150" s="16">
        <f t="shared" si="2"/>
        <v>2.920203979</v>
      </c>
      <c r="G150" s="10">
        <f t="shared" si="3"/>
        <v>0.2944444444</v>
      </c>
      <c r="H150" s="16">
        <f t="shared" si="4"/>
        <v>2.144293615</v>
      </c>
      <c r="I150" s="5" t="b">
        <f t="shared" si="5"/>
        <v>1</v>
      </c>
      <c r="J150" s="5" t="b">
        <f t="shared" si="6"/>
        <v>1</v>
      </c>
      <c r="K150" s="15">
        <f t="shared" si="7"/>
        <v>-0.3042968587</v>
      </c>
      <c r="L150" s="10">
        <f t="shared" si="8"/>
        <v>0.3002783507</v>
      </c>
      <c r="M150" s="10">
        <f>'Precinct Vote Data'!H586</f>
        <v>0.2776470588</v>
      </c>
      <c r="N150" s="10">
        <f>'Precinct Vote Data'!H587</f>
        <v>0.2841269841</v>
      </c>
      <c r="O150" s="10">
        <f>'Precinct Vote Data'!H588</f>
        <v>0.2944444444</v>
      </c>
      <c r="U150" s="16">
        <f t="shared" si="9"/>
        <v>2.727684241</v>
      </c>
      <c r="V150" s="5" t="b">
        <f t="shared" si="10"/>
        <v>1</v>
      </c>
      <c r="W150" s="5">
        <f t="shared" si="11"/>
        <v>2.920203979</v>
      </c>
      <c r="X150" s="5">
        <f t="shared" si="12"/>
        <v>2.144293615</v>
      </c>
      <c r="Y150" s="5">
        <f t="shared" si="13"/>
        <v>2.727684241</v>
      </c>
      <c r="Z150" s="10">
        <f>MIN(1,MAX(0,(5.3914776420524+0.021102849201698*'Precinct Vote Data'!I589*100+(-5.72594740176815)*1+0.927016741366831*(O150*100))/100))</f>
        <v>0.2606014255</v>
      </c>
      <c r="AA150" s="16">
        <f t="shared" si="14"/>
        <v>-1.240008281</v>
      </c>
      <c r="AB150" s="5" t="b">
        <f t="shared" si="15"/>
        <v>1</v>
      </c>
      <c r="AC150" s="5">
        <f t="shared" si="16"/>
        <v>1.240008281</v>
      </c>
    </row>
    <row r="151" ht="15.0" customHeight="1">
      <c r="A151" s="5" t="s">
        <v>143</v>
      </c>
      <c r="B151" s="5" t="s">
        <v>209</v>
      </c>
      <c r="C151" s="5" t="s">
        <v>211</v>
      </c>
      <c r="D151" s="10">
        <f t="shared" si="1"/>
        <v>0.3045472444</v>
      </c>
      <c r="E151" s="10">
        <f>'Precinct Vote Data'!H593</f>
        <v>0.3188720174</v>
      </c>
      <c r="F151" s="16">
        <f t="shared" si="2"/>
        <v>-1.432477297</v>
      </c>
      <c r="G151" s="10">
        <f t="shared" si="3"/>
        <v>0.3222222222</v>
      </c>
      <c r="H151" s="16">
        <f t="shared" si="4"/>
        <v>0.3350204869</v>
      </c>
      <c r="I151" s="5" t="b">
        <f t="shared" si="5"/>
        <v>1</v>
      </c>
      <c r="J151" s="5" t="b">
        <f t="shared" si="6"/>
        <v>1</v>
      </c>
      <c r="K151" s="15">
        <f t="shared" si="7"/>
        <v>1.047270512</v>
      </c>
      <c r="L151" s="10">
        <f t="shared" si="8"/>
        <v>0.3021442036</v>
      </c>
      <c r="M151" s="10">
        <f>'Precinct Vote Data'!H590</f>
        <v>0.3361823362</v>
      </c>
      <c r="N151" s="10">
        <f>'Precinct Vote Data'!H591</f>
        <v>0.2971175166</v>
      </c>
      <c r="O151" s="10">
        <f>'Precinct Vote Data'!H592</f>
        <v>0.3222222222</v>
      </c>
      <c r="U151" s="16">
        <f t="shared" si="9"/>
        <v>-1.672781375</v>
      </c>
      <c r="V151" s="5" t="b">
        <f t="shared" si="10"/>
        <v>1</v>
      </c>
      <c r="W151" s="5">
        <f t="shared" si="11"/>
        <v>1.432477297</v>
      </c>
      <c r="X151" s="5">
        <f t="shared" si="12"/>
        <v>0.3350204869</v>
      </c>
      <c r="Y151" s="5">
        <f t="shared" si="13"/>
        <v>1.672781375</v>
      </c>
      <c r="Z151" s="10">
        <f>MIN(1,MAX(0,(5.3914776420524+0.021102849201698*'Precinct Vote Data'!I593*100+(-5.72594740176815)*1+0.927016741366831*(O151*100))/100))</f>
        <v>0.2884832783</v>
      </c>
      <c r="AA151" s="16">
        <f t="shared" si="14"/>
        <v>-3.038873907</v>
      </c>
      <c r="AB151" s="5" t="b">
        <f t="shared" si="15"/>
        <v>1</v>
      </c>
      <c r="AC151" s="5">
        <f t="shared" si="16"/>
        <v>3.038873907</v>
      </c>
    </row>
    <row r="152" ht="15.0" customHeight="1">
      <c r="A152" s="5" t="s">
        <v>143</v>
      </c>
      <c r="B152" s="5" t="s">
        <v>209</v>
      </c>
      <c r="C152" s="5" t="s">
        <v>212</v>
      </c>
      <c r="D152" s="10">
        <f t="shared" si="1"/>
        <v>0.348348941</v>
      </c>
      <c r="E152" s="10">
        <f>'Precinct Vote Data'!H597</f>
        <v>0.3299620733</v>
      </c>
      <c r="F152" s="16">
        <f t="shared" si="2"/>
        <v>1.838686768</v>
      </c>
      <c r="G152" s="10">
        <f t="shared" si="3"/>
        <v>0.3543495611</v>
      </c>
      <c r="H152" s="16">
        <f t="shared" si="4"/>
        <v>2.438748773</v>
      </c>
      <c r="I152" s="5" t="b">
        <f t="shared" si="5"/>
        <v>1</v>
      </c>
      <c r="J152" s="5" t="b">
        <f t="shared" si="6"/>
        <v>1</v>
      </c>
      <c r="K152" s="15">
        <f t="shared" si="7"/>
        <v>0.3665558011</v>
      </c>
      <c r="L152" s="10">
        <f t="shared" si="8"/>
        <v>0.3473220413</v>
      </c>
      <c r="M152" s="10">
        <f>'Precinct Vote Data'!H594</f>
        <v>0.3583333333</v>
      </c>
      <c r="N152" s="10">
        <f>'Precinct Vote Data'!H595</f>
        <v>0.3443152455</v>
      </c>
      <c r="O152" s="10">
        <f>'Precinct Vote Data'!H596</f>
        <v>0.3543495611</v>
      </c>
      <c r="U152" s="16">
        <f t="shared" si="9"/>
        <v>1.735996798</v>
      </c>
      <c r="V152" s="5" t="b">
        <f t="shared" si="10"/>
        <v>1</v>
      </c>
      <c r="W152" s="5">
        <f t="shared" si="11"/>
        <v>1.838686768</v>
      </c>
      <c r="X152" s="5">
        <f t="shared" si="12"/>
        <v>2.438748773</v>
      </c>
      <c r="Y152" s="5">
        <f t="shared" si="13"/>
        <v>1.735996798</v>
      </c>
      <c r="Z152" s="10">
        <f>MIN(1,MAX(0,(5.3914776420524+0.021102849201698*'Precinct Vote Data'!I597*100+(-5.72594740176815)*1+0.927016741366831*(O152*100))/100))</f>
        <v>0.3180759336</v>
      </c>
      <c r="AA152" s="16">
        <f t="shared" si="14"/>
        <v>-1.188613973</v>
      </c>
      <c r="AB152" s="5" t="b">
        <f t="shared" si="15"/>
        <v>1</v>
      </c>
      <c r="AC152" s="5">
        <f t="shared" si="16"/>
        <v>1.188613973</v>
      </c>
    </row>
    <row r="153" ht="15.0" customHeight="1">
      <c r="A153" s="5" t="s">
        <v>143</v>
      </c>
      <c r="B153" s="5" t="s">
        <v>213</v>
      </c>
      <c r="C153" s="5" t="s">
        <v>214</v>
      </c>
      <c r="D153" s="10">
        <f t="shared" si="1"/>
        <v>0.5596515283</v>
      </c>
      <c r="E153" s="10">
        <f>'Precinct Vote Data'!H601</f>
        <v>0.5291576674</v>
      </c>
      <c r="F153" s="16">
        <f t="shared" si="2"/>
        <v>3.049386089</v>
      </c>
      <c r="G153" s="10">
        <f t="shared" si="3"/>
        <v>0.5564971751</v>
      </c>
      <c r="H153" s="16">
        <f t="shared" si="4"/>
        <v>2.733950775</v>
      </c>
      <c r="I153" s="5" t="b">
        <f t="shared" si="5"/>
        <v>1</v>
      </c>
      <c r="J153" s="5" t="b">
        <f t="shared" si="6"/>
        <v>1</v>
      </c>
      <c r="K153" s="15">
        <f t="shared" si="7"/>
        <v>-0.01141130777</v>
      </c>
      <c r="L153" s="10">
        <f t="shared" si="8"/>
        <v>0.55671595</v>
      </c>
      <c r="M153" s="10">
        <f>'Precinct Vote Data'!H598</f>
        <v>0.5419607843</v>
      </c>
      <c r="N153" s="10">
        <f>'Precinct Vote Data'!H599</f>
        <v>0.5368874529</v>
      </c>
      <c r="O153" s="10">
        <f>'Precinct Vote Data'!H600</f>
        <v>0.5564971751</v>
      </c>
      <c r="U153" s="16">
        <f t="shared" si="9"/>
        <v>2.755828261</v>
      </c>
      <c r="V153" s="5" t="b">
        <f t="shared" si="10"/>
        <v>1</v>
      </c>
      <c r="W153" s="5">
        <f t="shared" si="11"/>
        <v>3.049386089</v>
      </c>
      <c r="X153" s="5">
        <f t="shared" si="12"/>
        <v>2.733950775</v>
      </c>
      <c r="Y153" s="5">
        <f t="shared" si="13"/>
        <v>2.755828261</v>
      </c>
      <c r="Z153" s="10">
        <f>MIN(1,MAX(0,(5.3914776420524+0.021102849201698*'Precinct Vote Data'!I601*100+(-5.72594740176815)*1+0.927016741366831*(O153*100))/100))</f>
        <v>0.5132761</v>
      </c>
      <c r="AA153" s="16">
        <f t="shared" si="14"/>
        <v>-1.588156738</v>
      </c>
      <c r="AB153" s="5" t="b">
        <f t="shared" si="15"/>
        <v>1</v>
      </c>
      <c r="AC153" s="5">
        <f t="shared" si="16"/>
        <v>1.588156738</v>
      </c>
    </row>
    <row r="154" ht="15.0" customHeight="1">
      <c r="A154" s="5" t="s">
        <v>143</v>
      </c>
      <c r="B154" s="5" t="s">
        <v>215</v>
      </c>
      <c r="C154" s="5" t="s">
        <v>216</v>
      </c>
      <c r="D154" s="10">
        <f t="shared" si="1"/>
        <v>0.4342699457</v>
      </c>
      <c r="E154" s="10">
        <f>'Precinct Vote Data'!H605</f>
        <v>0.430887372</v>
      </c>
      <c r="F154" s="16">
        <f t="shared" si="2"/>
        <v>0.3382573666</v>
      </c>
      <c r="G154" s="10">
        <f t="shared" si="3"/>
        <v>0.4431393486</v>
      </c>
      <c r="H154" s="16">
        <f t="shared" si="4"/>
        <v>1.225197662</v>
      </c>
      <c r="I154" s="5" t="b">
        <f t="shared" si="5"/>
        <v>1</v>
      </c>
      <c r="J154" s="5" t="b">
        <f t="shared" si="6"/>
        <v>1</v>
      </c>
      <c r="K154" s="15">
        <f t="shared" si="7"/>
        <v>0.6993225301</v>
      </c>
      <c r="L154" s="10">
        <f t="shared" si="8"/>
        <v>0.4297321051</v>
      </c>
      <c r="M154" s="10">
        <f>'Precinct Vote Data'!H602</f>
        <v>0.4382157926</v>
      </c>
      <c r="N154" s="10">
        <f>'Precinct Vote Data'!H603</f>
        <v>0.4066840278</v>
      </c>
      <c r="O154" s="10">
        <f>'Precinct Vote Data'!H604</f>
        <v>0.4431393486</v>
      </c>
      <c r="U154" s="16">
        <f t="shared" si="9"/>
        <v>-0.1155266891</v>
      </c>
      <c r="V154" s="5" t="b">
        <f t="shared" si="10"/>
        <v>1</v>
      </c>
      <c r="W154" s="5">
        <f t="shared" si="11"/>
        <v>0.3382573666</v>
      </c>
      <c r="X154" s="5">
        <f t="shared" si="12"/>
        <v>1.225197662</v>
      </c>
      <c r="Y154" s="5">
        <f t="shared" si="13"/>
        <v>0.1155266891</v>
      </c>
      <c r="Z154" s="10">
        <f>MIN(1,MAX(0,(5.3914776420524+0.021102849201698*'Precinct Vote Data'!I605*100+(-5.72594740176815)*1+0.927016741366831*(O154*100))/100))</f>
        <v>0.4037240239</v>
      </c>
      <c r="AA154" s="16">
        <f t="shared" si="14"/>
        <v>-2.716334812</v>
      </c>
      <c r="AB154" s="5" t="b">
        <f t="shared" si="15"/>
        <v>1</v>
      </c>
      <c r="AC154" s="5">
        <f t="shared" si="16"/>
        <v>2.716334812</v>
      </c>
    </row>
    <row r="155" ht="15.0" customHeight="1">
      <c r="A155" s="5" t="s">
        <v>143</v>
      </c>
      <c r="B155" s="5" t="s">
        <v>215</v>
      </c>
      <c r="C155" s="5" t="s">
        <v>217</v>
      </c>
      <c r="D155" s="10">
        <f t="shared" si="1"/>
        <v>0.3981445982</v>
      </c>
      <c r="E155" s="10">
        <f>'Precinct Vote Data'!H609</f>
        <v>0.3923357664</v>
      </c>
      <c r="F155" s="16">
        <f t="shared" si="2"/>
        <v>0.5808831745</v>
      </c>
      <c r="G155" s="10">
        <f t="shared" si="3"/>
        <v>0.4115176965</v>
      </c>
      <c r="H155" s="16">
        <f t="shared" si="4"/>
        <v>1.918193004</v>
      </c>
      <c r="I155" s="5" t="b">
        <f t="shared" si="5"/>
        <v>1</v>
      </c>
      <c r="J155" s="5" t="b">
        <f t="shared" si="6"/>
        <v>1</v>
      </c>
      <c r="K155" s="15">
        <f t="shared" si="7"/>
        <v>0.7671311711</v>
      </c>
      <c r="L155" s="10">
        <f t="shared" si="8"/>
        <v>0.396810442</v>
      </c>
      <c r="M155" s="10">
        <f>'Precinct Vote Data'!H606</f>
        <v>0.4238128987</v>
      </c>
      <c r="N155" s="10">
        <f>'Precinct Vote Data'!H607</f>
        <v>0.395988806</v>
      </c>
      <c r="O155" s="10">
        <f>'Precinct Vote Data'!H608</f>
        <v>0.4115176965</v>
      </c>
      <c r="U155" s="16">
        <f t="shared" si="9"/>
        <v>0.4474675549</v>
      </c>
      <c r="V155" s="5" t="b">
        <f t="shared" si="10"/>
        <v>1</v>
      </c>
      <c r="W155" s="5">
        <f t="shared" si="11"/>
        <v>0.5808831745</v>
      </c>
      <c r="X155" s="5">
        <f t="shared" si="12"/>
        <v>1.918193004</v>
      </c>
      <c r="Y155" s="5">
        <f t="shared" si="13"/>
        <v>0.4474675549</v>
      </c>
      <c r="Z155" s="10">
        <f>MIN(1,MAX(0,(5.3914776420524+0.021102849201698*'Precinct Vote Data'!I609*100+(-5.72594740176815)*1+0.927016741366831*(O155*100))/100))</f>
        <v>0.3747584199</v>
      </c>
      <c r="AA155" s="16">
        <f t="shared" si="14"/>
        <v>-1.757734647</v>
      </c>
      <c r="AB155" s="5" t="b">
        <f t="shared" si="15"/>
        <v>1</v>
      </c>
      <c r="AC155" s="5">
        <f t="shared" si="16"/>
        <v>1.757734647</v>
      </c>
    </row>
    <row r="156" ht="15.0" customHeight="1">
      <c r="A156" s="5" t="s">
        <v>143</v>
      </c>
      <c r="B156" s="5" t="s">
        <v>215</v>
      </c>
      <c r="C156" s="5" t="s">
        <v>218</v>
      </c>
      <c r="D156" s="10">
        <f t="shared" si="1"/>
        <v>0.4187895962</v>
      </c>
      <c r="E156" s="10">
        <f>'Precinct Vote Data'!H613</f>
        <v>0.3890814558</v>
      </c>
      <c r="F156" s="16">
        <f t="shared" si="2"/>
        <v>2.970814039</v>
      </c>
      <c r="G156" s="10">
        <f t="shared" si="3"/>
        <v>0.4161979753</v>
      </c>
      <c r="H156" s="16">
        <f t="shared" si="4"/>
        <v>2.711651945</v>
      </c>
      <c r="I156" s="5" t="b">
        <f t="shared" si="5"/>
        <v>1</v>
      </c>
      <c r="J156" s="5" t="b">
        <f t="shared" si="6"/>
        <v>1</v>
      </c>
      <c r="K156" s="15">
        <f t="shared" si="7"/>
        <v>0.03025815154</v>
      </c>
      <c r="L156" s="10">
        <f t="shared" si="8"/>
        <v>0.4156178732</v>
      </c>
      <c r="M156" s="10">
        <f>'Precinct Vote Data'!H610</f>
        <v>0.4015345269</v>
      </c>
      <c r="N156" s="10">
        <f>'Precinct Vote Data'!H611</f>
        <v>0.3946459413</v>
      </c>
      <c r="O156" s="10">
        <f>'Precinct Vote Data'!H612</f>
        <v>0.4161979753</v>
      </c>
      <c r="U156" s="16">
        <f t="shared" si="9"/>
        <v>2.653641744</v>
      </c>
      <c r="V156" s="5" t="b">
        <f t="shared" si="10"/>
        <v>1</v>
      </c>
      <c r="W156" s="5">
        <f t="shared" si="11"/>
        <v>2.970814039</v>
      </c>
      <c r="X156" s="5">
        <f t="shared" si="12"/>
        <v>2.711651945</v>
      </c>
      <c r="Y156" s="5">
        <f t="shared" si="13"/>
        <v>2.653641744</v>
      </c>
      <c r="Z156" s="10">
        <f>MIN(1,MAX(0,(5.3914776420524+0.021102849201698*'Precinct Vote Data'!I613*100+(-5.72594740176815)*1+0.927016741366831*(O156*100))/100))</f>
        <v>0.3788818677</v>
      </c>
      <c r="AA156" s="16">
        <f t="shared" si="14"/>
        <v>-1.019958812</v>
      </c>
      <c r="AB156" s="5" t="b">
        <f t="shared" si="15"/>
        <v>1</v>
      </c>
      <c r="AC156" s="5">
        <f t="shared" si="16"/>
        <v>1.019958812</v>
      </c>
    </row>
    <row r="157" ht="15.0" customHeight="1">
      <c r="A157" s="5" t="s">
        <v>143</v>
      </c>
      <c r="B157" s="5" t="s">
        <v>215</v>
      </c>
      <c r="C157" s="5" t="s">
        <v>219</v>
      </c>
      <c r="D157" s="10">
        <f t="shared" si="1"/>
        <v>0.4109362675</v>
      </c>
      <c r="E157" s="10">
        <f>'Precinct Vote Data'!H617</f>
        <v>0.4004898959</v>
      </c>
      <c r="F157" s="16">
        <f t="shared" si="2"/>
        <v>1.044637157</v>
      </c>
      <c r="G157" s="10">
        <f t="shared" si="3"/>
        <v>0.4073494918</v>
      </c>
      <c r="H157" s="16">
        <f t="shared" si="4"/>
        <v>0.6859595893</v>
      </c>
      <c r="I157" s="5" t="b">
        <f t="shared" si="5"/>
        <v>1</v>
      </c>
      <c r="J157" s="5" t="b">
        <f t="shared" si="6"/>
        <v>1</v>
      </c>
      <c r="K157" s="15">
        <f t="shared" si="7"/>
        <v>-0.07150307252</v>
      </c>
      <c r="L157" s="10">
        <f t="shared" si="8"/>
        <v>0.4087203315</v>
      </c>
      <c r="M157" s="10">
        <f>'Precinct Vote Data'!H614</f>
        <v>0.3948374761</v>
      </c>
      <c r="N157" s="10">
        <f>'Precinct Vote Data'!H615</f>
        <v>0.3930857875</v>
      </c>
      <c r="O157" s="10">
        <f>'Precinct Vote Data'!H616</f>
        <v>0.4073494918</v>
      </c>
      <c r="U157" s="16">
        <f t="shared" si="9"/>
        <v>0.8230435619</v>
      </c>
      <c r="V157" s="5" t="b">
        <f t="shared" si="10"/>
        <v>1</v>
      </c>
      <c r="W157" s="5">
        <f t="shared" si="11"/>
        <v>1.044637157</v>
      </c>
      <c r="X157" s="5">
        <f t="shared" si="12"/>
        <v>0.6859595893</v>
      </c>
      <c r="Y157" s="5">
        <f t="shared" si="13"/>
        <v>0.8230435619</v>
      </c>
      <c r="Z157" s="10">
        <f>MIN(1,MAX(0,(5.3914776420524+0.021102849201698*'Precinct Vote Data'!I617*100+(-5.72594740176815)*1+0.927016741366831*(O157*100))/100))</f>
        <v>0.3708923142</v>
      </c>
      <c r="AA157" s="16">
        <f t="shared" si="14"/>
        <v>-2.959758174</v>
      </c>
      <c r="AB157" s="5" t="b">
        <f t="shared" si="15"/>
        <v>1</v>
      </c>
      <c r="AC157" s="5">
        <f t="shared" si="16"/>
        <v>2.959758174</v>
      </c>
    </row>
    <row r="158" ht="15.0" customHeight="1">
      <c r="A158" s="5" t="s">
        <v>143</v>
      </c>
      <c r="B158" s="5" t="s">
        <v>215</v>
      </c>
      <c r="C158" s="5" t="s">
        <v>220</v>
      </c>
      <c r="D158" s="10">
        <f t="shared" si="1"/>
        <v>0.4137166093</v>
      </c>
      <c r="E158" s="10">
        <f>'Precinct Vote Data'!H621</f>
        <v>0.3849343469</v>
      </c>
      <c r="F158" s="16">
        <f t="shared" si="2"/>
        <v>2.87822624</v>
      </c>
      <c r="G158" s="10">
        <f t="shared" si="3"/>
        <v>0.40237691</v>
      </c>
      <c r="H158" s="16">
        <f t="shared" si="4"/>
        <v>1.744256309</v>
      </c>
      <c r="I158" s="5" t="b">
        <f t="shared" si="5"/>
        <v>1</v>
      </c>
      <c r="J158" s="5" t="b">
        <f t="shared" si="6"/>
        <v>1</v>
      </c>
      <c r="K158" s="15">
        <f t="shared" si="7"/>
        <v>-0.4290656018</v>
      </c>
      <c r="L158" s="10">
        <f t="shared" si="8"/>
        <v>0.4106028526</v>
      </c>
      <c r="M158" s="10">
        <f>'Precinct Vote Data'!H618</f>
        <v>0.376753507</v>
      </c>
      <c r="N158" s="10">
        <f>'Precinct Vote Data'!H619</f>
        <v>0.3851492019</v>
      </c>
      <c r="O158" s="10">
        <f>'Precinct Vote Data'!H620</f>
        <v>0.40237691</v>
      </c>
      <c r="U158" s="16">
        <f t="shared" si="9"/>
        <v>2.566850572</v>
      </c>
      <c r="V158" s="5" t="b">
        <f t="shared" si="10"/>
        <v>1</v>
      </c>
      <c r="W158" s="5">
        <f t="shared" si="11"/>
        <v>2.87822624</v>
      </c>
      <c r="X158" s="5">
        <f t="shared" si="12"/>
        <v>1.744256309</v>
      </c>
      <c r="Y158" s="5">
        <f t="shared" si="13"/>
        <v>2.566850572</v>
      </c>
      <c r="Z158" s="10">
        <f>MIN(1,MAX(0,(5.3914776420524+0.021102849201698*'Precinct Vote Data'!I621*100+(-5.72594740176815)*1+0.927016741366831*(O158*100))/100))</f>
        <v>0.3648771978</v>
      </c>
      <c r="AA158" s="16">
        <f t="shared" si="14"/>
        <v>-2.005714908</v>
      </c>
      <c r="AB158" s="5" t="b">
        <f t="shared" si="15"/>
        <v>1</v>
      </c>
      <c r="AC158" s="5">
        <f t="shared" si="16"/>
        <v>2.005714908</v>
      </c>
    </row>
    <row r="159" ht="15.0" customHeight="1">
      <c r="A159" s="5" t="s">
        <v>143</v>
      </c>
      <c r="B159" s="5" t="s">
        <v>215</v>
      </c>
      <c r="C159" s="5" t="s">
        <v>221</v>
      </c>
      <c r="D159" s="10">
        <f t="shared" si="1"/>
        <v>0.4213839793</v>
      </c>
      <c r="E159" s="10">
        <f>'Precinct Vote Data'!H625</f>
        <v>0.4215938303</v>
      </c>
      <c r="F159" s="16">
        <f t="shared" si="2"/>
        <v>-0.02098510341</v>
      </c>
      <c r="G159" s="10">
        <f t="shared" si="3"/>
        <v>0.4500601685</v>
      </c>
      <c r="H159" s="16">
        <f t="shared" si="4"/>
        <v>2.846633814</v>
      </c>
      <c r="I159" s="5" t="b">
        <f t="shared" si="5"/>
        <v>1</v>
      </c>
      <c r="J159" s="5" t="b">
        <f t="shared" si="6"/>
        <v>1</v>
      </c>
      <c r="K159" s="15">
        <f t="shared" si="7"/>
        <v>1.589708024</v>
      </c>
      <c r="L159" s="10">
        <f t="shared" si="8"/>
        <v>0.4195826682</v>
      </c>
      <c r="M159" s="10">
        <f>'Precinct Vote Data'!H622</f>
        <v>0.480218281</v>
      </c>
      <c r="N159" s="10">
        <f>'Precinct Vote Data'!H623</f>
        <v>0.4243478261</v>
      </c>
      <c r="O159" s="10">
        <f>'Precinct Vote Data'!H624</f>
        <v>0.4500601685</v>
      </c>
      <c r="U159" s="16">
        <f t="shared" si="9"/>
        <v>-0.2011162127</v>
      </c>
      <c r="V159" s="5" t="b">
        <f t="shared" si="10"/>
        <v>1</v>
      </c>
      <c r="W159" s="5">
        <f t="shared" si="11"/>
        <v>0.02098510341</v>
      </c>
      <c r="X159" s="5">
        <f t="shared" si="12"/>
        <v>2.846633814</v>
      </c>
      <c r="Y159" s="5">
        <f t="shared" si="13"/>
        <v>0.2011162127</v>
      </c>
      <c r="Z159" s="10">
        <f>MIN(1,MAX(0,(5.3914776420524+0.021102849201698*'Precinct Vote Data'!I625*100+(-5.72594740176815)*1+0.927016741366831*(O159*100))/100))</f>
        <v>0.4110176183</v>
      </c>
      <c r="AA159" s="16">
        <f t="shared" si="14"/>
        <v>-1.057621206</v>
      </c>
      <c r="AB159" s="5" t="b">
        <f t="shared" si="15"/>
        <v>1</v>
      </c>
      <c r="AC159" s="5">
        <f t="shared" si="16"/>
        <v>1.057621206</v>
      </c>
    </row>
    <row r="160" ht="15.0" customHeight="1">
      <c r="A160" s="5" t="s">
        <v>143</v>
      </c>
      <c r="B160" s="5" t="s">
        <v>222</v>
      </c>
      <c r="C160" s="5" t="s">
        <v>223</v>
      </c>
      <c r="D160" s="10">
        <f t="shared" si="1"/>
        <v>0.4743945755</v>
      </c>
      <c r="E160" s="10">
        <f>'Precinct Vote Data'!H629</f>
        <v>0.4908155768</v>
      </c>
      <c r="F160" s="16">
        <f t="shared" si="2"/>
        <v>-1.642100126</v>
      </c>
      <c r="G160" s="10">
        <f t="shared" si="3"/>
        <v>0.5014925373</v>
      </c>
      <c r="H160" s="16">
        <f t="shared" si="4"/>
        <v>1.067696053</v>
      </c>
      <c r="I160" s="5" t="b">
        <f t="shared" si="5"/>
        <v>1</v>
      </c>
      <c r="J160" s="5" t="b">
        <f t="shared" si="6"/>
        <v>0</v>
      </c>
      <c r="K160" s="15">
        <f t="shared" si="7"/>
        <v>1.31252399</v>
      </c>
      <c r="L160" s="10">
        <f t="shared" si="8"/>
        <v>0.4763291427</v>
      </c>
      <c r="M160" s="10">
        <f>'Precinct Vote Data'!H626</f>
        <v>0.5430107527</v>
      </c>
      <c r="N160" s="10">
        <f>'Precinct Vote Data'!H627</f>
        <v>0.5032350827</v>
      </c>
      <c r="O160" s="10">
        <f>'Precinct Vote Data'!H628</f>
        <v>0.5014925373</v>
      </c>
      <c r="U160" s="16">
        <f t="shared" si="9"/>
        <v>-1.448643404</v>
      </c>
      <c r="V160" s="5" t="b">
        <f t="shared" si="10"/>
        <v>1</v>
      </c>
      <c r="W160" s="5">
        <f t="shared" si="11"/>
        <v>1.642100126</v>
      </c>
      <c r="X160" s="5">
        <f t="shared" si="12"/>
        <v>1.067696053</v>
      </c>
      <c r="Y160" s="5">
        <f t="shared" si="13"/>
        <v>1.448643404</v>
      </c>
      <c r="Z160" s="10">
        <f>MIN(1,MAX(0,(5.3914776420524+0.021102849201698*'Precinct Vote Data'!I629*100+(-5.72594740176815)*1+0.927016741366831*(O160*100))/100))</f>
        <v>0.4634148823</v>
      </c>
      <c r="AA160" s="16">
        <f t="shared" si="14"/>
        <v>-2.740069446</v>
      </c>
      <c r="AB160" s="5" t="b">
        <f t="shared" si="15"/>
        <v>1</v>
      </c>
      <c r="AC160" s="5">
        <f t="shared" si="16"/>
        <v>2.740069446</v>
      </c>
    </row>
    <row r="161" ht="15.0" customHeight="1">
      <c r="A161" s="5" t="s">
        <v>143</v>
      </c>
      <c r="B161" s="5" t="s">
        <v>222</v>
      </c>
      <c r="C161" s="5" t="s">
        <v>224</v>
      </c>
      <c r="D161" s="10">
        <f t="shared" si="1"/>
        <v>0.4859206369</v>
      </c>
      <c r="E161" s="10">
        <f>'Precinct Vote Data'!H633</f>
        <v>0.4953732264</v>
      </c>
      <c r="F161" s="16">
        <f t="shared" si="2"/>
        <v>-0.9452589547</v>
      </c>
      <c r="G161" s="10">
        <f t="shared" si="3"/>
        <v>0.5106022053</v>
      </c>
      <c r="H161" s="16">
        <f t="shared" si="4"/>
        <v>1.522897886</v>
      </c>
      <c r="I161" s="5" t="b">
        <f t="shared" si="5"/>
        <v>1</v>
      </c>
      <c r="J161" s="5" t="b">
        <f t="shared" si="6"/>
        <v>0</v>
      </c>
      <c r="K161" s="15">
        <f t="shared" si="7"/>
        <v>1.270499648</v>
      </c>
      <c r="L161" s="10">
        <f t="shared" si="8"/>
        <v>0.4862444913</v>
      </c>
      <c r="M161" s="10">
        <f>'Precinct Vote Data'!H630</f>
        <v>0.5432692308</v>
      </c>
      <c r="N161" s="10">
        <f>'Precinct Vote Data'!H631</f>
        <v>0.5018915511</v>
      </c>
      <c r="O161" s="10">
        <f>'Precinct Vote Data'!H632</f>
        <v>0.5106022053</v>
      </c>
      <c r="U161" s="16">
        <f t="shared" si="9"/>
        <v>-0.9128735118</v>
      </c>
      <c r="V161" s="5" t="b">
        <f t="shared" si="10"/>
        <v>1</v>
      </c>
      <c r="W161" s="5">
        <f t="shared" si="11"/>
        <v>0.9452589547</v>
      </c>
      <c r="X161" s="5">
        <f t="shared" si="12"/>
        <v>1.522897886</v>
      </c>
      <c r="Y161" s="5">
        <f t="shared" si="13"/>
        <v>0.9128735118</v>
      </c>
      <c r="Z161" s="10">
        <f>MIN(1,MAX(0,(5.3914776420524+0.021102849201698*'Precinct Vote Data'!I633*100+(-5.72594740176815)*1+0.927016741366831*(O161*100))/100))</f>
        <v>0.4720791666</v>
      </c>
      <c r="AA161" s="16">
        <f t="shared" si="14"/>
        <v>-2.329405976</v>
      </c>
      <c r="AB161" s="5" t="b">
        <f t="shared" si="15"/>
        <v>1</v>
      </c>
      <c r="AC161" s="5">
        <f t="shared" si="16"/>
        <v>2.329405976</v>
      </c>
    </row>
    <row r="162" ht="15.0" customHeight="1">
      <c r="A162" s="5" t="s">
        <v>143</v>
      </c>
      <c r="B162" s="5" t="s">
        <v>222</v>
      </c>
      <c r="C162" s="5" t="s">
        <v>225</v>
      </c>
      <c r="D162" s="10">
        <f t="shared" si="1"/>
        <v>0.5137652729</v>
      </c>
      <c r="E162" s="10">
        <f>'Precinct Vote Data'!H637</f>
        <v>0.4885714286</v>
      </c>
      <c r="F162" s="16">
        <f t="shared" si="2"/>
        <v>2.51938443</v>
      </c>
      <c r="G162" s="10">
        <f t="shared" si="3"/>
        <v>0.5214285714</v>
      </c>
      <c r="H162" s="16">
        <f t="shared" si="4"/>
        <v>3.285714286</v>
      </c>
      <c r="I162" s="5" t="b">
        <f t="shared" si="5"/>
        <v>0</v>
      </c>
      <c r="J162" s="5" t="b">
        <f t="shared" si="6"/>
        <v>0</v>
      </c>
      <c r="K162" s="15">
        <f t="shared" si="7"/>
        <v>0.6001566817</v>
      </c>
      <c r="L162" s="10">
        <f t="shared" si="8"/>
        <v>0.5099225117</v>
      </c>
      <c r="M162" s="10">
        <f>'Precinct Vote Data'!H634</f>
        <v>0.5174537988</v>
      </c>
      <c r="N162" s="10">
        <f>'Precinct Vote Data'!H635</f>
        <v>0.4904891304</v>
      </c>
      <c r="O162" s="10">
        <f>'Precinct Vote Data'!H636</f>
        <v>0.5214285714</v>
      </c>
      <c r="U162" s="16">
        <f t="shared" si="9"/>
        <v>2.135108316</v>
      </c>
      <c r="V162" s="5" t="b">
        <f t="shared" si="10"/>
        <v>0</v>
      </c>
      <c r="W162" s="5">
        <f t="shared" si="11"/>
        <v>2.51938443</v>
      </c>
      <c r="X162" s="5">
        <f t="shared" si="12"/>
        <v>3.285714286</v>
      </c>
      <c r="Y162" s="5">
        <f t="shared" si="13"/>
        <v>2.135108316</v>
      </c>
      <c r="Z162" s="10">
        <f>MIN(1,MAX(0,(5.3914776420524+0.021102849201698*'Precinct Vote Data'!I637*100+(-5.72594740176815)*1+0.927016741366831*(O162*100))/100))</f>
        <v>0.4794712023</v>
      </c>
      <c r="AA162" s="16">
        <f t="shared" si="14"/>
        <v>-0.9100226246</v>
      </c>
      <c r="AB162" s="5" t="b">
        <f t="shared" si="15"/>
        <v>1</v>
      </c>
      <c r="AC162" s="5">
        <f t="shared" si="16"/>
        <v>0.9100226246</v>
      </c>
    </row>
    <row r="163" ht="15.0" customHeight="1">
      <c r="A163" s="5" t="s">
        <v>143</v>
      </c>
      <c r="B163" s="5" t="s">
        <v>222</v>
      </c>
      <c r="C163" s="5" t="s">
        <v>226</v>
      </c>
      <c r="D163" s="10">
        <f t="shared" si="1"/>
        <v>0.5241187627</v>
      </c>
      <c r="E163" s="10">
        <f>'Precinct Vote Data'!H641</f>
        <v>0.4963768116</v>
      </c>
      <c r="F163" s="16">
        <f t="shared" si="2"/>
        <v>2.774195113</v>
      </c>
      <c r="G163" s="10">
        <f t="shared" si="3"/>
        <v>0.5270700637</v>
      </c>
      <c r="H163" s="16">
        <f t="shared" si="4"/>
        <v>3.06932521</v>
      </c>
      <c r="I163" s="5" t="b">
        <f t="shared" si="5"/>
        <v>0</v>
      </c>
      <c r="J163" s="5" t="b">
        <f t="shared" si="6"/>
        <v>0</v>
      </c>
      <c r="K163" s="15">
        <f t="shared" si="7"/>
        <v>0.2589580228</v>
      </c>
      <c r="L163" s="10">
        <f t="shared" si="8"/>
        <v>0.5221053827</v>
      </c>
      <c r="M163" s="10">
        <f>'Precinct Vote Data'!H638</f>
        <v>0.5236294896</v>
      </c>
      <c r="N163" s="10">
        <f>'Precinct Vote Data'!H639</f>
        <v>0.5113350126</v>
      </c>
      <c r="O163" s="10">
        <f>'Precinct Vote Data'!H640</f>
        <v>0.5270700637</v>
      </c>
      <c r="U163" s="16">
        <f t="shared" si="9"/>
        <v>2.572857111</v>
      </c>
      <c r="V163" s="5" t="b">
        <f t="shared" si="10"/>
        <v>0</v>
      </c>
      <c r="W163" s="5">
        <f t="shared" si="11"/>
        <v>2.774195113</v>
      </c>
      <c r="X163" s="5">
        <f t="shared" si="12"/>
        <v>3.06932521</v>
      </c>
      <c r="Y163" s="5">
        <f t="shared" si="13"/>
        <v>2.572857111</v>
      </c>
      <c r="Z163" s="10">
        <f>MIN(1,MAX(0,(5.3914776420524+0.021102849201698*'Precinct Vote Data'!I641*100+(-5.72594740176815)*1+0.927016741366831*(O163*100))/100))</f>
        <v>0.4863427618</v>
      </c>
      <c r="AA163" s="16">
        <f t="shared" si="14"/>
        <v>-1.003404982</v>
      </c>
      <c r="AB163" s="5" t="b">
        <f t="shared" si="15"/>
        <v>1</v>
      </c>
      <c r="AC163" s="5">
        <f t="shared" si="16"/>
        <v>1.003404982</v>
      </c>
    </row>
    <row r="164" ht="15.0" customHeight="1">
      <c r="A164" s="5" t="s">
        <v>143</v>
      </c>
      <c r="B164" s="5" t="s">
        <v>222</v>
      </c>
      <c r="C164" s="5" t="s">
        <v>227</v>
      </c>
      <c r="D164" s="10">
        <f t="shared" si="1"/>
        <v>0.4896189733</v>
      </c>
      <c r="E164" s="10">
        <f>'Precinct Vote Data'!H645</f>
        <v>0.4874651811</v>
      </c>
      <c r="F164" s="16">
        <f t="shared" si="2"/>
        <v>0.2153792244</v>
      </c>
      <c r="G164" s="10">
        <f t="shared" si="3"/>
        <v>0.4843568946</v>
      </c>
      <c r="H164" s="16">
        <f t="shared" si="4"/>
        <v>-0.3108286505</v>
      </c>
      <c r="I164" s="5" t="b">
        <f t="shared" si="5"/>
        <v>1</v>
      </c>
      <c r="J164" s="5" t="b">
        <f t="shared" si="6"/>
        <v>1</v>
      </c>
      <c r="K164" s="15">
        <f t="shared" si="7"/>
        <v>-0.2149573127</v>
      </c>
      <c r="L164" s="10">
        <f t="shared" si="8"/>
        <v>0.4884780045</v>
      </c>
      <c r="M164" s="10">
        <f>'Precinct Vote Data'!H642</f>
        <v>0.4735547355</v>
      </c>
      <c r="N164" s="10">
        <f>'Precinct Vote Data'!H643</f>
        <v>0.4785388128</v>
      </c>
      <c r="O164" s="10">
        <f>'Precinct Vote Data'!H644</f>
        <v>0.4843568946</v>
      </c>
      <c r="U164" s="16">
        <f t="shared" si="9"/>
        <v>0.1012823445</v>
      </c>
      <c r="V164" s="5" t="b">
        <f t="shared" si="10"/>
        <v>1</v>
      </c>
      <c r="W164" s="5">
        <f t="shared" si="11"/>
        <v>0.2153792244</v>
      </c>
      <c r="X164" s="5">
        <f t="shared" si="12"/>
        <v>0.3108286505</v>
      </c>
      <c r="Y164" s="5">
        <f t="shared" si="13"/>
        <v>0.1012823445</v>
      </c>
      <c r="Z164" s="10">
        <f>MIN(1,MAX(0,(5.3914776420524+0.021102849201698*'Precinct Vote Data'!I645*100+(-5.72594740176815)*1+0.927016741366831*(O164*100))/100))</f>
        <v>0.4438263046</v>
      </c>
      <c r="AA164" s="16">
        <f t="shared" si="14"/>
        <v>-4.363887649</v>
      </c>
      <c r="AB164" s="5" t="b">
        <f t="shared" si="15"/>
        <v>1</v>
      </c>
      <c r="AC164" s="5">
        <f t="shared" si="16"/>
        <v>4.363887649</v>
      </c>
    </row>
    <row r="165" ht="15.0" customHeight="1">
      <c r="A165" s="5" t="s">
        <v>143</v>
      </c>
      <c r="B165" s="5" t="s">
        <v>222</v>
      </c>
      <c r="C165" s="5" t="s">
        <v>228</v>
      </c>
      <c r="D165" s="10">
        <f t="shared" si="1"/>
        <v>0.4693775981</v>
      </c>
      <c r="E165" s="10">
        <f>'Precinct Vote Data'!H649</f>
        <v>0.4650817236</v>
      </c>
      <c r="F165" s="16">
        <f t="shared" si="2"/>
        <v>0.4295874458</v>
      </c>
      <c r="G165" s="10">
        <f t="shared" si="3"/>
        <v>0.4758497317</v>
      </c>
      <c r="H165" s="16">
        <f t="shared" si="4"/>
        <v>1.076800804</v>
      </c>
      <c r="I165" s="5" t="b">
        <f t="shared" si="5"/>
        <v>1</v>
      </c>
      <c r="J165" s="5" t="b">
        <f t="shared" si="6"/>
        <v>1</v>
      </c>
      <c r="K165" s="15">
        <f t="shared" si="7"/>
        <v>0.3108962927</v>
      </c>
      <c r="L165" s="10">
        <f t="shared" si="8"/>
        <v>0.4698893026</v>
      </c>
      <c r="M165" s="10">
        <f>'Precinct Vote Data'!H646</f>
        <v>0.4859437751</v>
      </c>
      <c r="N165" s="10">
        <f>'Precinct Vote Data'!H647</f>
        <v>0.4766214178</v>
      </c>
      <c r="O165" s="10">
        <f>'Precinct Vote Data'!H648</f>
        <v>0.4758497317</v>
      </c>
      <c r="U165" s="16">
        <f t="shared" si="9"/>
        <v>0.4807579016</v>
      </c>
      <c r="V165" s="5" t="b">
        <f t="shared" si="10"/>
        <v>1</v>
      </c>
      <c r="W165" s="5">
        <f t="shared" si="11"/>
        <v>0.4295874458</v>
      </c>
      <c r="X165" s="5">
        <f t="shared" si="12"/>
        <v>1.076800804</v>
      </c>
      <c r="Y165" s="5">
        <f t="shared" si="13"/>
        <v>0.4807579016</v>
      </c>
      <c r="Z165" s="10">
        <f>MIN(1,MAX(0,(5.3914776420524+0.021102849201698*'Precinct Vote Data'!I649*100+(-5.72594740176815)*1+0.927016741366831*(O165*100))/100))</f>
        <v>0.4364106157</v>
      </c>
      <c r="AA165" s="16">
        <f t="shared" si="14"/>
        <v>-2.867110794</v>
      </c>
      <c r="AB165" s="5" t="b">
        <f t="shared" si="15"/>
        <v>1</v>
      </c>
      <c r="AC165" s="5">
        <f t="shared" si="16"/>
        <v>2.867110794</v>
      </c>
    </row>
    <row r="166" ht="15.0" customHeight="1">
      <c r="A166" s="5" t="s">
        <v>143</v>
      </c>
      <c r="B166" s="5" t="s">
        <v>222</v>
      </c>
      <c r="C166" s="5" t="s">
        <v>229</v>
      </c>
      <c r="D166" s="10">
        <f t="shared" si="1"/>
        <v>0.5684717832</v>
      </c>
      <c r="E166" s="10">
        <f>'Precinct Vote Data'!H653</f>
        <v>0.5279898219</v>
      </c>
      <c r="F166" s="16">
        <f t="shared" si="2"/>
        <v>4.048196129</v>
      </c>
      <c r="G166" s="10">
        <f t="shared" si="3"/>
        <v>0.5409582689</v>
      </c>
      <c r="H166" s="16">
        <f t="shared" si="4"/>
        <v>1.296844705</v>
      </c>
      <c r="I166" s="5" t="b">
        <f t="shared" si="5"/>
        <v>1</v>
      </c>
      <c r="J166" s="5" t="b">
        <f t="shared" si="6"/>
        <v>1</v>
      </c>
      <c r="K166" s="15">
        <f t="shared" si="7"/>
        <v>-0.9576430789</v>
      </c>
      <c r="L166" s="10">
        <f t="shared" si="8"/>
        <v>0.5593179719</v>
      </c>
      <c r="M166" s="10">
        <f>'Precinct Vote Data'!H650</f>
        <v>0.4730639731</v>
      </c>
      <c r="N166" s="10">
        <f>'Precinct Vote Data'!H651</f>
        <v>0.4877102199</v>
      </c>
      <c r="O166" s="10">
        <f>'Precinct Vote Data'!H652</f>
        <v>0.5409582689</v>
      </c>
      <c r="U166" s="16">
        <f t="shared" si="9"/>
        <v>3.132815006</v>
      </c>
      <c r="V166" s="5" t="b">
        <f t="shared" si="10"/>
        <v>1</v>
      </c>
      <c r="W166" s="5">
        <f t="shared" si="11"/>
        <v>4.048196129</v>
      </c>
      <c r="X166" s="5">
        <f t="shared" si="12"/>
        <v>1.296844705</v>
      </c>
      <c r="Y166" s="5">
        <f t="shared" si="13"/>
        <v>3.132815006</v>
      </c>
      <c r="Z166" s="10">
        <f>MIN(1,MAX(0,(5.3914776420524+0.021102849201698*'Precinct Vote Data'!I653*100+(-5.72594740176815)*1+0.927016741366831*(O166*100))/100))</f>
        <v>0.4975143606</v>
      </c>
      <c r="AA166" s="16">
        <f t="shared" si="14"/>
        <v>-3.047546128</v>
      </c>
      <c r="AB166" s="5" t="b">
        <f t="shared" si="15"/>
        <v>0</v>
      </c>
      <c r="AC166" s="5">
        <f t="shared" si="16"/>
        <v>3.047546128</v>
      </c>
    </row>
    <row r="167" ht="15.0" customHeight="1">
      <c r="A167" s="5" t="s">
        <v>143</v>
      </c>
      <c r="B167" s="5" t="s">
        <v>222</v>
      </c>
      <c r="C167" s="5" t="s">
        <v>230</v>
      </c>
      <c r="D167" s="10">
        <f t="shared" si="1"/>
        <v>0.5208544344</v>
      </c>
      <c r="E167" s="10">
        <f>'Precinct Vote Data'!H657</f>
        <v>0.4990636704</v>
      </c>
      <c r="F167" s="16">
        <f t="shared" si="2"/>
        <v>2.179076396</v>
      </c>
      <c r="G167" s="10">
        <f t="shared" si="3"/>
        <v>0.5134843581</v>
      </c>
      <c r="H167" s="16">
        <f t="shared" si="4"/>
        <v>1.442068773</v>
      </c>
      <c r="I167" s="5" t="b">
        <f t="shared" si="5"/>
        <v>0</v>
      </c>
      <c r="J167" s="5" t="b">
        <f t="shared" si="6"/>
        <v>0</v>
      </c>
      <c r="K167" s="15">
        <f t="shared" si="7"/>
        <v>-0.146571068</v>
      </c>
      <c r="L167" s="10">
        <f t="shared" si="8"/>
        <v>0.5162943834</v>
      </c>
      <c r="M167" s="10">
        <f>'Precinct Vote Data'!H654</f>
        <v>0.4877505568</v>
      </c>
      <c r="N167" s="10">
        <f>'Precinct Vote Data'!H655</f>
        <v>0.4841269841</v>
      </c>
      <c r="O167" s="10">
        <f>'Precinct Vote Data'!H656</f>
        <v>0.5134843581</v>
      </c>
      <c r="U167" s="16">
        <f t="shared" si="9"/>
        <v>1.723071303</v>
      </c>
      <c r="V167" s="5" t="b">
        <f t="shared" si="10"/>
        <v>0</v>
      </c>
      <c r="W167" s="5">
        <f t="shared" si="11"/>
        <v>2.179076396</v>
      </c>
      <c r="X167" s="5">
        <f t="shared" si="12"/>
        <v>1.442068773</v>
      </c>
      <c r="Y167" s="5">
        <f t="shared" si="13"/>
        <v>1.723071303</v>
      </c>
      <c r="Z167" s="10">
        <f>MIN(1,MAX(0,(5.3914776420524+0.021102849201698*'Precinct Vote Data'!I657*100+(-5.72594740176815)*1+0.927016741366831*(O167*100))/100))</f>
        <v>0.4721848642</v>
      </c>
      <c r="AA167" s="16">
        <f t="shared" si="14"/>
        <v>-2.687880626</v>
      </c>
      <c r="AB167" s="5" t="b">
        <f t="shared" si="15"/>
        <v>1</v>
      </c>
      <c r="AC167" s="5">
        <f t="shared" si="16"/>
        <v>2.687880626</v>
      </c>
    </row>
    <row r="168" ht="15.0" customHeight="1">
      <c r="A168" s="5" t="s">
        <v>143</v>
      </c>
      <c r="B168" s="5" t="s">
        <v>231</v>
      </c>
      <c r="C168" s="5" t="s">
        <v>232</v>
      </c>
      <c r="D168" s="10">
        <f t="shared" si="1"/>
        <v>0.4589783219</v>
      </c>
      <c r="E168" s="10">
        <f>'Precinct Vote Data'!H661</f>
        <v>0.4179620035</v>
      </c>
      <c r="F168" s="16">
        <f t="shared" si="2"/>
        <v>4.10163184</v>
      </c>
      <c r="G168" s="10">
        <f t="shared" si="3"/>
        <v>0.480620155</v>
      </c>
      <c r="H168" s="16">
        <f t="shared" si="4"/>
        <v>6.265815158</v>
      </c>
      <c r="I168" s="5" t="b">
        <f t="shared" si="5"/>
        <v>1</v>
      </c>
      <c r="J168" s="5" t="b">
        <f t="shared" si="6"/>
        <v>1</v>
      </c>
      <c r="K168" s="15">
        <f t="shared" si="7"/>
        <v>1.687837071</v>
      </c>
      <c r="L168" s="10">
        <f t="shared" si="8"/>
        <v>0.4482613483</v>
      </c>
      <c r="M168" s="10">
        <f>'Precinct Vote Data'!H658</f>
        <v>0.4698795181</v>
      </c>
      <c r="N168" s="10">
        <f>'Precinct Vote Data'!H659</f>
        <v>0.3942133816</v>
      </c>
      <c r="O168" s="10">
        <f>'Precinct Vote Data'!H660</f>
        <v>0.480620155</v>
      </c>
      <c r="U168" s="16">
        <f t="shared" si="9"/>
        <v>3.02993448</v>
      </c>
      <c r="V168" s="5" t="b">
        <f t="shared" si="10"/>
        <v>1</v>
      </c>
      <c r="W168" s="5">
        <f t="shared" si="11"/>
        <v>4.10163184</v>
      </c>
      <c r="X168" s="5">
        <f t="shared" si="12"/>
        <v>6.265815158</v>
      </c>
      <c r="Y168" s="5">
        <f t="shared" si="13"/>
        <v>3.02993448</v>
      </c>
      <c r="Z168" s="10">
        <f>MIN(1,MAX(0,(5.3914776420524+0.021102849201698*'Precinct Vote Data'!I661*100+(-5.72594740176815)*1+0.927016741366831*(O168*100))/100))</f>
        <v>0.4413330155</v>
      </c>
      <c r="AA168" s="16">
        <f t="shared" si="14"/>
        <v>2.337101209</v>
      </c>
      <c r="AB168" s="5" t="b">
        <f t="shared" si="15"/>
        <v>1</v>
      </c>
      <c r="AC168" s="5">
        <f t="shared" si="16"/>
        <v>2.337101209</v>
      </c>
    </row>
    <row r="169" ht="15.0" customHeight="1">
      <c r="A169" s="5" t="s">
        <v>143</v>
      </c>
      <c r="B169" s="5" t="s">
        <v>231</v>
      </c>
      <c r="C169" s="5" t="s">
        <v>233</v>
      </c>
      <c r="D169" s="10">
        <f t="shared" si="1"/>
        <v>0.4062431437</v>
      </c>
      <c r="E169" s="10">
        <f>'Precinct Vote Data'!H665</f>
        <v>0.3903966597</v>
      </c>
      <c r="F169" s="16">
        <f t="shared" si="2"/>
        <v>1.584648395</v>
      </c>
      <c r="G169" s="10">
        <f t="shared" si="3"/>
        <v>0.4437086093</v>
      </c>
      <c r="H169" s="16">
        <f t="shared" si="4"/>
        <v>5.331194956</v>
      </c>
      <c r="I169" s="5" t="b">
        <f t="shared" si="5"/>
        <v>1</v>
      </c>
      <c r="J169" s="5" t="b">
        <f t="shared" si="6"/>
        <v>1</v>
      </c>
      <c r="K169" s="15">
        <f t="shared" si="7"/>
        <v>2.247149903</v>
      </c>
      <c r="L169" s="10">
        <f t="shared" si="8"/>
        <v>0.4006267913</v>
      </c>
      <c r="M169" s="10">
        <f>'Precinct Vote Data'!H662</f>
        <v>0.4714285714</v>
      </c>
      <c r="N169" s="10">
        <f>'Precinct Vote Data'!H663</f>
        <v>0.3867521368</v>
      </c>
      <c r="O169" s="10">
        <f>'Precinct Vote Data'!H664</f>
        <v>0.4437086093</v>
      </c>
      <c r="U169" s="16">
        <f t="shared" si="9"/>
        <v>1.023013156</v>
      </c>
      <c r="V169" s="5" t="b">
        <f t="shared" si="10"/>
        <v>1</v>
      </c>
      <c r="W169" s="5">
        <f t="shared" si="11"/>
        <v>1.584648395</v>
      </c>
      <c r="X169" s="5">
        <f t="shared" si="12"/>
        <v>5.331194956</v>
      </c>
      <c r="Y169" s="5">
        <f t="shared" si="13"/>
        <v>1.023013156</v>
      </c>
      <c r="Z169" s="10">
        <f>MIN(1,MAX(0,(5.3914776420524+0.021102849201698*'Precinct Vote Data'!I665*100+(-5.72594740176815)*1+0.927016741366831*(O169*100))/100))</f>
        <v>0.4061066785</v>
      </c>
      <c r="AA169" s="16">
        <f t="shared" si="14"/>
        <v>1.571001877</v>
      </c>
      <c r="AB169" s="5" t="b">
        <f t="shared" si="15"/>
        <v>1</v>
      </c>
      <c r="AC169" s="5">
        <f t="shared" si="16"/>
        <v>1.571001877</v>
      </c>
    </row>
    <row r="170" ht="15.0" customHeight="1">
      <c r="A170" s="5" t="s">
        <v>143</v>
      </c>
      <c r="B170" s="5" t="s">
        <v>231</v>
      </c>
      <c r="C170" s="5" t="s">
        <v>234</v>
      </c>
      <c r="D170" s="10">
        <f t="shared" si="1"/>
        <v>0.4176329104</v>
      </c>
      <c r="E170" s="10">
        <f>'Precinct Vote Data'!H669</f>
        <v>0.4131403118</v>
      </c>
      <c r="F170" s="16">
        <f t="shared" si="2"/>
        <v>0.4492598634</v>
      </c>
      <c r="G170" s="10">
        <f t="shared" si="3"/>
        <v>0.4395770393</v>
      </c>
      <c r="H170" s="16">
        <f t="shared" si="4"/>
        <v>2.643672747</v>
      </c>
      <c r="I170" s="5" t="b">
        <f t="shared" si="5"/>
        <v>1</v>
      </c>
      <c r="J170" s="5" t="b">
        <f t="shared" si="6"/>
        <v>1</v>
      </c>
      <c r="K170" s="15">
        <f t="shared" si="7"/>
        <v>1.373121313</v>
      </c>
      <c r="L170" s="10">
        <f t="shared" si="8"/>
        <v>0.4132518874</v>
      </c>
      <c r="M170" s="10">
        <f>'Precinct Vote Data'!H666</f>
        <v>0.4519056261</v>
      </c>
      <c r="N170" s="10">
        <f>'Precinct Vote Data'!H667</f>
        <v>0.3984018265</v>
      </c>
      <c r="O170" s="10">
        <f>'Precinct Vote Data'!H668</f>
        <v>0.4395770393</v>
      </c>
      <c r="U170" s="16">
        <f t="shared" si="9"/>
        <v>0.01115755926</v>
      </c>
      <c r="V170" s="5" t="b">
        <f t="shared" si="10"/>
        <v>1</v>
      </c>
      <c r="W170" s="5">
        <f t="shared" si="11"/>
        <v>0.4492598634</v>
      </c>
      <c r="X170" s="5">
        <f t="shared" si="12"/>
        <v>2.643672747</v>
      </c>
      <c r="Y170" s="5">
        <f t="shared" si="13"/>
        <v>0.01115755926</v>
      </c>
      <c r="Z170" s="10">
        <f>MIN(1,MAX(0,(5.3914776420524+0.021102849201698*'Precinct Vote Data'!I669*100+(-5.72594740176815)*1+0.927016741366831*(O170*100))/100))</f>
        <v>0.4015063899</v>
      </c>
      <c r="AA170" s="16">
        <f t="shared" si="14"/>
        <v>-1.163392188</v>
      </c>
      <c r="AB170" s="5" t="b">
        <f t="shared" si="15"/>
        <v>1</v>
      </c>
      <c r="AC170" s="5">
        <f t="shared" si="16"/>
        <v>1.163392188</v>
      </c>
    </row>
    <row r="171" ht="15.0" customHeight="1">
      <c r="A171" s="5" t="s">
        <v>143</v>
      </c>
      <c r="B171" s="5" t="s">
        <v>235</v>
      </c>
      <c r="C171" s="5" t="s">
        <v>236</v>
      </c>
      <c r="D171" s="10">
        <f t="shared" si="1"/>
        <v>0.4970631962</v>
      </c>
      <c r="E171" s="10">
        <f>'Precinct Vote Data'!H673</f>
        <v>0.4861407249</v>
      </c>
      <c r="F171" s="16">
        <f t="shared" si="2"/>
        <v>1.092247122</v>
      </c>
      <c r="G171" s="10">
        <f t="shared" si="3"/>
        <v>0.5246478873</v>
      </c>
      <c r="H171" s="16">
        <f t="shared" si="4"/>
        <v>3.850716238</v>
      </c>
      <c r="I171" s="5" t="b">
        <f t="shared" si="5"/>
        <v>1</v>
      </c>
      <c r="J171" s="5" t="b">
        <f t="shared" si="6"/>
        <v>0</v>
      </c>
      <c r="K171" s="15">
        <f t="shared" si="7"/>
        <v>1.61963342</v>
      </c>
      <c r="L171" s="10">
        <f t="shared" si="8"/>
        <v>0.4935966646</v>
      </c>
      <c r="M171" s="10">
        <f>'Precinct Vote Data'!H670</f>
        <v>0.5474509804</v>
      </c>
      <c r="N171" s="10">
        <f>'Precinct Vote Data'!H671</f>
        <v>0.4875</v>
      </c>
      <c r="O171" s="10">
        <f>'Precinct Vote Data'!H672</f>
        <v>0.5246478873</v>
      </c>
      <c r="U171" s="16">
        <f t="shared" si="9"/>
        <v>0.745593961</v>
      </c>
      <c r="V171" s="5" t="b">
        <f t="shared" si="10"/>
        <v>1</v>
      </c>
      <c r="W171" s="5">
        <f t="shared" si="11"/>
        <v>1.092247122</v>
      </c>
      <c r="X171" s="5">
        <f t="shared" si="12"/>
        <v>3.850716238</v>
      </c>
      <c r="Y171" s="5">
        <f t="shared" si="13"/>
        <v>0.745593961</v>
      </c>
      <c r="Z171" s="10">
        <f>MIN(1,MAX(0,(5.3914776420524+0.021102849201698*'Precinct Vote Data'!I673*100+(-5.72594740176815)*1+0.927016741366831*(O171*100))/100))</f>
        <v>0.4834684988</v>
      </c>
      <c r="AA171" s="16">
        <f t="shared" si="14"/>
        <v>-0.2672226129</v>
      </c>
      <c r="AB171" s="5" t="b">
        <f t="shared" si="15"/>
        <v>1</v>
      </c>
      <c r="AC171" s="5">
        <f t="shared" si="16"/>
        <v>0.2672226129</v>
      </c>
    </row>
    <row r="172" ht="15.0" customHeight="1">
      <c r="A172" s="5" t="s">
        <v>143</v>
      </c>
      <c r="B172" s="5" t="s">
        <v>235</v>
      </c>
      <c r="C172" s="5" t="s">
        <v>237</v>
      </c>
      <c r="D172" s="10">
        <f t="shared" si="1"/>
        <v>0.4920721522</v>
      </c>
      <c r="E172" s="10">
        <f>'Precinct Vote Data'!H677</f>
        <v>0.5005574136</v>
      </c>
      <c r="F172" s="16">
        <f t="shared" si="2"/>
        <v>-0.8485261395</v>
      </c>
      <c r="G172" s="10">
        <f t="shared" si="3"/>
        <v>0.5331278891</v>
      </c>
      <c r="H172" s="16">
        <f t="shared" si="4"/>
        <v>3.257047546</v>
      </c>
      <c r="I172" s="5" t="b">
        <f t="shared" si="5"/>
        <v>0</v>
      </c>
      <c r="J172" s="5" t="b">
        <f t="shared" si="6"/>
        <v>1</v>
      </c>
      <c r="K172" s="15">
        <f t="shared" si="7"/>
        <v>2.152016765</v>
      </c>
      <c r="L172" s="10">
        <f t="shared" si="8"/>
        <v>0.4918699407</v>
      </c>
      <c r="M172" s="10">
        <f>'Precinct Vote Data'!H674</f>
        <v>0.5848142165</v>
      </c>
      <c r="N172" s="10">
        <f>'Precinct Vote Data'!H675</f>
        <v>0.5133333333</v>
      </c>
      <c r="O172" s="10">
        <f>'Precinct Vote Data'!H676</f>
        <v>0.5331278891</v>
      </c>
      <c r="U172" s="16">
        <f t="shared" si="9"/>
        <v>-0.8687472886</v>
      </c>
      <c r="V172" s="5" t="b">
        <f t="shared" si="10"/>
        <v>0</v>
      </c>
      <c r="W172" s="5">
        <f t="shared" si="11"/>
        <v>0.8485261395</v>
      </c>
      <c r="X172" s="5">
        <f t="shared" si="12"/>
        <v>3.257047546</v>
      </c>
      <c r="Y172" s="5">
        <f t="shared" si="13"/>
        <v>0.8687472886</v>
      </c>
      <c r="Z172" s="10">
        <f>MIN(1,MAX(0,(5.3914776420524+0.021102849201698*'Precinct Vote Data'!I677*100+(-5.72594740176815)*1+0.927016741366831*(O172*100))/100))</f>
        <v>0.4919078205</v>
      </c>
      <c r="AA172" s="16">
        <f t="shared" si="14"/>
        <v>-0.8649593139</v>
      </c>
      <c r="AB172" s="5" t="b">
        <f t="shared" si="15"/>
        <v>0</v>
      </c>
      <c r="AC172" s="5">
        <f t="shared" si="16"/>
        <v>0.8649593139</v>
      </c>
    </row>
    <row r="173" ht="15.0" customHeight="1">
      <c r="A173" s="5" t="s">
        <v>143</v>
      </c>
      <c r="B173" s="5" t="s">
        <v>235</v>
      </c>
      <c r="C173" s="5" t="s">
        <v>238</v>
      </c>
      <c r="D173" s="10">
        <f t="shared" si="1"/>
        <v>0.6062382923</v>
      </c>
      <c r="E173" s="10">
        <f>'Precinct Vote Data'!H681</f>
        <v>0.5592485549</v>
      </c>
      <c r="F173" s="16">
        <f t="shared" si="2"/>
        <v>4.698973738</v>
      </c>
      <c r="G173" s="10">
        <f t="shared" si="3"/>
        <v>0.5970625798</v>
      </c>
      <c r="H173" s="16">
        <f t="shared" si="4"/>
        <v>3.781402491</v>
      </c>
      <c r="I173" s="5" t="b">
        <f t="shared" si="5"/>
        <v>1</v>
      </c>
      <c r="J173" s="5" t="b">
        <f t="shared" si="6"/>
        <v>1</v>
      </c>
      <c r="K173" s="15">
        <f t="shared" si="7"/>
        <v>-0.2201387357</v>
      </c>
      <c r="L173" s="10">
        <f t="shared" si="8"/>
        <v>0.6012830268</v>
      </c>
      <c r="M173" s="10">
        <f>'Precinct Vote Data'!H678</f>
        <v>0.5676088617</v>
      </c>
      <c r="N173" s="10">
        <f>'Precinct Vote Data'!H679</f>
        <v>0.5656822811</v>
      </c>
      <c r="O173" s="10">
        <f>'Precinct Vote Data'!H680</f>
        <v>0.5970625798</v>
      </c>
      <c r="U173" s="16">
        <f t="shared" si="9"/>
        <v>4.203447186</v>
      </c>
      <c r="V173" s="5" t="b">
        <f t="shared" si="10"/>
        <v>1</v>
      </c>
      <c r="W173" s="5">
        <f t="shared" si="11"/>
        <v>4.698973738</v>
      </c>
      <c r="X173" s="5">
        <f t="shared" si="12"/>
        <v>3.781402491</v>
      </c>
      <c r="Y173" s="5">
        <f t="shared" si="13"/>
        <v>4.203447186</v>
      </c>
      <c r="Z173" s="10">
        <f>MIN(1,MAX(0,(5.3914776420524+0.021102849201698*'Precinct Vote Data'!I681*100+(-5.72594740176815)*1+0.927016741366831*(O173*100))/100))</f>
        <v>0.5522547047</v>
      </c>
      <c r="AA173" s="16">
        <f t="shared" si="14"/>
        <v>-0.6993850167</v>
      </c>
      <c r="AB173" s="5" t="b">
        <f t="shared" si="15"/>
        <v>1</v>
      </c>
      <c r="AC173" s="5">
        <f t="shared" si="16"/>
        <v>0.6993850167</v>
      </c>
    </row>
    <row r="174" ht="15.0" customHeight="1">
      <c r="A174" s="5" t="s">
        <v>143</v>
      </c>
      <c r="B174" s="5" t="s">
        <v>235</v>
      </c>
      <c r="C174" s="5" t="s">
        <v>239</v>
      </c>
      <c r="D174" s="10">
        <f t="shared" si="1"/>
        <v>0.4730390842</v>
      </c>
      <c r="E174" s="10">
        <f>'Precinct Vote Data'!H685</f>
        <v>0.4806480648</v>
      </c>
      <c r="F174" s="16">
        <f t="shared" si="2"/>
        <v>-0.7608980652</v>
      </c>
      <c r="G174" s="10">
        <f t="shared" si="3"/>
        <v>0.4924506388</v>
      </c>
      <c r="H174" s="16">
        <f t="shared" si="4"/>
        <v>1.180257399</v>
      </c>
      <c r="I174" s="5" t="b">
        <f t="shared" si="5"/>
        <v>1</v>
      </c>
      <c r="J174" s="5" t="b">
        <f t="shared" si="6"/>
        <v>1</v>
      </c>
      <c r="K174" s="15">
        <f t="shared" si="7"/>
        <v>1.026291068</v>
      </c>
      <c r="L174" s="10">
        <f t="shared" si="8"/>
        <v>0.472774833</v>
      </c>
      <c r="M174" s="10">
        <f>'Precinct Vote Data'!H682</f>
        <v>0.5162846803</v>
      </c>
      <c r="N174" s="10">
        <f>'Precinct Vote Data'!H683</f>
        <v>0.481884058</v>
      </c>
      <c r="O174" s="10">
        <f>'Precinct Vote Data'!H684</f>
        <v>0.4924506388</v>
      </c>
      <c r="U174" s="16">
        <f t="shared" si="9"/>
        <v>-0.7873231783</v>
      </c>
      <c r="V174" s="5" t="b">
        <f t="shared" si="10"/>
        <v>1</v>
      </c>
      <c r="W174" s="5">
        <f t="shared" si="11"/>
        <v>0.7608980652</v>
      </c>
      <c r="X174" s="5">
        <f t="shared" si="12"/>
        <v>1.180257399</v>
      </c>
      <c r="Y174" s="5">
        <f t="shared" si="13"/>
        <v>0.7873231783</v>
      </c>
      <c r="Z174" s="10">
        <f>MIN(1,MAX(0,(5.3914776420524+0.021102849201698*'Precinct Vote Data'!I685*100+(-5.72594740176815)*1+0.927016741366831*(O174*100))/100))</f>
        <v>0.4525279828</v>
      </c>
      <c r="AA174" s="16">
        <f t="shared" si="14"/>
        <v>-2.812008199</v>
      </c>
      <c r="AB174" s="5" t="b">
        <f t="shared" si="15"/>
        <v>1</v>
      </c>
      <c r="AC174" s="5">
        <f t="shared" si="16"/>
        <v>2.812008199</v>
      </c>
    </row>
    <row r="175" ht="15.0" customHeight="1">
      <c r="A175" s="5" t="s">
        <v>143</v>
      </c>
      <c r="B175" s="5" t="s">
        <v>235</v>
      </c>
      <c r="C175" s="5" t="s">
        <v>240</v>
      </c>
      <c r="D175" s="10">
        <f t="shared" si="1"/>
        <v>0.605892794</v>
      </c>
      <c r="E175" s="10">
        <f>'Precinct Vote Data'!H689</f>
        <v>0.6024678112</v>
      </c>
      <c r="F175" s="16">
        <f t="shared" si="2"/>
        <v>0.3424982834</v>
      </c>
      <c r="G175" s="10">
        <f t="shared" si="3"/>
        <v>0.615819209</v>
      </c>
      <c r="H175" s="16">
        <f t="shared" si="4"/>
        <v>1.335139788</v>
      </c>
      <c r="I175" s="5" t="b">
        <f t="shared" si="5"/>
        <v>1</v>
      </c>
      <c r="J175" s="5" t="b">
        <f t="shared" si="6"/>
        <v>1</v>
      </c>
      <c r="K175" s="15">
        <f t="shared" si="7"/>
        <v>0.7078736944</v>
      </c>
      <c r="L175" s="10">
        <f t="shared" si="8"/>
        <v>0.6022480247</v>
      </c>
      <c r="M175" s="10">
        <f>'Precinct Vote Data'!H686</f>
        <v>0.6154422789</v>
      </c>
      <c r="N175" s="10">
        <f>'Precinct Vote Data'!H687</f>
        <v>0.5852861035</v>
      </c>
      <c r="O175" s="10">
        <f>'Precinct Vote Data'!H688</f>
        <v>0.615819209</v>
      </c>
      <c r="U175" s="16">
        <f t="shared" si="9"/>
        <v>-0.0219786502</v>
      </c>
      <c r="V175" s="5" t="b">
        <f t="shared" si="10"/>
        <v>1</v>
      </c>
      <c r="W175" s="5">
        <f t="shared" si="11"/>
        <v>0.3424982834</v>
      </c>
      <c r="X175" s="5">
        <f t="shared" si="12"/>
        <v>1.335139788</v>
      </c>
      <c r="Y175" s="5">
        <f t="shared" si="13"/>
        <v>0.0219786502</v>
      </c>
      <c r="Z175" s="10">
        <f>MIN(1,MAX(0,(5.3914776420524+0.021102849201698*'Precinct Vote Data'!I689*100+(-5.72594740176815)*1+0.927016741366831*(O175*100))/100))</f>
        <v>0.5696614066</v>
      </c>
      <c r="AA175" s="16">
        <f t="shared" si="14"/>
        <v>-3.280640455</v>
      </c>
      <c r="AB175" s="5" t="b">
        <f t="shared" si="15"/>
        <v>1</v>
      </c>
      <c r="AC175" s="5">
        <f t="shared" si="16"/>
        <v>3.280640455</v>
      </c>
    </row>
    <row r="176" ht="15.0" customHeight="1">
      <c r="A176" s="5" t="s">
        <v>143</v>
      </c>
      <c r="B176" s="5" t="s">
        <v>235</v>
      </c>
      <c r="C176" s="5" t="s">
        <v>241</v>
      </c>
      <c r="D176" s="10">
        <f t="shared" si="1"/>
        <v>0.6283478542</v>
      </c>
      <c r="E176" s="10">
        <f>'Precinct Vote Data'!H693</f>
        <v>0.5988636364</v>
      </c>
      <c r="F176" s="16">
        <f t="shared" si="2"/>
        <v>2.94842178</v>
      </c>
      <c r="G176" s="10">
        <f t="shared" si="3"/>
        <v>0.6292372881</v>
      </c>
      <c r="H176" s="16">
        <f t="shared" si="4"/>
        <v>3.037365177</v>
      </c>
      <c r="I176" s="5" t="b">
        <f t="shared" si="5"/>
        <v>1</v>
      </c>
      <c r="J176" s="5" t="b">
        <f t="shared" si="6"/>
        <v>1</v>
      </c>
      <c r="K176" s="15">
        <f t="shared" si="7"/>
        <v>0.2791064542</v>
      </c>
      <c r="L176" s="10">
        <f t="shared" si="8"/>
        <v>0.6238863263</v>
      </c>
      <c r="M176" s="10">
        <f>'Precinct Vote Data'!H690</f>
        <v>0.6144</v>
      </c>
      <c r="N176" s="10">
        <f>'Precinct Vote Data'!H691</f>
        <v>0.5968944099</v>
      </c>
      <c r="O176" s="10">
        <f>'Precinct Vote Data'!H692</f>
        <v>0.6292372881</v>
      </c>
      <c r="U176" s="16">
        <f t="shared" si="9"/>
        <v>2.50226899</v>
      </c>
      <c r="V176" s="5" t="b">
        <f t="shared" si="10"/>
        <v>1</v>
      </c>
      <c r="W176" s="5">
        <f t="shared" si="11"/>
        <v>2.94842178</v>
      </c>
      <c r="X176" s="5">
        <f t="shared" si="12"/>
        <v>3.037365177</v>
      </c>
      <c r="Y176" s="5">
        <f t="shared" si="13"/>
        <v>2.50226899</v>
      </c>
      <c r="Z176" s="10">
        <f>MIN(1,MAX(0,(5.3914776420524+0.021102849201698*'Precinct Vote Data'!I693*100+(-5.72594740176815)*1+0.927016741366831*(O176*100))/100))</f>
        <v>0.582591887</v>
      </c>
      <c r="AA176" s="16">
        <f t="shared" si="14"/>
        <v>-1.627174941</v>
      </c>
      <c r="AB176" s="5" t="b">
        <f t="shared" si="15"/>
        <v>1</v>
      </c>
      <c r="AC176" s="5">
        <f t="shared" si="16"/>
        <v>1.627174941</v>
      </c>
    </row>
    <row r="177" ht="15.0" customHeight="1">
      <c r="A177" s="5" t="s">
        <v>143</v>
      </c>
      <c r="B177" s="5" t="s">
        <v>235</v>
      </c>
      <c r="C177" s="5" t="s">
        <v>242</v>
      </c>
      <c r="D177" s="10">
        <f t="shared" si="1"/>
        <v>0.5570114686</v>
      </c>
      <c r="E177" s="10">
        <f>'Precinct Vote Data'!H697</f>
        <v>0.5005336179</v>
      </c>
      <c r="F177" s="16">
        <f t="shared" si="2"/>
        <v>5.647785068</v>
      </c>
      <c r="G177" s="10">
        <f t="shared" si="3"/>
        <v>0.5593667546</v>
      </c>
      <c r="H177" s="16">
        <f t="shared" si="4"/>
        <v>5.883313669</v>
      </c>
      <c r="I177" s="5" t="b">
        <f t="shared" si="5"/>
        <v>1</v>
      </c>
      <c r="J177" s="5" t="b">
        <f t="shared" si="6"/>
        <v>1</v>
      </c>
      <c r="K177" s="15">
        <f t="shared" si="7"/>
        <v>0.3957188212</v>
      </c>
      <c r="L177" s="10">
        <f t="shared" si="8"/>
        <v>0.5517801285</v>
      </c>
      <c r="M177" s="10">
        <f>'Precinct Vote Data'!H694</f>
        <v>0.5436447167</v>
      </c>
      <c r="N177" s="10">
        <f>'Precinct Vote Data'!H695</f>
        <v>0.5208568207</v>
      </c>
      <c r="O177" s="10">
        <f>'Precinct Vote Data'!H696</f>
        <v>0.5593667546</v>
      </c>
      <c r="U177" s="16">
        <f t="shared" si="9"/>
        <v>5.124651053</v>
      </c>
      <c r="V177" s="5" t="b">
        <f t="shared" si="10"/>
        <v>1</v>
      </c>
      <c r="W177" s="5">
        <f t="shared" si="11"/>
        <v>5.647785068</v>
      </c>
      <c r="X177" s="5">
        <f t="shared" si="12"/>
        <v>5.883313669</v>
      </c>
      <c r="Y177" s="5">
        <f t="shared" si="13"/>
        <v>5.124651053</v>
      </c>
      <c r="Z177" s="10">
        <f>MIN(1,MAX(0,(5.3914776420524+0.021102849201698*'Precinct Vote Data'!I697*100+(-5.72594740176815)*1+0.927016741366831*(O177*100))/100))</f>
        <v>0.5160502036</v>
      </c>
      <c r="AA177" s="16">
        <f t="shared" si="14"/>
        <v>1.551658568</v>
      </c>
      <c r="AB177" s="5" t="b">
        <f t="shared" si="15"/>
        <v>1</v>
      </c>
      <c r="AC177" s="5">
        <f t="shared" si="16"/>
        <v>1.551658568</v>
      </c>
    </row>
    <row r="178" ht="15.0" customHeight="1">
      <c r="A178" s="5" t="s">
        <v>143</v>
      </c>
      <c r="B178" s="5" t="s">
        <v>235</v>
      </c>
      <c r="C178" s="5" t="s">
        <v>243</v>
      </c>
      <c r="D178" s="10">
        <f t="shared" si="1"/>
        <v>0.5078368113</v>
      </c>
      <c r="E178" s="10">
        <f>'Precinct Vote Data'!H701</f>
        <v>0.5049846626</v>
      </c>
      <c r="F178" s="16">
        <f t="shared" si="2"/>
        <v>0.2852148675</v>
      </c>
      <c r="G178" s="10">
        <f t="shared" si="3"/>
        <v>0.5223807182</v>
      </c>
      <c r="H178" s="16">
        <f t="shared" si="4"/>
        <v>1.739605557</v>
      </c>
      <c r="I178" s="5" t="b">
        <f t="shared" si="5"/>
        <v>1</v>
      </c>
      <c r="J178" s="5" t="b">
        <f t="shared" si="6"/>
        <v>1</v>
      </c>
      <c r="K178" s="15">
        <f t="shared" si="7"/>
        <v>0.9445833757</v>
      </c>
      <c r="L178" s="10">
        <f t="shared" si="8"/>
        <v>0.5042713926</v>
      </c>
      <c r="M178" s="10">
        <f>'Precinct Vote Data'!H698</f>
        <v>0.5281823939</v>
      </c>
      <c r="N178" s="10">
        <f>'Precinct Vote Data'!H699</f>
        <v>0.490352349</v>
      </c>
      <c r="O178" s="10">
        <f>'Precinct Vote Data'!H700</f>
        <v>0.5223807182</v>
      </c>
      <c r="U178" s="16">
        <f t="shared" si="9"/>
        <v>-0.07132699437</v>
      </c>
      <c r="V178" s="5" t="b">
        <f t="shared" si="10"/>
        <v>1</v>
      </c>
      <c r="W178" s="5">
        <f t="shared" si="11"/>
        <v>0.2852148675</v>
      </c>
      <c r="X178" s="5">
        <f t="shared" si="12"/>
        <v>1.739605557</v>
      </c>
      <c r="Y178" s="5">
        <f t="shared" si="13"/>
        <v>0.07132699437</v>
      </c>
      <c r="Z178" s="10">
        <f>MIN(1,MAX(0,(5.3914776420524+0.021102849201698*'Precinct Vote Data'!I701*100+(-5.72594740176815)*1+0.927016741366831*(O178*100))/100))</f>
        <v>0.4806640702</v>
      </c>
      <c r="AA178" s="16">
        <f t="shared" si="14"/>
        <v>-2.432059242</v>
      </c>
      <c r="AB178" s="5" t="b">
        <f t="shared" si="15"/>
        <v>0</v>
      </c>
      <c r="AC178" s="5">
        <f t="shared" si="16"/>
        <v>2.432059242</v>
      </c>
    </row>
    <row r="179" ht="15.0" customHeight="1">
      <c r="A179" s="5" t="s">
        <v>143</v>
      </c>
      <c r="B179" s="5" t="s">
        <v>244</v>
      </c>
      <c r="C179" s="5" t="s">
        <v>245</v>
      </c>
      <c r="D179" s="10">
        <f t="shared" si="1"/>
        <v>0.5365115607</v>
      </c>
      <c r="E179" s="10">
        <f>'Precinct Vote Data'!H705</f>
        <v>0.502278481</v>
      </c>
      <c r="F179" s="16">
        <f t="shared" si="2"/>
        <v>3.423307966</v>
      </c>
      <c r="G179" s="10">
        <f t="shared" si="3"/>
        <v>0.5359735974</v>
      </c>
      <c r="H179" s="16">
        <f t="shared" si="4"/>
        <v>3.369511635</v>
      </c>
      <c r="I179" s="5" t="b">
        <f t="shared" si="5"/>
        <v>1</v>
      </c>
      <c r="J179" s="5" t="b">
        <f t="shared" si="6"/>
        <v>1</v>
      </c>
      <c r="K179" s="15">
        <f t="shared" si="7"/>
        <v>0.2096787154</v>
      </c>
      <c r="L179" s="10">
        <f t="shared" si="8"/>
        <v>0.5319536874</v>
      </c>
      <c r="M179" s="10">
        <f>'Precinct Vote Data'!H702</f>
        <v>0.5189692198</v>
      </c>
      <c r="N179" s="10">
        <f>'Precinct Vote Data'!H703</f>
        <v>0.5035787321</v>
      </c>
      <c r="O179" s="10">
        <f>'Precinct Vote Data'!H704</f>
        <v>0.5359735974</v>
      </c>
      <c r="U179" s="16">
        <f t="shared" si="9"/>
        <v>2.96752064</v>
      </c>
      <c r="V179" s="5" t="b">
        <f t="shared" si="10"/>
        <v>1</v>
      </c>
      <c r="W179" s="5">
        <f t="shared" si="11"/>
        <v>3.423307966</v>
      </c>
      <c r="X179" s="5">
        <f t="shared" si="12"/>
        <v>3.369511635</v>
      </c>
      <c r="Y179" s="5">
        <f t="shared" si="13"/>
        <v>2.96752064</v>
      </c>
      <c r="Z179" s="10">
        <f>MIN(1,MAX(0,(5.3914776420524+0.021102849201698*'Precinct Vote Data'!I705*100+(-5.72594740176815)*1+0.927016741366831*(O179*100))/100))</f>
        <v>0.4930201037</v>
      </c>
      <c r="AA179" s="16">
        <f t="shared" si="14"/>
        <v>-0.9258377313</v>
      </c>
      <c r="AB179" s="5" t="b">
        <f t="shared" si="15"/>
        <v>0</v>
      </c>
      <c r="AC179" s="5">
        <f t="shared" si="16"/>
        <v>0.9258377313</v>
      </c>
    </row>
    <row r="180" ht="15.0" customHeight="1">
      <c r="A180" s="5" t="s">
        <v>143</v>
      </c>
      <c r="B180" s="5" t="s">
        <v>244</v>
      </c>
      <c r="C180" s="5" t="s">
        <v>246</v>
      </c>
      <c r="D180" s="10">
        <f t="shared" si="1"/>
        <v>0.5149575432</v>
      </c>
      <c r="E180" s="10">
        <f>'Precinct Vote Data'!H709</f>
        <v>0.5103152978</v>
      </c>
      <c r="F180" s="16">
        <f t="shared" si="2"/>
        <v>0.4642245409</v>
      </c>
      <c r="G180" s="10">
        <f t="shared" si="3"/>
        <v>0.5205544933</v>
      </c>
      <c r="H180" s="16">
        <f t="shared" si="4"/>
        <v>1.023919553</v>
      </c>
      <c r="I180" s="5" t="b">
        <f t="shared" si="5"/>
        <v>1</v>
      </c>
      <c r="J180" s="5" t="b">
        <f t="shared" si="6"/>
        <v>1</v>
      </c>
      <c r="K180" s="15">
        <f t="shared" si="7"/>
        <v>0.458813771</v>
      </c>
      <c r="L180" s="10">
        <f t="shared" si="8"/>
        <v>0.5117582259</v>
      </c>
      <c r="M180" s="10">
        <f>'Precinct Vote Data'!H706</f>
        <v>0.5162454874</v>
      </c>
      <c r="N180" s="10">
        <f>'Precinct Vote Data'!H707</f>
        <v>0.4951456311</v>
      </c>
      <c r="O180" s="10">
        <f>'Precinct Vote Data'!H708</f>
        <v>0.5205544933</v>
      </c>
      <c r="U180" s="16">
        <f t="shared" si="9"/>
        <v>0.1442928151</v>
      </c>
      <c r="V180" s="5" t="b">
        <f t="shared" si="10"/>
        <v>1</v>
      </c>
      <c r="W180" s="5">
        <f t="shared" si="11"/>
        <v>0.4642245409</v>
      </c>
      <c r="X180" s="5">
        <f t="shared" si="12"/>
        <v>1.023919553</v>
      </c>
      <c r="Y180" s="5">
        <f t="shared" si="13"/>
        <v>0.1442928151</v>
      </c>
      <c r="Z180" s="10">
        <f>MIN(1,MAX(0,(5.3914776420524+0.021102849201698*'Precinct Vote Data'!I709*100+(-5.72594740176815)*1+0.927016741366831*(O180*100))/100))</f>
        <v>0.4779117661</v>
      </c>
      <c r="AA180" s="16">
        <f t="shared" si="14"/>
        <v>-3.240353165</v>
      </c>
      <c r="AB180" s="5" t="b">
        <f t="shared" si="15"/>
        <v>0</v>
      </c>
      <c r="AC180" s="5">
        <f t="shared" si="16"/>
        <v>3.240353165</v>
      </c>
    </row>
    <row r="181" ht="15.0" customHeight="1">
      <c r="A181" s="5" t="s">
        <v>143</v>
      </c>
      <c r="B181" s="5" t="s">
        <v>244</v>
      </c>
      <c r="C181" s="5" t="s">
        <v>247</v>
      </c>
      <c r="D181" s="10">
        <f t="shared" si="1"/>
        <v>0.4707701251</v>
      </c>
      <c r="E181" s="10">
        <f>'Precinct Vote Data'!H713</f>
        <v>0.4595274007</v>
      </c>
      <c r="F181" s="16">
        <f t="shared" si="2"/>
        <v>1.124272436</v>
      </c>
      <c r="G181" s="10">
        <f t="shared" si="3"/>
        <v>0.4827586207</v>
      </c>
      <c r="H181" s="16">
        <f t="shared" si="4"/>
        <v>2.323121999</v>
      </c>
      <c r="I181" s="5" t="b">
        <f t="shared" si="5"/>
        <v>1</v>
      </c>
      <c r="J181" s="5" t="b">
        <f t="shared" si="6"/>
        <v>1</v>
      </c>
      <c r="K181" s="15">
        <f t="shared" si="7"/>
        <v>0.6775551576</v>
      </c>
      <c r="L181" s="10">
        <f t="shared" si="8"/>
        <v>0.469768696</v>
      </c>
      <c r="M181" s="10">
        <f>'Precinct Vote Data'!H710</f>
        <v>0.4944774851</v>
      </c>
      <c r="N181" s="10">
        <f>'Precinct Vote Data'!H711</f>
        <v>0.4702308627</v>
      </c>
      <c r="O181" s="10">
        <f>'Precinct Vote Data'!H712</f>
        <v>0.4827586207</v>
      </c>
      <c r="U181" s="16">
        <f t="shared" si="9"/>
        <v>1.024129531</v>
      </c>
      <c r="V181" s="5" t="b">
        <f t="shared" si="10"/>
        <v>1</v>
      </c>
      <c r="W181" s="5">
        <f t="shared" si="11"/>
        <v>1.124272436</v>
      </c>
      <c r="X181" s="5">
        <f t="shared" si="12"/>
        <v>2.323121999</v>
      </c>
      <c r="Y181" s="5">
        <f t="shared" si="13"/>
        <v>1.024129531</v>
      </c>
      <c r="Z181" s="10">
        <f>MIN(1,MAX(0,(5.3914776420524+0.021102849201698*'Precinct Vote Data'!I713*100+(-5.72594740176815)*1+0.927016741366831*(O181*100))/100))</f>
        <v>0.4425388242</v>
      </c>
      <c r="AA181" s="16">
        <f t="shared" si="14"/>
        <v>-1.698857655</v>
      </c>
      <c r="AB181" s="5" t="b">
        <f t="shared" si="15"/>
        <v>1</v>
      </c>
      <c r="AC181" s="5">
        <f t="shared" si="16"/>
        <v>1.698857655</v>
      </c>
    </row>
    <row r="182" ht="15.0" customHeight="1">
      <c r="A182" s="5" t="s">
        <v>143</v>
      </c>
      <c r="B182" s="5" t="s">
        <v>244</v>
      </c>
      <c r="C182" s="5" t="s">
        <v>248</v>
      </c>
      <c r="D182" s="10">
        <f t="shared" si="1"/>
        <v>0.5283837492</v>
      </c>
      <c r="E182" s="10">
        <f>'Precinct Vote Data'!H717</f>
        <v>0.5295389049</v>
      </c>
      <c r="F182" s="16">
        <f t="shared" si="2"/>
        <v>-0.1155155698</v>
      </c>
      <c r="G182" s="10">
        <f t="shared" si="3"/>
        <v>0.5633187773</v>
      </c>
      <c r="H182" s="16">
        <f t="shared" si="4"/>
        <v>3.377987239</v>
      </c>
      <c r="I182" s="5" t="b">
        <f t="shared" si="5"/>
        <v>1</v>
      </c>
      <c r="J182" s="5" t="b">
        <f t="shared" si="6"/>
        <v>1</v>
      </c>
      <c r="K182" s="15">
        <f t="shared" si="7"/>
        <v>1.603157575</v>
      </c>
      <c r="L182" s="10">
        <f t="shared" si="8"/>
        <v>0.5325834255</v>
      </c>
      <c r="M182" s="10">
        <f>'Precinct Vote Data'!H714</f>
        <v>0.6229508197</v>
      </c>
      <c r="N182" s="10">
        <f>'Precinct Vote Data'!H715</f>
        <v>0.5777777778</v>
      </c>
      <c r="O182" s="10">
        <f>'Precinct Vote Data'!H716</f>
        <v>0.5633187773</v>
      </c>
      <c r="U182" s="16">
        <f t="shared" si="9"/>
        <v>0.3044520574</v>
      </c>
      <c r="V182" s="5" t="b">
        <f t="shared" si="10"/>
        <v>1</v>
      </c>
      <c r="W182" s="5">
        <f t="shared" si="11"/>
        <v>0.1155155698</v>
      </c>
      <c r="X182" s="5">
        <f t="shared" si="12"/>
        <v>3.377987239</v>
      </c>
      <c r="Y182" s="5">
        <f t="shared" si="13"/>
        <v>0.3044520574</v>
      </c>
      <c r="Z182" s="10">
        <f>MIN(1,MAX(0,(5.3914776420524+0.021102849201698*'Precinct Vote Data'!I717*100+(-5.72594740176815)*1+0.927016741366831*(O182*100))/100))</f>
        <v>0.5197327874</v>
      </c>
      <c r="AA182" s="16">
        <f t="shared" si="14"/>
        <v>-0.9806117548</v>
      </c>
      <c r="AB182" s="5" t="b">
        <f t="shared" si="15"/>
        <v>1</v>
      </c>
      <c r="AC182" s="5">
        <f t="shared" si="16"/>
        <v>0.9806117548</v>
      </c>
    </row>
    <row r="183" ht="15.0" customHeight="1">
      <c r="A183" s="5" t="s">
        <v>143</v>
      </c>
      <c r="B183" s="5" t="s">
        <v>244</v>
      </c>
      <c r="C183" s="5" t="s">
        <v>249</v>
      </c>
      <c r="D183" s="10">
        <f t="shared" si="1"/>
        <v>0.56174551</v>
      </c>
      <c r="E183" s="10">
        <f>'Precinct Vote Data'!H721</f>
        <v>0.5346452328</v>
      </c>
      <c r="F183" s="16">
        <f t="shared" si="2"/>
        <v>2.710027722</v>
      </c>
      <c r="G183" s="10">
        <f t="shared" si="3"/>
        <v>0.5523324187</v>
      </c>
      <c r="H183" s="16">
        <f t="shared" si="4"/>
        <v>1.768718584</v>
      </c>
      <c r="I183" s="5" t="b">
        <f t="shared" si="5"/>
        <v>1</v>
      </c>
      <c r="J183" s="5" t="b">
        <f t="shared" si="6"/>
        <v>1</v>
      </c>
      <c r="K183" s="15">
        <f t="shared" si="7"/>
        <v>-0.2629415249</v>
      </c>
      <c r="L183" s="10">
        <f t="shared" si="8"/>
        <v>0.5573734704</v>
      </c>
      <c r="M183" s="10">
        <f>'Precinct Vote Data'!H718</f>
        <v>0.5246636771</v>
      </c>
      <c r="N183" s="10">
        <f>'Precinct Vote Data'!H719</f>
        <v>0.5252342097</v>
      </c>
      <c r="O183" s="10">
        <f>'Precinct Vote Data'!H720</f>
        <v>0.5523324187</v>
      </c>
      <c r="U183" s="16">
        <f t="shared" si="9"/>
        <v>2.272823758</v>
      </c>
      <c r="V183" s="5" t="b">
        <f t="shared" si="10"/>
        <v>1</v>
      </c>
      <c r="W183" s="5">
        <f t="shared" si="11"/>
        <v>2.710027722</v>
      </c>
      <c r="X183" s="5">
        <f t="shared" si="12"/>
        <v>1.768718584</v>
      </c>
      <c r="Y183" s="5">
        <f t="shared" si="13"/>
        <v>2.272823758</v>
      </c>
      <c r="Z183" s="10">
        <f>MIN(1,MAX(0,(5.3914776420524+0.021102849201698*'Precinct Vote Data'!I721*100+(-5.72594740176815)*1+0.927016741366831*(O183*100))/100))</f>
        <v>0.5094110805</v>
      </c>
      <c r="AA183" s="16">
        <f t="shared" si="14"/>
        <v>-2.523415236</v>
      </c>
      <c r="AB183" s="5" t="b">
        <f t="shared" si="15"/>
        <v>1</v>
      </c>
      <c r="AC183" s="5">
        <f t="shared" si="16"/>
        <v>2.523415236</v>
      </c>
    </row>
    <row r="184" ht="15.0" customHeight="1">
      <c r="A184" s="5" t="s">
        <v>143</v>
      </c>
      <c r="B184" s="5" t="s">
        <v>244</v>
      </c>
      <c r="C184" s="5" t="s">
        <v>250</v>
      </c>
      <c r="D184" s="10">
        <f t="shared" si="1"/>
        <v>0.5261051874</v>
      </c>
      <c r="E184" s="10">
        <f>'Precinct Vote Data'!H725</f>
        <v>0.5110132159</v>
      </c>
      <c r="F184" s="16">
        <f t="shared" si="2"/>
        <v>1.509197152</v>
      </c>
      <c r="G184" s="10">
        <f t="shared" si="3"/>
        <v>0.5445859873</v>
      </c>
      <c r="H184" s="16">
        <f t="shared" si="4"/>
        <v>3.35727714</v>
      </c>
      <c r="I184" s="5" t="b">
        <f t="shared" si="5"/>
        <v>1</v>
      </c>
      <c r="J184" s="5" t="b">
        <f t="shared" si="6"/>
        <v>1</v>
      </c>
      <c r="K184" s="15">
        <f t="shared" si="7"/>
        <v>0.8219922905</v>
      </c>
      <c r="L184" s="10">
        <f t="shared" si="8"/>
        <v>0.5288269486</v>
      </c>
      <c r="M184" s="10">
        <f>'Precinct Vote Data'!H722</f>
        <v>0.5779220779</v>
      </c>
      <c r="N184" s="10">
        <f>'Precinct Vote Data'!H723</f>
        <v>0.5558157689</v>
      </c>
      <c r="O184" s="10">
        <f>'Precinct Vote Data'!H724</f>
        <v>0.5445859873</v>
      </c>
      <c r="U184" s="16">
        <f t="shared" si="9"/>
        <v>1.781373271</v>
      </c>
      <c r="V184" s="5" t="b">
        <f t="shared" si="10"/>
        <v>1</v>
      </c>
      <c r="W184" s="5">
        <f t="shared" si="11"/>
        <v>1.509197152</v>
      </c>
      <c r="X184" s="5">
        <f t="shared" si="12"/>
        <v>3.35727714</v>
      </c>
      <c r="Y184" s="5">
        <f t="shared" si="13"/>
        <v>1.781373271</v>
      </c>
      <c r="Z184" s="10">
        <f>MIN(1,MAX(0,(5.3914776420524+0.021102849201698*'Precinct Vote Data'!I725*100+(-5.72594740176815)*1+0.927016741366831*(O184*100))/100))</f>
        <v>0.5016644525</v>
      </c>
      <c r="AA184" s="16">
        <f t="shared" si="14"/>
        <v>-0.9348763358</v>
      </c>
      <c r="AB184" s="5" t="b">
        <f t="shared" si="15"/>
        <v>1</v>
      </c>
      <c r="AC184" s="5">
        <f t="shared" si="16"/>
        <v>0.9348763358</v>
      </c>
    </row>
    <row r="185" ht="15.0" customHeight="1">
      <c r="A185" s="5" t="s">
        <v>143</v>
      </c>
      <c r="B185" s="5" t="s">
        <v>244</v>
      </c>
      <c r="C185" s="5" t="s">
        <v>251</v>
      </c>
      <c r="D185" s="10">
        <f t="shared" si="1"/>
        <v>0.5403095178</v>
      </c>
      <c r="E185" s="10">
        <f>'Precinct Vote Data'!H729</f>
        <v>0.5433130699</v>
      </c>
      <c r="F185" s="16">
        <f t="shared" si="2"/>
        <v>-0.3003552141</v>
      </c>
      <c r="G185" s="10">
        <f t="shared" si="3"/>
        <v>0.5501113586</v>
      </c>
      <c r="H185" s="16">
        <f t="shared" si="4"/>
        <v>0.6798288666</v>
      </c>
      <c r="I185" s="5" t="b">
        <f t="shared" si="5"/>
        <v>1</v>
      </c>
      <c r="J185" s="5" t="b">
        <f t="shared" si="6"/>
        <v>1</v>
      </c>
      <c r="K185" s="15">
        <f t="shared" si="7"/>
        <v>0.7398645073</v>
      </c>
      <c r="L185" s="10">
        <f t="shared" si="8"/>
        <v>0.535926854</v>
      </c>
      <c r="M185" s="10">
        <f>'Precinct Vote Data'!H726</f>
        <v>0.5469336671</v>
      </c>
      <c r="N185" s="10">
        <f>'Precinct Vote Data'!H727</f>
        <v>0.5143504532</v>
      </c>
      <c r="O185" s="10">
        <f>'Precinct Vote Data'!H728</f>
        <v>0.5501113586</v>
      </c>
      <c r="U185" s="16">
        <f t="shared" si="9"/>
        <v>-0.7386215895</v>
      </c>
      <c r="V185" s="5" t="b">
        <f t="shared" si="10"/>
        <v>1</v>
      </c>
      <c r="W185" s="5">
        <f t="shared" si="11"/>
        <v>0.3003552141</v>
      </c>
      <c r="X185" s="5">
        <f t="shared" si="12"/>
        <v>0.6798288666</v>
      </c>
      <c r="Y185" s="5">
        <f t="shared" si="13"/>
        <v>0.7386215895</v>
      </c>
      <c r="Z185" s="10">
        <f>MIN(1,MAX(0,(5.3914776420524+0.021102849201698*'Precinct Vote Data'!I729*100+(-5.72594740176815)*1+0.927016741366831*(O185*100))/100))</f>
        <v>0.5089432754</v>
      </c>
      <c r="AA185" s="16">
        <f t="shared" si="14"/>
        <v>-3.436979451</v>
      </c>
      <c r="AB185" s="5" t="b">
        <f t="shared" si="15"/>
        <v>1</v>
      </c>
      <c r="AC185" s="5">
        <f t="shared" si="16"/>
        <v>3.436979451</v>
      </c>
    </row>
    <row r="186" ht="15.0" customHeight="1">
      <c r="A186" s="5" t="s">
        <v>143</v>
      </c>
      <c r="B186" s="5" t="s">
        <v>244</v>
      </c>
      <c r="C186" s="5" t="s">
        <v>252</v>
      </c>
      <c r="D186" s="10">
        <f t="shared" si="1"/>
        <v>0.5145788288</v>
      </c>
      <c r="E186" s="10">
        <f>'Precinct Vote Data'!H733</f>
        <v>0.5126760563</v>
      </c>
      <c r="F186" s="16">
        <f t="shared" si="2"/>
        <v>0.1902772443</v>
      </c>
      <c r="G186" s="10">
        <f t="shared" si="3"/>
        <v>0.5237613751</v>
      </c>
      <c r="H186" s="16">
        <f t="shared" si="4"/>
        <v>1.108531879</v>
      </c>
      <c r="I186" s="5" t="b">
        <f t="shared" si="5"/>
        <v>1</v>
      </c>
      <c r="J186" s="5" t="b">
        <f t="shared" si="6"/>
        <v>1</v>
      </c>
      <c r="K186" s="15">
        <f t="shared" si="7"/>
        <v>0.4120810209</v>
      </c>
      <c r="L186" s="10">
        <f t="shared" si="8"/>
        <v>0.5158610568</v>
      </c>
      <c r="M186" s="10">
        <f>'Precinct Vote Data'!H730</f>
        <v>0.5400739827</v>
      </c>
      <c r="N186" s="10">
        <f>'Precinct Vote Data'!H731</f>
        <v>0.5288389513</v>
      </c>
      <c r="O186" s="10">
        <f>'Precinct Vote Data'!H732</f>
        <v>0.5237613751</v>
      </c>
      <c r="U186" s="16">
        <f t="shared" si="9"/>
        <v>0.3185000469</v>
      </c>
      <c r="V186" s="5" t="b">
        <f t="shared" si="10"/>
        <v>1</v>
      </c>
      <c r="W186" s="5">
        <f t="shared" si="11"/>
        <v>0.1902772443</v>
      </c>
      <c r="X186" s="5">
        <f t="shared" si="12"/>
        <v>1.108531879</v>
      </c>
      <c r="Y186" s="5">
        <f t="shared" si="13"/>
        <v>0.3185000469</v>
      </c>
      <c r="Z186" s="10">
        <f>MIN(1,MAX(0,(5.3914776420524+0.021102849201698*'Precinct Vote Data'!I733*100+(-5.72594740176815)*1+0.927016741366831*(O186*100))/100))</f>
        <v>0.4833114269</v>
      </c>
      <c r="AA186" s="16">
        <f t="shared" si="14"/>
        <v>-2.936462942</v>
      </c>
      <c r="AB186" s="5" t="b">
        <f t="shared" si="15"/>
        <v>0</v>
      </c>
      <c r="AC186" s="5">
        <f t="shared" si="16"/>
        <v>2.936462942</v>
      </c>
    </row>
    <row r="187" ht="15.0" customHeight="1">
      <c r="A187" s="5" t="s">
        <v>143</v>
      </c>
      <c r="B187" s="5" t="s">
        <v>253</v>
      </c>
      <c r="C187" s="5" t="s">
        <v>254</v>
      </c>
      <c r="D187" s="10">
        <f t="shared" si="1"/>
        <v>0.47559261</v>
      </c>
      <c r="E187" s="10">
        <f>'Precinct Vote Data'!H737</f>
        <v>0.465697123</v>
      </c>
      <c r="F187" s="16">
        <f t="shared" si="2"/>
        <v>0.9895487043</v>
      </c>
      <c r="G187" s="10">
        <f t="shared" si="3"/>
        <v>0.4859663192</v>
      </c>
      <c r="H187" s="16">
        <f t="shared" si="4"/>
        <v>2.026919618</v>
      </c>
      <c r="I187" s="5" t="b">
        <f t="shared" si="5"/>
        <v>1</v>
      </c>
      <c r="J187" s="5" t="b">
        <f t="shared" si="6"/>
        <v>1</v>
      </c>
      <c r="K187" s="15">
        <f t="shared" si="7"/>
        <v>0.6946946067</v>
      </c>
      <c r="L187" s="10">
        <f t="shared" si="8"/>
        <v>0.4726478011</v>
      </c>
      <c r="M187" s="10">
        <f>'Precinct Vote Data'!H734</f>
        <v>0.4886663152</v>
      </c>
      <c r="N187" s="10">
        <f>'Precinct Vote Data'!H735</f>
        <v>0.4602451839</v>
      </c>
      <c r="O187" s="10">
        <f>'Precinct Vote Data'!H736</f>
        <v>0.4859663192</v>
      </c>
      <c r="U187" s="16">
        <f t="shared" si="9"/>
        <v>0.6950678101</v>
      </c>
      <c r="V187" s="5" t="b">
        <f t="shared" si="10"/>
        <v>1</v>
      </c>
      <c r="W187" s="5">
        <f t="shared" si="11"/>
        <v>0.9895487043</v>
      </c>
      <c r="X187" s="5">
        <f t="shared" si="12"/>
        <v>2.026919618</v>
      </c>
      <c r="Y187" s="5">
        <f t="shared" si="13"/>
        <v>0.6950678101</v>
      </c>
      <c r="Z187" s="10">
        <f>MIN(1,MAX(0,(5.3914776420524+0.021102849201698*'Precinct Vote Data'!I737*100+(-5.72594740176815)*1+0.927016741366831*(O187*100))/100))</f>
        <v>0.4447210575</v>
      </c>
      <c r="AA187" s="16">
        <f t="shared" si="14"/>
        <v>-2.097606549</v>
      </c>
      <c r="AB187" s="5" t="b">
        <f t="shared" si="15"/>
        <v>1</v>
      </c>
      <c r="AC187" s="5">
        <f t="shared" si="16"/>
        <v>2.097606549</v>
      </c>
    </row>
    <row r="188" ht="15.0" customHeight="1">
      <c r="A188" s="5" t="s">
        <v>143</v>
      </c>
      <c r="B188" s="5" t="s">
        <v>253</v>
      </c>
      <c r="C188" s="5" t="s">
        <v>255</v>
      </c>
      <c r="D188" s="10">
        <f t="shared" si="1"/>
        <v>0.39832153</v>
      </c>
      <c r="E188" s="10">
        <f>'Precinct Vote Data'!H741</f>
        <v>0.3856292517</v>
      </c>
      <c r="F188" s="16">
        <f t="shared" si="2"/>
        <v>1.269227826</v>
      </c>
      <c r="G188" s="10">
        <f t="shared" si="3"/>
        <v>0.4124748491</v>
      </c>
      <c r="H188" s="16">
        <f t="shared" si="4"/>
        <v>2.684559739</v>
      </c>
      <c r="I188" s="5" t="b">
        <f t="shared" si="5"/>
        <v>1</v>
      </c>
      <c r="J188" s="5" t="b">
        <f t="shared" si="6"/>
        <v>1</v>
      </c>
      <c r="K188" s="15">
        <f t="shared" si="7"/>
        <v>0.848294861</v>
      </c>
      <c r="L188" s="10">
        <f t="shared" si="8"/>
        <v>0.3962115438</v>
      </c>
      <c r="M188" s="10">
        <f>'Precinct Vote Data'!H738</f>
        <v>0.4229885057</v>
      </c>
      <c r="N188" s="10">
        <f>'Precinct Vote Data'!H739</f>
        <v>0.391042205</v>
      </c>
      <c r="O188" s="10">
        <f>'Precinct Vote Data'!H740</f>
        <v>0.4124748491</v>
      </c>
      <c r="U188" s="16">
        <f t="shared" si="9"/>
        <v>1.058229215</v>
      </c>
      <c r="V188" s="5" t="b">
        <f t="shared" si="10"/>
        <v>1</v>
      </c>
      <c r="W188" s="5">
        <f t="shared" si="11"/>
        <v>1.269227826</v>
      </c>
      <c r="X188" s="5">
        <f t="shared" si="12"/>
        <v>2.684559739</v>
      </c>
      <c r="Y188" s="5">
        <f t="shared" si="13"/>
        <v>1.058229215</v>
      </c>
      <c r="Z188" s="10">
        <f>MIN(1,MAX(0,(5.3914776420524+0.021102849201698*'Precinct Vote Data'!I741*100+(-5.72594740176815)*1+0.927016741366831*(O188*100))/100))</f>
        <v>0.3743605529</v>
      </c>
      <c r="AA188" s="16">
        <f t="shared" si="14"/>
        <v>-1.126869875</v>
      </c>
      <c r="AB188" s="5" t="b">
        <f t="shared" si="15"/>
        <v>1</v>
      </c>
      <c r="AC188" s="5">
        <f t="shared" si="16"/>
        <v>1.126869875</v>
      </c>
    </row>
    <row r="189" ht="15.0" customHeight="1">
      <c r="A189" s="5" t="s">
        <v>143</v>
      </c>
      <c r="B189" s="5" t="s">
        <v>256</v>
      </c>
      <c r="C189" s="5" t="s">
        <v>257</v>
      </c>
      <c r="D189" s="10">
        <f t="shared" si="1"/>
        <v>0.5120181573</v>
      </c>
      <c r="E189" s="10">
        <f>'Precinct Vote Data'!H745</f>
        <v>0.4863701578</v>
      </c>
      <c r="F189" s="16">
        <f t="shared" si="2"/>
        <v>2.564799951</v>
      </c>
      <c r="G189" s="10">
        <f t="shared" si="3"/>
        <v>0.5082999428</v>
      </c>
      <c r="H189" s="16">
        <f t="shared" si="4"/>
        <v>2.192978494</v>
      </c>
      <c r="I189" s="5" t="b">
        <f t="shared" si="5"/>
        <v>0</v>
      </c>
      <c r="J189" s="5" t="b">
        <f t="shared" si="6"/>
        <v>0</v>
      </c>
      <c r="K189" s="15">
        <f t="shared" si="7"/>
        <v>0.07126665598</v>
      </c>
      <c r="L189" s="10">
        <f t="shared" si="8"/>
        <v>0.5069336356</v>
      </c>
      <c r="M189" s="10">
        <f>'Precinct Vote Data'!H742</f>
        <v>0.4853503185</v>
      </c>
      <c r="N189" s="10">
        <f>'Precinct Vote Data'!H743</f>
        <v>0.4735553379</v>
      </c>
      <c r="O189" s="10">
        <f>'Precinct Vote Data'!H744</f>
        <v>0.5082999428</v>
      </c>
      <c r="U189" s="16">
        <f t="shared" si="9"/>
        <v>2.056347774</v>
      </c>
      <c r="V189" s="5" t="b">
        <f t="shared" si="10"/>
        <v>0</v>
      </c>
      <c r="W189" s="5">
        <f t="shared" si="11"/>
        <v>2.564799951</v>
      </c>
      <c r="X189" s="5">
        <f t="shared" si="12"/>
        <v>2.192978494</v>
      </c>
      <c r="Y189" s="5">
        <f t="shared" si="13"/>
        <v>2.056347774</v>
      </c>
      <c r="Z189" s="10">
        <f>MIN(1,MAX(0,(5.3914776420524+0.021102849201698*'Precinct Vote Data'!I745*100+(-5.72594740176815)*1+0.927016741366831*(O189*100))/100))</f>
        <v>0.4661928442</v>
      </c>
      <c r="AA189" s="16">
        <f t="shared" si="14"/>
        <v>-2.017731364</v>
      </c>
      <c r="AB189" s="5" t="b">
        <f t="shared" si="15"/>
        <v>1</v>
      </c>
      <c r="AC189" s="5">
        <f t="shared" si="16"/>
        <v>2.017731364</v>
      </c>
    </row>
    <row r="190" ht="15.0" customHeight="1">
      <c r="A190" s="5" t="s">
        <v>143</v>
      </c>
      <c r="B190" s="5" t="s">
        <v>256</v>
      </c>
      <c r="C190" s="5" t="s">
        <v>258</v>
      </c>
      <c r="D190" s="10">
        <f t="shared" si="1"/>
        <v>0.46450237</v>
      </c>
      <c r="E190" s="10">
        <f>'Precinct Vote Data'!H749</f>
        <v>0.4694513716</v>
      </c>
      <c r="F190" s="16">
        <f t="shared" si="2"/>
        <v>-0.4949001604</v>
      </c>
      <c r="G190" s="10">
        <f t="shared" si="3"/>
        <v>0.4773462783</v>
      </c>
      <c r="H190" s="16">
        <f t="shared" si="4"/>
        <v>0.7894906746</v>
      </c>
      <c r="I190" s="5" t="b">
        <f t="shared" si="5"/>
        <v>1</v>
      </c>
      <c r="J190" s="5" t="b">
        <f t="shared" si="6"/>
        <v>1</v>
      </c>
      <c r="K190" s="15">
        <f t="shared" si="7"/>
        <v>0.9514072147</v>
      </c>
      <c r="L190" s="10">
        <f t="shared" si="8"/>
        <v>0.4591061278</v>
      </c>
      <c r="M190" s="10">
        <f>'Precinct Vote Data'!H746</f>
        <v>0.4744232698</v>
      </c>
      <c r="N190" s="10">
        <f>'Precinct Vote Data'!H747</f>
        <v>0.4329685363</v>
      </c>
      <c r="O190" s="10">
        <f>'Precinct Vote Data'!H748</f>
        <v>0.4773462783</v>
      </c>
      <c r="U190" s="16">
        <f t="shared" si="9"/>
        <v>-1.034524377</v>
      </c>
      <c r="V190" s="5" t="b">
        <f t="shared" si="10"/>
        <v>1</v>
      </c>
      <c r="W190" s="5">
        <f t="shared" si="11"/>
        <v>0.4949001604</v>
      </c>
      <c r="X190" s="5">
        <f t="shared" si="12"/>
        <v>0.7894906746</v>
      </c>
      <c r="Y190" s="5">
        <f t="shared" si="13"/>
        <v>1.034524377</v>
      </c>
      <c r="Z190" s="10">
        <f>MIN(1,MAX(0,(5.3914776420524+0.021102849201698*'Precinct Vote Data'!I749*100+(-5.72594740176815)*1+0.927016741366831*(O190*100))/100))</f>
        <v>0.4378992332</v>
      </c>
      <c r="AA190" s="16">
        <f t="shared" si="14"/>
        <v>-3.155213841</v>
      </c>
      <c r="AB190" s="5" t="b">
        <f t="shared" si="15"/>
        <v>1</v>
      </c>
      <c r="AC190" s="5">
        <f t="shared" si="16"/>
        <v>3.155213841</v>
      </c>
    </row>
    <row r="191" ht="15.0" customHeight="1">
      <c r="A191" s="5" t="s">
        <v>143</v>
      </c>
      <c r="B191" s="5" t="s">
        <v>256</v>
      </c>
      <c r="C191" s="5" t="s">
        <v>259</v>
      </c>
      <c r="D191" s="10">
        <f t="shared" si="1"/>
        <v>0.4904730166</v>
      </c>
      <c r="E191" s="10">
        <f>'Precinct Vote Data'!H753</f>
        <v>0.4775619558</v>
      </c>
      <c r="F191" s="16">
        <f t="shared" si="2"/>
        <v>1.291106084</v>
      </c>
      <c r="G191" s="10">
        <f t="shared" si="3"/>
        <v>0.4960159363</v>
      </c>
      <c r="H191" s="16">
        <f t="shared" si="4"/>
        <v>1.845398046</v>
      </c>
      <c r="I191" s="5" t="b">
        <f t="shared" si="5"/>
        <v>1</v>
      </c>
      <c r="J191" s="5" t="b">
        <f t="shared" si="6"/>
        <v>1</v>
      </c>
      <c r="K191" s="15">
        <f t="shared" si="7"/>
        <v>0.4813313278</v>
      </c>
      <c r="L191" s="10">
        <f t="shared" si="8"/>
        <v>0.4867879677</v>
      </c>
      <c r="M191" s="10">
        <f>'Precinct Vote Data'!H750</f>
        <v>0.4898989899</v>
      </c>
      <c r="N191" s="10">
        <f>'Precinct Vote Data'!H751</f>
        <v>0.4671532847</v>
      </c>
      <c r="O191" s="10">
        <f>'Precinct Vote Data'!H752</f>
        <v>0.4960159363</v>
      </c>
      <c r="U191" s="16">
        <f t="shared" si="9"/>
        <v>0.9226011897</v>
      </c>
      <c r="V191" s="5" t="b">
        <f t="shared" si="10"/>
        <v>1</v>
      </c>
      <c r="W191" s="5">
        <f t="shared" si="11"/>
        <v>1.291106084</v>
      </c>
      <c r="X191" s="5">
        <f t="shared" si="12"/>
        <v>1.845398046</v>
      </c>
      <c r="Y191" s="5">
        <f t="shared" si="13"/>
        <v>0.9226011897</v>
      </c>
      <c r="Z191" s="10">
        <f>MIN(1,MAX(0,(5.3914776420524+0.021102849201698*'Precinct Vote Data'!I753*100+(-5.72594740176815)*1+0.927016741366831*(O191*100))/100))</f>
        <v>0.4542967858</v>
      </c>
      <c r="AA191" s="16">
        <f t="shared" si="14"/>
        <v>-2.326516997</v>
      </c>
      <c r="AB191" s="5" t="b">
        <f t="shared" si="15"/>
        <v>1</v>
      </c>
      <c r="AC191" s="5">
        <f t="shared" si="16"/>
        <v>2.326516997</v>
      </c>
    </row>
    <row r="192" ht="15.0" customHeight="1">
      <c r="A192" s="5" t="s">
        <v>143</v>
      </c>
      <c r="B192" s="5" t="s">
        <v>256</v>
      </c>
      <c r="C192" s="5" t="s">
        <v>260</v>
      </c>
      <c r="D192" s="10">
        <f t="shared" si="1"/>
        <v>0.4829478233</v>
      </c>
      <c r="E192" s="10">
        <f>'Precinct Vote Data'!H757</f>
        <v>0.4794879255</v>
      </c>
      <c r="F192" s="16">
        <f t="shared" si="2"/>
        <v>0.3459897827</v>
      </c>
      <c r="G192" s="10">
        <f t="shared" si="3"/>
        <v>0.4882575758</v>
      </c>
      <c r="H192" s="16">
        <f t="shared" si="4"/>
        <v>0.8769650241</v>
      </c>
      <c r="I192" s="5" t="b">
        <f t="shared" si="5"/>
        <v>1</v>
      </c>
      <c r="J192" s="5" t="b">
        <f t="shared" si="6"/>
        <v>1</v>
      </c>
      <c r="K192" s="15">
        <f t="shared" si="7"/>
        <v>0.4810979401</v>
      </c>
      <c r="L192" s="10">
        <f t="shared" si="8"/>
        <v>0.4790340816</v>
      </c>
      <c r="M192" s="10">
        <f>'Precinct Vote Data'!H754</f>
        <v>0.4810242341</v>
      </c>
      <c r="N192" s="10">
        <f>'Precinct Vote Data'!H755</f>
        <v>0.4578616352</v>
      </c>
      <c r="O192" s="10">
        <f>'Precinct Vote Data'!H756</f>
        <v>0.4882575758</v>
      </c>
      <c r="U192" s="16">
        <f t="shared" si="9"/>
        <v>-0.04538438703</v>
      </c>
      <c r="V192" s="5" t="b">
        <f t="shared" si="10"/>
        <v>1</v>
      </c>
      <c r="W192" s="5">
        <f t="shared" si="11"/>
        <v>0.3459897827</v>
      </c>
      <c r="X192" s="5">
        <f t="shared" si="12"/>
        <v>0.8769650241</v>
      </c>
      <c r="Y192" s="5">
        <f t="shared" si="13"/>
        <v>0.04538438703</v>
      </c>
      <c r="Z192" s="10">
        <f>MIN(1,MAX(0,(5.3914776420524+0.021102849201698*'Precinct Vote Data'!I757*100+(-5.72594740176815)*1+0.927016741366831*(O192*100))/100))</f>
        <v>0.4476533298</v>
      </c>
      <c r="AA192" s="16">
        <f t="shared" si="14"/>
        <v>-3.183459568</v>
      </c>
      <c r="AB192" s="5" t="b">
        <f t="shared" si="15"/>
        <v>1</v>
      </c>
      <c r="AC192" s="5">
        <f t="shared" si="16"/>
        <v>3.183459568</v>
      </c>
    </row>
    <row r="193" ht="15.0" customHeight="1">
      <c r="A193" s="5" t="s">
        <v>143</v>
      </c>
      <c r="B193" s="5" t="s">
        <v>256</v>
      </c>
      <c r="C193" s="5" t="s">
        <v>261</v>
      </c>
      <c r="D193" s="10">
        <f t="shared" si="1"/>
        <v>0.5225468312</v>
      </c>
      <c r="E193" s="10">
        <f>'Precinct Vote Data'!H761</f>
        <v>0.5074294205</v>
      </c>
      <c r="F193" s="16">
        <f t="shared" si="2"/>
        <v>1.511741067</v>
      </c>
      <c r="G193" s="10">
        <f t="shared" si="3"/>
        <v>0.5180722892</v>
      </c>
      <c r="H193" s="16">
        <f t="shared" si="4"/>
        <v>1.064286865</v>
      </c>
      <c r="I193" s="5" t="b">
        <f t="shared" si="5"/>
        <v>1</v>
      </c>
      <c r="J193" s="5" t="b">
        <f t="shared" si="6"/>
        <v>1</v>
      </c>
      <c r="K193" s="15">
        <f t="shared" si="7"/>
        <v>0.1125943798</v>
      </c>
      <c r="L193" s="10">
        <f t="shared" si="8"/>
        <v>0.5159136568</v>
      </c>
      <c r="M193" s="10">
        <f>'Precinct Vote Data'!H758</f>
        <v>0.4886128364</v>
      </c>
      <c r="N193" s="10">
        <f>'Precinct Vote Data'!H759</f>
        <v>0.4725770098</v>
      </c>
      <c r="O193" s="10">
        <f>'Precinct Vote Data'!H760</f>
        <v>0.5180722892</v>
      </c>
      <c r="U193" s="16">
        <f t="shared" si="9"/>
        <v>0.8484236255</v>
      </c>
      <c r="V193" s="5" t="b">
        <f t="shared" si="10"/>
        <v>1</v>
      </c>
      <c r="W193" s="5">
        <f t="shared" si="11"/>
        <v>1.511741067</v>
      </c>
      <c r="X193" s="5">
        <f t="shared" si="12"/>
        <v>1.064286865</v>
      </c>
      <c r="Y193" s="5">
        <f t="shared" si="13"/>
        <v>0.8484236255</v>
      </c>
      <c r="Z193" s="10">
        <f>MIN(1,MAX(0,(5.3914776420524+0.021102849201698*'Precinct Vote Data'!I761*100+(-5.72594740176815)*1+0.927016741366831*(O193*100))/100))</f>
        <v>0.4753152814</v>
      </c>
      <c r="AA193" s="16">
        <f t="shared" si="14"/>
        <v>-3.211413907</v>
      </c>
      <c r="AB193" s="5" t="b">
        <f t="shared" si="15"/>
        <v>0</v>
      </c>
      <c r="AC193" s="5">
        <f t="shared" si="16"/>
        <v>3.211413907</v>
      </c>
    </row>
    <row r="194" ht="15.0" customHeight="1">
      <c r="A194" s="5" t="s">
        <v>143</v>
      </c>
      <c r="B194" s="5" t="s">
        <v>256</v>
      </c>
      <c r="C194" s="5" t="s">
        <v>262</v>
      </c>
      <c r="D194" s="10">
        <f t="shared" si="1"/>
        <v>0.526357219</v>
      </c>
      <c r="E194" s="10">
        <f>'Precinct Vote Data'!H765</f>
        <v>0.5264012998</v>
      </c>
      <c r="F194" s="16">
        <f t="shared" si="2"/>
        <v>-0.004408071262</v>
      </c>
      <c r="G194" s="10">
        <f t="shared" si="3"/>
        <v>0.5444340505</v>
      </c>
      <c r="H194" s="16">
        <f t="shared" si="4"/>
        <v>1.803275076</v>
      </c>
      <c r="I194" s="5" t="b">
        <f t="shared" si="5"/>
        <v>1</v>
      </c>
      <c r="J194" s="5" t="b">
        <f t="shared" si="6"/>
        <v>1</v>
      </c>
      <c r="K194" s="15">
        <f t="shared" si="7"/>
        <v>1.108147943</v>
      </c>
      <c r="L194" s="10">
        <f t="shared" si="8"/>
        <v>0.5231889044</v>
      </c>
      <c r="M194" s="10">
        <f>'Precinct Vote Data'!H762</f>
        <v>0.5561674009</v>
      </c>
      <c r="N194" s="10">
        <f>'Precinct Vote Data'!H763</f>
        <v>0.5136702568</v>
      </c>
      <c r="O194" s="10">
        <f>'Precinct Vote Data'!H764</f>
        <v>0.5444340505</v>
      </c>
      <c r="U194" s="16">
        <f t="shared" si="9"/>
        <v>-0.3212395333</v>
      </c>
      <c r="V194" s="5" t="b">
        <f t="shared" si="10"/>
        <v>1</v>
      </c>
      <c r="W194" s="5">
        <f t="shared" si="11"/>
        <v>0.004408071262</v>
      </c>
      <c r="X194" s="5">
        <f t="shared" si="12"/>
        <v>1.803275076</v>
      </c>
      <c r="Y194" s="5">
        <f t="shared" si="13"/>
        <v>0.3212395333</v>
      </c>
      <c r="Z194" s="10">
        <f>MIN(1,MAX(0,(5.3914776420524+0.021102849201698*'Precinct Vote Data'!I765*100+(-5.72594740176815)*1+0.927016741366831*(O194*100))/100))</f>
        <v>0.5001624708</v>
      </c>
      <c r="AA194" s="16">
        <f t="shared" si="14"/>
        <v>-2.623882894</v>
      </c>
      <c r="AB194" s="5" t="b">
        <f t="shared" si="15"/>
        <v>1</v>
      </c>
      <c r="AC194" s="5">
        <f t="shared" si="16"/>
        <v>2.623882894</v>
      </c>
    </row>
    <row r="195" ht="15.0" customHeight="1">
      <c r="A195" s="5" t="s">
        <v>143</v>
      </c>
      <c r="B195" s="5" t="s">
        <v>263</v>
      </c>
      <c r="C195" s="5" t="s">
        <v>264</v>
      </c>
      <c r="D195" s="10">
        <f t="shared" si="1"/>
        <v>0.3139820132</v>
      </c>
      <c r="E195" s="10">
        <f>'Precinct Vote Data'!H769</f>
        <v>0.3135483871</v>
      </c>
      <c r="F195" s="16">
        <f t="shared" si="2"/>
        <v>0.04336261346</v>
      </c>
      <c r="G195" s="10">
        <f t="shared" si="3"/>
        <v>0.3224699828</v>
      </c>
      <c r="H195" s="16">
        <f t="shared" si="4"/>
        <v>0.8921595751</v>
      </c>
      <c r="I195" s="5" t="b">
        <f t="shared" si="5"/>
        <v>1</v>
      </c>
      <c r="J195" s="5" t="b">
        <f t="shared" si="6"/>
        <v>1</v>
      </c>
      <c r="K195" s="15">
        <f t="shared" si="7"/>
        <v>0.5898115931</v>
      </c>
      <c r="L195" s="10">
        <f t="shared" si="8"/>
        <v>0.3111622567</v>
      </c>
      <c r="M195" s="10">
        <f>'Precinct Vote Data'!H766</f>
        <v>0.3232104121</v>
      </c>
      <c r="N195" s="10">
        <f>'Precinct Vote Data'!H767</f>
        <v>0.2984869326</v>
      </c>
      <c r="O195" s="10">
        <f>'Precinct Vote Data'!H768</f>
        <v>0.3224699828</v>
      </c>
      <c r="U195" s="16">
        <f t="shared" si="9"/>
        <v>-0.2386130393</v>
      </c>
      <c r="V195" s="5" t="b">
        <f t="shared" si="10"/>
        <v>1</v>
      </c>
      <c r="W195" s="5">
        <f t="shared" si="11"/>
        <v>0.04336261346</v>
      </c>
      <c r="X195" s="5">
        <f t="shared" si="12"/>
        <v>0.8921595751</v>
      </c>
      <c r="Y195" s="5">
        <f t="shared" si="13"/>
        <v>0.2386130393</v>
      </c>
      <c r="Z195" s="10">
        <f>MIN(1,MAX(0,(5.3914776420524+0.021102849201698*'Precinct Vote Data'!I769*100+(-5.72594740176815)*1+0.927016741366831*(O195*100))/100))</f>
        <v>0.2900909726</v>
      </c>
      <c r="AA195" s="16">
        <f t="shared" si="14"/>
        <v>-2.345741451</v>
      </c>
      <c r="AB195" s="5" t="b">
        <f t="shared" si="15"/>
        <v>1</v>
      </c>
      <c r="AC195" s="5">
        <f t="shared" si="16"/>
        <v>2.345741451</v>
      </c>
    </row>
    <row r="196" ht="15.0" customHeight="1">
      <c r="A196" s="5" t="s">
        <v>143</v>
      </c>
      <c r="B196" s="5" t="s">
        <v>263</v>
      </c>
      <c r="C196" s="5" t="s">
        <v>265</v>
      </c>
      <c r="D196" s="10">
        <f t="shared" si="1"/>
        <v>0.3488265869</v>
      </c>
      <c r="E196" s="10">
        <f>'Precinct Vote Data'!H773</f>
        <v>0.3372093023</v>
      </c>
      <c r="F196" s="16">
        <f t="shared" si="2"/>
        <v>1.161728455</v>
      </c>
      <c r="G196" s="10">
        <f t="shared" si="3"/>
        <v>0.3643491898</v>
      </c>
      <c r="H196" s="16">
        <f t="shared" si="4"/>
        <v>2.713988743</v>
      </c>
      <c r="I196" s="5" t="b">
        <f t="shared" si="5"/>
        <v>1</v>
      </c>
      <c r="J196" s="5" t="b">
        <f t="shared" si="6"/>
        <v>1</v>
      </c>
      <c r="K196" s="15">
        <f t="shared" si="7"/>
        <v>1.020779774</v>
      </c>
      <c r="L196" s="10">
        <f t="shared" si="8"/>
        <v>0.3447790452</v>
      </c>
      <c r="M196" s="10">
        <f>'Precinct Vote Data'!H770</f>
        <v>0.3696741855</v>
      </c>
      <c r="N196" s="10">
        <f>'Precinct Vote Data'!H771</f>
        <v>0.3284313725</v>
      </c>
      <c r="O196" s="10">
        <f>'Precinct Vote Data'!H772</f>
        <v>0.3643491898</v>
      </c>
      <c r="U196" s="16">
        <f t="shared" si="9"/>
        <v>0.756974287</v>
      </c>
      <c r="V196" s="5" t="b">
        <f t="shared" si="10"/>
        <v>1</v>
      </c>
      <c r="W196" s="5">
        <f t="shared" si="11"/>
        <v>1.161728455</v>
      </c>
      <c r="X196" s="5">
        <f t="shared" si="12"/>
        <v>2.713988743</v>
      </c>
      <c r="Y196" s="5">
        <f t="shared" si="13"/>
        <v>0.756974287</v>
      </c>
      <c r="Z196" s="10">
        <f>MIN(1,MAX(0,(5.3914776420524+0.021102849201698*'Precinct Vote Data'!I773*100+(-5.72594740176815)*1+0.927016741366831*(O196*100))/100))</f>
        <v>0.3289537939</v>
      </c>
      <c r="AA196" s="16">
        <f t="shared" si="14"/>
        <v>-0.8255508406</v>
      </c>
      <c r="AB196" s="5" t="b">
        <f t="shared" si="15"/>
        <v>1</v>
      </c>
      <c r="AC196" s="5">
        <f t="shared" si="16"/>
        <v>0.8255508406</v>
      </c>
    </row>
    <row r="197" ht="15.0" customHeight="1">
      <c r="A197" s="5" t="s">
        <v>143</v>
      </c>
      <c r="B197" s="5" t="s">
        <v>263</v>
      </c>
      <c r="C197" s="5" t="s">
        <v>266</v>
      </c>
      <c r="D197" s="10">
        <f t="shared" si="1"/>
        <v>0.3311019486</v>
      </c>
      <c r="E197" s="10">
        <f>'Precinct Vote Data'!H777</f>
        <v>0.2732732733</v>
      </c>
      <c r="F197" s="16">
        <f t="shared" si="2"/>
        <v>5.782867534</v>
      </c>
      <c r="G197" s="10">
        <f t="shared" si="3"/>
        <v>0.331372549</v>
      </c>
      <c r="H197" s="16">
        <f t="shared" si="4"/>
        <v>5.809927575</v>
      </c>
      <c r="I197" s="5" t="b">
        <f t="shared" si="5"/>
        <v>1</v>
      </c>
      <c r="J197" s="5" t="b">
        <f t="shared" si="6"/>
        <v>1</v>
      </c>
      <c r="K197" s="15">
        <f t="shared" si="7"/>
        <v>0.01426999629</v>
      </c>
      <c r="L197" s="10">
        <f t="shared" si="8"/>
        <v>0.3310989681</v>
      </c>
      <c r="M197" s="10">
        <f>'Precinct Vote Data'!H774</f>
        <v>0.3317073171</v>
      </c>
      <c r="N197" s="10">
        <f>'Precinct Vote Data'!H775</f>
        <v>0.3312302839</v>
      </c>
      <c r="O197" s="10">
        <f>'Precinct Vote Data'!H776</f>
        <v>0.331372549</v>
      </c>
      <c r="U197" s="16">
        <f t="shared" si="9"/>
        <v>5.782569481</v>
      </c>
      <c r="V197" s="5" t="b">
        <f t="shared" si="10"/>
        <v>1</v>
      </c>
      <c r="W197" s="5">
        <f t="shared" si="11"/>
        <v>5.782867534</v>
      </c>
      <c r="X197" s="5">
        <f t="shared" si="12"/>
        <v>5.809927575</v>
      </c>
      <c r="Y197" s="5">
        <f t="shared" si="13"/>
        <v>5.782569481</v>
      </c>
      <c r="Z197" s="10">
        <f>MIN(1,MAX(0,(5.3914776420524+0.021102849201698*'Precinct Vote Data'!I777*100+(-5.72594740176815)*1+0.927016741366831*(O197*100))/100))</f>
        <v>0.2959929431</v>
      </c>
      <c r="AA197" s="16">
        <f t="shared" si="14"/>
        <v>2.27196698</v>
      </c>
      <c r="AB197" s="5" t="b">
        <f t="shared" si="15"/>
        <v>1</v>
      </c>
      <c r="AC197" s="5">
        <f t="shared" si="16"/>
        <v>2.27196698</v>
      </c>
    </row>
    <row r="198" ht="15.0" customHeight="1">
      <c r="A198" s="5" t="s">
        <v>143</v>
      </c>
      <c r="B198" s="5" t="s">
        <v>267</v>
      </c>
      <c r="C198" s="5" t="s">
        <v>268</v>
      </c>
      <c r="D198" s="10">
        <f t="shared" si="1"/>
        <v>0.3625631118</v>
      </c>
      <c r="E198" s="10">
        <f>'Precinct Vote Data'!H781</f>
        <v>0.3474651645</v>
      </c>
      <c r="F198" s="16">
        <f t="shared" si="2"/>
        <v>1.509794724</v>
      </c>
      <c r="G198" s="10">
        <f t="shared" si="3"/>
        <v>0.3644130758</v>
      </c>
      <c r="H198" s="16">
        <f t="shared" si="4"/>
        <v>1.694791124</v>
      </c>
      <c r="I198" s="5" t="b">
        <f t="shared" si="5"/>
        <v>1</v>
      </c>
      <c r="J198" s="5" t="b">
        <f t="shared" si="6"/>
        <v>1</v>
      </c>
      <c r="K198" s="15">
        <f t="shared" si="7"/>
        <v>0.3243994037</v>
      </c>
      <c r="L198" s="10">
        <f t="shared" si="8"/>
        <v>0.3581937684</v>
      </c>
      <c r="M198" s="10">
        <f>'Precinct Vote Data'!H778</f>
        <v>0.3511319949</v>
      </c>
      <c r="N198" s="10">
        <f>'Precinct Vote Data'!H779</f>
        <v>0.332301022</v>
      </c>
      <c r="O198" s="10">
        <f>'Precinct Vote Data'!H780</f>
        <v>0.3644130758</v>
      </c>
      <c r="U198" s="16">
        <f t="shared" si="9"/>
        <v>1.072860382</v>
      </c>
      <c r="V198" s="5" t="b">
        <f t="shared" si="10"/>
        <v>1</v>
      </c>
      <c r="W198" s="5">
        <f t="shared" si="11"/>
        <v>1.509794724</v>
      </c>
      <c r="X198" s="5">
        <f t="shared" si="12"/>
        <v>1.694791124</v>
      </c>
      <c r="Y198" s="5">
        <f t="shared" si="13"/>
        <v>1.072860382</v>
      </c>
      <c r="Z198" s="10">
        <f>MIN(1,MAX(0,(5.3914776420524+0.021102849201698*'Precinct Vote Data'!I781*100+(-5.72594740176815)*1+0.927016741366831*(O198*100))/100))</f>
        <v>0.3275906853</v>
      </c>
      <c r="AA198" s="16">
        <f t="shared" si="14"/>
        <v>-1.987447924</v>
      </c>
      <c r="AB198" s="5" t="b">
        <f t="shared" si="15"/>
        <v>1</v>
      </c>
      <c r="AC198" s="5">
        <f t="shared" si="16"/>
        <v>1.987447924</v>
      </c>
    </row>
    <row r="199" ht="15.0" customHeight="1">
      <c r="A199" s="5" t="s">
        <v>143</v>
      </c>
      <c r="B199" s="5" t="s">
        <v>269</v>
      </c>
      <c r="C199" s="5" t="s">
        <v>270</v>
      </c>
      <c r="D199" s="10">
        <f t="shared" si="1"/>
        <v>0.5899092331</v>
      </c>
      <c r="E199" s="10">
        <f>'Precinct Vote Data'!H785</f>
        <v>0.5857431069</v>
      </c>
      <c r="F199" s="16">
        <f t="shared" si="2"/>
        <v>0.4166126162</v>
      </c>
      <c r="G199" s="10">
        <f t="shared" si="3"/>
        <v>0.6167002012</v>
      </c>
      <c r="H199" s="16">
        <f t="shared" si="4"/>
        <v>3.095709428</v>
      </c>
      <c r="I199" s="5" t="b">
        <f t="shared" si="5"/>
        <v>1</v>
      </c>
      <c r="J199" s="5" t="b">
        <f t="shared" si="6"/>
        <v>1</v>
      </c>
      <c r="K199" s="15">
        <f t="shared" si="7"/>
        <v>1.219160911</v>
      </c>
      <c r="L199" s="10">
        <f t="shared" si="8"/>
        <v>0.5933267412</v>
      </c>
      <c r="M199" s="10">
        <f>'Precinct Vote Data'!H782</f>
        <v>0.6631355932</v>
      </c>
      <c r="N199" s="10">
        <f>'Precinct Vote Data'!H783</f>
        <v>0.6291980809</v>
      </c>
      <c r="O199" s="10">
        <f>'Precinct Vote Data'!H784</f>
        <v>0.6167002012</v>
      </c>
      <c r="U199" s="16">
        <f t="shared" si="9"/>
        <v>0.7583634236</v>
      </c>
      <c r="V199" s="5" t="b">
        <f t="shared" si="10"/>
        <v>1</v>
      </c>
      <c r="W199" s="5">
        <f t="shared" si="11"/>
        <v>0.4166126162</v>
      </c>
      <c r="X199" s="5">
        <f t="shared" si="12"/>
        <v>3.095709428</v>
      </c>
      <c r="Y199" s="5">
        <f t="shared" si="13"/>
        <v>0.7583634236</v>
      </c>
      <c r="Z199" s="10">
        <f>MIN(1,MAX(0,(5.3914776420524+0.021102849201698*'Precinct Vote Data'!I785*100+(-5.72594740176815)*1+0.927016741366831*(O199*100))/100))</f>
        <v>0.573706837</v>
      </c>
      <c r="AA199" s="16">
        <f t="shared" si="14"/>
        <v>-1.20362699</v>
      </c>
      <c r="AB199" s="5" t="b">
        <f t="shared" si="15"/>
        <v>1</v>
      </c>
      <c r="AC199" s="5">
        <f t="shared" si="16"/>
        <v>1.20362699</v>
      </c>
    </row>
    <row r="200" ht="15.0" customHeight="1">
      <c r="A200" s="5" t="s">
        <v>143</v>
      </c>
      <c r="B200" s="5" t="s">
        <v>269</v>
      </c>
      <c r="C200" s="5" t="s">
        <v>271</v>
      </c>
      <c r="D200" s="10">
        <f t="shared" si="1"/>
        <v>0.5452570417</v>
      </c>
      <c r="E200" s="10">
        <f>'Precinct Vote Data'!H789</f>
        <v>0.5379188713</v>
      </c>
      <c r="F200" s="16">
        <f t="shared" si="2"/>
        <v>0.733817044</v>
      </c>
      <c r="G200" s="10">
        <f t="shared" si="3"/>
        <v>0.5718015666</v>
      </c>
      <c r="H200" s="16">
        <f t="shared" si="4"/>
        <v>3.388269533</v>
      </c>
      <c r="I200" s="5" t="b">
        <f t="shared" si="5"/>
        <v>1</v>
      </c>
      <c r="J200" s="5" t="b">
        <f t="shared" si="6"/>
        <v>1</v>
      </c>
      <c r="K200" s="15">
        <f t="shared" si="7"/>
        <v>1.534155583</v>
      </c>
      <c r="L200" s="10">
        <f t="shared" si="8"/>
        <v>0.5423891044</v>
      </c>
      <c r="M200" s="10">
        <f>'Precinct Vote Data'!H786</f>
        <v>0.5954198473</v>
      </c>
      <c r="N200" s="10">
        <f>'Precinct Vote Data'!H787</f>
        <v>0.5394045534</v>
      </c>
      <c r="O200" s="10">
        <f>'Precinct Vote Data'!H788</f>
        <v>0.5718015666</v>
      </c>
      <c r="U200" s="16">
        <f t="shared" si="9"/>
        <v>0.4470233105</v>
      </c>
      <c r="V200" s="5" t="b">
        <f t="shared" si="10"/>
        <v>1</v>
      </c>
      <c r="W200" s="5">
        <f t="shared" si="11"/>
        <v>0.733817044</v>
      </c>
      <c r="X200" s="5">
        <f t="shared" si="12"/>
        <v>3.388269533</v>
      </c>
      <c r="Y200" s="5">
        <f t="shared" si="13"/>
        <v>0.4470233105</v>
      </c>
      <c r="Z200" s="10">
        <f>MIN(1,MAX(0,(5.3914776420524+0.021102849201698*'Precinct Vote Data'!I789*100+(-5.72594740176815)*1+0.927016741366831*(O200*100))/100))</f>
        <v>0.5306817116</v>
      </c>
      <c r="AA200" s="16">
        <f t="shared" si="14"/>
        <v>-0.7237159665</v>
      </c>
      <c r="AB200" s="5" t="b">
        <f t="shared" si="15"/>
        <v>1</v>
      </c>
      <c r="AC200" s="5">
        <f t="shared" si="16"/>
        <v>0.7237159665</v>
      </c>
    </row>
    <row r="201" ht="15.0" customHeight="1">
      <c r="A201" s="5" t="s">
        <v>143</v>
      </c>
      <c r="B201" s="5" t="s">
        <v>269</v>
      </c>
      <c r="C201" s="5" t="s">
        <v>272</v>
      </c>
      <c r="D201" s="10">
        <f t="shared" si="1"/>
        <v>0.6585833875</v>
      </c>
      <c r="E201" s="10">
        <f>'Precinct Vote Data'!H793</f>
        <v>0.595105673</v>
      </c>
      <c r="F201" s="16">
        <f t="shared" si="2"/>
        <v>6.34777145</v>
      </c>
      <c r="G201" s="10">
        <f t="shared" si="3"/>
        <v>0.6780952381</v>
      </c>
      <c r="H201" s="16">
        <f t="shared" si="4"/>
        <v>8.298956513</v>
      </c>
      <c r="I201" s="5" t="b">
        <f t="shared" si="5"/>
        <v>1</v>
      </c>
      <c r="J201" s="5" t="b">
        <f t="shared" si="6"/>
        <v>1</v>
      </c>
      <c r="K201" s="15">
        <f t="shared" si="7"/>
        <v>0.8616372106</v>
      </c>
      <c r="L201" s="10">
        <f t="shared" si="8"/>
        <v>0.6615761365</v>
      </c>
      <c r="M201" s="10">
        <f>'Precinct Vote Data'!H790</f>
        <v>0.7137176938</v>
      </c>
      <c r="N201" s="10">
        <f>'Precinct Vote Data'!H791</f>
        <v>0.6908045977</v>
      </c>
      <c r="O201" s="10">
        <f>'Precinct Vote Data'!H792</f>
        <v>0.6780952381</v>
      </c>
      <c r="U201" s="16">
        <f t="shared" si="9"/>
        <v>6.647046355</v>
      </c>
      <c r="V201" s="5" t="b">
        <f t="shared" si="10"/>
        <v>1</v>
      </c>
      <c r="W201" s="5">
        <f t="shared" si="11"/>
        <v>6.34777145</v>
      </c>
      <c r="X201" s="5">
        <f t="shared" si="12"/>
        <v>8.298956513</v>
      </c>
      <c r="Y201" s="5">
        <f t="shared" si="13"/>
        <v>6.647046355</v>
      </c>
      <c r="Z201" s="10">
        <f>MIN(1,MAX(0,(5.3914776420524+0.021102849201698*'Precinct Vote Data'!I793*100+(-5.72594740176815)*1+0.927016741366831*(O201*100))/100))</f>
        <v>0.6314778397</v>
      </c>
      <c r="AA201" s="16">
        <f t="shared" si="14"/>
        <v>3.637216676</v>
      </c>
      <c r="AB201" s="5" t="b">
        <f t="shared" si="15"/>
        <v>1</v>
      </c>
      <c r="AC201" s="5">
        <f t="shared" si="16"/>
        <v>3.637216676</v>
      </c>
    </row>
    <row r="202" ht="15.0" customHeight="1">
      <c r="A202" s="5" t="s">
        <v>143</v>
      </c>
      <c r="B202" s="5" t="s">
        <v>269</v>
      </c>
      <c r="C202" s="5" t="s">
        <v>273</v>
      </c>
      <c r="D202" s="10">
        <f t="shared" si="1"/>
        <v>0.5478242494</v>
      </c>
      <c r="E202" s="10">
        <f>'Precinct Vote Data'!H797</f>
        <v>0.5556650246</v>
      </c>
      <c r="F202" s="16">
        <f t="shared" si="2"/>
        <v>-0.7840775265</v>
      </c>
      <c r="G202" s="10">
        <f t="shared" si="3"/>
        <v>0.5697674419</v>
      </c>
      <c r="H202" s="16">
        <f t="shared" si="4"/>
        <v>1.410241723</v>
      </c>
      <c r="I202" s="5" t="b">
        <f t="shared" si="5"/>
        <v>1</v>
      </c>
      <c r="J202" s="5" t="b">
        <f t="shared" si="6"/>
        <v>1</v>
      </c>
      <c r="K202" s="15">
        <f t="shared" si="7"/>
        <v>1.333452563</v>
      </c>
      <c r="L202" s="10">
        <f t="shared" si="8"/>
        <v>0.5442028097</v>
      </c>
      <c r="M202" s="10">
        <f>'Precinct Vote Data'!H794</f>
        <v>0.5848142165</v>
      </c>
      <c r="N202" s="10">
        <f>'Precinct Vote Data'!H795</f>
        <v>0.5340314136</v>
      </c>
      <c r="O202" s="10">
        <f>'Precinct Vote Data'!H796</f>
        <v>0.5697674419</v>
      </c>
      <c r="U202" s="16">
        <f t="shared" si="9"/>
        <v>-1.14622149</v>
      </c>
      <c r="V202" s="5" t="b">
        <f t="shared" si="10"/>
        <v>1</v>
      </c>
      <c r="W202" s="5">
        <f t="shared" si="11"/>
        <v>0.7840775265</v>
      </c>
      <c r="X202" s="5">
        <f t="shared" si="12"/>
        <v>1.410241723</v>
      </c>
      <c r="Y202" s="5">
        <f t="shared" si="13"/>
        <v>1.14622149</v>
      </c>
      <c r="Z202" s="10">
        <f>MIN(1,MAX(0,(5.3914776420524+0.021102849201698*'Precinct Vote Data'!I797*100+(-5.72594740176815)*1+0.927016741366831*(O202*100))/100))</f>
        <v>0.528633552</v>
      </c>
      <c r="AA202" s="16">
        <f t="shared" si="14"/>
        <v>-2.703147265</v>
      </c>
      <c r="AB202" s="5" t="b">
        <f t="shared" si="15"/>
        <v>1</v>
      </c>
      <c r="AC202" s="5">
        <f t="shared" si="16"/>
        <v>2.703147265</v>
      </c>
    </row>
    <row r="203" ht="15.0" customHeight="1">
      <c r="A203" s="5" t="s">
        <v>143</v>
      </c>
      <c r="B203" s="5" t="s">
        <v>269</v>
      </c>
      <c r="C203" s="5" t="s">
        <v>274</v>
      </c>
      <c r="D203" s="10">
        <f t="shared" si="1"/>
        <v>0.4424056596</v>
      </c>
      <c r="E203" s="10">
        <f>'Precinct Vote Data'!H801</f>
        <v>0.4673366834</v>
      </c>
      <c r="F203" s="16">
        <f t="shared" si="2"/>
        <v>-2.493102377</v>
      </c>
      <c r="G203" s="10">
        <f t="shared" si="3"/>
        <v>0.4941724942</v>
      </c>
      <c r="H203" s="16">
        <f t="shared" si="4"/>
        <v>2.683581076</v>
      </c>
      <c r="I203" s="5" t="b">
        <f t="shared" si="5"/>
        <v>1</v>
      </c>
      <c r="J203" s="5" t="b">
        <f t="shared" si="6"/>
        <v>1</v>
      </c>
      <c r="K203" s="15">
        <f t="shared" si="7"/>
        <v>2.653602413</v>
      </c>
      <c r="L203" s="10">
        <f t="shared" si="8"/>
        <v>0.4432982663</v>
      </c>
      <c r="M203" s="10">
        <f>'Precinct Vote Data'!H798</f>
        <v>0.5634517766</v>
      </c>
      <c r="N203" s="10">
        <f>'Precinct Vote Data'!H799</f>
        <v>0.4774305556</v>
      </c>
      <c r="O203" s="10">
        <f>'Precinct Vote Data'!H800</f>
        <v>0.4941724942</v>
      </c>
      <c r="U203" s="16">
        <f t="shared" si="9"/>
        <v>-2.403841711</v>
      </c>
      <c r="V203" s="5" t="b">
        <f t="shared" si="10"/>
        <v>1</v>
      </c>
      <c r="W203" s="5">
        <f t="shared" si="11"/>
        <v>2.493102377</v>
      </c>
      <c r="X203" s="5">
        <f t="shared" si="12"/>
        <v>2.683581076</v>
      </c>
      <c r="Y203" s="5">
        <f t="shared" si="13"/>
        <v>2.403841711</v>
      </c>
      <c r="Z203" s="10">
        <f>MIN(1,MAX(0,(5.3914776420524+0.021102849201698*'Precinct Vote Data'!I801*100+(-5.72594740176815)*1+0.927016741366831*(O203*100))/100))</f>
        <v>0.4557934069</v>
      </c>
      <c r="AA203" s="16">
        <f t="shared" si="14"/>
        <v>-1.154327647</v>
      </c>
      <c r="AB203" s="5" t="b">
        <f t="shared" si="15"/>
        <v>1</v>
      </c>
      <c r="AC203" s="5">
        <f t="shared" si="16"/>
        <v>1.154327647</v>
      </c>
    </row>
    <row r="204" ht="15.0" customHeight="1">
      <c r="A204" s="5" t="s">
        <v>143</v>
      </c>
      <c r="B204" s="5" t="s">
        <v>269</v>
      </c>
      <c r="C204" s="5" t="s">
        <v>275</v>
      </c>
      <c r="D204" s="10">
        <f t="shared" si="1"/>
        <v>0.5315126152</v>
      </c>
      <c r="E204" s="10">
        <f>'Precinct Vote Data'!H805</f>
        <v>0.5121076233</v>
      </c>
      <c r="F204" s="16">
        <f t="shared" si="2"/>
        <v>1.940499191</v>
      </c>
      <c r="G204" s="10">
        <f t="shared" si="3"/>
        <v>0.5480769231</v>
      </c>
      <c r="H204" s="16">
        <f t="shared" si="4"/>
        <v>3.596929976</v>
      </c>
      <c r="I204" s="5" t="b">
        <f t="shared" si="5"/>
        <v>1</v>
      </c>
      <c r="J204" s="5" t="b">
        <f t="shared" si="6"/>
        <v>1</v>
      </c>
      <c r="K204" s="15">
        <f t="shared" si="7"/>
        <v>0.7792421157</v>
      </c>
      <c r="L204" s="10">
        <f t="shared" si="8"/>
        <v>0.5331374805</v>
      </c>
      <c r="M204" s="10">
        <f>'Precinct Vote Data'!H802</f>
        <v>0.5750394945</v>
      </c>
      <c r="N204" s="10">
        <f>'Precinct Vote Data'!H803</f>
        <v>0.5523091423</v>
      </c>
      <c r="O204" s="10">
        <f>'Precinct Vote Data'!H804</f>
        <v>0.5480769231</v>
      </c>
      <c r="U204" s="16">
        <f t="shared" si="9"/>
        <v>2.102985715</v>
      </c>
      <c r="V204" s="5" t="b">
        <f t="shared" si="10"/>
        <v>1</v>
      </c>
      <c r="W204" s="5">
        <f t="shared" si="11"/>
        <v>1.940499191</v>
      </c>
      <c r="X204" s="5">
        <f t="shared" si="12"/>
        <v>3.596929976</v>
      </c>
      <c r="Y204" s="5">
        <f t="shared" si="13"/>
        <v>2.102985715</v>
      </c>
      <c r="Z204" s="10">
        <f>MIN(1,MAX(0,(5.3914776420524+0.021102849201698*'Precinct Vote Data'!I805*100+(-5.72594740176815)*1+0.927016741366831*(O204*100))/100))</f>
        <v>0.5071733853</v>
      </c>
      <c r="AA204" s="16">
        <f t="shared" si="14"/>
        <v>-0.4934238014</v>
      </c>
      <c r="AB204" s="5" t="b">
        <f t="shared" si="15"/>
        <v>1</v>
      </c>
      <c r="AC204" s="5">
        <f t="shared" si="16"/>
        <v>0.4934238014</v>
      </c>
    </row>
    <row r="205" ht="15.0" customHeight="1">
      <c r="A205" s="5" t="s">
        <v>143</v>
      </c>
      <c r="B205" s="5" t="s">
        <v>269</v>
      </c>
      <c r="C205" s="5" t="s">
        <v>276</v>
      </c>
      <c r="D205" s="10">
        <f t="shared" si="1"/>
        <v>0.4699702269</v>
      </c>
      <c r="E205" s="10">
        <f>'Precinct Vote Data'!H809</f>
        <v>0.4613244296</v>
      </c>
      <c r="F205" s="16">
        <f t="shared" si="2"/>
        <v>0.8645797274</v>
      </c>
      <c r="G205" s="10">
        <f t="shared" si="3"/>
        <v>0.4836125273</v>
      </c>
      <c r="H205" s="16">
        <f t="shared" si="4"/>
        <v>2.228809771</v>
      </c>
      <c r="I205" s="5" t="b">
        <f t="shared" si="5"/>
        <v>1</v>
      </c>
      <c r="J205" s="5" t="b">
        <f t="shared" si="6"/>
        <v>1</v>
      </c>
      <c r="K205" s="15">
        <f t="shared" si="7"/>
        <v>0.8098794983</v>
      </c>
      <c r="L205" s="10">
        <f t="shared" si="8"/>
        <v>0.4680857122</v>
      </c>
      <c r="M205" s="10">
        <f>'Precinct Vote Data'!H806</f>
        <v>0.4942810458</v>
      </c>
      <c r="N205" s="10">
        <f>'Precinct Vote Data'!H807</f>
        <v>0.4640226629</v>
      </c>
      <c r="O205" s="10">
        <f>'Precinct Vote Data'!H808</f>
        <v>0.4836125273</v>
      </c>
      <c r="U205" s="16">
        <f t="shared" si="9"/>
        <v>0.6761282562</v>
      </c>
      <c r="V205" s="5" t="b">
        <f t="shared" si="10"/>
        <v>1</v>
      </c>
      <c r="W205" s="5">
        <f t="shared" si="11"/>
        <v>0.8645797274</v>
      </c>
      <c r="X205" s="5">
        <f t="shared" si="12"/>
        <v>2.228809771</v>
      </c>
      <c r="Y205" s="5">
        <f t="shared" si="13"/>
        <v>0.6761282562</v>
      </c>
      <c r="Z205" s="10">
        <f>MIN(1,MAX(0,(5.3914776420524+0.021102849201698*'Precinct Vote Data'!I809*100+(-5.72594740176815)*1+0.927016741366831*(O205*100))/100))</f>
        <v>0.4443602289</v>
      </c>
      <c r="AA205" s="16">
        <f t="shared" si="14"/>
        <v>-1.696420068</v>
      </c>
      <c r="AB205" s="5" t="b">
        <f t="shared" si="15"/>
        <v>1</v>
      </c>
      <c r="AC205" s="5">
        <f t="shared" si="16"/>
        <v>1.696420068</v>
      </c>
    </row>
    <row r="206" ht="15.0" customHeight="1">
      <c r="A206" s="5" t="s">
        <v>143</v>
      </c>
      <c r="B206" s="5" t="s">
        <v>269</v>
      </c>
      <c r="C206" s="5" t="s">
        <v>277</v>
      </c>
      <c r="D206" s="10">
        <f t="shared" si="1"/>
        <v>0.4826736383</v>
      </c>
      <c r="E206" s="10">
        <f>'Precinct Vote Data'!H813</f>
        <v>0.4827109267</v>
      </c>
      <c r="F206" s="16">
        <f t="shared" si="2"/>
        <v>-0.003728843516</v>
      </c>
      <c r="G206" s="10">
        <f t="shared" si="3"/>
        <v>0.5043706294</v>
      </c>
      <c r="H206" s="16">
        <f t="shared" si="4"/>
        <v>2.165970268</v>
      </c>
      <c r="I206" s="5" t="b">
        <f t="shared" si="5"/>
        <v>1</v>
      </c>
      <c r="J206" s="5" t="b">
        <f t="shared" si="6"/>
        <v>0</v>
      </c>
      <c r="K206" s="15">
        <f t="shared" si="7"/>
        <v>1.345617531</v>
      </c>
      <c r="L206" s="10">
        <f t="shared" si="8"/>
        <v>0.4785727734</v>
      </c>
      <c r="M206" s="10">
        <f>'Precinct Vote Data'!H810</f>
        <v>0.5173867229</v>
      </c>
      <c r="N206" s="10">
        <f>'Precinct Vote Data'!H811</f>
        <v>0.465311843</v>
      </c>
      <c r="O206" s="10">
        <f>'Precinct Vote Data'!H812</f>
        <v>0.5043706294</v>
      </c>
      <c r="U206" s="16">
        <f t="shared" si="9"/>
        <v>-0.4138153313</v>
      </c>
      <c r="V206" s="5" t="b">
        <f t="shared" si="10"/>
        <v>1</v>
      </c>
      <c r="W206" s="5">
        <f t="shared" si="11"/>
        <v>0.003728843516</v>
      </c>
      <c r="X206" s="5">
        <f t="shared" si="12"/>
        <v>2.165970268</v>
      </c>
      <c r="Y206" s="5">
        <f t="shared" si="13"/>
        <v>0.4138153313</v>
      </c>
      <c r="Z206" s="10">
        <f>MIN(1,MAX(0,(5.3914776420524+0.021102849201698*'Precinct Vote Data'!I813*100+(-5.72594740176815)*1+0.927016741366831*(O206*100))/100))</f>
        <v>0.4654603878</v>
      </c>
      <c r="AA206" s="16">
        <f t="shared" si="14"/>
        <v>-1.725053891</v>
      </c>
      <c r="AB206" s="5" t="b">
        <f t="shared" si="15"/>
        <v>1</v>
      </c>
      <c r="AC206" s="5">
        <f t="shared" si="16"/>
        <v>1.725053891</v>
      </c>
    </row>
    <row r="207" ht="15.0" customHeight="1">
      <c r="A207" s="5" t="s">
        <v>143</v>
      </c>
      <c r="B207" s="5" t="s">
        <v>269</v>
      </c>
      <c r="C207" s="5" t="s">
        <v>278</v>
      </c>
      <c r="D207" s="10">
        <f t="shared" si="1"/>
        <v>0.5279644888</v>
      </c>
      <c r="E207" s="10">
        <f>'Precinct Vote Data'!H817</f>
        <v>0.5087412587</v>
      </c>
      <c r="F207" s="16">
        <f t="shared" si="2"/>
        <v>1.922323003</v>
      </c>
      <c r="G207" s="10">
        <f t="shared" si="3"/>
        <v>0.5439814815</v>
      </c>
      <c r="H207" s="16">
        <f t="shared" si="4"/>
        <v>3.524022274</v>
      </c>
      <c r="I207" s="5" t="b">
        <f t="shared" si="5"/>
        <v>1</v>
      </c>
      <c r="J207" s="5" t="b">
        <f t="shared" si="6"/>
        <v>1</v>
      </c>
      <c r="K207" s="15">
        <f t="shared" si="7"/>
        <v>0.9413400509</v>
      </c>
      <c r="L207" s="10">
        <f t="shared" si="8"/>
        <v>0.5259343362</v>
      </c>
      <c r="M207" s="10">
        <f>'Precinct Vote Data'!H814</f>
        <v>0.5571600481</v>
      </c>
      <c r="N207" s="10">
        <f>'Precinct Vote Data'!H815</f>
        <v>0.5222876367</v>
      </c>
      <c r="O207" s="10">
        <f>'Precinct Vote Data'!H816</f>
        <v>0.5439814815</v>
      </c>
      <c r="U207" s="16">
        <f t="shared" si="9"/>
        <v>1.719307747</v>
      </c>
      <c r="V207" s="5" t="b">
        <f t="shared" si="10"/>
        <v>1</v>
      </c>
      <c r="W207" s="5">
        <f t="shared" si="11"/>
        <v>1.922323003</v>
      </c>
      <c r="X207" s="5">
        <f t="shared" si="12"/>
        <v>3.524022274</v>
      </c>
      <c r="Y207" s="5">
        <f t="shared" si="13"/>
        <v>1.719307747</v>
      </c>
      <c r="Z207" s="10">
        <f>MIN(1,MAX(0,(5.3914776420524+0.021102849201698*'Precinct Vote Data'!I817*100+(-5.72594740176815)*1+0.927016741366831*(O207*100))/100))</f>
        <v>0.5033726218</v>
      </c>
      <c r="AA207" s="16">
        <f t="shared" si="14"/>
        <v>-0.5368636929</v>
      </c>
      <c r="AB207" s="5" t="b">
        <f t="shared" si="15"/>
        <v>1</v>
      </c>
      <c r="AC207" s="5">
        <f t="shared" si="16"/>
        <v>0.5368636929</v>
      </c>
    </row>
    <row r="208" ht="15.0" customHeight="1">
      <c r="A208" s="5" t="s">
        <v>143</v>
      </c>
      <c r="B208" s="5" t="s">
        <v>269</v>
      </c>
      <c r="C208" s="5" t="s">
        <v>279</v>
      </c>
      <c r="D208" s="10">
        <f t="shared" si="1"/>
        <v>0.4641017391</v>
      </c>
      <c r="E208" s="10">
        <f>'Precinct Vote Data'!H821</f>
        <v>0.4690572585</v>
      </c>
      <c r="F208" s="16">
        <f t="shared" si="2"/>
        <v>-0.4955519456</v>
      </c>
      <c r="G208" s="10">
        <f t="shared" si="3"/>
        <v>0.473481937</v>
      </c>
      <c r="H208" s="16">
        <f t="shared" si="4"/>
        <v>0.4424678441</v>
      </c>
      <c r="I208" s="5" t="b">
        <f t="shared" si="5"/>
        <v>1</v>
      </c>
      <c r="J208" s="5" t="b">
        <f t="shared" si="6"/>
        <v>1</v>
      </c>
      <c r="K208" s="15">
        <f t="shared" si="7"/>
        <v>0.7437587611</v>
      </c>
      <c r="L208" s="10">
        <f t="shared" si="8"/>
        <v>0.4592227727</v>
      </c>
      <c r="M208" s="10">
        <f>'Precinct Vote Data'!H818</f>
        <v>0.4679891794</v>
      </c>
      <c r="N208" s="10">
        <f>'Precinct Vote Data'!H819</f>
        <v>0.4343558282</v>
      </c>
      <c r="O208" s="10">
        <f>'Precinct Vote Data'!H820</f>
        <v>0.473481937</v>
      </c>
      <c r="U208" s="16">
        <f t="shared" si="9"/>
        <v>-0.9834485818</v>
      </c>
      <c r="V208" s="5" t="b">
        <f t="shared" si="10"/>
        <v>1</v>
      </c>
      <c r="W208" s="5">
        <f t="shared" si="11"/>
        <v>0.4955519456</v>
      </c>
      <c r="X208" s="5">
        <f t="shared" si="12"/>
        <v>0.4424678441</v>
      </c>
      <c r="Y208" s="5">
        <f t="shared" si="13"/>
        <v>0.9834485818</v>
      </c>
      <c r="Z208" s="10">
        <f>MIN(1,MAX(0,(5.3914776420524+0.021102849201698*'Precinct Vote Data'!I821*100+(-5.72594740176815)*1+0.927016741366831*(O208*100))/100))</f>
        <v>0.4352243466</v>
      </c>
      <c r="AA208" s="16">
        <f t="shared" si="14"/>
        <v>-3.383291197</v>
      </c>
      <c r="AB208" s="5" t="b">
        <f t="shared" si="15"/>
        <v>1</v>
      </c>
      <c r="AC208" s="5">
        <f t="shared" si="16"/>
        <v>3.383291197</v>
      </c>
    </row>
    <row r="209" ht="15.0" customHeight="1">
      <c r="A209" s="5" t="s">
        <v>143</v>
      </c>
      <c r="B209" s="5" t="s">
        <v>269</v>
      </c>
      <c r="C209" s="5" t="s">
        <v>280</v>
      </c>
      <c r="D209" s="10">
        <f t="shared" si="1"/>
        <v>0.4364050261</v>
      </c>
      <c r="E209" s="10">
        <f>'Precinct Vote Data'!H825</f>
        <v>0.4752941176</v>
      </c>
      <c r="F209" s="16">
        <f t="shared" si="2"/>
        <v>-3.888909159</v>
      </c>
      <c r="G209" s="10">
        <f t="shared" si="3"/>
        <v>0.4631360332</v>
      </c>
      <c r="H209" s="16">
        <f t="shared" si="4"/>
        <v>-1.215808442</v>
      </c>
      <c r="I209" s="5" t="b">
        <f t="shared" si="5"/>
        <v>1</v>
      </c>
      <c r="J209" s="5" t="b">
        <f t="shared" si="6"/>
        <v>1</v>
      </c>
      <c r="K209" s="15">
        <f t="shared" si="7"/>
        <v>1.19661017</v>
      </c>
      <c r="L209" s="10">
        <f t="shared" si="8"/>
        <v>0.4401949106</v>
      </c>
      <c r="M209" s="10">
        <f>'Precinct Vote Data'!H822</f>
        <v>0.5108280255</v>
      </c>
      <c r="N209" s="10">
        <f>'Precinct Vote Data'!H823</f>
        <v>0.4783269962</v>
      </c>
      <c r="O209" s="10">
        <f>'Precinct Vote Data'!H824</f>
        <v>0.4631360332</v>
      </c>
      <c r="U209" s="16">
        <f t="shared" si="9"/>
        <v>-3.509920707</v>
      </c>
      <c r="V209" s="5" t="b">
        <f t="shared" si="10"/>
        <v>1</v>
      </c>
      <c r="W209" s="5">
        <f t="shared" si="11"/>
        <v>3.888909159</v>
      </c>
      <c r="X209" s="5">
        <f t="shared" si="12"/>
        <v>1.215808442</v>
      </c>
      <c r="Y209" s="5">
        <f t="shared" si="13"/>
        <v>3.509920707</v>
      </c>
      <c r="Z209" s="10">
        <f>MIN(1,MAX(0,(5.3914776420524+0.021102849201698*'Precinct Vote Data'!I825*100+(-5.72594740176815)*1+0.927016741366831*(O209*100))/100))</f>
        <v>0.4274420348</v>
      </c>
      <c r="AA209" s="16">
        <f t="shared" si="14"/>
        <v>-4.785208289</v>
      </c>
      <c r="AB209" s="5" t="b">
        <f t="shared" si="15"/>
        <v>1</v>
      </c>
      <c r="AC209" s="5">
        <f t="shared" si="16"/>
        <v>4.785208289</v>
      </c>
    </row>
    <row r="210" ht="15.0" customHeight="1">
      <c r="A210" s="5" t="s">
        <v>143</v>
      </c>
      <c r="B210" s="5" t="s">
        <v>269</v>
      </c>
      <c r="C210" s="5" t="s">
        <v>281</v>
      </c>
      <c r="D210" s="10">
        <f t="shared" si="1"/>
        <v>0.589613649</v>
      </c>
      <c r="E210" s="10">
        <f>'Precinct Vote Data'!H829</f>
        <v>0.5430267062</v>
      </c>
      <c r="F210" s="16">
        <f t="shared" si="2"/>
        <v>4.658694277</v>
      </c>
      <c r="G210" s="10">
        <f t="shared" si="3"/>
        <v>0.6044444444</v>
      </c>
      <c r="H210" s="16">
        <f t="shared" si="4"/>
        <v>6.141773821</v>
      </c>
      <c r="I210" s="5" t="b">
        <f t="shared" si="5"/>
        <v>1</v>
      </c>
      <c r="J210" s="5" t="b">
        <f t="shared" si="6"/>
        <v>1</v>
      </c>
      <c r="K210" s="15">
        <f t="shared" si="7"/>
        <v>0.7768006744</v>
      </c>
      <c r="L210" s="10">
        <f t="shared" si="8"/>
        <v>0.5895518086</v>
      </c>
      <c r="M210" s="10">
        <f>'Precinct Vote Data'!H826</f>
        <v>0.6231555051</v>
      </c>
      <c r="N210" s="10">
        <f>'Precinct Vote Data'!H827</f>
        <v>0.5973741794</v>
      </c>
      <c r="O210" s="10">
        <f>'Precinct Vote Data'!H828</f>
        <v>0.6044444444</v>
      </c>
      <c r="U210" s="16">
        <f t="shared" si="9"/>
        <v>4.652510233</v>
      </c>
      <c r="V210" s="5" t="b">
        <f t="shared" si="10"/>
        <v>1</v>
      </c>
      <c r="W210" s="5">
        <f t="shared" si="11"/>
        <v>4.658694277</v>
      </c>
      <c r="X210" s="5">
        <f t="shared" si="12"/>
        <v>6.141773821</v>
      </c>
      <c r="Y210" s="5">
        <f t="shared" si="13"/>
        <v>4.652510233</v>
      </c>
      <c r="Z210" s="10">
        <f>MIN(1,MAX(0,(5.3914776420524+0.021102849201698*'Precinct Vote Data'!I829*100+(-5.72594740176815)*1+0.927016741366831*(O210*100))/100))</f>
        <v>0.5610413892</v>
      </c>
      <c r="AA210" s="16">
        <f t="shared" si="14"/>
        <v>1.801468301</v>
      </c>
      <c r="AB210" s="5" t="b">
        <f t="shared" si="15"/>
        <v>1</v>
      </c>
      <c r="AC210" s="5">
        <f t="shared" si="16"/>
        <v>1.801468301</v>
      </c>
    </row>
    <row r="211" ht="15.0" customHeight="1">
      <c r="A211" s="5" t="s">
        <v>282</v>
      </c>
      <c r="B211" s="5" t="s">
        <v>283</v>
      </c>
      <c r="C211" s="5" t="s">
        <v>284</v>
      </c>
      <c r="D211" s="10">
        <f t="shared" si="1"/>
        <v>0.4893818887</v>
      </c>
      <c r="E211" s="10">
        <f>'Precinct Vote Data'!H833</f>
        <v>0.4800861141</v>
      </c>
      <c r="F211" s="16">
        <f t="shared" si="2"/>
        <v>0.9295774643</v>
      </c>
      <c r="G211" s="10">
        <f t="shared" si="3"/>
        <v>0.4836795252</v>
      </c>
      <c r="H211" s="16">
        <f t="shared" si="4"/>
        <v>0.3593411121</v>
      </c>
      <c r="I211" s="5" t="b">
        <f t="shared" si="5"/>
        <v>1</v>
      </c>
      <c r="J211" s="5" t="b">
        <f t="shared" si="6"/>
        <v>1</v>
      </c>
      <c r="K211" s="15">
        <f t="shared" si="7"/>
        <v>-0.2279554995</v>
      </c>
      <c r="L211" s="10">
        <f t="shared" si="8"/>
        <v>0.4880498333</v>
      </c>
      <c r="M211" s="10">
        <f>'Precinct Vote Data'!H830</f>
        <v>0.4716312057</v>
      </c>
      <c r="N211" s="10">
        <f>'Precinct Vote Data'!H831</f>
        <v>0.4766899767</v>
      </c>
      <c r="O211" s="10">
        <f>'Precinct Vote Data'!H832</f>
        <v>0.4836795252</v>
      </c>
      <c r="U211" s="16">
        <f t="shared" si="9"/>
        <v>0.7963719186</v>
      </c>
      <c r="V211" s="5" t="b">
        <f t="shared" si="10"/>
        <v>1</v>
      </c>
      <c r="W211" s="5">
        <f t="shared" si="11"/>
        <v>0.9295774643</v>
      </c>
      <c r="X211" s="5">
        <f t="shared" si="12"/>
        <v>0.3593411121</v>
      </c>
      <c r="Y211" s="5">
        <f t="shared" si="13"/>
        <v>0.7963719186</v>
      </c>
      <c r="Z211" s="10">
        <f>MIN(1,MAX(0,(5.3914776420524+0.021102849201698*'Precinct Vote Data'!I833*100+(-5.72594740176815)*1+0.927016741366831*(O211*100))/100))</f>
        <v>0.4423985739</v>
      </c>
      <c r="AA211" s="16">
        <f t="shared" si="14"/>
        <v>-3.768754023</v>
      </c>
      <c r="AB211" s="5" t="b">
        <f t="shared" si="15"/>
        <v>1</v>
      </c>
      <c r="AC211" s="5">
        <f t="shared" si="16"/>
        <v>3.768754023</v>
      </c>
    </row>
    <row r="212" ht="15.0" customHeight="1">
      <c r="A212" s="5" t="s">
        <v>282</v>
      </c>
      <c r="B212" s="5" t="s">
        <v>283</v>
      </c>
      <c r="C212" s="5" t="s">
        <v>285</v>
      </c>
      <c r="D212" s="10">
        <f t="shared" si="1"/>
        <v>0.4803168409</v>
      </c>
      <c r="E212" s="10">
        <f>'Precinct Vote Data'!H837</f>
        <v>0.456043956</v>
      </c>
      <c r="F212" s="16">
        <f t="shared" si="2"/>
        <v>2.427288482</v>
      </c>
      <c r="G212" s="10">
        <f t="shared" si="3"/>
        <v>0.4831858407</v>
      </c>
      <c r="H212" s="16">
        <f t="shared" si="4"/>
        <v>2.714188466</v>
      </c>
      <c r="I212" s="5" t="b">
        <f t="shared" si="5"/>
        <v>1</v>
      </c>
      <c r="J212" s="5" t="b">
        <f t="shared" si="6"/>
        <v>1</v>
      </c>
      <c r="K212" s="15">
        <f t="shared" si="7"/>
        <v>0.1444678957</v>
      </c>
      <c r="L212" s="10">
        <f t="shared" si="8"/>
        <v>0.4804161369</v>
      </c>
      <c r="M212" s="10">
        <f>'Precinct Vote Data'!H834</f>
        <v>0.4872037915</v>
      </c>
      <c r="N212" s="10">
        <f>'Precinct Vote Data'!H835</f>
        <v>0.4826147427</v>
      </c>
      <c r="O212" s="10">
        <f>'Precinct Vote Data'!H836</f>
        <v>0.4831858407</v>
      </c>
      <c r="U212" s="16">
        <f t="shared" si="9"/>
        <v>2.437218088</v>
      </c>
      <c r="V212" s="5" t="b">
        <f t="shared" si="10"/>
        <v>1</v>
      </c>
      <c r="W212" s="5">
        <f t="shared" si="11"/>
        <v>2.427288482</v>
      </c>
      <c r="X212" s="5">
        <f t="shared" si="12"/>
        <v>2.714188466</v>
      </c>
      <c r="Y212" s="5">
        <f t="shared" si="13"/>
        <v>2.437218088</v>
      </c>
      <c r="Z212" s="10">
        <f>MIN(1,MAX(0,(5.3914776420524+0.021102849201698*'Precinct Vote Data'!I837*100+(-5.72594740176815)*1+0.927016741366831*(O212*100))/100))</f>
        <v>0.4424980353</v>
      </c>
      <c r="AA212" s="16">
        <f t="shared" si="14"/>
        <v>-1.354592076</v>
      </c>
      <c r="AB212" s="5" t="b">
        <f t="shared" si="15"/>
        <v>1</v>
      </c>
      <c r="AC212" s="5">
        <f t="shared" si="16"/>
        <v>1.354592076</v>
      </c>
    </row>
    <row r="213" ht="15.0" customHeight="1">
      <c r="A213" s="5" t="s">
        <v>282</v>
      </c>
      <c r="B213" s="5" t="s">
        <v>286</v>
      </c>
      <c r="C213" s="5" t="s">
        <v>287</v>
      </c>
      <c r="D213" s="10">
        <f t="shared" si="1"/>
        <v>0.4392831859</v>
      </c>
      <c r="E213" s="10">
        <f>'Precinct Vote Data'!H841</f>
        <v>0.4414858646</v>
      </c>
      <c r="F213" s="16">
        <f t="shared" si="2"/>
        <v>-0.2202678629</v>
      </c>
      <c r="G213" s="10">
        <f t="shared" si="3"/>
        <v>0.4582315584</v>
      </c>
      <c r="H213" s="16">
        <f t="shared" si="4"/>
        <v>1.674569382</v>
      </c>
      <c r="I213" s="5" t="b">
        <f t="shared" si="5"/>
        <v>1</v>
      </c>
      <c r="J213" s="5" t="b">
        <f t="shared" si="6"/>
        <v>1</v>
      </c>
      <c r="K213" s="15">
        <f t="shared" si="7"/>
        <v>0.7685050235</v>
      </c>
      <c r="L213" s="10">
        <f t="shared" si="8"/>
        <v>0.4434979647</v>
      </c>
      <c r="M213" s="10">
        <f>'Precinct Vote Data'!H838</f>
        <v>0.4975096846</v>
      </c>
      <c r="N213" s="10">
        <f>'Precinct Vote Data'!H839</f>
        <v>0.4799426934</v>
      </c>
      <c r="O213" s="10">
        <f>'Precinct Vote Data'!H840</f>
        <v>0.4582315584</v>
      </c>
      <c r="U213" s="16">
        <f t="shared" si="9"/>
        <v>0.2012100159</v>
      </c>
      <c r="V213" s="5" t="b">
        <f t="shared" si="10"/>
        <v>1</v>
      </c>
      <c r="W213" s="5">
        <f t="shared" si="11"/>
        <v>0.2202678629</v>
      </c>
      <c r="X213" s="5">
        <f t="shared" si="12"/>
        <v>1.674569382</v>
      </c>
      <c r="Y213" s="5">
        <f t="shared" si="13"/>
        <v>0.2012100159</v>
      </c>
      <c r="Z213" s="10">
        <f>MIN(1,MAX(0,(5.3914776420524+0.021102849201698*'Precinct Vote Data'!I841*100+(-5.72594740176815)*1+0.927016741366831*(O213*100))/100))</f>
        <v>0.420677595</v>
      </c>
      <c r="AA213" s="16">
        <f t="shared" si="14"/>
        <v>-2.080826955</v>
      </c>
      <c r="AB213" s="5" t="b">
        <f t="shared" si="15"/>
        <v>1</v>
      </c>
      <c r="AC213" s="5">
        <f t="shared" si="16"/>
        <v>2.080826955</v>
      </c>
    </row>
    <row r="214" ht="15.0" customHeight="1">
      <c r="A214" s="5" t="s">
        <v>282</v>
      </c>
      <c r="B214" s="5" t="s">
        <v>286</v>
      </c>
      <c r="C214" s="5" t="s">
        <v>288</v>
      </c>
      <c r="D214" s="10">
        <f t="shared" si="1"/>
        <v>0.42542707</v>
      </c>
      <c r="E214" s="10">
        <f>'Precinct Vote Data'!H845</f>
        <v>0.4290442698</v>
      </c>
      <c r="F214" s="16">
        <f t="shared" si="2"/>
        <v>-0.3617199779</v>
      </c>
      <c r="G214" s="10">
        <f t="shared" si="3"/>
        <v>0.4432008954</v>
      </c>
      <c r="H214" s="16">
        <f t="shared" si="4"/>
        <v>1.41566256</v>
      </c>
      <c r="I214" s="5" t="b">
        <f t="shared" si="5"/>
        <v>1</v>
      </c>
      <c r="J214" s="5" t="b">
        <f t="shared" si="6"/>
        <v>1</v>
      </c>
      <c r="K214" s="15">
        <f t="shared" si="7"/>
        <v>0.7456920682</v>
      </c>
      <c r="L214" s="10">
        <f t="shared" si="8"/>
        <v>0.4289046662</v>
      </c>
      <c r="M214" s="10">
        <f>'Precinct Vote Data'!H842</f>
        <v>0.4783404515</v>
      </c>
      <c r="N214" s="10">
        <f>'Precinct Vote Data'!H843</f>
        <v>0.4601585315</v>
      </c>
      <c r="O214" s="10">
        <f>'Precinct Vote Data'!H844</f>
        <v>0.4432008954</v>
      </c>
      <c r="U214" s="16">
        <f t="shared" si="9"/>
        <v>-0.01396035597</v>
      </c>
      <c r="V214" s="5" t="b">
        <f t="shared" si="10"/>
        <v>1</v>
      </c>
      <c r="W214" s="5">
        <f t="shared" si="11"/>
        <v>0.3617199779</v>
      </c>
      <c r="X214" s="5">
        <f t="shared" si="12"/>
        <v>1.41566256</v>
      </c>
      <c r="Y214" s="5">
        <f t="shared" si="13"/>
        <v>0.01396035597</v>
      </c>
      <c r="Z214" s="10">
        <f>MIN(1,MAX(0,(5.3914776420524+0.021102849201698*'Precinct Vote Data'!I845*100+(-5.72594740176815)*1+0.927016741366831*(O214*100))/100))</f>
        <v>0.4056233575</v>
      </c>
      <c r="AA214" s="16">
        <f t="shared" si="14"/>
        <v>-2.342091229</v>
      </c>
      <c r="AB214" s="5" t="b">
        <f t="shared" si="15"/>
        <v>1</v>
      </c>
      <c r="AC214" s="5">
        <f t="shared" si="16"/>
        <v>2.342091229</v>
      </c>
    </row>
    <row r="215" ht="15.0" customHeight="1">
      <c r="A215" s="5" t="s">
        <v>282</v>
      </c>
      <c r="B215" s="5" t="s">
        <v>286</v>
      </c>
      <c r="C215" s="5" t="s">
        <v>289</v>
      </c>
      <c r="D215" s="10">
        <f t="shared" si="1"/>
        <v>0.455212689</v>
      </c>
      <c r="E215" s="10">
        <f>'Precinct Vote Data'!H849</f>
        <v>0.4509668508</v>
      </c>
      <c r="F215" s="16">
        <f t="shared" si="2"/>
        <v>0.4245838147</v>
      </c>
      <c r="G215" s="10">
        <f t="shared" si="3"/>
        <v>0.4761904762</v>
      </c>
      <c r="H215" s="16">
        <f t="shared" si="4"/>
        <v>2.522362536</v>
      </c>
      <c r="I215" s="5" t="b">
        <f t="shared" si="5"/>
        <v>1</v>
      </c>
      <c r="J215" s="5" t="b">
        <f t="shared" si="6"/>
        <v>1</v>
      </c>
      <c r="K215" s="15">
        <f t="shared" si="7"/>
        <v>1.043070672</v>
      </c>
      <c r="L215" s="10">
        <f t="shared" si="8"/>
        <v>0.4561929759</v>
      </c>
      <c r="M215" s="10">
        <f>'Precinct Vote Data'!H846</f>
        <v>0.5064794816</v>
      </c>
      <c r="N215" s="10">
        <f>'Precinct Vote Data'!H847</f>
        <v>0.4738351254</v>
      </c>
      <c r="O215" s="10">
        <f>'Precinct Vote Data'!H848</f>
        <v>0.4761904762</v>
      </c>
      <c r="U215" s="16">
        <f t="shared" si="9"/>
        <v>0.5226125061</v>
      </c>
      <c r="V215" s="5" t="b">
        <f t="shared" si="10"/>
        <v>1</v>
      </c>
      <c r="W215" s="5">
        <f t="shared" si="11"/>
        <v>0.4245838147</v>
      </c>
      <c r="X215" s="5">
        <f t="shared" si="12"/>
        <v>2.522362536</v>
      </c>
      <c r="Y215" s="5">
        <f t="shared" si="13"/>
        <v>0.5226125061</v>
      </c>
      <c r="Z215" s="10">
        <f>MIN(1,MAX(0,(5.3914776420524+0.021102849201698*'Precinct Vote Data'!I849*100+(-5.72594740176815)*1+0.927016741366831*(O215*100))/100))</f>
        <v>0.4362917729</v>
      </c>
      <c r="AA215" s="16">
        <f t="shared" si="14"/>
        <v>-1.467507795</v>
      </c>
      <c r="AB215" s="5" t="b">
        <f t="shared" si="15"/>
        <v>1</v>
      </c>
      <c r="AC215" s="5">
        <f t="shared" si="16"/>
        <v>1.467507795</v>
      </c>
    </row>
    <row r="216" ht="15.0" customHeight="1">
      <c r="A216" s="5" t="s">
        <v>282</v>
      </c>
      <c r="B216" s="5" t="s">
        <v>286</v>
      </c>
      <c r="C216" s="5" t="s">
        <v>290</v>
      </c>
      <c r="D216" s="10">
        <f t="shared" si="1"/>
        <v>0.372314969</v>
      </c>
      <c r="E216" s="10">
        <f>'Precinct Vote Data'!H853</f>
        <v>0.3839835729</v>
      </c>
      <c r="F216" s="16">
        <f t="shared" si="2"/>
        <v>-1.166860388</v>
      </c>
      <c r="G216" s="10">
        <f t="shared" si="3"/>
        <v>0.3846153846</v>
      </c>
      <c r="H216" s="16">
        <f t="shared" si="4"/>
        <v>0.06318117201</v>
      </c>
      <c r="I216" s="5" t="b">
        <f t="shared" si="5"/>
        <v>1</v>
      </c>
      <c r="J216" s="5" t="b">
        <f t="shared" si="6"/>
        <v>1</v>
      </c>
      <c r="K216" s="15">
        <f t="shared" si="7"/>
        <v>0.5038533195</v>
      </c>
      <c r="L216" s="10">
        <f t="shared" si="8"/>
        <v>0.3749556298</v>
      </c>
      <c r="M216" s="10">
        <f>'Precinct Vote Data'!H850</f>
        <v>0.4097714736</v>
      </c>
      <c r="N216" s="10">
        <f>'Precinct Vote Data'!H851</f>
        <v>0.3980263158</v>
      </c>
      <c r="O216" s="10">
        <f>'Precinct Vote Data'!H852</f>
        <v>0.3846153846</v>
      </c>
      <c r="U216" s="16">
        <f t="shared" si="9"/>
        <v>-0.9027943057</v>
      </c>
      <c r="V216" s="5" t="b">
        <f t="shared" si="10"/>
        <v>1</v>
      </c>
      <c r="W216" s="5">
        <f t="shared" si="11"/>
        <v>1.166860388</v>
      </c>
      <c r="X216" s="5">
        <f t="shared" si="12"/>
        <v>0.06318117201</v>
      </c>
      <c r="Y216" s="5">
        <f t="shared" si="13"/>
        <v>0.9027943057</v>
      </c>
      <c r="Z216" s="10">
        <f>MIN(1,MAX(0,(5.3914776420524+0.021102849201698*'Precinct Vote Data'!I853*100+(-5.72594740176815)*1+0.927016741366831*(O216*100))/100))</f>
        <v>0.349289845</v>
      </c>
      <c r="AA216" s="16">
        <f t="shared" si="14"/>
        <v>-3.469372792</v>
      </c>
      <c r="AB216" s="5" t="b">
        <f t="shared" si="15"/>
        <v>1</v>
      </c>
      <c r="AC216" s="5">
        <f t="shared" si="16"/>
        <v>3.469372792</v>
      </c>
    </row>
    <row r="217" ht="15.0" customHeight="1">
      <c r="A217" s="5" t="s">
        <v>282</v>
      </c>
      <c r="B217" s="5" t="s">
        <v>291</v>
      </c>
      <c r="C217" s="5" t="s">
        <v>292</v>
      </c>
      <c r="D217" s="10">
        <f t="shared" si="1"/>
        <v>0.5091087163</v>
      </c>
      <c r="E217" s="10">
        <f>'Precinct Vote Data'!H857</f>
        <v>0.5335164835</v>
      </c>
      <c r="F217" s="16">
        <f t="shared" si="2"/>
        <v>-2.440776722</v>
      </c>
      <c r="G217" s="10">
        <f t="shared" si="3"/>
        <v>0.5259319287</v>
      </c>
      <c r="H217" s="16">
        <f t="shared" si="4"/>
        <v>-0.7584554829</v>
      </c>
      <c r="I217" s="5" t="b">
        <f t="shared" si="5"/>
        <v>1</v>
      </c>
      <c r="J217" s="5" t="b">
        <f t="shared" si="6"/>
        <v>1</v>
      </c>
      <c r="K217" s="15">
        <f t="shared" si="7"/>
        <v>0.8172692739</v>
      </c>
      <c r="L217" s="10">
        <f t="shared" si="8"/>
        <v>0.5102634385</v>
      </c>
      <c r="M217" s="10">
        <f>'Precinct Vote Data'!H854</f>
        <v>0.5515418502</v>
      </c>
      <c r="N217" s="10">
        <f>'Precinct Vote Data'!H855</f>
        <v>0.5266821346</v>
      </c>
      <c r="O217" s="10">
        <f>'Precinct Vote Data'!H856</f>
        <v>0.5259319287</v>
      </c>
      <c r="U217" s="16">
        <f t="shared" si="9"/>
        <v>-2.325304498</v>
      </c>
      <c r="V217" s="5" t="b">
        <f t="shared" si="10"/>
        <v>1</v>
      </c>
      <c r="W217" s="5">
        <f t="shared" si="11"/>
        <v>2.440776722</v>
      </c>
      <c r="X217" s="5">
        <f t="shared" si="12"/>
        <v>0.7584554829</v>
      </c>
      <c r="Y217" s="5">
        <f t="shared" si="13"/>
        <v>2.325304498</v>
      </c>
      <c r="Z217" s="10">
        <f>MIN(1,MAX(0,(5.3914776420524+0.021102849201698*'Precinct Vote Data'!I857*100+(-5.72594740176815)*1+0.927016741366831*(O217*100))/100))</f>
        <v>0.48497959</v>
      </c>
      <c r="AA217" s="16">
        <f t="shared" si="14"/>
        <v>-4.853689355</v>
      </c>
      <c r="AB217" s="5" t="b">
        <f t="shared" si="15"/>
        <v>0</v>
      </c>
      <c r="AC217" s="5">
        <f t="shared" si="16"/>
        <v>4.853689355</v>
      </c>
    </row>
    <row r="218" ht="15.0" customHeight="1">
      <c r="A218" s="5" t="s">
        <v>282</v>
      </c>
      <c r="B218" s="5" t="s">
        <v>291</v>
      </c>
      <c r="C218" s="5" t="s">
        <v>293</v>
      </c>
      <c r="D218" s="10">
        <f t="shared" si="1"/>
        <v>0.6177105038</v>
      </c>
      <c r="E218" s="10">
        <f>'Precinct Vote Data'!H861</f>
        <v>0.586784141</v>
      </c>
      <c r="F218" s="16">
        <f t="shared" si="2"/>
        <v>3.092636283</v>
      </c>
      <c r="G218" s="10">
        <f t="shared" si="3"/>
        <v>0.6143867925</v>
      </c>
      <c r="H218" s="16">
        <f t="shared" si="4"/>
        <v>2.760265148</v>
      </c>
      <c r="I218" s="5" t="b">
        <f t="shared" si="5"/>
        <v>1</v>
      </c>
      <c r="J218" s="5" t="b">
        <f t="shared" si="6"/>
        <v>1</v>
      </c>
      <c r="K218" s="15">
        <f t="shared" si="7"/>
        <v>-0.1581785503</v>
      </c>
      <c r="L218" s="10">
        <f t="shared" si="8"/>
        <v>0.6174193536</v>
      </c>
      <c r="M218" s="10">
        <f>'Precinct Vote Data'!H858</f>
        <v>0.6091015169</v>
      </c>
      <c r="N218" s="10">
        <f>'Precinct Vote Data'!H859</f>
        <v>0.6137873754</v>
      </c>
      <c r="O218" s="10">
        <f>'Precinct Vote Data'!H860</f>
        <v>0.6143867925</v>
      </c>
      <c r="U218" s="16">
        <f t="shared" si="9"/>
        <v>3.063521264</v>
      </c>
      <c r="V218" s="5" t="b">
        <f t="shared" si="10"/>
        <v>1</v>
      </c>
      <c r="W218" s="5">
        <f t="shared" si="11"/>
        <v>3.092636283</v>
      </c>
      <c r="X218" s="5">
        <f t="shared" si="12"/>
        <v>2.760265148</v>
      </c>
      <c r="Y218" s="5">
        <f t="shared" si="13"/>
        <v>3.063521264</v>
      </c>
      <c r="Z218" s="10">
        <f>MIN(1,MAX(0,(5.3914776420524+0.021102849201698*'Precinct Vote Data'!I861*100+(-5.72594740176815)*1+0.927016741366831*(O218*100))/100))</f>
        <v>0.5693844543</v>
      </c>
      <c r="AA218" s="16">
        <f t="shared" si="14"/>
        <v>-1.739968663</v>
      </c>
      <c r="AB218" s="5" t="b">
        <f t="shared" si="15"/>
        <v>1</v>
      </c>
      <c r="AC218" s="5">
        <f t="shared" si="16"/>
        <v>1.739968663</v>
      </c>
    </row>
    <row r="219" ht="15.0" customHeight="1">
      <c r="A219" s="5" t="s">
        <v>282</v>
      </c>
      <c r="B219" s="5" t="s">
        <v>291</v>
      </c>
      <c r="C219" s="5" t="s">
        <v>294</v>
      </c>
      <c r="D219" s="10">
        <f t="shared" si="1"/>
        <v>0.7107373115</v>
      </c>
      <c r="E219" s="10">
        <f>'Precinct Vote Data'!H865</f>
        <v>0.7196391395</v>
      </c>
      <c r="F219" s="16">
        <f t="shared" si="2"/>
        <v>-0.8901827998</v>
      </c>
      <c r="G219" s="10">
        <f t="shared" si="3"/>
        <v>0.7300832342</v>
      </c>
      <c r="H219" s="16">
        <f t="shared" si="4"/>
        <v>1.044409476</v>
      </c>
      <c r="I219" s="5" t="b">
        <f t="shared" si="5"/>
        <v>1</v>
      </c>
      <c r="J219" s="5" t="b">
        <f t="shared" si="6"/>
        <v>1</v>
      </c>
      <c r="K219" s="15">
        <f t="shared" si="7"/>
        <v>0.6924713779</v>
      </c>
      <c r="L219" s="10">
        <f t="shared" si="8"/>
        <v>0.7168073394</v>
      </c>
      <c r="M219" s="10">
        <f>'Precinct Vote Data'!H862</f>
        <v>0.7765108324</v>
      </c>
      <c r="N219" s="10">
        <f>'Precinct Vote Data'!H863</f>
        <v>0.7649006623</v>
      </c>
      <c r="O219" s="10">
        <f>'Precinct Vote Data'!H864</f>
        <v>0.7300832342</v>
      </c>
      <c r="U219" s="16">
        <f t="shared" si="9"/>
        <v>-0.2831800114</v>
      </c>
      <c r="V219" s="5" t="b">
        <f t="shared" si="10"/>
        <v>1</v>
      </c>
      <c r="W219" s="5">
        <f t="shared" si="11"/>
        <v>0.8901827998</v>
      </c>
      <c r="X219" s="5">
        <f t="shared" si="12"/>
        <v>1.044409476</v>
      </c>
      <c r="Y219" s="5">
        <f t="shared" si="13"/>
        <v>0.2831800114</v>
      </c>
      <c r="Z219" s="10">
        <f>MIN(1,MAX(0,(5.3914776420524+0.021102849201698*'Precinct Vote Data'!I865*100+(-5.72594740176815)*1+0.927016741366831*(O219*100))/100))</f>
        <v>0.6819084845</v>
      </c>
      <c r="AA219" s="16">
        <f t="shared" si="14"/>
        <v>-3.773065496</v>
      </c>
      <c r="AB219" s="5" t="b">
        <f t="shared" si="15"/>
        <v>1</v>
      </c>
      <c r="AC219" s="5">
        <f t="shared" si="16"/>
        <v>3.773065496</v>
      </c>
    </row>
    <row r="220" ht="15.0" customHeight="1">
      <c r="A220" s="5" t="s">
        <v>282</v>
      </c>
      <c r="B220" s="5" t="s">
        <v>291</v>
      </c>
      <c r="C220" s="5" t="s">
        <v>295</v>
      </c>
      <c r="D220" s="10">
        <f t="shared" si="1"/>
        <v>0.6614359656</v>
      </c>
      <c r="E220" s="10">
        <f>'Precinct Vote Data'!H869</f>
        <v>0.6657859974</v>
      </c>
      <c r="F220" s="16">
        <f t="shared" si="2"/>
        <v>-0.4350031765</v>
      </c>
      <c r="G220" s="10">
        <f t="shared" si="3"/>
        <v>0.6773972603</v>
      </c>
      <c r="H220" s="16">
        <f t="shared" si="4"/>
        <v>1.161126292</v>
      </c>
      <c r="I220" s="5" t="b">
        <f t="shared" si="5"/>
        <v>1</v>
      </c>
      <c r="J220" s="5" t="b">
        <f t="shared" si="6"/>
        <v>1</v>
      </c>
      <c r="K220" s="15">
        <f t="shared" si="7"/>
        <v>0.6932376002</v>
      </c>
      <c r="L220" s="10">
        <f t="shared" si="8"/>
        <v>0.6641066756</v>
      </c>
      <c r="M220" s="10">
        <f>'Precinct Vote Data'!H866</f>
        <v>0.7073342736</v>
      </c>
      <c r="N220" s="10">
        <f>'Precinct Vote Data'!H867</f>
        <v>0.6893874029</v>
      </c>
      <c r="O220" s="10">
        <f>'Precinct Vote Data'!H868</f>
        <v>0.6773972603</v>
      </c>
      <c r="U220" s="16">
        <f t="shared" si="9"/>
        <v>-0.1679321786</v>
      </c>
      <c r="V220" s="5" t="b">
        <f t="shared" si="10"/>
        <v>1</v>
      </c>
      <c r="W220" s="5">
        <f t="shared" si="11"/>
        <v>0.4350031765</v>
      </c>
      <c r="X220" s="5">
        <f t="shared" si="12"/>
        <v>1.161126292</v>
      </c>
      <c r="Y220" s="5">
        <f t="shared" si="13"/>
        <v>0.1679321786</v>
      </c>
      <c r="Z220" s="10">
        <f>MIN(1,MAX(0,(5.3914776420524+0.021102849201698*'Precinct Vote Data'!I869*100+(-5.72594740176815)*1+0.927016741366831*(O220*100))/100))</f>
        <v>0.6309088831</v>
      </c>
      <c r="AA220" s="16">
        <f t="shared" si="14"/>
        <v>-3.487711421</v>
      </c>
      <c r="AB220" s="5" t="b">
        <f t="shared" si="15"/>
        <v>1</v>
      </c>
      <c r="AC220" s="5">
        <f t="shared" si="16"/>
        <v>3.487711421</v>
      </c>
    </row>
    <row r="221" ht="15.0" customHeight="1">
      <c r="A221" s="5" t="s">
        <v>282</v>
      </c>
      <c r="B221" s="5" t="s">
        <v>296</v>
      </c>
      <c r="C221" s="5" t="s">
        <v>59</v>
      </c>
      <c r="D221" s="10">
        <f t="shared" si="1"/>
        <v>0.6526352405</v>
      </c>
      <c r="E221" s="10">
        <f>'Precinct Vote Data'!H873</f>
        <v>0.6579634465</v>
      </c>
      <c r="F221" s="16">
        <f t="shared" si="2"/>
        <v>-0.5328206019</v>
      </c>
      <c r="G221" s="10">
        <f t="shared" si="3"/>
        <v>0.6578947368</v>
      </c>
      <c r="H221" s="16">
        <f t="shared" si="4"/>
        <v>-0.006870963309</v>
      </c>
      <c r="I221" s="5" t="b">
        <f t="shared" si="5"/>
        <v>1</v>
      </c>
      <c r="J221" s="5" t="b">
        <f t="shared" si="6"/>
        <v>1</v>
      </c>
      <c r="K221" s="15">
        <f t="shared" si="7"/>
        <v>0.7580203486</v>
      </c>
      <c r="L221" s="10">
        <f t="shared" si="8"/>
        <v>0.6433621529</v>
      </c>
      <c r="M221" s="10">
        <f>'Precinct Vote Data'!H870</f>
        <v>0.6314102564</v>
      </c>
      <c r="N221" s="10">
        <f>'Precinct Vote Data'!H871</f>
        <v>0.5891472868</v>
      </c>
      <c r="O221" s="10">
        <f>'Precinct Vote Data'!H872</f>
        <v>0.6578947368</v>
      </c>
      <c r="U221" s="16">
        <f t="shared" si="9"/>
        <v>-1.460129362</v>
      </c>
      <c r="V221" s="5" t="b">
        <f t="shared" si="10"/>
        <v>1</v>
      </c>
      <c r="W221" s="5">
        <f t="shared" si="11"/>
        <v>0.5328206019</v>
      </c>
      <c r="X221" s="5">
        <f t="shared" si="12"/>
        <v>0.006870963309</v>
      </c>
      <c r="Y221" s="5">
        <f t="shared" si="13"/>
        <v>1.460129362</v>
      </c>
      <c r="Z221" s="10">
        <f>MIN(1,MAX(0,(5.3914776420524+0.021102849201698*'Precinct Vote Data'!I873*100+(-5.72594740176815)*1+0.927016741366831*(O221*100))/100))</f>
        <v>0.6113651797</v>
      </c>
      <c r="AA221" s="16">
        <f t="shared" si="14"/>
        <v>-4.659826678</v>
      </c>
      <c r="AB221" s="5" t="b">
        <f t="shared" si="15"/>
        <v>1</v>
      </c>
      <c r="AC221" s="5">
        <f t="shared" si="16"/>
        <v>4.659826678</v>
      </c>
    </row>
    <row r="222" ht="15.0" customHeight="1">
      <c r="A222" s="5" t="s">
        <v>282</v>
      </c>
      <c r="B222" s="5" t="s">
        <v>297</v>
      </c>
      <c r="C222" s="5" t="s">
        <v>63</v>
      </c>
      <c r="D222" s="10">
        <f t="shared" si="1"/>
        <v>0.6893462551</v>
      </c>
      <c r="E222" s="10">
        <f>'Precinct Vote Data'!H877</f>
        <v>0.6778625954</v>
      </c>
      <c r="F222" s="16">
        <f t="shared" si="2"/>
        <v>1.14836597</v>
      </c>
      <c r="G222" s="10">
        <f t="shared" si="3"/>
        <v>0.6987341772</v>
      </c>
      <c r="H222" s="16">
        <f t="shared" si="4"/>
        <v>2.08715818</v>
      </c>
      <c r="I222" s="5" t="b">
        <f t="shared" si="5"/>
        <v>1</v>
      </c>
      <c r="J222" s="5" t="b">
        <f t="shared" si="6"/>
        <v>1</v>
      </c>
      <c r="K222" s="15">
        <f t="shared" si="7"/>
        <v>0.4679537334</v>
      </c>
      <c r="L222" s="10">
        <f t="shared" si="8"/>
        <v>0.6897626807</v>
      </c>
      <c r="M222" s="10">
        <f>'Precinct Vote Data'!H874</f>
        <v>0.7122093023</v>
      </c>
      <c r="N222" s="10">
        <f>'Precinct Vote Data'!H875</f>
        <v>0.6975206612</v>
      </c>
      <c r="O222" s="10">
        <f>'Precinct Vote Data'!H876</f>
        <v>0.6987341772</v>
      </c>
      <c r="U222" s="16">
        <f t="shared" si="9"/>
        <v>1.190008526</v>
      </c>
      <c r="V222" s="5" t="b">
        <f t="shared" si="10"/>
        <v>1</v>
      </c>
      <c r="W222" s="5">
        <f t="shared" si="11"/>
        <v>1.14836597</v>
      </c>
      <c r="X222" s="5">
        <f t="shared" si="12"/>
        <v>2.08715818</v>
      </c>
      <c r="Y222" s="5">
        <f t="shared" si="13"/>
        <v>1.190008526</v>
      </c>
      <c r="Z222" s="10">
        <f>MIN(1,MAX(0,(5.3914776420524+0.021102849201698*'Precinct Vote Data'!I877*100+(-5.72594740176815)*1+0.927016741366831*(O222*100))/100))</f>
        <v>0.6509650097</v>
      </c>
      <c r="AA222" s="16">
        <f t="shared" si="14"/>
        <v>-2.689758573</v>
      </c>
      <c r="AB222" s="5" t="b">
        <f t="shared" si="15"/>
        <v>1</v>
      </c>
      <c r="AC222" s="5">
        <f t="shared" si="16"/>
        <v>2.689758573</v>
      </c>
    </row>
    <row r="223" ht="15.0" customHeight="1">
      <c r="A223" s="5" t="s">
        <v>282</v>
      </c>
      <c r="B223" s="5" t="s">
        <v>297</v>
      </c>
      <c r="C223" s="5" t="s">
        <v>73</v>
      </c>
      <c r="D223" s="10">
        <f t="shared" si="1"/>
        <v>0.6738035541</v>
      </c>
      <c r="E223" s="10">
        <f>'Precinct Vote Data'!H881</f>
        <v>0.7246153846</v>
      </c>
      <c r="F223" s="16">
        <f t="shared" si="2"/>
        <v>-5.081183055</v>
      </c>
      <c r="G223" s="10">
        <f t="shared" si="3"/>
        <v>0.7257525084</v>
      </c>
      <c r="H223" s="16">
        <f t="shared" si="4"/>
        <v>0.1137123746</v>
      </c>
      <c r="I223" s="5" t="b">
        <f t="shared" si="5"/>
        <v>1</v>
      </c>
      <c r="J223" s="5" t="b">
        <f t="shared" si="6"/>
        <v>1</v>
      </c>
      <c r="K223" s="15">
        <f t="shared" si="7"/>
        <v>2.585803259</v>
      </c>
      <c r="L223" s="10">
        <f t="shared" si="8"/>
        <v>0.6761781096</v>
      </c>
      <c r="M223" s="10">
        <f>'Precinct Vote Data'!H878</f>
        <v>0.8005698006</v>
      </c>
      <c r="N223" s="10">
        <f>'Precinct Vote Data'!H879</f>
        <v>0.7195402299</v>
      </c>
      <c r="O223" s="10">
        <f>'Precinct Vote Data'!H880</f>
        <v>0.7257525084</v>
      </c>
      <c r="U223" s="16">
        <f t="shared" si="9"/>
        <v>-4.843727502</v>
      </c>
      <c r="V223" s="5" t="b">
        <f t="shared" si="10"/>
        <v>1</v>
      </c>
      <c r="W223" s="5">
        <f t="shared" si="11"/>
        <v>5.081183055</v>
      </c>
      <c r="X223" s="5">
        <f t="shared" si="12"/>
        <v>0.1137123746</v>
      </c>
      <c r="Y223" s="5">
        <f t="shared" si="13"/>
        <v>4.843727502</v>
      </c>
      <c r="Z223" s="10">
        <f>MIN(1,MAX(0,(5.3914776420524+0.021102849201698*'Precinct Vote Data'!I881*100+(-5.72594740176815)*1+0.927016741366831*(O223*100))/100))</f>
        <v>0.6756695888</v>
      </c>
      <c r="AA223" s="16">
        <f t="shared" si="14"/>
        <v>-4.894579579</v>
      </c>
      <c r="AB223" s="5" t="b">
        <f t="shared" si="15"/>
        <v>1</v>
      </c>
      <c r="AC223" s="5">
        <f t="shared" si="16"/>
        <v>4.894579579</v>
      </c>
    </row>
    <row r="224" ht="15.0" customHeight="1">
      <c r="A224" s="5" t="s">
        <v>282</v>
      </c>
      <c r="B224" s="5" t="s">
        <v>297</v>
      </c>
      <c r="C224" s="5" t="s">
        <v>74</v>
      </c>
      <c r="D224" s="10">
        <f t="shared" si="1"/>
        <v>0.5993168689</v>
      </c>
      <c r="E224" s="10">
        <f>'Precinct Vote Data'!H885</f>
        <v>0.6096654275</v>
      </c>
      <c r="F224" s="16">
        <f t="shared" si="2"/>
        <v>-1.034855865</v>
      </c>
      <c r="G224" s="10">
        <f t="shared" si="3"/>
        <v>0.6176470588</v>
      </c>
      <c r="H224" s="16">
        <f t="shared" si="4"/>
        <v>0.7981631314</v>
      </c>
      <c r="I224" s="5" t="b">
        <f t="shared" si="5"/>
        <v>1</v>
      </c>
      <c r="J224" s="5" t="b">
        <f t="shared" si="6"/>
        <v>1</v>
      </c>
      <c r="K224" s="15">
        <f t="shared" si="7"/>
        <v>0.8609596719</v>
      </c>
      <c r="L224" s="10">
        <f t="shared" si="8"/>
        <v>0.6011409469</v>
      </c>
      <c r="M224" s="10">
        <f>'Precinct Vote Data'!H882</f>
        <v>0.6475770925</v>
      </c>
      <c r="N224" s="10">
        <f>'Precinct Vote Data'!H883</f>
        <v>0.6225165563</v>
      </c>
      <c r="O224" s="10">
        <f>'Precinct Vote Data'!H884</f>
        <v>0.6176470588</v>
      </c>
      <c r="U224" s="16">
        <f t="shared" si="9"/>
        <v>-0.8524480647</v>
      </c>
      <c r="V224" s="5" t="b">
        <f t="shared" si="10"/>
        <v>1</v>
      </c>
      <c r="W224" s="5">
        <f t="shared" si="11"/>
        <v>1.034855865</v>
      </c>
      <c r="X224" s="5">
        <f t="shared" si="12"/>
        <v>0.7981631314</v>
      </c>
      <c r="Y224" s="5">
        <f t="shared" si="13"/>
        <v>0.8524480647</v>
      </c>
      <c r="Z224" s="10">
        <f>MIN(1,MAX(0,(5.3914776420524+0.021102849201698*'Precinct Vote Data'!I885*100+(-5.72594740176815)*1+0.927016741366831*(O224*100))/100))</f>
        <v>0.5748525961</v>
      </c>
      <c r="AA224" s="16">
        <f t="shared" si="14"/>
        <v>-3.481283144</v>
      </c>
      <c r="AB224" s="5" t="b">
        <f t="shared" si="15"/>
        <v>1</v>
      </c>
      <c r="AC224" s="5">
        <f t="shared" si="16"/>
        <v>3.481283144</v>
      </c>
    </row>
    <row r="225" ht="15.0" customHeight="1">
      <c r="A225" s="5" t="s">
        <v>282</v>
      </c>
      <c r="B225" s="5" t="s">
        <v>297</v>
      </c>
      <c r="C225" s="5" t="s">
        <v>76</v>
      </c>
      <c r="D225" s="10">
        <f t="shared" si="1"/>
        <v>0.5448397933</v>
      </c>
      <c r="E225" s="10">
        <f>'Precinct Vote Data'!H889</f>
        <v>0.5913669065</v>
      </c>
      <c r="F225" s="16">
        <f t="shared" si="2"/>
        <v>-4.652711322</v>
      </c>
      <c r="G225" s="10">
        <f t="shared" si="3"/>
        <v>0.5785440613</v>
      </c>
      <c r="H225" s="16">
        <f t="shared" si="4"/>
        <v>-1.282284517</v>
      </c>
      <c r="I225" s="5" t="b">
        <f t="shared" si="5"/>
        <v>1</v>
      </c>
      <c r="J225" s="5" t="b">
        <f t="shared" si="6"/>
        <v>1</v>
      </c>
      <c r="K225" s="15">
        <f t="shared" si="7"/>
        <v>1.516145104</v>
      </c>
      <c r="L225" s="10">
        <f t="shared" si="8"/>
        <v>0.5494768917</v>
      </c>
      <c r="M225" s="10">
        <f>'Precinct Vote Data'!H886</f>
        <v>0.6381709742</v>
      </c>
      <c r="N225" s="10">
        <f>'Precinct Vote Data'!H887</f>
        <v>0.5966850829</v>
      </c>
      <c r="O225" s="10">
        <f>'Precinct Vote Data'!H888</f>
        <v>0.5785440613</v>
      </c>
      <c r="U225" s="16">
        <f t="shared" si="9"/>
        <v>-4.189001482</v>
      </c>
      <c r="V225" s="5" t="b">
        <f t="shared" si="10"/>
        <v>1</v>
      </c>
      <c r="W225" s="5">
        <f t="shared" si="11"/>
        <v>4.652711322</v>
      </c>
      <c r="X225" s="5">
        <f t="shared" si="12"/>
        <v>1.282284517</v>
      </c>
      <c r="Y225" s="5">
        <f t="shared" si="13"/>
        <v>4.189001482</v>
      </c>
      <c r="Z225" s="10">
        <f>MIN(1,MAX(0,(5.3914776420524+0.021102849201698*'Precinct Vote Data'!I889*100+(-5.72594740176815)*1+0.927016741366831*(O225*100))/100))</f>
        <v>0.5366683315</v>
      </c>
      <c r="AA225" s="16">
        <f t="shared" si="14"/>
        <v>-5.469857502</v>
      </c>
      <c r="AB225" s="5" t="b">
        <f t="shared" si="15"/>
        <v>1</v>
      </c>
      <c r="AC225" s="5">
        <f t="shared" si="16"/>
        <v>5.469857502</v>
      </c>
    </row>
    <row r="226" ht="15.0" customHeight="1">
      <c r="A226" s="5" t="s">
        <v>282</v>
      </c>
      <c r="B226" s="5" t="s">
        <v>297</v>
      </c>
      <c r="C226" s="5" t="s">
        <v>78</v>
      </c>
      <c r="D226" s="10">
        <f t="shared" si="1"/>
        <v>0.586598593</v>
      </c>
      <c r="E226" s="10">
        <f>'Precinct Vote Data'!H893</f>
        <v>0.5524781341</v>
      </c>
      <c r="F226" s="16">
        <f t="shared" si="2"/>
        <v>3.412045891</v>
      </c>
      <c r="G226" s="10">
        <f t="shared" si="3"/>
        <v>0.6150341686</v>
      </c>
      <c r="H226" s="16">
        <f t="shared" si="4"/>
        <v>6.255603445</v>
      </c>
      <c r="I226" s="5" t="b">
        <f t="shared" si="5"/>
        <v>1</v>
      </c>
      <c r="J226" s="5" t="b">
        <f t="shared" si="6"/>
        <v>1</v>
      </c>
      <c r="K226" s="15">
        <f t="shared" si="7"/>
        <v>1.481623035</v>
      </c>
      <c r="L226" s="10">
        <f t="shared" si="8"/>
        <v>0.5866288477</v>
      </c>
      <c r="M226" s="10">
        <f>'Precinct Vote Data'!H890</f>
        <v>0.6514423077</v>
      </c>
      <c r="N226" s="10">
        <f>'Precinct Vote Data'!H891</f>
        <v>0.6025437202</v>
      </c>
      <c r="O226" s="10">
        <f>'Precinct Vote Data'!H892</f>
        <v>0.6150341686</v>
      </c>
      <c r="U226" s="16">
        <f t="shared" si="9"/>
        <v>3.415071364</v>
      </c>
      <c r="V226" s="5" t="b">
        <f t="shared" si="10"/>
        <v>1</v>
      </c>
      <c r="W226" s="5">
        <f t="shared" si="11"/>
        <v>3.412045891</v>
      </c>
      <c r="X226" s="5">
        <f t="shared" si="12"/>
        <v>6.255603445</v>
      </c>
      <c r="Y226" s="5">
        <f t="shared" si="13"/>
        <v>3.415071364</v>
      </c>
      <c r="Z226" s="10">
        <f>MIN(1,MAX(0,(5.3914776420524+0.021102849201698*'Precinct Vote Data'!I893*100+(-5.72594740176815)*1+0.927016741366831*(O226*100))/100))</f>
        <v>0.5705585803</v>
      </c>
      <c r="AA226" s="16">
        <f t="shared" si="14"/>
        <v>1.808044622</v>
      </c>
      <c r="AB226" s="5" t="b">
        <f t="shared" si="15"/>
        <v>1</v>
      </c>
      <c r="AC226" s="5">
        <f t="shared" si="16"/>
        <v>1.808044622</v>
      </c>
    </row>
    <row r="227" ht="15.0" customHeight="1">
      <c r="A227" s="5" t="s">
        <v>282</v>
      </c>
      <c r="B227" s="5" t="s">
        <v>297</v>
      </c>
      <c r="C227" s="5" t="s">
        <v>79</v>
      </c>
      <c r="D227" s="10">
        <f t="shared" si="1"/>
        <v>0.5670591678</v>
      </c>
      <c r="E227" s="10">
        <f>'Precinct Vote Data'!H897</f>
        <v>0.6089918256</v>
      </c>
      <c r="F227" s="16">
        <f t="shared" si="2"/>
        <v>-4.19326578</v>
      </c>
      <c r="G227" s="10">
        <f t="shared" si="3"/>
        <v>0.5940594059</v>
      </c>
      <c r="H227" s="16">
        <f t="shared" si="4"/>
        <v>-1.493241967</v>
      </c>
      <c r="I227" s="5" t="b">
        <f t="shared" si="5"/>
        <v>1</v>
      </c>
      <c r="J227" s="5" t="b">
        <f t="shared" si="6"/>
        <v>1</v>
      </c>
      <c r="K227" s="15">
        <f t="shared" si="7"/>
        <v>1.249106507</v>
      </c>
      <c r="L227" s="10">
        <f t="shared" si="8"/>
        <v>0.5701118361</v>
      </c>
      <c r="M227" s="10">
        <f>'Precinct Vote Data'!H894</f>
        <v>0.6394557823</v>
      </c>
      <c r="N227" s="10">
        <f>'Precinct Vote Data'!H895</f>
        <v>0.6038514443</v>
      </c>
      <c r="O227" s="10">
        <f>'Precinct Vote Data'!H896</f>
        <v>0.5940594059</v>
      </c>
      <c r="U227" s="16">
        <f t="shared" si="9"/>
        <v>-3.88799895</v>
      </c>
      <c r="V227" s="5" t="b">
        <f t="shared" si="10"/>
        <v>1</v>
      </c>
      <c r="W227" s="5">
        <f t="shared" si="11"/>
        <v>4.19326578</v>
      </c>
      <c r="X227" s="5">
        <f t="shared" si="12"/>
        <v>1.493241967</v>
      </c>
      <c r="Y227" s="5">
        <f t="shared" si="13"/>
        <v>3.88799895</v>
      </c>
      <c r="Z227" s="10">
        <f>MIN(1,MAX(0,(5.3914776420524+0.021102849201698*'Precinct Vote Data'!I897*100+(-5.72594740176815)*1+0.927016741366831*(O227*100))/100))</f>
        <v>0.5508951546</v>
      </c>
      <c r="AA227" s="16">
        <f t="shared" si="14"/>
        <v>-5.809667101</v>
      </c>
      <c r="AB227" s="5" t="b">
        <f t="shared" si="15"/>
        <v>1</v>
      </c>
      <c r="AC227" s="5">
        <f t="shared" si="16"/>
        <v>5.809667101</v>
      </c>
    </row>
    <row r="228" ht="15.0" customHeight="1">
      <c r="A228" s="5" t="s">
        <v>282</v>
      </c>
      <c r="B228" s="5" t="s">
        <v>298</v>
      </c>
      <c r="C228" s="5" t="s">
        <v>87</v>
      </c>
      <c r="D228" s="10">
        <f t="shared" si="1"/>
        <v>0.2868696928</v>
      </c>
      <c r="E228" s="10">
        <f>'Precinct Vote Data'!H901</f>
        <v>0.2952978056</v>
      </c>
      <c r="F228" s="16">
        <f t="shared" si="2"/>
        <v>-0.8428112881</v>
      </c>
      <c r="G228" s="10">
        <f t="shared" si="3"/>
        <v>0.3046413502</v>
      </c>
      <c r="H228" s="16">
        <f t="shared" si="4"/>
        <v>0.9343544568</v>
      </c>
      <c r="I228" s="5" t="b">
        <f t="shared" si="5"/>
        <v>1</v>
      </c>
      <c r="J228" s="5" t="b">
        <f t="shared" si="6"/>
        <v>1</v>
      </c>
      <c r="K228" s="15">
        <f t="shared" si="7"/>
        <v>0.6981233213</v>
      </c>
      <c r="L228" s="10">
        <f t="shared" si="8"/>
        <v>0.2912570976</v>
      </c>
      <c r="M228" s="10">
        <f>'Precinct Vote Data'!H898</f>
        <v>0.343035343</v>
      </c>
      <c r="N228" s="10">
        <f>'Precinct Vote Data'!H899</f>
        <v>0.3281143635</v>
      </c>
      <c r="O228" s="10">
        <f>'Precinct Vote Data'!H900</f>
        <v>0.3046413502</v>
      </c>
      <c r="U228" s="16">
        <f t="shared" si="9"/>
        <v>-0.4040708005</v>
      </c>
      <c r="V228" s="5" t="b">
        <f t="shared" si="10"/>
        <v>1</v>
      </c>
      <c r="W228" s="5">
        <f t="shared" si="11"/>
        <v>0.8428112881</v>
      </c>
      <c r="X228" s="5">
        <f t="shared" si="12"/>
        <v>0.9343544568</v>
      </c>
      <c r="Y228" s="5">
        <f t="shared" si="13"/>
        <v>0.4040708005</v>
      </c>
      <c r="Z228" s="10">
        <f>MIN(1,MAX(0,(5.3914776420524+0.021102849201698*'Precinct Vote Data'!I901*100+(-5.72594740176815)*1+0.927016741366831*(O228*100))/100))</f>
        <v>0.2733525032</v>
      </c>
      <c r="AA228" s="16">
        <f t="shared" si="14"/>
        <v>-2.194530248</v>
      </c>
      <c r="AB228" s="5" t="b">
        <f t="shared" si="15"/>
        <v>1</v>
      </c>
      <c r="AC228" s="5">
        <f t="shared" si="16"/>
        <v>2.194530248</v>
      </c>
    </row>
    <row r="229" ht="15.0" customHeight="1">
      <c r="A229" s="5" t="s">
        <v>282</v>
      </c>
      <c r="B229" s="5" t="s">
        <v>299</v>
      </c>
      <c r="C229" s="5" t="s">
        <v>88</v>
      </c>
      <c r="D229" s="10">
        <f t="shared" si="1"/>
        <v>0.496782391</v>
      </c>
      <c r="E229" s="10">
        <f>'Precinct Vote Data'!H905</f>
        <v>0.4717236708</v>
      </c>
      <c r="F229" s="16">
        <f t="shared" si="2"/>
        <v>2.505872011</v>
      </c>
      <c r="G229" s="10">
        <f t="shared" si="3"/>
        <v>0.4894784995</v>
      </c>
      <c r="H229" s="16">
        <f t="shared" si="4"/>
        <v>1.77548287</v>
      </c>
      <c r="I229" s="5" t="b">
        <f t="shared" si="5"/>
        <v>1</v>
      </c>
      <c r="J229" s="5" t="b">
        <f t="shared" si="6"/>
        <v>1</v>
      </c>
      <c r="K229" s="15">
        <f t="shared" si="7"/>
        <v>-0.02046792211</v>
      </c>
      <c r="L229" s="10">
        <f t="shared" si="8"/>
        <v>0.4898709056</v>
      </c>
      <c r="M229" s="10">
        <f>'Precinct Vote Data'!H902</f>
        <v>0.4554108216</v>
      </c>
      <c r="N229" s="10">
        <f>'Precinct Vote Data'!H903</f>
        <v>0.443254818</v>
      </c>
      <c r="O229" s="10">
        <f>'Precinct Vote Data'!H904</f>
        <v>0.4894784995</v>
      </c>
      <c r="U229" s="16">
        <f t="shared" si="9"/>
        <v>1.814723478</v>
      </c>
      <c r="V229" s="5" t="b">
        <f t="shared" si="10"/>
        <v>1</v>
      </c>
      <c r="W229" s="5">
        <f t="shared" si="11"/>
        <v>2.505872011</v>
      </c>
      <c r="X229" s="5">
        <f t="shared" si="12"/>
        <v>1.77548287</v>
      </c>
      <c r="Y229" s="5">
        <f t="shared" si="13"/>
        <v>1.814723478</v>
      </c>
      <c r="Z229" s="10">
        <f>MIN(1,MAX(0,(5.3914776420524+0.021102849201698*'Precinct Vote Data'!I905*100+(-5.72594740176815)*1+0.927016741366831*(O229*100))/100))</f>
        <v>0.448639537</v>
      </c>
      <c r="AA229" s="16">
        <f t="shared" si="14"/>
        <v>-2.308413387</v>
      </c>
      <c r="AB229" s="5" t="b">
        <f t="shared" si="15"/>
        <v>1</v>
      </c>
      <c r="AC229" s="5">
        <f t="shared" si="16"/>
        <v>2.308413387</v>
      </c>
    </row>
    <row r="230" ht="15.0" customHeight="1">
      <c r="A230" s="5" t="s">
        <v>282</v>
      </c>
      <c r="B230" s="5" t="s">
        <v>299</v>
      </c>
      <c r="C230" s="5" t="s">
        <v>89</v>
      </c>
      <c r="D230" s="10">
        <f t="shared" si="1"/>
        <v>0.4259891638</v>
      </c>
      <c r="E230" s="10">
        <f>'Precinct Vote Data'!H909</f>
        <v>0.4398554466</v>
      </c>
      <c r="F230" s="16">
        <f t="shared" si="2"/>
        <v>-1.386628276</v>
      </c>
      <c r="G230" s="10">
        <f t="shared" si="3"/>
        <v>0.4398368457</v>
      </c>
      <c r="H230" s="16">
        <f t="shared" si="4"/>
        <v>-0.001860088365</v>
      </c>
      <c r="I230" s="5" t="b">
        <f t="shared" si="5"/>
        <v>1</v>
      </c>
      <c r="J230" s="5" t="b">
        <f t="shared" si="6"/>
        <v>1</v>
      </c>
      <c r="K230" s="15">
        <f t="shared" si="7"/>
        <v>0.6781214236</v>
      </c>
      <c r="L230" s="10">
        <f t="shared" si="8"/>
        <v>0.4268360647</v>
      </c>
      <c r="M230" s="10">
        <f>'Precinct Vote Data'!H906</f>
        <v>0.4605462822</v>
      </c>
      <c r="N230" s="10">
        <f>'Precinct Vote Data'!H907</f>
        <v>0.4397126732</v>
      </c>
      <c r="O230" s="10">
        <f>'Precinct Vote Data'!H908</f>
        <v>0.4398368457</v>
      </c>
      <c r="U230" s="16">
        <f t="shared" si="9"/>
        <v>-1.301938188</v>
      </c>
      <c r="V230" s="5" t="b">
        <f t="shared" si="10"/>
        <v>1</v>
      </c>
      <c r="W230" s="5">
        <f t="shared" si="11"/>
        <v>1.386628276</v>
      </c>
      <c r="X230" s="5">
        <f t="shared" si="12"/>
        <v>0.001860088365</v>
      </c>
      <c r="Y230" s="5">
        <f t="shared" si="13"/>
        <v>1.301938188</v>
      </c>
      <c r="Z230" s="10">
        <f>MIN(1,MAX(0,(5.3914776420524+0.021102849201698*'Precinct Vote Data'!I909*100+(-5.72594740176815)*1+0.927016741366831*(O230*100))/100))</f>
        <v>0.4017577862</v>
      </c>
      <c r="AA230" s="16">
        <f t="shared" si="14"/>
        <v>-3.809766033</v>
      </c>
      <c r="AB230" s="5" t="b">
        <f t="shared" si="15"/>
        <v>1</v>
      </c>
      <c r="AC230" s="5">
        <f t="shared" si="16"/>
        <v>3.809766033</v>
      </c>
    </row>
    <row r="231" ht="15.0" customHeight="1">
      <c r="A231" s="5" t="s">
        <v>282</v>
      </c>
      <c r="B231" s="5" t="s">
        <v>300</v>
      </c>
      <c r="C231" s="5" t="s">
        <v>91</v>
      </c>
      <c r="D231" s="10">
        <f t="shared" si="1"/>
        <v>0.4667529355</v>
      </c>
      <c r="E231" s="10">
        <f>'Precinct Vote Data'!H913</f>
        <v>0.4784090909</v>
      </c>
      <c r="F231" s="16">
        <f t="shared" si="2"/>
        <v>-1.16561554</v>
      </c>
      <c r="G231" s="10">
        <f t="shared" si="3"/>
        <v>0.4775193798</v>
      </c>
      <c r="H231" s="16">
        <f t="shared" si="4"/>
        <v>-0.08897110641</v>
      </c>
      <c r="I231" s="5" t="b">
        <f t="shared" si="5"/>
        <v>1</v>
      </c>
      <c r="J231" s="5" t="b">
        <f t="shared" si="6"/>
        <v>1</v>
      </c>
      <c r="K231" s="15">
        <f t="shared" si="7"/>
        <v>0.3208984882</v>
      </c>
      <c r="L231" s="10">
        <f t="shared" si="8"/>
        <v>0.4713671911</v>
      </c>
      <c r="M231" s="10">
        <f>'Precinct Vote Data'!H910</f>
        <v>0.5077829196</v>
      </c>
      <c r="N231" s="10">
        <f>'Precinct Vote Data'!H911</f>
        <v>0.5057471264</v>
      </c>
      <c r="O231" s="10">
        <f>'Precinct Vote Data'!H912</f>
        <v>0.4775193798</v>
      </c>
      <c r="U231" s="16">
        <f t="shared" si="9"/>
        <v>-0.7041899776</v>
      </c>
      <c r="V231" s="5" t="b">
        <f t="shared" si="10"/>
        <v>1</v>
      </c>
      <c r="W231" s="5">
        <f t="shared" si="11"/>
        <v>1.16561554</v>
      </c>
      <c r="X231" s="5">
        <f t="shared" si="12"/>
        <v>0.08897110641</v>
      </c>
      <c r="Y231" s="5">
        <f t="shared" si="13"/>
        <v>0.7041899776</v>
      </c>
      <c r="Z231" s="10">
        <f>MIN(1,MAX(0,(5.3914776420524+0.021102849201698*'Precinct Vote Data'!I913*100+(-5.72594740176815)*1+0.927016741366831*(O231*100))/100))</f>
        <v>0.4385302947</v>
      </c>
      <c r="AA231" s="16">
        <f t="shared" si="14"/>
        <v>-3.987879619</v>
      </c>
      <c r="AB231" s="5" t="b">
        <f t="shared" si="15"/>
        <v>1</v>
      </c>
      <c r="AC231" s="5">
        <f t="shared" si="16"/>
        <v>3.987879619</v>
      </c>
    </row>
    <row r="232" ht="15.0" customHeight="1">
      <c r="A232" s="5" t="s">
        <v>282</v>
      </c>
      <c r="B232" s="5" t="s">
        <v>301</v>
      </c>
      <c r="C232" s="5" t="s">
        <v>302</v>
      </c>
      <c r="D232" s="10">
        <f t="shared" si="1"/>
        <v>0.6101775502</v>
      </c>
      <c r="E232" s="10">
        <f>'Precinct Vote Data'!H917</f>
        <v>0.5702623907</v>
      </c>
      <c r="F232" s="16">
        <f t="shared" si="2"/>
        <v>3.991515951</v>
      </c>
      <c r="G232" s="10">
        <f t="shared" si="3"/>
        <v>0.6146322379</v>
      </c>
      <c r="H232" s="16">
        <f t="shared" si="4"/>
        <v>4.43698472</v>
      </c>
      <c r="I232" s="5" t="b">
        <f t="shared" si="5"/>
        <v>1</v>
      </c>
      <c r="J232" s="5" t="b">
        <f t="shared" si="6"/>
        <v>1</v>
      </c>
      <c r="K232" s="15">
        <f t="shared" si="7"/>
        <v>0.02829144008</v>
      </c>
      <c r="L232" s="10">
        <f t="shared" si="8"/>
        <v>0.6140898412</v>
      </c>
      <c r="M232" s="10">
        <f>'Precinct Vote Data'!H914</f>
        <v>0.6343253159</v>
      </c>
      <c r="N232" s="10">
        <f>'Precinct Vote Data'!H915</f>
        <v>0.6406543309</v>
      </c>
      <c r="O232" s="10">
        <f>'Precinct Vote Data'!H916</f>
        <v>0.6146322379</v>
      </c>
      <c r="U232" s="16">
        <f t="shared" si="9"/>
        <v>4.382745051</v>
      </c>
      <c r="V232" s="5" t="b">
        <f t="shared" si="10"/>
        <v>1</v>
      </c>
      <c r="W232" s="5">
        <f t="shared" si="11"/>
        <v>3.991515951</v>
      </c>
      <c r="X232" s="5">
        <f t="shared" si="12"/>
        <v>4.43698472</v>
      </c>
      <c r="Y232" s="5">
        <f t="shared" si="13"/>
        <v>4.382745051</v>
      </c>
      <c r="Z232" s="10">
        <f>MIN(1,MAX(0,(5.3914776420524+0.021102849201698*'Precinct Vote Data'!I917*100+(-5.72594740176815)*1+0.927016741366831*(O232*100))/100))</f>
        <v>0.5698926542</v>
      </c>
      <c r="AA232" s="16">
        <f t="shared" si="14"/>
        <v>-0.03697364229</v>
      </c>
      <c r="AB232" s="5" t="b">
        <f t="shared" si="15"/>
        <v>1</v>
      </c>
      <c r="AC232" s="5">
        <f t="shared" si="16"/>
        <v>0.03697364229</v>
      </c>
    </row>
    <row r="233" ht="15.0" customHeight="1">
      <c r="A233" s="5" t="s">
        <v>282</v>
      </c>
      <c r="B233" s="5" t="s">
        <v>303</v>
      </c>
      <c r="C233" s="5" t="s">
        <v>94</v>
      </c>
      <c r="D233" s="10">
        <f t="shared" si="1"/>
        <v>0.6371139012</v>
      </c>
      <c r="E233" s="10">
        <f>'Precinct Vote Data'!H921</f>
        <v>0.5936777178</v>
      </c>
      <c r="F233" s="16">
        <f t="shared" si="2"/>
        <v>4.343618344</v>
      </c>
      <c r="G233" s="10">
        <f t="shared" si="3"/>
        <v>0.6184062851</v>
      </c>
      <c r="H233" s="16">
        <f t="shared" si="4"/>
        <v>2.472856726</v>
      </c>
      <c r="I233" s="5" t="b">
        <f t="shared" si="5"/>
        <v>1</v>
      </c>
      <c r="J233" s="5" t="b">
        <f t="shared" si="6"/>
        <v>1</v>
      </c>
      <c r="K233" s="15">
        <f t="shared" si="7"/>
        <v>-1.161294042</v>
      </c>
      <c r="L233" s="10">
        <f t="shared" si="8"/>
        <v>0.6406703354</v>
      </c>
      <c r="M233" s="10">
        <f>'Precinct Vote Data'!H918</f>
        <v>0.6072572038</v>
      </c>
      <c r="N233" s="10">
        <f>'Precinct Vote Data'!H919</f>
        <v>0.6522309711</v>
      </c>
      <c r="O233" s="10">
        <f>'Precinct Vote Data'!H920</f>
        <v>0.6184062851</v>
      </c>
      <c r="U233" s="16">
        <f t="shared" si="9"/>
        <v>4.69926176</v>
      </c>
      <c r="V233" s="5" t="b">
        <f t="shared" si="10"/>
        <v>1</v>
      </c>
      <c r="W233" s="5">
        <f t="shared" si="11"/>
        <v>4.343618344</v>
      </c>
      <c r="X233" s="5">
        <f t="shared" si="12"/>
        <v>2.472856726</v>
      </c>
      <c r="Y233" s="5">
        <f t="shared" si="13"/>
        <v>4.69926176</v>
      </c>
      <c r="Z233" s="10">
        <f>MIN(1,MAX(0,(5.3914776420524+0.021102849201698*'Precinct Vote Data'!I921*100+(-5.72594740176815)*1+0.927016741366831*(O233*100))/100))</f>
        <v>0.5736086185</v>
      </c>
      <c r="AA233" s="16">
        <f t="shared" si="14"/>
        <v>-2.006909928</v>
      </c>
      <c r="AB233" s="5" t="b">
        <f t="shared" si="15"/>
        <v>1</v>
      </c>
      <c r="AC233" s="5">
        <f t="shared" si="16"/>
        <v>2.006909928</v>
      </c>
    </row>
    <row r="234" ht="15.0" customHeight="1">
      <c r="A234" s="5" t="s">
        <v>282</v>
      </c>
      <c r="B234" s="5" t="s">
        <v>304</v>
      </c>
      <c r="C234" s="5" t="s">
        <v>95</v>
      </c>
      <c r="D234" s="10">
        <f t="shared" si="1"/>
        <v>0.4574336163</v>
      </c>
      <c r="E234" s="10">
        <f>'Precinct Vote Data'!H925</f>
        <v>0.4600116754</v>
      </c>
      <c r="F234" s="16">
        <f t="shared" si="2"/>
        <v>-0.2578059089</v>
      </c>
      <c r="G234" s="10">
        <f t="shared" si="3"/>
        <v>0.4718309859</v>
      </c>
      <c r="H234" s="16">
        <f t="shared" si="4"/>
        <v>1.181931049</v>
      </c>
      <c r="I234" s="5" t="b">
        <f t="shared" si="5"/>
        <v>1</v>
      </c>
      <c r="J234" s="5" t="b">
        <f t="shared" si="6"/>
        <v>1</v>
      </c>
      <c r="K234" s="15">
        <f t="shared" si="7"/>
        <v>0.6999281282</v>
      </c>
      <c r="L234" s="10">
        <f t="shared" si="8"/>
        <v>0.458412132</v>
      </c>
      <c r="M234" s="10">
        <f>'Precinct Vote Data'!H922</f>
        <v>0.4937133277</v>
      </c>
      <c r="N234" s="10">
        <f>'Precinct Vote Data'!H923</f>
        <v>0.4724035608</v>
      </c>
      <c r="O234" s="10">
        <f>'Precinct Vote Data'!H924</f>
        <v>0.4718309859</v>
      </c>
      <c r="U234" s="16">
        <f t="shared" si="9"/>
        <v>-0.1599543404</v>
      </c>
      <c r="V234" s="5" t="b">
        <f t="shared" si="10"/>
        <v>1</v>
      </c>
      <c r="W234" s="5">
        <f t="shared" si="11"/>
        <v>0.2578059089</v>
      </c>
      <c r="X234" s="5">
        <f t="shared" si="12"/>
        <v>1.181931049</v>
      </c>
      <c r="Y234" s="5">
        <f t="shared" si="13"/>
        <v>0.1599543404</v>
      </c>
      <c r="Z234" s="10">
        <f>MIN(1,MAX(0,(5.3914776420524+0.021102849201698*'Precinct Vote Data'!I925*100+(-5.72594740176815)*1+0.927016741366831*(O234*100))/100))</f>
        <v>0.4326830608</v>
      </c>
      <c r="AA234" s="16">
        <f t="shared" si="14"/>
        <v>-2.732861461</v>
      </c>
      <c r="AB234" s="5" t="b">
        <f t="shared" si="15"/>
        <v>1</v>
      </c>
      <c r="AC234" s="5">
        <f t="shared" si="16"/>
        <v>2.732861461</v>
      </c>
    </row>
    <row r="235" ht="15.0" customHeight="1">
      <c r="A235" s="5" t="s">
        <v>282</v>
      </c>
      <c r="B235" s="5" t="s">
        <v>305</v>
      </c>
      <c r="C235" s="5" t="s">
        <v>306</v>
      </c>
      <c r="D235" s="10">
        <f t="shared" si="1"/>
        <v>0.5041207451</v>
      </c>
      <c r="E235" s="10">
        <f>'Precinct Vote Data'!H929</f>
        <v>0.5130353818</v>
      </c>
      <c r="F235" s="16">
        <f t="shared" si="2"/>
        <v>-0.8914636647</v>
      </c>
      <c r="G235" s="10">
        <f t="shared" si="3"/>
        <v>0.5068322981</v>
      </c>
      <c r="H235" s="16">
        <f t="shared" si="4"/>
        <v>-0.6203083614</v>
      </c>
      <c r="I235" s="5" t="b">
        <f t="shared" si="5"/>
        <v>1</v>
      </c>
      <c r="J235" s="5" t="b">
        <f t="shared" si="6"/>
        <v>1</v>
      </c>
      <c r="K235" s="15">
        <f t="shared" si="7"/>
        <v>0.1056243648</v>
      </c>
      <c r="L235" s="10">
        <f t="shared" si="8"/>
        <v>0.5048072932</v>
      </c>
      <c r="M235" s="10">
        <f>'Precinct Vote Data'!H926</f>
        <v>0.5127516779</v>
      </c>
      <c r="N235" s="10">
        <f>'Precinct Vote Data'!H927</f>
        <v>0.5105363985</v>
      </c>
      <c r="O235" s="10">
        <f>'Precinct Vote Data'!H928</f>
        <v>0.5068322981</v>
      </c>
      <c r="U235" s="16">
        <f t="shared" si="9"/>
        <v>-0.8228088556</v>
      </c>
      <c r="V235" s="5" t="b">
        <f t="shared" si="10"/>
        <v>1</v>
      </c>
      <c r="W235" s="5">
        <f t="shared" si="11"/>
        <v>0.8914636647</v>
      </c>
      <c r="X235" s="5">
        <f t="shared" si="12"/>
        <v>0.6203083614</v>
      </c>
      <c r="Y235" s="5">
        <f t="shared" si="13"/>
        <v>0.8228088556</v>
      </c>
      <c r="Z235" s="10">
        <f>MIN(1,MAX(0,(5.3914776420524+0.021102849201698*'Precinct Vote Data'!I929*100+(-5.72594740176815)*1+0.927016741366831*(O235*100))/100))</f>
        <v>0.4653767665</v>
      </c>
      <c r="AA235" s="16">
        <f t="shared" si="14"/>
        <v>-4.76586152</v>
      </c>
      <c r="AB235" s="5" t="b">
        <f t="shared" si="15"/>
        <v>0</v>
      </c>
      <c r="AC235" s="5">
        <f t="shared" si="16"/>
        <v>4.76586152</v>
      </c>
    </row>
    <row r="236" ht="15.0" customHeight="1">
      <c r="A236" s="5" t="s">
        <v>282</v>
      </c>
      <c r="B236" s="5" t="s">
        <v>305</v>
      </c>
      <c r="C236" s="5" t="s">
        <v>307</v>
      </c>
      <c r="D236" s="10">
        <f t="shared" si="1"/>
        <v>0.52071148</v>
      </c>
      <c r="E236" s="10">
        <f>'Precinct Vote Data'!H933</f>
        <v>0.5361189802</v>
      </c>
      <c r="F236" s="16">
        <f t="shared" si="2"/>
        <v>-1.540750018</v>
      </c>
      <c r="G236" s="10">
        <f t="shared" si="3"/>
        <v>0.5294715447</v>
      </c>
      <c r="H236" s="16">
        <f t="shared" si="4"/>
        <v>-0.6647435455</v>
      </c>
      <c r="I236" s="5" t="b">
        <f t="shared" si="5"/>
        <v>1</v>
      </c>
      <c r="J236" s="5" t="b">
        <f t="shared" si="6"/>
        <v>1</v>
      </c>
      <c r="K236" s="15">
        <f t="shared" si="7"/>
        <v>0.2962088701</v>
      </c>
      <c r="L236" s="10">
        <f t="shared" si="8"/>
        <v>0.5237926994</v>
      </c>
      <c r="M236" s="10">
        <f>'Precinct Vote Data'!H930</f>
        <v>0.5516853933</v>
      </c>
      <c r="N236" s="10">
        <f>'Precinct Vote Data'!H931</f>
        <v>0.5476190476</v>
      </c>
      <c r="O236" s="10">
        <f>'Precinct Vote Data'!H932</f>
        <v>0.5294715447</v>
      </c>
      <c r="U236" s="16">
        <f t="shared" si="9"/>
        <v>-1.232628074</v>
      </c>
      <c r="V236" s="5" t="b">
        <f t="shared" si="10"/>
        <v>1</v>
      </c>
      <c r="W236" s="5">
        <f t="shared" si="11"/>
        <v>1.540750018</v>
      </c>
      <c r="X236" s="5">
        <f t="shared" si="12"/>
        <v>0.6647435455</v>
      </c>
      <c r="Y236" s="5">
        <f t="shared" si="13"/>
        <v>1.232628074</v>
      </c>
      <c r="Z236" s="10">
        <f>MIN(1,MAX(0,(5.3914776420524+0.021102849201698*'Precinct Vote Data'!I933*100+(-5.72594740176815)*1+0.927016741366831*(O236*100))/100))</f>
        <v>0.4885985189</v>
      </c>
      <c r="AA236" s="16">
        <f t="shared" si="14"/>
        <v>-4.75204613</v>
      </c>
      <c r="AB236" s="5" t="b">
        <f t="shared" si="15"/>
        <v>0</v>
      </c>
      <c r="AC236" s="5">
        <f t="shared" si="16"/>
        <v>4.75204613</v>
      </c>
    </row>
    <row r="237" ht="15.0" customHeight="1">
      <c r="A237" s="5" t="s">
        <v>282</v>
      </c>
      <c r="B237" s="5" t="s">
        <v>305</v>
      </c>
      <c r="C237" s="5" t="s">
        <v>308</v>
      </c>
      <c r="D237" s="10">
        <f t="shared" si="1"/>
        <v>0.5272260743</v>
      </c>
      <c r="E237" s="10">
        <f>'Precinct Vote Data'!H937</f>
        <v>0.51062417</v>
      </c>
      <c r="F237" s="16">
        <f t="shared" si="2"/>
        <v>1.66019043</v>
      </c>
      <c r="G237" s="10">
        <f t="shared" si="3"/>
        <v>0.5378151261</v>
      </c>
      <c r="H237" s="16">
        <f t="shared" si="4"/>
        <v>2.719095606</v>
      </c>
      <c r="I237" s="5" t="b">
        <f t="shared" si="5"/>
        <v>1</v>
      </c>
      <c r="J237" s="5" t="b">
        <f t="shared" si="6"/>
        <v>1</v>
      </c>
      <c r="K237" s="15">
        <f t="shared" si="7"/>
        <v>0.5650593399</v>
      </c>
      <c r="L237" s="10">
        <f t="shared" si="8"/>
        <v>0.5269819442</v>
      </c>
      <c r="M237" s="10">
        <f>'Precinct Vote Data'!H934</f>
        <v>0.5504587156</v>
      </c>
      <c r="N237" s="10">
        <f>'Precinct Vote Data'!H935</f>
        <v>0.5313351499</v>
      </c>
      <c r="O237" s="10">
        <f>'Precinct Vote Data'!H936</f>
        <v>0.5378151261</v>
      </c>
      <c r="U237" s="16">
        <f t="shared" si="9"/>
        <v>1.635777417</v>
      </c>
      <c r="V237" s="5" t="b">
        <f t="shared" si="10"/>
        <v>1</v>
      </c>
      <c r="W237" s="5">
        <f t="shared" si="11"/>
        <v>1.66019043</v>
      </c>
      <c r="X237" s="5">
        <f t="shared" si="12"/>
        <v>2.719095606</v>
      </c>
      <c r="Y237" s="5">
        <f t="shared" si="13"/>
        <v>1.635777417</v>
      </c>
      <c r="Z237" s="10">
        <f>MIN(1,MAX(0,(5.3914776420524+0.021102849201698*'Precinct Vote Data'!I937*100+(-5.72594740176815)*1+0.927016741366831*(O237*100))/100))</f>
        <v>0.4962677396</v>
      </c>
      <c r="AA237" s="16">
        <f t="shared" si="14"/>
        <v>-1.435643037</v>
      </c>
      <c r="AB237" s="5" t="b">
        <f t="shared" si="15"/>
        <v>0</v>
      </c>
      <c r="AC237" s="5">
        <f t="shared" si="16"/>
        <v>1.435643037</v>
      </c>
    </row>
    <row r="238" ht="15.0" customHeight="1">
      <c r="A238" s="5" t="s">
        <v>282</v>
      </c>
      <c r="B238" s="5" t="s">
        <v>305</v>
      </c>
      <c r="C238" s="5" t="s">
        <v>309</v>
      </c>
      <c r="D238" s="10">
        <f t="shared" si="1"/>
        <v>0.5607270522</v>
      </c>
      <c r="E238" s="10">
        <f>'Precinct Vote Data'!H941</f>
        <v>0.5321667524</v>
      </c>
      <c r="F238" s="16">
        <f t="shared" si="2"/>
        <v>2.856029974</v>
      </c>
      <c r="G238" s="10">
        <f t="shared" si="3"/>
        <v>0.5492647059</v>
      </c>
      <c r="H238" s="16">
        <f t="shared" si="4"/>
        <v>1.709795344</v>
      </c>
      <c r="I238" s="5" t="b">
        <f t="shared" si="5"/>
        <v>1</v>
      </c>
      <c r="J238" s="5" t="b">
        <f t="shared" si="6"/>
        <v>1</v>
      </c>
      <c r="K238" s="15">
        <f t="shared" si="7"/>
        <v>-0.5119655327</v>
      </c>
      <c r="L238" s="10">
        <f t="shared" si="8"/>
        <v>0.5590799861</v>
      </c>
      <c r="M238" s="10">
        <f>'Precinct Vote Data'!H938</f>
        <v>0.5287356322</v>
      </c>
      <c r="N238" s="10">
        <f>'Precinct Vote Data'!H939</f>
        <v>0.5425935974</v>
      </c>
      <c r="O238" s="10">
        <f>'Precinct Vote Data'!H940</f>
        <v>0.5492647059</v>
      </c>
      <c r="U238" s="16">
        <f t="shared" si="9"/>
        <v>2.691323362</v>
      </c>
      <c r="V238" s="5" t="b">
        <f t="shared" si="10"/>
        <v>1</v>
      </c>
      <c r="W238" s="5">
        <f t="shared" si="11"/>
        <v>2.856029974</v>
      </c>
      <c r="X238" s="5">
        <f t="shared" si="12"/>
        <v>1.709795344</v>
      </c>
      <c r="Y238" s="5">
        <f t="shared" si="13"/>
        <v>2.691323362</v>
      </c>
      <c r="Z238" s="10">
        <f>MIN(1,MAX(0,(5.3914776420524+0.021102849201698*'Precinct Vote Data'!I941*100+(-5.72594740176815)*1+0.927016741366831*(O238*100))/100))</f>
        <v>0.5072657637</v>
      </c>
      <c r="AA238" s="16">
        <f t="shared" si="14"/>
        <v>-2.490098879</v>
      </c>
      <c r="AB238" s="5" t="b">
        <f t="shared" si="15"/>
        <v>1</v>
      </c>
      <c r="AC238" s="5">
        <f t="shared" si="16"/>
        <v>2.490098879</v>
      </c>
    </row>
    <row r="239" ht="15.0" customHeight="1">
      <c r="A239" s="5" t="s">
        <v>282</v>
      </c>
      <c r="B239" s="5" t="s">
        <v>310</v>
      </c>
      <c r="C239" s="5" t="s">
        <v>100</v>
      </c>
      <c r="D239" s="10">
        <f t="shared" si="1"/>
        <v>0.3030834228</v>
      </c>
      <c r="E239" s="10">
        <f>'Precinct Vote Data'!H945</f>
        <v>0.3282265552</v>
      </c>
      <c r="F239" s="16">
        <f t="shared" si="2"/>
        <v>-2.514313242</v>
      </c>
      <c r="G239" s="10">
        <f t="shared" si="3"/>
        <v>0.3397670549</v>
      </c>
      <c r="H239" s="16">
        <f t="shared" si="4"/>
        <v>1.154049966</v>
      </c>
      <c r="I239" s="5" t="b">
        <f t="shared" si="5"/>
        <v>1</v>
      </c>
      <c r="J239" s="5" t="b">
        <f t="shared" si="6"/>
        <v>1</v>
      </c>
      <c r="K239" s="15">
        <f t="shared" si="7"/>
        <v>1.6182608</v>
      </c>
      <c r="L239" s="10">
        <f t="shared" si="8"/>
        <v>0.3087421477</v>
      </c>
      <c r="M239" s="10">
        <f>'Precinct Vote Data'!H942</f>
        <v>0.4068548387</v>
      </c>
      <c r="N239" s="10">
        <f>'Precinct Vote Data'!H943</f>
        <v>0.3638917263</v>
      </c>
      <c r="O239" s="10">
        <f>'Precinct Vote Data'!H944</f>
        <v>0.3397670549</v>
      </c>
      <c r="U239" s="16">
        <f t="shared" si="9"/>
        <v>-1.948440756</v>
      </c>
      <c r="V239" s="5" t="b">
        <f t="shared" si="10"/>
        <v>1</v>
      </c>
      <c r="W239" s="5">
        <f t="shared" si="11"/>
        <v>2.514313242</v>
      </c>
      <c r="X239" s="5">
        <f t="shared" si="12"/>
        <v>1.154049966</v>
      </c>
      <c r="Y239" s="5">
        <f t="shared" si="13"/>
        <v>1.948440756</v>
      </c>
      <c r="Z239" s="10">
        <f>MIN(1,MAX(0,(5.3914776420524+0.021102849201698*'Precinct Vote Data'!I945*100+(-5.72594740176815)*1+0.927016741366831*(O239*100))/100))</f>
        <v>0.3073242898</v>
      </c>
      <c r="AA239" s="16">
        <f t="shared" si="14"/>
        <v>-2.090226545</v>
      </c>
      <c r="AB239" s="5" t="b">
        <f t="shared" si="15"/>
        <v>1</v>
      </c>
      <c r="AC239" s="5">
        <f t="shared" si="16"/>
        <v>2.090226545</v>
      </c>
    </row>
    <row r="240" ht="15.0" customHeight="1">
      <c r="A240" s="5" t="s">
        <v>282</v>
      </c>
      <c r="B240" s="5" t="s">
        <v>311</v>
      </c>
      <c r="C240" s="5" t="s">
        <v>102</v>
      </c>
      <c r="D240" s="10">
        <f t="shared" si="1"/>
        <v>0.4947430613</v>
      </c>
      <c r="E240" s="10">
        <f>'Precinct Vote Data'!H949</f>
        <v>0.5281795511</v>
      </c>
      <c r="F240" s="16">
        <f t="shared" si="2"/>
        <v>-3.343648985</v>
      </c>
      <c r="G240" s="10">
        <f t="shared" si="3"/>
        <v>0.5158045977</v>
      </c>
      <c r="H240" s="16">
        <f t="shared" si="4"/>
        <v>-1.237495342</v>
      </c>
      <c r="I240" s="5" t="b">
        <f t="shared" si="5"/>
        <v>0</v>
      </c>
      <c r="J240" s="5" t="b">
        <f t="shared" si="6"/>
        <v>1</v>
      </c>
      <c r="K240" s="15">
        <f t="shared" si="7"/>
        <v>0.6920518017</v>
      </c>
      <c r="L240" s="10">
        <f t="shared" si="8"/>
        <v>0.5025367468</v>
      </c>
      <c r="M240" s="10">
        <f>'Precinct Vote Data'!H946</f>
        <v>0.5705931495</v>
      </c>
      <c r="N240" s="10">
        <f>'Precinct Vote Data'!H947</f>
        <v>0.5621970921</v>
      </c>
      <c r="O240" s="10">
        <f>'Precinct Vote Data'!H948</f>
        <v>0.5158045977</v>
      </c>
      <c r="U240" s="16">
        <f t="shared" si="9"/>
        <v>-2.564280428</v>
      </c>
      <c r="V240" s="5" t="b">
        <f t="shared" si="10"/>
        <v>1</v>
      </c>
      <c r="W240" s="5">
        <f t="shared" si="11"/>
        <v>3.343648985</v>
      </c>
      <c r="X240" s="5">
        <f t="shared" si="12"/>
        <v>1.237495342</v>
      </c>
      <c r="Y240" s="5">
        <f t="shared" si="13"/>
        <v>2.564280428</v>
      </c>
      <c r="Z240" s="10">
        <f>MIN(1,MAX(0,(5.3914776420524+0.021102849201698*'Precinct Vote Data'!I949*100+(-5.72594740176815)*1+0.927016741366831*(O240*100))/100))</f>
        <v>0.4763468666</v>
      </c>
      <c r="AA240" s="16">
        <f t="shared" si="14"/>
        <v>-5.183268452</v>
      </c>
      <c r="AB240" s="5" t="b">
        <f t="shared" si="15"/>
        <v>0</v>
      </c>
      <c r="AC240" s="5">
        <f t="shared" si="16"/>
        <v>5.183268452</v>
      </c>
    </row>
    <row r="241" ht="15.0" customHeight="1">
      <c r="A241" s="5" t="s">
        <v>282</v>
      </c>
      <c r="B241" s="5" t="s">
        <v>312</v>
      </c>
      <c r="C241" s="5" t="s">
        <v>313</v>
      </c>
      <c r="D241" s="10">
        <f t="shared" si="1"/>
        <v>0.5746574899</v>
      </c>
      <c r="E241" s="10">
        <f>'Precinct Vote Data'!H953</f>
        <v>0.6003717472</v>
      </c>
      <c r="F241" s="16">
        <f t="shared" si="2"/>
        <v>-2.571425732</v>
      </c>
      <c r="G241" s="10">
        <f t="shared" si="3"/>
        <v>0.5860838537</v>
      </c>
      <c r="H241" s="16">
        <f t="shared" si="4"/>
        <v>-1.428789351</v>
      </c>
      <c r="I241" s="5" t="b">
        <f t="shared" si="5"/>
        <v>1</v>
      </c>
      <c r="J241" s="5" t="b">
        <f t="shared" si="6"/>
        <v>1</v>
      </c>
      <c r="K241" s="15">
        <f t="shared" si="7"/>
        <v>0.5462230717</v>
      </c>
      <c r="L241" s="10">
        <f t="shared" si="8"/>
        <v>0.5756117962</v>
      </c>
      <c r="M241" s="10">
        <f>'Precinct Vote Data'!H950</f>
        <v>0.6040868455</v>
      </c>
      <c r="N241" s="10">
        <f>'Precinct Vote Data'!H951</f>
        <v>0.5878107458</v>
      </c>
      <c r="O241" s="10">
        <f>'Precinct Vote Data'!H952</f>
        <v>0.5860838537</v>
      </c>
      <c r="U241" s="16">
        <f t="shared" si="9"/>
        <v>-2.4759951</v>
      </c>
      <c r="V241" s="5" t="b">
        <f t="shared" si="10"/>
        <v>1</v>
      </c>
      <c r="W241" s="5">
        <f t="shared" si="11"/>
        <v>2.571425732</v>
      </c>
      <c r="X241" s="5">
        <f t="shared" si="12"/>
        <v>1.428789351</v>
      </c>
      <c r="Y241" s="5">
        <f t="shared" si="13"/>
        <v>2.4759951</v>
      </c>
      <c r="Z241" s="10">
        <f>MIN(1,MAX(0,(5.3914776420524+0.021102849201698*'Precinct Vote Data'!I953*100+(-5.72594740176815)*1+0.927016741366831*(O241*100))/100))</f>
        <v>0.5442571662</v>
      </c>
      <c r="AA241" s="16">
        <f t="shared" si="14"/>
        <v>-5.611458105</v>
      </c>
      <c r="AB241" s="5" t="b">
        <f t="shared" si="15"/>
        <v>1</v>
      </c>
      <c r="AC241" s="5">
        <f t="shared" si="16"/>
        <v>5.611458105</v>
      </c>
    </row>
    <row r="242" ht="15.0" customHeight="1">
      <c r="A242" s="5" t="s">
        <v>282</v>
      </c>
      <c r="B242" s="5" t="s">
        <v>312</v>
      </c>
      <c r="C242" s="5" t="s">
        <v>314</v>
      </c>
      <c r="D242" s="10">
        <f t="shared" si="1"/>
        <v>0.5300863255</v>
      </c>
      <c r="E242" s="10">
        <f>'Precinct Vote Data'!H957</f>
        <v>0.5358146067</v>
      </c>
      <c r="F242" s="16">
        <f t="shared" si="2"/>
        <v>-0.5728281222</v>
      </c>
      <c r="G242" s="10">
        <f t="shared" si="3"/>
        <v>0.5744466801</v>
      </c>
      <c r="H242" s="16">
        <f t="shared" si="4"/>
        <v>3.863207334</v>
      </c>
      <c r="I242" s="5" t="b">
        <f t="shared" si="5"/>
        <v>1</v>
      </c>
      <c r="J242" s="5" t="b">
        <f t="shared" si="6"/>
        <v>1</v>
      </c>
      <c r="K242" s="15">
        <f t="shared" si="7"/>
        <v>2.206019613</v>
      </c>
      <c r="L242" s="10">
        <f t="shared" si="8"/>
        <v>0.5321534021</v>
      </c>
      <c r="M242" s="10">
        <f>'Precinct Vote Data'!H954</f>
        <v>0.6384758364</v>
      </c>
      <c r="N242" s="10">
        <f>'Precinct Vote Data'!H955</f>
        <v>0.5694239291</v>
      </c>
      <c r="O242" s="10">
        <f>'Precinct Vote Data'!H956</f>
        <v>0.5744466801</v>
      </c>
      <c r="U242" s="16">
        <f t="shared" si="9"/>
        <v>-0.3661204622</v>
      </c>
      <c r="V242" s="5" t="b">
        <f t="shared" si="10"/>
        <v>1</v>
      </c>
      <c r="W242" s="5">
        <f t="shared" si="11"/>
        <v>0.5728281222</v>
      </c>
      <c r="X242" s="5">
        <f t="shared" si="12"/>
        <v>3.863207334</v>
      </c>
      <c r="Y242" s="5">
        <f t="shared" si="13"/>
        <v>0.3661204622</v>
      </c>
      <c r="Z242" s="10">
        <f>MIN(1,MAX(0,(5.3914776420524+0.021102849201698*'Precinct Vote Data'!I957*100+(-5.72594740176815)*1+0.927016741366831*(O242*100))/100))</f>
        <v>0.531466651</v>
      </c>
      <c r="AA242" s="16">
        <f t="shared" si="14"/>
        <v>-0.4347955743</v>
      </c>
      <c r="AB242" s="5" t="b">
        <f t="shared" si="15"/>
        <v>1</v>
      </c>
      <c r="AC242" s="5">
        <f t="shared" si="16"/>
        <v>0.4347955743</v>
      </c>
    </row>
    <row r="243" ht="15.0" customHeight="1">
      <c r="A243" s="5" t="s">
        <v>282</v>
      </c>
      <c r="B243" s="5" t="s">
        <v>312</v>
      </c>
      <c r="C243" s="5" t="s">
        <v>315</v>
      </c>
      <c r="D243" s="10">
        <f t="shared" si="1"/>
        <v>0.5728887495</v>
      </c>
      <c r="E243" s="10">
        <f>'Precinct Vote Data'!H961</f>
        <v>0.6053215078</v>
      </c>
      <c r="F243" s="16">
        <f t="shared" si="2"/>
        <v>-3.243275825</v>
      </c>
      <c r="G243" s="10">
        <f t="shared" si="3"/>
        <v>0.5871156662</v>
      </c>
      <c r="H243" s="16">
        <f t="shared" si="4"/>
        <v>-1.820584158</v>
      </c>
      <c r="I243" s="5" t="b">
        <f t="shared" si="5"/>
        <v>1</v>
      </c>
      <c r="J243" s="5" t="b">
        <f t="shared" si="6"/>
        <v>1</v>
      </c>
      <c r="K243" s="15">
        <f t="shared" si="7"/>
        <v>0.5447693202</v>
      </c>
      <c r="L243" s="10">
        <f t="shared" si="8"/>
        <v>0.5766714797</v>
      </c>
      <c r="M243" s="10">
        <f>'Precinct Vote Data'!H958</f>
        <v>0.6188197767</v>
      </c>
      <c r="N243" s="10">
        <f>'Precinct Vote Data'!H959</f>
        <v>0.6078431373</v>
      </c>
      <c r="O243" s="10">
        <f>'Precinct Vote Data'!H960</f>
        <v>0.5871156662</v>
      </c>
      <c r="U243" s="16">
        <f t="shared" si="9"/>
        <v>-2.865002809</v>
      </c>
      <c r="V243" s="5" t="b">
        <f t="shared" si="10"/>
        <v>1</v>
      </c>
      <c r="W243" s="5">
        <f t="shared" si="11"/>
        <v>3.243275825</v>
      </c>
      <c r="X243" s="5">
        <f t="shared" si="12"/>
        <v>1.820584158</v>
      </c>
      <c r="Y243" s="5">
        <f t="shared" si="13"/>
        <v>2.865002809</v>
      </c>
      <c r="Z243" s="10">
        <f>MIN(1,MAX(0,(5.3914776420524+0.021102849201698*'Precinct Vote Data'!I961*100+(-5.72594740176815)*1+0.927016741366831*(O243*100))/100))</f>
        <v>0.5443653391</v>
      </c>
      <c r="AA243" s="16">
        <f t="shared" si="14"/>
        <v>-6.09561687</v>
      </c>
      <c r="AB243" s="5" t="b">
        <f t="shared" si="15"/>
        <v>1</v>
      </c>
      <c r="AC243" s="5">
        <f t="shared" si="16"/>
        <v>6.09561687</v>
      </c>
    </row>
    <row r="244" ht="15.0" customHeight="1">
      <c r="A244" s="5" t="s">
        <v>282</v>
      </c>
      <c r="B244" s="5" t="s">
        <v>316</v>
      </c>
      <c r="C244" s="5" t="s">
        <v>317</v>
      </c>
      <c r="D244" s="10">
        <f t="shared" si="1"/>
        <v>0.6469964071</v>
      </c>
      <c r="E244" s="10">
        <f>'Precinct Vote Data'!H965</f>
        <v>0.6470860315</v>
      </c>
      <c r="F244" s="16">
        <f t="shared" si="2"/>
        <v>-0.008962431066</v>
      </c>
      <c r="G244" s="10">
        <f t="shared" si="3"/>
        <v>0.6563706564</v>
      </c>
      <c r="H244" s="16">
        <f t="shared" si="4"/>
        <v>0.9284624918</v>
      </c>
      <c r="I244" s="5" t="b">
        <f t="shared" si="5"/>
        <v>1</v>
      </c>
      <c r="J244" s="5" t="b">
        <f t="shared" si="6"/>
        <v>1</v>
      </c>
      <c r="K244" s="15">
        <f t="shared" si="7"/>
        <v>0.4354447629</v>
      </c>
      <c r="L244" s="10">
        <f t="shared" si="8"/>
        <v>0.648022414</v>
      </c>
      <c r="M244" s="10">
        <f>'Precinct Vote Data'!H962</f>
        <v>0.672010688</v>
      </c>
      <c r="N244" s="10">
        <f>'Precinct Vote Data'!H963</f>
        <v>0.659527972</v>
      </c>
      <c r="O244" s="10">
        <f>'Precinct Vote Data'!H964</f>
        <v>0.6563706564</v>
      </c>
      <c r="U244" s="16">
        <f t="shared" si="9"/>
        <v>0.09363825519</v>
      </c>
      <c r="V244" s="5" t="b">
        <f t="shared" si="10"/>
        <v>1</v>
      </c>
      <c r="W244" s="5">
        <f t="shared" si="11"/>
        <v>0.008962431066</v>
      </c>
      <c r="X244" s="5">
        <f t="shared" si="12"/>
        <v>0.9284624918</v>
      </c>
      <c r="Y244" s="5">
        <f t="shared" si="13"/>
        <v>0.09363825519</v>
      </c>
      <c r="Z244" s="10">
        <f>MIN(1,MAX(0,(5.3914776420524+0.021102849201698*'Precinct Vote Data'!I965*100+(-5.72594740176815)*1+0.927016741366831*(O244*100))/100))</f>
        <v>0.6110032535</v>
      </c>
      <c r="AA244" s="16">
        <f t="shared" si="14"/>
        <v>-3.608277798</v>
      </c>
      <c r="AB244" s="5" t="b">
        <f t="shared" si="15"/>
        <v>1</v>
      </c>
      <c r="AC244" s="5">
        <f t="shared" si="16"/>
        <v>3.608277798</v>
      </c>
    </row>
    <row r="245" ht="15.0" customHeight="1">
      <c r="A245" s="5" t="s">
        <v>282</v>
      </c>
      <c r="B245" s="5" t="s">
        <v>316</v>
      </c>
      <c r="C245" s="5" t="s">
        <v>318</v>
      </c>
      <c r="D245" s="10">
        <f t="shared" si="1"/>
        <v>0.6561480976</v>
      </c>
      <c r="E245" s="10">
        <f>'Precinct Vote Data'!H969</f>
        <v>0.6721311475</v>
      </c>
      <c r="F245" s="16">
        <f t="shared" si="2"/>
        <v>-1.598304995</v>
      </c>
      <c r="G245" s="10">
        <f t="shared" si="3"/>
        <v>0.6754921928</v>
      </c>
      <c r="H245" s="16">
        <f t="shared" si="4"/>
        <v>0.3361045263</v>
      </c>
      <c r="I245" s="5" t="b">
        <f t="shared" si="5"/>
        <v>1</v>
      </c>
      <c r="J245" s="5" t="b">
        <f t="shared" si="6"/>
        <v>1</v>
      </c>
      <c r="K245" s="15">
        <f t="shared" si="7"/>
        <v>0.7421860597</v>
      </c>
      <c r="L245" s="10">
        <f t="shared" si="8"/>
        <v>0.66126318</v>
      </c>
      <c r="M245" s="10">
        <f>'Precinct Vote Data'!H966</f>
        <v>0.7184986595</v>
      </c>
      <c r="N245" s="10">
        <f>'Precinct Vote Data'!H967</f>
        <v>0.7034728406</v>
      </c>
      <c r="O245" s="10">
        <f>'Precinct Vote Data'!H968</f>
        <v>0.6754921928</v>
      </c>
      <c r="U245" s="16">
        <f t="shared" si="9"/>
        <v>-1.086796754</v>
      </c>
      <c r="V245" s="5" t="b">
        <f t="shared" si="10"/>
        <v>1</v>
      </c>
      <c r="W245" s="5">
        <f t="shared" si="11"/>
        <v>1.598304995</v>
      </c>
      <c r="X245" s="5">
        <f t="shared" si="12"/>
        <v>0.3361045263</v>
      </c>
      <c r="Y245" s="5">
        <f t="shared" si="13"/>
        <v>1.086796754</v>
      </c>
      <c r="Z245" s="10">
        <f>MIN(1,MAX(0,(5.3914776420524+0.021102849201698*'Precinct Vote Data'!I969*100+(-5.72594740176815)*1+0.927016741366831*(O245*100))/100))</f>
        <v>0.6295986753</v>
      </c>
      <c r="AA245" s="16">
        <f t="shared" si="14"/>
        <v>-4.253247229</v>
      </c>
      <c r="AB245" s="5" t="b">
        <f t="shared" si="15"/>
        <v>1</v>
      </c>
      <c r="AC245" s="5">
        <f t="shared" si="16"/>
        <v>4.253247229</v>
      </c>
    </row>
    <row r="246" ht="15.0" customHeight="1">
      <c r="A246" s="5" t="s">
        <v>282</v>
      </c>
      <c r="B246" s="5" t="s">
        <v>316</v>
      </c>
      <c r="C246" s="5" t="s">
        <v>319</v>
      </c>
      <c r="D246" s="10">
        <f t="shared" si="1"/>
        <v>0.5987561418</v>
      </c>
      <c r="E246" s="10">
        <f>'Precinct Vote Data'!H973</f>
        <v>0.5982085733</v>
      </c>
      <c r="F246" s="16">
        <f t="shared" si="2"/>
        <v>0.05475685638</v>
      </c>
      <c r="G246" s="10">
        <f t="shared" si="3"/>
        <v>0.6185121107</v>
      </c>
      <c r="H246" s="16">
        <f t="shared" si="4"/>
        <v>2.030353747</v>
      </c>
      <c r="I246" s="5" t="b">
        <f t="shared" si="5"/>
        <v>1</v>
      </c>
      <c r="J246" s="5" t="b">
        <f t="shared" si="6"/>
        <v>1</v>
      </c>
      <c r="K246" s="15">
        <f t="shared" si="7"/>
        <v>1.146244343</v>
      </c>
      <c r="L246" s="10">
        <f t="shared" si="8"/>
        <v>0.5965365896</v>
      </c>
      <c r="M246" s="10">
        <f>'Precinct Vote Data'!H970</f>
        <v>0.6357856494</v>
      </c>
      <c r="N246" s="10">
        <f>'Precinct Vote Data'!H971</f>
        <v>0.5937912814</v>
      </c>
      <c r="O246" s="10">
        <f>'Precinct Vote Data'!H972</f>
        <v>0.6185121107</v>
      </c>
      <c r="U246" s="16">
        <f t="shared" si="9"/>
        <v>-0.1671983665</v>
      </c>
      <c r="V246" s="5" t="b">
        <f t="shared" si="10"/>
        <v>1</v>
      </c>
      <c r="W246" s="5">
        <f t="shared" si="11"/>
        <v>0.05475685638</v>
      </c>
      <c r="X246" s="5">
        <f t="shared" si="12"/>
        <v>2.030353747</v>
      </c>
      <c r="Y246" s="5">
        <f t="shared" si="13"/>
        <v>0.1671983665</v>
      </c>
      <c r="Z246" s="10">
        <f>MIN(1,MAX(0,(5.3914776420524+0.021102849201698*'Precinct Vote Data'!I973*100+(-5.72594740176815)*1+0.927016741366831*(O246*100))/100))</f>
        <v>0.573909308</v>
      </c>
      <c r="AA246" s="16">
        <f t="shared" si="14"/>
        <v>-2.429926522</v>
      </c>
      <c r="AB246" s="5" t="b">
        <f t="shared" si="15"/>
        <v>1</v>
      </c>
      <c r="AC246" s="5">
        <f t="shared" si="16"/>
        <v>2.429926522</v>
      </c>
    </row>
    <row r="247" ht="15.0" customHeight="1">
      <c r="A247" s="5" t="s">
        <v>282</v>
      </c>
      <c r="B247" s="5" t="s">
        <v>316</v>
      </c>
      <c r="C247" s="5" t="s">
        <v>320</v>
      </c>
      <c r="D247" s="10">
        <f t="shared" si="1"/>
        <v>0.5272134802</v>
      </c>
      <c r="E247" s="10">
        <f>'Precinct Vote Data'!H977</f>
        <v>0.5375838926</v>
      </c>
      <c r="F247" s="16">
        <f t="shared" si="2"/>
        <v>-1.037041245</v>
      </c>
      <c r="G247" s="10">
        <f t="shared" si="3"/>
        <v>0.5395480226</v>
      </c>
      <c r="H247" s="16">
        <f t="shared" si="4"/>
        <v>0.1964129981</v>
      </c>
      <c r="I247" s="5" t="b">
        <f t="shared" si="5"/>
        <v>1</v>
      </c>
      <c r="J247" s="5" t="b">
        <f t="shared" si="6"/>
        <v>1</v>
      </c>
      <c r="K247" s="15">
        <f t="shared" si="7"/>
        <v>0.6644625485</v>
      </c>
      <c r="L247" s="10">
        <f t="shared" si="8"/>
        <v>0.5268091063</v>
      </c>
      <c r="M247" s="10">
        <f>'Precinct Vote Data'!H974</f>
        <v>0.5538461538</v>
      </c>
      <c r="N247" s="10">
        <f>'Precinct Vote Data'!H975</f>
        <v>0.5311406578</v>
      </c>
      <c r="O247" s="10">
        <f>'Precinct Vote Data'!H976</f>
        <v>0.5395480226</v>
      </c>
      <c r="U247" s="16">
        <f t="shared" si="9"/>
        <v>-1.077478634</v>
      </c>
      <c r="V247" s="5" t="b">
        <f t="shared" si="10"/>
        <v>1</v>
      </c>
      <c r="W247" s="5">
        <f t="shared" si="11"/>
        <v>1.037041245</v>
      </c>
      <c r="X247" s="5">
        <f t="shared" si="12"/>
        <v>0.1964129981</v>
      </c>
      <c r="Y247" s="5">
        <f t="shared" si="13"/>
        <v>1.077478634</v>
      </c>
      <c r="Z247" s="10">
        <f>MIN(1,MAX(0,(5.3914776420524+0.021102849201698*'Precinct Vote Data'!I977*100+(-5.72594740176815)*1+0.927016741366831*(O247*100))/100))</f>
        <v>0.498009222</v>
      </c>
      <c r="AA247" s="16">
        <f t="shared" si="14"/>
        <v>-3.957467065</v>
      </c>
      <c r="AB247" s="5" t="b">
        <f t="shared" si="15"/>
        <v>0</v>
      </c>
      <c r="AC247" s="5">
        <f t="shared" si="16"/>
        <v>3.957467065</v>
      </c>
    </row>
    <row r="248" ht="15.0" customHeight="1">
      <c r="A248" s="5" t="s">
        <v>282</v>
      </c>
      <c r="B248" s="5" t="s">
        <v>316</v>
      </c>
      <c r="C248" s="5" t="s">
        <v>321</v>
      </c>
      <c r="D248" s="10">
        <f t="shared" si="1"/>
        <v>0.5476477757</v>
      </c>
      <c r="E248" s="10">
        <f>'Precinct Vote Data'!H981</f>
        <v>0.5718782791</v>
      </c>
      <c r="F248" s="16">
        <f t="shared" si="2"/>
        <v>-2.423050347</v>
      </c>
      <c r="G248" s="10">
        <f t="shared" si="3"/>
        <v>0.5773195876</v>
      </c>
      <c r="H248" s="16">
        <f t="shared" si="4"/>
        <v>0.544130851</v>
      </c>
      <c r="I248" s="5" t="b">
        <f t="shared" si="5"/>
        <v>1</v>
      </c>
      <c r="J248" s="5" t="b">
        <f t="shared" si="6"/>
        <v>1</v>
      </c>
      <c r="K248" s="15">
        <f t="shared" si="7"/>
        <v>1.517829758</v>
      </c>
      <c r="L248" s="10">
        <f t="shared" si="8"/>
        <v>0.5482201202</v>
      </c>
      <c r="M248" s="10">
        <f>'Precinct Vote Data'!H978</f>
        <v>0.6172465961</v>
      </c>
      <c r="N248" s="10">
        <f>'Precinct Vote Data'!H979</f>
        <v>0.5681581686</v>
      </c>
      <c r="O248" s="10">
        <f>'Precinct Vote Data'!H980</f>
        <v>0.5773195876</v>
      </c>
      <c r="U248" s="16">
        <f t="shared" si="9"/>
        <v>-2.365815891</v>
      </c>
      <c r="V248" s="5" t="b">
        <f t="shared" si="10"/>
        <v>1</v>
      </c>
      <c r="W248" s="5">
        <f t="shared" si="11"/>
        <v>2.423050347</v>
      </c>
      <c r="X248" s="5">
        <f t="shared" si="12"/>
        <v>0.544130851</v>
      </c>
      <c r="Y248" s="5">
        <f t="shared" si="13"/>
        <v>2.365815891</v>
      </c>
      <c r="Z248" s="10">
        <f>MIN(1,MAX(0,(5.3914776420524+0.021102849201698*'Precinct Vote Data'!I981*100+(-5.72594740176815)*1+0.927016741366831*(O248*100))/100))</f>
        <v>0.5353918348</v>
      </c>
      <c r="AA248" s="16">
        <f t="shared" si="14"/>
        <v>-3.648644434</v>
      </c>
      <c r="AB248" s="5" t="b">
        <f t="shared" si="15"/>
        <v>1</v>
      </c>
      <c r="AC248" s="5">
        <f t="shared" si="16"/>
        <v>3.648644434</v>
      </c>
    </row>
    <row r="249" ht="15.0" customHeight="1">
      <c r="A249" s="5" t="s">
        <v>282</v>
      </c>
      <c r="B249" s="5" t="s">
        <v>316</v>
      </c>
      <c r="C249" s="5" t="s">
        <v>322</v>
      </c>
      <c r="D249" s="10">
        <f t="shared" si="1"/>
        <v>0.5285371444</v>
      </c>
      <c r="E249" s="10">
        <f>'Precinct Vote Data'!H985</f>
        <v>0.556097561</v>
      </c>
      <c r="F249" s="16">
        <f t="shared" si="2"/>
        <v>-2.756041656</v>
      </c>
      <c r="G249" s="10">
        <f t="shared" si="3"/>
        <v>0.537704918</v>
      </c>
      <c r="H249" s="16">
        <f t="shared" si="4"/>
        <v>-1.839264294</v>
      </c>
      <c r="I249" s="5" t="b">
        <f t="shared" si="5"/>
        <v>1</v>
      </c>
      <c r="J249" s="5" t="b">
        <f t="shared" si="6"/>
        <v>1</v>
      </c>
      <c r="K249" s="15">
        <f t="shared" si="7"/>
        <v>0.3584746885</v>
      </c>
      <c r="L249" s="10">
        <f t="shared" si="8"/>
        <v>0.5308323274</v>
      </c>
      <c r="M249" s="10">
        <f>'Precinct Vote Data'!H982</f>
        <v>0.5576251455</v>
      </c>
      <c r="N249" s="10">
        <f>'Precinct Vote Data'!H983</f>
        <v>0.5500420521</v>
      </c>
      <c r="O249" s="10">
        <f>'Precinct Vote Data'!H984</f>
        <v>0.537704918</v>
      </c>
      <c r="U249" s="16">
        <f t="shared" si="9"/>
        <v>-2.526523354</v>
      </c>
      <c r="V249" s="5" t="b">
        <f t="shared" si="10"/>
        <v>1</v>
      </c>
      <c r="W249" s="5">
        <f t="shared" si="11"/>
        <v>2.756041656</v>
      </c>
      <c r="X249" s="5">
        <f t="shared" si="12"/>
        <v>1.839264294</v>
      </c>
      <c r="Y249" s="5">
        <f t="shared" si="13"/>
        <v>2.526523354</v>
      </c>
      <c r="Z249" s="10">
        <f>MIN(1,MAX(0,(5.3914776420524+0.021102849201698*'Precinct Vote Data'!I985*100+(-5.72594740176815)*1+0.927016741366831*(O249*100))/100))</f>
        <v>0.4971088723</v>
      </c>
      <c r="AA249" s="16">
        <f t="shared" si="14"/>
        <v>-5.898868868</v>
      </c>
      <c r="AB249" s="5" t="b">
        <f t="shared" si="15"/>
        <v>0</v>
      </c>
      <c r="AC249" s="5">
        <f t="shared" si="16"/>
        <v>5.898868868</v>
      </c>
    </row>
    <row r="250" ht="15.0" customHeight="1">
      <c r="A250" s="5" t="s">
        <v>282</v>
      </c>
      <c r="B250" s="5" t="s">
        <v>316</v>
      </c>
      <c r="C250" s="5" t="s">
        <v>323</v>
      </c>
      <c r="D250" s="10">
        <f t="shared" si="1"/>
        <v>0.5052443531</v>
      </c>
      <c r="E250" s="10">
        <f>'Precinct Vote Data'!H989</f>
        <v>0.4871794872</v>
      </c>
      <c r="F250" s="16">
        <f t="shared" si="2"/>
        <v>1.806486596</v>
      </c>
      <c r="G250" s="10">
        <f t="shared" si="3"/>
        <v>0.5239616613</v>
      </c>
      <c r="H250" s="16">
        <f t="shared" si="4"/>
        <v>3.678217416</v>
      </c>
      <c r="I250" s="5" t="b">
        <f t="shared" si="5"/>
        <v>0</v>
      </c>
      <c r="J250" s="5" t="b">
        <f t="shared" si="6"/>
        <v>0</v>
      </c>
      <c r="K250" s="15">
        <f t="shared" si="7"/>
        <v>1.204338364</v>
      </c>
      <c r="L250" s="10">
        <f t="shared" si="8"/>
        <v>0.5008723756</v>
      </c>
      <c r="M250" s="10">
        <f>'Precinct Vote Data'!H986</f>
        <v>0.5322033898</v>
      </c>
      <c r="N250" s="10">
        <f>'Precinct Vote Data'!H987</f>
        <v>0.4842931937</v>
      </c>
      <c r="O250" s="10">
        <f>'Precinct Vote Data'!H988</f>
        <v>0.5239616613</v>
      </c>
      <c r="U250" s="16">
        <f t="shared" si="9"/>
        <v>1.369288843</v>
      </c>
      <c r="V250" s="5" t="b">
        <f t="shared" si="10"/>
        <v>0</v>
      </c>
      <c r="W250" s="5">
        <f t="shared" si="11"/>
        <v>1.806486596</v>
      </c>
      <c r="X250" s="5">
        <f t="shared" si="12"/>
        <v>3.678217416</v>
      </c>
      <c r="Y250" s="5">
        <f t="shared" si="13"/>
        <v>1.369288843</v>
      </c>
      <c r="Z250" s="10">
        <f>MIN(1,MAX(0,(5.3914776420524+0.021102849201698*'Precinct Vote Data'!I989*100+(-5.72594740176815)*1+0.927016741366831*(O250*100))/100))</f>
        <v>0.4803633225</v>
      </c>
      <c r="AA250" s="16">
        <f t="shared" si="14"/>
        <v>-0.6816164692</v>
      </c>
      <c r="AB250" s="5" t="b">
        <f t="shared" si="15"/>
        <v>1</v>
      </c>
      <c r="AC250" s="5">
        <f t="shared" si="16"/>
        <v>0.6816164692</v>
      </c>
    </row>
    <row r="251" ht="15.0" customHeight="1">
      <c r="A251" s="5" t="s">
        <v>282</v>
      </c>
      <c r="B251" s="5" t="s">
        <v>324</v>
      </c>
      <c r="C251" s="5" t="s">
        <v>113</v>
      </c>
      <c r="D251" s="10">
        <f t="shared" si="1"/>
        <v>0.8329368041</v>
      </c>
      <c r="E251" s="10">
        <f>'Precinct Vote Data'!H993</f>
        <v>0.7381974249</v>
      </c>
      <c r="F251" s="16">
        <f t="shared" si="2"/>
        <v>9.473937918</v>
      </c>
      <c r="G251" s="10">
        <f t="shared" si="3"/>
        <v>0.8217054264</v>
      </c>
      <c r="H251" s="16">
        <f t="shared" si="4"/>
        <v>8.350800146</v>
      </c>
      <c r="I251" s="5" t="b">
        <f t="shared" si="5"/>
        <v>1</v>
      </c>
      <c r="J251" s="5" t="b">
        <f t="shared" si="6"/>
        <v>1</v>
      </c>
      <c r="K251" s="15">
        <f t="shared" si="7"/>
        <v>-0.09563683112</v>
      </c>
      <c r="L251" s="10">
        <f t="shared" si="8"/>
        <v>0.8235389527</v>
      </c>
      <c r="M251" s="10">
        <f>'Precinct Vote Data'!H990</f>
        <v>0.7737226277</v>
      </c>
      <c r="N251" s="10">
        <f>'Precinct Vote Data'!H991</f>
        <v>0.7594339623</v>
      </c>
      <c r="O251" s="10">
        <f>'Precinct Vote Data'!H992</f>
        <v>0.8217054264</v>
      </c>
      <c r="U251" s="16">
        <f t="shared" si="9"/>
        <v>8.534152781</v>
      </c>
      <c r="V251" s="5" t="b">
        <f t="shared" si="10"/>
        <v>1</v>
      </c>
      <c r="W251" s="5">
        <f t="shared" si="11"/>
        <v>9.473937918</v>
      </c>
      <c r="X251" s="5">
        <f t="shared" si="12"/>
        <v>8.350800146</v>
      </c>
      <c r="Y251" s="5">
        <f t="shared" si="13"/>
        <v>8.534152781</v>
      </c>
      <c r="Z251" s="10">
        <f>MIN(1,MAX(0,(5.3914776420524+0.021102849201698*'Precinct Vote Data'!I993*100+(-5.72594740176815)*1+0.927016741366831*(O251*100))/100))</f>
        <v>0.7674747657</v>
      </c>
      <c r="AA251" s="16">
        <f t="shared" si="14"/>
        <v>2.92773408</v>
      </c>
      <c r="AB251" s="5" t="b">
        <f t="shared" si="15"/>
        <v>1</v>
      </c>
      <c r="AC251" s="5">
        <f t="shared" si="16"/>
        <v>2.92773408</v>
      </c>
    </row>
    <row r="252" ht="15.0" customHeight="1">
      <c r="A252" s="5" t="s">
        <v>282</v>
      </c>
      <c r="B252" s="5" t="s">
        <v>324</v>
      </c>
      <c r="C252" s="5" t="s">
        <v>114</v>
      </c>
      <c r="D252" s="10">
        <f t="shared" si="1"/>
        <v>0.715117096</v>
      </c>
      <c r="E252" s="10">
        <f>'Precinct Vote Data'!H997</f>
        <v>0.6997885835</v>
      </c>
      <c r="F252" s="16">
        <f t="shared" si="2"/>
        <v>1.532851246</v>
      </c>
      <c r="G252" s="10">
        <f t="shared" si="3"/>
        <v>0.7235294118</v>
      </c>
      <c r="H252" s="16">
        <f t="shared" si="4"/>
        <v>2.374082826</v>
      </c>
      <c r="I252" s="5" t="b">
        <f t="shared" si="5"/>
        <v>1</v>
      </c>
      <c r="J252" s="5" t="b">
        <f t="shared" si="6"/>
        <v>1</v>
      </c>
      <c r="K252" s="15">
        <f t="shared" si="7"/>
        <v>0.5182589456</v>
      </c>
      <c r="L252" s="10">
        <f t="shared" si="8"/>
        <v>0.7135934758</v>
      </c>
      <c r="M252" s="10">
        <f>'Precinct Vote Data'!H994</f>
        <v>0.7288135593</v>
      </c>
      <c r="N252" s="10">
        <f>'Precinct Vote Data'!H995</f>
        <v>0.7088607595</v>
      </c>
      <c r="O252" s="10">
        <f>'Precinct Vote Data'!H996</f>
        <v>0.7235294118</v>
      </c>
      <c r="U252" s="16">
        <f t="shared" si="9"/>
        <v>1.380489228</v>
      </c>
      <c r="V252" s="5" t="b">
        <f t="shared" si="10"/>
        <v>1</v>
      </c>
      <c r="W252" s="5">
        <f t="shared" si="11"/>
        <v>1.532851246</v>
      </c>
      <c r="X252" s="5">
        <f t="shared" si="12"/>
        <v>2.374082826</v>
      </c>
      <c r="Y252" s="5">
        <f t="shared" si="13"/>
        <v>1.380489228</v>
      </c>
      <c r="Z252" s="10">
        <f>MIN(1,MAX(0,(5.3914776420524+0.021102849201698*'Precinct Vote Data'!I997*100+(-5.72594740176815)*1+0.927016741366831*(O252*100))/100))</f>
        <v>0.673408264</v>
      </c>
      <c r="AA252" s="16">
        <f t="shared" si="14"/>
        <v>-2.638031951</v>
      </c>
      <c r="AB252" s="5" t="b">
        <f t="shared" si="15"/>
        <v>1</v>
      </c>
      <c r="AC252" s="5">
        <f t="shared" si="16"/>
        <v>2.638031951</v>
      </c>
    </row>
    <row r="253" ht="15.0" customHeight="1">
      <c r="A253" s="5" t="s">
        <v>282</v>
      </c>
      <c r="B253" s="5" t="s">
        <v>324</v>
      </c>
      <c r="C253" s="5" t="s">
        <v>116</v>
      </c>
      <c r="D253" s="10">
        <f t="shared" si="1"/>
        <v>0.6202426859</v>
      </c>
      <c r="E253" s="10">
        <f>'Precinct Vote Data'!H1001</f>
        <v>0.6324582339</v>
      </c>
      <c r="F253" s="16">
        <f t="shared" si="2"/>
        <v>-1.221554795</v>
      </c>
      <c r="G253" s="10">
        <f t="shared" si="3"/>
        <v>0.6369230769</v>
      </c>
      <c r="H253" s="16">
        <f t="shared" si="4"/>
        <v>0.4464843033</v>
      </c>
      <c r="I253" s="5" t="b">
        <f t="shared" si="5"/>
        <v>1</v>
      </c>
      <c r="J253" s="5" t="b">
        <f t="shared" si="6"/>
        <v>1</v>
      </c>
      <c r="K253" s="15">
        <f t="shared" si="7"/>
        <v>0.9046161365</v>
      </c>
      <c r="L253" s="10">
        <f t="shared" si="8"/>
        <v>0.6195799937</v>
      </c>
      <c r="M253" s="10">
        <f>'Precinct Vote Data'!H998</f>
        <v>0.6558441558</v>
      </c>
      <c r="N253" s="10">
        <f>'Precinct Vote Data'!H999</f>
        <v>0.6247240618</v>
      </c>
      <c r="O253" s="10">
        <f>'Precinct Vote Data'!H1000</f>
        <v>0.6369230769</v>
      </c>
      <c r="U253" s="16">
        <f t="shared" si="9"/>
        <v>-1.287824018</v>
      </c>
      <c r="V253" s="5" t="b">
        <f t="shared" si="10"/>
        <v>1</v>
      </c>
      <c r="W253" s="5">
        <f t="shared" si="11"/>
        <v>1.221554795</v>
      </c>
      <c r="X253" s="5">
        <f t="shared" si="12"/>
        <v>0.4464843033</v>
      </c>
      <c r="Y253" s="5">
        <f t="shared" si="13"/>
        <v>1.287824018</v>
      </c>
      <c r="Z253" s="10">
        <f>MIN(1,MAX(0,(5.3914776420524+0.021102849201698*'Precinct Vote Data'!I1001*100+(-5.72594740176815)*1+0.927016741366831*(O253*100))/100))</f>
        <v>0.5913838669</v>
      </c>
      <c r="AA253" s="16">
        <f t="shared" si="14"/>
        <v>-4.107436697</v>
      </c>
      <c r="AB253" s="5" t="b">
        <f t="shared" si="15"/>
        <v>1</v>
      </c>
      <c r="AC253" s="5">
        <f t="shared" si="16"/>
        <v>4.107436697</v>
      </c>
    </row>
    <row r="254" ht="15.0" customHeight="1">
      <c r="A254" s="5" t="s">
        <v>282</v>
      </c>
      <c r="B254" s="5" t="s">
        <v>324</v>
      </c>
      <c r="C254" s="5" t="s">
        <v>118</v>
      </c>
      <c r="D254" s="10">
        <f t="shared" si="1"/>
        <v>0.711956838</v>
      </c>
      <c r="E254" s="10">
        <f>'Precinct Vote Data'!H1005</f>
        <v>0.6869158879</v>
      </c>
      <c r="F254" s="16">
        <f t="shared" si="2"/>
        <v>2.504095011</v>
      </c>
      <c r="G254" s="10">
        <f t="shared" si="3"/>
        <v>0.7188940092</v>
      </c>
      <c r="H254" s="16">
        <f t="shared" si="4"/>
        <v>3.197812137</v>
      </c>
      <c r="I254" s="5" t="b">
        <f t="shared" si="5"/>
        <v>1</v>
      </c>
      <c r="J254" s="5" t="b">
        <f t="shared" si="6"/>
        <v>1</v>
      </c>
      <c r="K254" s="15">
        <f t="shared" si="7"/>
        <v>0.4170820733</v>
      </c>
      <c r="L254" s="10">
        <f t="shared" si="8"/>
        <v>0.7108978119</v>
      </c>
      <c r="M254" s="10">
        <f>'Precinct Vote Data'!H1002</f>
        <v>0.7239583333</v>
      </c>
      <c r="N254" s="10">
        <f>'Precinct Vote Data'!H1003</f>
        <v>0.7082111437</v>
      </c>
      <c r="O254" s="10">
        <f>'Precinct Vote Data'!H1004</f>
        <v>0.7188940092</v>
      </c>
      <c r="U254" s="16">
        <f t="shared" si="9"/>
        <v>2.398192407</v>
      </c>
      <c r="V254" s="5" t="b">
        <f t="shared" si="10"/>
        <v>1</v>
      </c>
      <c r="W254" s="5">
        <f t="shared" si="11"/>
        <v>2.504095011</v>
      </c>
      <c r="X254" s="5">
        <f t="shared" si="12"/>
        <v>3.197812137</v>
      </c>
      <c r="Y254" s="5">
        <f t="shared" si="13"/>
        <v>2.398192407</v>
      </c>
      <c r="Z254" s="10">
        <f>MIN(1,MAX(0,(5.3914776420524+0.021102849201698*'Precinct Vote Data'!I1005*100+(-5.72594740176815)*1+0.927016741366831*(O254*100))/100))</f>
        <v>0.6705778163</v>
      </c>
      <c r="AA254" s="16">
        <f t="shared" si="14"/>
        <v>-1.63380716</v>
      </c>
      <c r="AB254" s="5" t="b">
        <f t="shared" si="15"/>
        <v>1</v>
      </c>
      <c r="AC254" s="5">
        <f t="shared" si="16"/>
        <v>1.63380716</v>
      </c>
    </row>
    <row r="255" ht="15.0" customHeight="1">
      <c r="A255" s="5" t="s">
        <v>282</v>
      </c>
      <c r="B255" s="5" t="s">
        <v>324</v>
      </c>
      <c r="C255" s="5" t="s">
        <v>119</v>
      </c>
      <c r="D255" s="10">
        <f t="shared" si="1"/>
        <v>0.6286199216</v>
      </c>
      <c r="E255" s="10">
        <f>'Precinct Vote Data'!H1009</f>
        <v>0.6550836551</v>
      </c>
      <c r="F255" s="16">
        <f t="shared" si="2"/>
        <v>-2.646373348</v>
      </c>
      <c r="G255" s="10">
        <f t="shared" si="3"/>
        <v>0.6312292359</v>
      </c>
      <c r="H255" s="16">
        <f t="shared" si="4"/>
        <v>-2.38544192</v>
      </c>
      <c r="I255" s="5" t="b">
        <f t="shared" si="5"/>
        <v>1</v>
      </c>
      <c r="J255" s="5" t="b">
        <f t="shared" si="6"/>
        <v>1</v>
      </c>
      <c r="K255" s="15">
        <f t="shared" si="7"/>
        <v>0.1192874594</v>
      </c>
      <c r="L255" s="10">
        <f t="shared" si="8"/>
        <v>0.6289422854</v>
      </c>
      <c r="M255" s="10">
        <f>'Precinct Vote Data'!H1006</f>
        <v>0.6357142857</v>
      </c>
      <c r="N255" s="10">
        <f>'Precinct Vote Data'!H1007</f>
        <v>0.6323713927</v>
      </c>
      <c r="O255" s="10">
        <f>'Precinct Vote Data'!H1008</f>
        <v>0.6312292359</v>
      </c>
      <c r="U255" s="16">
        <f t="shared" si="9"/>
        <v>-2.614136971</v>
      </c>
      <c r="V255" s="5" t="b">
        <f t="shared" si="10"/>
        <v>1</v>
      </c>
      <c r="W255" s="5">
        <f t="shared" si="11"/>
        <v>2.646373348</v>
      </c>
      <c r="X255" s="5">
        <f t="shared" si="12"/>
        <v>2.38544192</v>
      </c>
      <c r="Y255" s="5">
        <f t="shared" si="13"/>
        <v>2.614136971</v>
      </c>
      <c r="Z255" s="10">
        <f>MIN(1,MAX(0,(5.3914776420524+0.021102849201698*'Precinct Vote Data'!I1009*100+(-5.72594740176815)*1+0.927016741366831*(O255*100))/100))</f>
        <v>0.5852445847</v>
      </c>
      <c r="AA255" s="16">
        <f t="shared" si="14"/>
        <v>-6.983907038</v>
      </c>
      <c r="AB255" s="5" t="b">
        <f t="shared" si="15"/>
        <v>1</v>
      </c>
      <c r="AC255" s="5">
        <f t="shared" si="16"/>
        <v>6.983907038</v>
      </c>
    </row>
    <row r="256" ht="15.0" customHeight="1">
      <c r="A256" s="5" t="s">
        <v>282</v>
      </c>
      <c r="B256" s="5" t="s">
        <v>325</v>
      </c>
      <c r="C256" s="5" t="s">
        <v>120</v>
      </c>
      <c r="D256" s="10">
        <f t="shared" si="1"/>
        <v>0.5874552203</v>
      </c>
      <c r="E256" s="10">
        <f>'Precinct Vote Data'!H1013</f>
        <v>0.5785636165</v>
      </c>
      <c r="F256" s="16">
        <f t="shared" si="2"/>
        <v>0.8891603865</v>
      </c>
      <c r="G256" s="10">
        <f t="shared" si="3"/>
        <v>0.5788929126</v>
      </c>
      <c r="H256" s="16">
        <f t="shared" si="4"/>
        <v>0.03292960928</v>
      </c>
      <c r="I256" s="5" t="b">
        <f t="shared" si="5"/>
        <v>1</v>
      </c>
      <c r="J256" s="5" t="b">
        <f t="shared" si="6"/>
        <v>1</v>
      </c>
      <c r="K256" s="15">
        <f t="shared" si="7"/>
        <v>-0.4564566306</v>
      </c>
      <c r="L256" s="10">
        <f t="shared" si="8"/>
        <v>0.5876439894</v>
      </c>
      <c r="M256" s="10">
        <f>'Precinct Vote Data'!H1010</f>
        <v>0.5686383929</v>
      </c>
      <c r="N256" s="10">
        <f>'Precinct Vote Data'!H1011</f>
        <v>0.5840707965</v>
      </c>
      <c r="O256" s="10">
        <f>'Precinct Vote Data'!H1012</f>
        <v>0.5788929126</v>
      </c>
      <c r="U256" s="16">
        <f t="shared" si="9"/>
        <v>0.9080372939</v>
      </c>
      <c r="V256" s="5" t="b">
        <f t="shared" si="10"/>
        <v>1</v>
      </c>
      <c r="W256" s="5">
        <f t="shared" si="11"/>
        <v>0.8891603865</v>
      </c>
      <c r="X256" s="5">
        <f t="shared" si="12"/>
        <v>0.03292960928</v>
      </c>
      <c r="Y256" s="5">
        <f t="shared" si="13"/>
        <v>0.9080372939</v>
      </c>
      <c r="Z256" s="10">
        <f>MIN(1,MAX(0,(5.3914776420524+0.021102849201698*'Precinct Vote Data'!I1013*100+(-5.72594740176815)*1+0.927016741366831*(O256*100))/100))</f>
        <v>0.535018606</v>
      </c>
      <c r="AA256" s="16">
        <f t="shared" si="14"/>
        <v>-4.354501045</v>
      </c>
      <c r="AB256" s="5" t="b">
        <f t="shared" si="15"/>
        <v>1</v>
      </c>
      <c r="AC256" s="5">
        <f t="shared" si="16"/>
        <v>4.354501045</v>
      </c>
    </row>
    <row r="257" ht="15.0" customHeight="1">
      <c r="A257" s="5" t="s">
        <v>282</v>
      </c>
      <c r="B257" s="5" t="s">
        <v>325</v>
      </c>
      <c r="C257" s="5" t="s">
        <v>122</v>
      </c>
      <c r="D257" s="10">
        <f t="shared" si="1"/>
        <v>0.4011219049</v>
      </c>
      <c r="E257" s="10">
        <f>'Precinct Vote Data'!H1017</f>
        <v>0.4345939244</v>
      </c>
      <c r="F257" s="16">
        <f t="shared" si="2"/>
        <v>-3.347201944</v>
      </c>
      <c r="G257" s="10">
        <f t="shared" si="3"/>
        <v>0.4262574595</v>
      </c>
      <c r="H257" s="16">
        <f t="shared" si="4"/>
        <v>-0.8336464859</v>
      </c>
      <c r="I257" s="5" t="b">
        <f t="shared" si="5"/>
        <v>1</v>
      </c>
      <c r="J257" s="5" t="b">
        <f t="shared" si="6"/>
        <v>1</v>
      </c>
      <c r="K257" s="15">
        <f t="shared" si="7"/>
        <v>1.02794113</v>
      </c>
      <c r="L257" s="10">
        <f t="shared" si="8"/>
        <v>0.4065500191</v>
      </c>
      <c r="M257" s="10">
        <f>'Precinct Vote Data'!H1014</f>
        <v>0.4777777778</v>
      </c>
      <c r="N257" s="10">
        <f>'Precinct Vote Data'!H1015</f>
        <v>0.4538914323</v>
      </c>
      <c r="O257" s="10">
        <f>'Precinct Vote Data'!H1016</f>
        <v>0.4262574595</v>
      </c>
      <c r="U257" s="16">
        <f t="shared" si="9"/>
        <v>-2.804390522</v>
      </c>
      <c r="V257" s="5" t="b">
        <f t="shared" si="10"/>
        <v>1</v>
      </c>
      <c r="W257" s="5">
        <f t="shared" si="11"/>
        <v>3.347201944</v>
      </c>
      <c r="X257" s="5">
        <f t="shared" si="12"/>
        <v>0.8336464859</v>
      </c>
      <c r="Y257" s="5">
        <f t="shared" si="13"/>
        <v>2.804390522</v>
      </c>
      <c r="Z257" s="10">
        <f>MIN(1,MAX(0,(5.3914776420524+0.021102849201698*'Precinct Vote Data'!I1017*100+(-5.72594740176815)*1+0.927016741366831*(O257*100))/100))</f>
        <v>0.3885933601</v>
      </c>
      <c r="AA257" s="16">
        <f t="shared" si="14"/>
        <v>-4.600056423</v>
      </c>
      <c r="AB257" s="5" t="b">
        <f t="shared" si="15"/>
        <v>1</v>
      </c>
      <c r="AC257" s="5">
        <f t="shared" si="16"/>
        <v>4.600056423</v>
      </c>
    </row>
    <row r="258" ht="15.0" customHeight="1">
      <c r="A258" s="5" t="s">
        <v>282</v>
      </c>
      <c r="B258" s="5" t="s">
        <v>326</v>
      </c>
      <c r="C258" s="5" t="s">
        <v>124</v>
      </c>
      <c r="D258" s="10">
        <f t="shared" si="1"/>
        <v>0.4863535884</v>
      </c>
      <c r="E258" s="10">
        <f>'Precinct Vote Data'!H1021</f>
        <v>0.515942029</v>
      </c>
      <c r="F258" s="16">
        <f t="shared" si="2"/>
        <v>-2.958844056</v>
      </c>
      <c r="G258" s="10">
        <f t="shared" si="3"/>
        <v>0.5076608784</v>
      </c>
      <c r="H258" s="16">
        <f t="shared" si="4"/>
        <v>-0.8281150538</v>
      </c>
      <c r="I258" s="5" t="b">
        <f t="shared" si="5"/>
        <v>0</v>
      </c>
      <c r="J258" s="5" t="b">
        <f t="shared" si="6"/>
        <v>1</v>
      </c>
      <c r="K258" s="15">
        <f t="shared" si="7"/>
        <v>0.8074095093</v>
      </c>
      <c r="L258" s="10">
        <f t="shared" si="8"/>
        <v>0.4921814173</v>
      </c>
      <c r="M258" s="10">
        <f>'Precinct Vote Data'!H1018</f>
        <v>0.5557251908</v>
      </c>
      <c r="N258" s="10">
        <f>'Precinct Vote Data'!H1019</f>
        <v>0.5398676332</v>
      </c>
      <c r="O258" s="10">
        <f>'Precinct Vote Data'!H1020</f>
        <v>0.5076608784</v>
      </c>
      <c r="U258" s="16">
        <f t="shared" si="9"/>
        <v>-2.376061165</v>
      </c>
      <c r="V258" s="5" t="b">
        <f t="shared" si="10"/>
        <v>0</v>
      </c>
      <c r="W258" s="5">
        <f t="shared" si="11"/>
        <v>2.958844056</v>
      </c>
      <c r="X258" s="5">
        <f t="shared" si="12"/>
        <v>0.8281150538</v>
      </c>
      <c r="Y258" s="5">
        <f t="shared" si="13"/>
        <v>2.376061165</v>
      </c>
      <c r="Z258" s="10">
        <f>MIN(1,MAX(0,(5.3914776420524+0.021102849201698*'Precinct Vote Data'!I1021*100+(-5.72594740176815)*1+0.927016741366831*(O258*100))/100))</f>
        <v>0.4690908321</v>
      </c>
      <c r="AA258" s="16">
        <f t="shared" si="14"/>
        <v>-4.685119687</v>
      </c>
      <c r="AB258" s="5" t="b">
        <f t="shared" si="15"/>
        <v>0</v>
      </c>
      <c r="AC258" s="5">
        <f t="shared" si="16"/>
        <v>4.685119687</v>
      </c>
    </row>
    <row r="259" ht="15.0" customHeight="1">
      <c r="A259" s="5" t="s">
        <v>327</v>
      </c>
      <c r="B259" s="5" t="s">
        <v>328</v>
      </c>
      <c r="C259" s="5" t="s">
        <v>18</v>
      </c>
      <c r="D259" s="10">
        <f t="shared" si="1"/>
        <v>0.3917572645</v>
      </c>
      <c r="E259" s="10">
        <f>'Precinct Vote Data'!H1025</f>
        <v>0.4050707547</v>
      </c>
      <c r="F259" s="16">
        <f t="shared" si="2"/>
        <v>-1.331349018</v>
      </c>
      <c r="G259" s="10">
        <f t="shared" si="3"/>
        <v>0.413197172</v>
      </c>
      <c r="H259" s="16">
        <f t="shared" si="4"/>
        <v>0.8126417318</v>
      </c>
      <c r="I259" s="5" t="b">
        <f t="shared" si="5"/>
        <v>1</v>
      </c>
      <c r="J259" s="5" t="b">
        <f t="shared" si="6"/>
        <v>1</v>
      </c>
      <c r="K259" s="15">
        <f t="shared" si="7"/>
        <v>1.249543122</v>
      </c>
      <c r="L259" s="10">
        <f t="shared" si="8"/>
        <v>0.3892412315</v>
      </c>
      <c r="M259" s="10">
        <f>'Precinct Vote Data'!H1022</f>
        <v>0.4315589354</v>
      </c>
      <c r="N259" s="10">
        <f>'Precinct Vote Data'!H1023</f>
        <v>0.3856009762</v>
      </c>
      <c r="O259" s="10">
        <f>'Precinct Vote Data'!H1024</f>
        <v>0.413197172</v>
      </c>
      <c r="U259" s="16">
        <f t="shared" si="9"/>
        <v>-1.582952319</v>
      </c>
      <c r="V259" s="5" t="b">
        <f t="shared" si="10"/>
        <v>1</v>
      </c>
      <c r="W259" s="5">
        <f t="shared" si="11"/>
        <v>1.331349018</v>
      </c>
      <c r="X259" s="5">
        <f t="shared" si="12"/>
        <v>0.8126417318</v>
      </c>
      <c r="Y259" s="5">
        <f t="shared" si="13"/>
        <v>1.582952319</v>
      </c>
      <c r="Z259" s="10">
        <f>MIN(1,MAX(0,(5.3914776420524+0.021102849201698*'Precinct Vote Data'!I1025*100+(-5.72594740176815)*1+0.927016741366831*(O259*100))/100))</f>
        <v>0.37681968</v>
      </c>
      <c r="AA259" s="16">
        <f t="shared" si="14"/>
        <v>-2.82510747</v>
      </c>
      <c r="AB259" s="5" t="b">
        <f t="shared" si="15"/>
        <v>1</v>
      </c>
      <c r="AC259" s="5">
        <f t="shared" si="16"/>
        <v>2.82510747</v>
      </c>
    </row>
    <row r="260" ht="15.0" customHeight="1">
      <c r="A260" s="5" t="s">
        <v>327</v>
      </c>
      <c r="B260" s="5" t="s">
        <v>329</v>
      </c>
      <c r="C260" s="5" t="s">
        <v>146</v>
      </c>
      <c r="D260" s="10">
        <f t="shared" si="1"/>
        <v>0.4266957494</v>
      </c>
      <c r="E260" s="10">
        <f>'Precinct Vote Data'!H1029</f>
        <v>0.4093264249</v>
      </c>
      <c r="F260" s="16">
        <f t="shared" si="2"/>
        <v>1.736932454</v>
      </c>
      <c r="G260" s="10">
        <f t="shared" si="3"/>
        <v>0.4527363184</v>
      </c>
      <c r="H260" s="16">
        <f t="shared" si="4"/>
        <v>4.340989354</v>
      </c>
      <c r="I260" s="5" t="b">
        <f t="shared" si="5"/>
        <v>1</v>
      </c>
      <c r="J260" s="5" t="b">
        <f t="shared" si="6"/>
        <v>1</v>
      </c>
      <c r="K260" s="15">
        <f t="shared" si="7"/>
        <v>1.348774505</v>
      </c>
      <c r="L260" s="10">
        <f t="shared" si="8"/>
        <v>0.4268779377</v>
      </c>
      <c r="M260" s="10">
        <f>'Precinct Vote Data'!H1026</f>
        <v>0.486631016</v>
      </c>
      <c r="N260" s="10">
        <f>'Precinct Vote Data'!H1027</f>
        <v>0.4424040067</v>
      </c>
      <c r="O260" s="10">
        <f>'Precinct Vote Data'!H1028</f>
        <v>0.4527363184</v>
      </c>
      <c r="U260" s="16">
        <f t="shared" si="9"/>
        <v>1.755151281</v>
      </c>
      <c r="V260" s="5" t="b">
        <f t="shared" si="10"/>
        <v>1</v>
      </c>
      <c r="W260" s="5">
        <f t="shared" si="11"/>
        <v>1.736932454</v>
      </c>
      <c r="X260" s="5">
        <f t="shared" si="12"/>
        <v>4.340989354</v>
      </c>
      <c r="Y260" s="5">
        <f t="shared" si="13"/>
        <v>1.755151281</v>
      </c>
      <c r="Z260" s="10">
        <f>MIN(1,MAX(0,(5.3914776420524+0.021102849201698*'Precinct Vote Data'!I1029*100+(-5.72594740176815)*1+0.927016741366831*(O260*100))/100))</f>
        <v>0.4147751764</v>
      </c>
      <c r="AA260" s="16">
        <f t="shared" si="14"/>
        <v>0.5448751571</v>
      </c>
      <c r="AB260" s="5" t="b">
        <f t="shared" si="15"/>
        <v>1</v>
      </c>
      <c r="AC260" s="5">
        <f t="shared" si="16"/>
        <v>0.5448751571</v>
      </c>
    </row>
    <row r="261" ht="15.0" customHeight="1">
      <c r="A261" s="5" t="s">
        <v>327</v>
      </c>
      <c r="B261" s="5" t="s">
        <v>329</v>
      </c>
      <c r="C261" s="5" t="s">
        <v>147</v>
      </c>
      <c r="D261" s="10">
        <f t="shared" si="1"/>
        <v>0.4035812445</v>
      </c>
      <c r="E261" s="10">
        <f>'Precinct Vote Data'!H1033</f>
        <v>0.4327272727</v>
      </c>
      <c r="F261" s="16">
        <f t="shared" si="2"/>
        <v>-2.914602823</v>
      </c>
      <c r="G261" s="10">
        <f t="shared" si="3"/>
        <v>0.4652956298</v>
      </c>
      <c r="H261" s="16">
        <f t="shared" si="4"/>
        <v>3.256835709</v>
      </c>
      <c r="I261" s="5" t="b">
        <f t="shared" si="5"/>
        <v>1</v>
      </c>
      <c r="J261" s="5" t="b">
        <f t="shared" si="6"/>
        <v>1</v>
      </c>
      <c r="K261" s="15">
        <f t="shared" si="7"/>
        <v>3.355028091</v>
      </c>
      <c r="L261" s="10">
        <f t="shared" si="8"/>
        <v>0.4009738374</v>
      </c>
      <c r="M261" s="10">
        <f>'Precinct Vote Data'!H1030</f>
        <v>0.5347432024</v>
      </c>
      <c r="N261" s="10">
        <f>'Precinct Vote Data'!H1031</f>
        <v>0.419047619</v>
      </c>
      <c r="O261" s="10">
        <f>'Precinct Vote Data'!H1032</f>
        <v>0.4652956298</v>
      </c>
      <c r="U261" s="16">
        <f t="shared" si="9"/>
        <v>-3.175343533</v>
      </c>
      <c r="V261" s="5" t="b">
        <f t="shared" si="10"/>
        <v>1</v>
      </c>
      <c r="W261" s="5">
        <f t="shared" si="11"/>
        <v>2.914602823</v>
      </c>
      <c r="X261" s="5">
        <f t="shared" si="12"/>
        <v>3.256835709</v>
      </c>
      <c r="Y261" s="5">
        <f t="shared" si="13"/>
        <v>3.175343533</v>
      </c>
      <c r="Z261" s="10">
        <f>MIN(1,MAX(0,(5.3914776420524+0.021102849201698*'Precinct Vote Data'!I1033*100+(-5.72594740176815)*1+0.927016741366831*(O261*100))/100))</f>
        <v>0.4264052067</v>
      </c>
      <c r="AA261" s="16">
        <f t="shared" si="14"/>
        <v>-0.6322066056</v>
      </c>
      <c r="AB261" s="5" t="b">
        <f t="shared" si="15"/>
        <v>1</v>
      </c>
      <c r="AC261" s="5">
        <f t="shared" si="16"/>
        <v>0.6322066056</v>
      </c>
    </row>
    <row r="262" ht="15.0" customHeight="1">
      <c r="A262" s="5" t="s">
        <v>327</v>
      </c>
      <c r="B262" s="5" t="s">
        <v>329</v>
      </c>
      <c r="C262" s="5" t="s">
        <v>55</v>
      </c>
      <c r="D262" s="10">
        <f t="shared" si="1"/>
        <v>0.4381997989</v>
      </c>
      <c r="E262" s="10">
        <f>'Precinct Vote Data'!H1037</f>
        <v>0.4158576052</v>
      </c>
      <c r="F262" s="16">
        <f t="shared" si="2"/>
        <v>2.234219376</v>
      </c>
      <c r="G262" s="10">
        <f t="shared" si="3"/>
        <v>0.4511930586</v>
      </c>
      <c r="H262" s="16">
        <f t="shared" si="4"/>
        <v>3.533545339</v>
      </c>
      <c r="I262" s="5" t="b">
        <f t="shared" si="5"/>
        <v>1</v>
      </c>
      <c r="J262" s="5" t="b">
        <f t="shared" si="6"/>
        <v>1</v>
      </c>
      <c r="K262" s="15">
        <f t="shared" si="7"/>
        <v>0.9275495587</v>
      </c>
      <c r="L262" s="10">
        <f t="shared" si="8"/>
        <v>0.4334103013</v>
      </c>
      <c r="M262" s="10">
        <f>'Precinct Vote Data'!H1034</f>
        <v>0.4506329114</v>
      </c>
      <c r="N262" s="10">
        <f>'Precinct Vote Data'!H1035</f>
        <v>0.4110929853</v>
      </c>
      <c r="O262" s="10">
        <f>'Precinct Vote Data'!H1036</f>
        <v>0.4511930586</v>
      </c>
      <c r="U262" s="16">
        <f t="shared" si="9"/>
        <v>1.755269612</v>
      </c>
      <c r="V262" s="5" t="b">
        <f t="shared" si="10"/>
        <v>1</v>
      </c>
      <c r="W262" s="5">
        <f t="shared" si="11"/>
        <v>2.234219376</v>
      </c>
      <c r="X262" s="5">
        <f t="shared" si="12"/>
        <v>3.533545339</v>
      </c>
      <c r="Y262" s="5">
        <f t="shared" si="13"/>
        <v>1.755269612</v>
      </c>
      <c r="Z262" s="10">
        <f>MIN(1,MAX(0,(5.3914776420524+0.021102849201698*'Precinct Vote Data'!I1037*100+(-5.72594740176815)*1+0.927016741366831*(O262*100))/100))</f>
        <v>0.4129858003</v>
      </c>
      <c r="AA262" s="16">
        <f t="shared" si="14"/>
        <v>-0.2871804881</v>
      </c>
      <c r="AB262" s="5" t="b">
        <f t="shared" si="15"/>
        <v>1</v>
      </c>
      <c r="AC262" s="5">
        <f t="shared" si="16"/>
        <v>0.2871804881</v>
      </c>
    </row>
    <row r="263" ht="15.0" customHeight="1">
      <c r="A263" s="5" t="s">
        <v>327</v>
      </c>
      <c r="B263" s="5" t="s">
        <v>329</v>
      </c>
      <c r="C263" s="5" t="s">
        <v>57</v>
      </c>
      <c r="D263" s="10">
        <f t="shared" si="1"/>
        <v>0.3665338129</v>
      </c>
      <c r="E263" s="10">
        <f>'Precinct Vote Data'!H1041</f>
        <v>0.3940972222</v>
      </c>
      <c r="F263" s="16">
        <f t="shared" si="2"/>
        <v>-2.756340932</v>
      </c>
      <c r="G263" s="10">
        <f t="shared" si="3"/>
        <v>0.3901234568</v>
      </c>
      <c r="H263" s="16">
        <f t="shared" si="4"/>
        <v>-0.3973765432</v>
      </c>
      <c r="I263" s="5" t="b">
        <f t="shared" si="5"/>
        <v>1</v>
      </c>
      <c r="J263" s="5" t="b">
        <f t="shared" si="6"/>
        <v>1</v>
      </c>
      <c r="K263" s="15">
        <f t="shared" si="7"/>
        <v>1.081696792</v>
      </c>
      <c r="L263" s="10">
        <f t="shared" si="8"/>
        <v>0.3693854258</v>
      </c>
      <c r="M263" s="10">
        <f>'Precinct Vote Data'!H1038</f>
        <v>0.4304461942</v>
      </c>
      <c r="N263" s="10">
        <f>'Precinct Vote Data'!H1039</f>
        <v>0.4</v>
      </c>
      <c r="O263" s="10">
        <f>'Precinct Vote Data'!H1040</f>
        <v>0.3901234568</v>
      </c>
      <c r="U263" s="16">
        <f t="shared" si="9"/>
        <v>-2.471179642</v>
      </c>
      <c r="V263" s="5" t="b">
        <f t="shared" si="10"/>
        <v>1</v>
      </c>
      <c r="W263" s="5">
        <f t="shared" si="11"/>
        <v>2.756340932</v>
      </c>
      <c r="X263" s="5">
        <f t="shared" si="12"/>
        <v>0.3973765432</v>
      </c>
      <c r="Y263" s="5">
        <f t="shared" si="13"/>
        <v>2.471179642</v>
      </c>
      <c r="Z263" s="10">
        <f>MIN(1,MAX(0,(5.3914776420524+0.021102849201698*'Precinct Vote Data'!I1041*100+(-5.72594740176815)*1+0.927016741366831*(O263*100))/100))</f>
        <v>0.3547799919</v>
      </c>
      <c r="AA263" s="16">
        <f t="shared" si="14"/>
        <v>-3.931723028</v>
      </c>
      <c r="AB263" s="5" t="b">
        <f t="shared" si="15"/>
        <v>1</v>
      </c>
      <c r="AC263" s="5">
        <f t="shared" si="16"/>
        <v>3.931723028</v>
      </c>
    </row>
    <row r="264" ht="15.0" customHeight="1">
      <c r="A264" s="5" t="s">
        <v>327</v>
      </c>
      <c r="B264" s="5" t="s">
        <v>330</v>
      </c>
      <c r="C264" s="5" t="s">
        <v>59</v>
      </c>
      <c r="D264" s="10">
        <f t="shared" si="1"/>
        <v>0.4516923643</v>
      </c>
      <c r="E264" s="10">
        <f>'Precinct Vote Data'!H1045</f>
        <v>0.461823573</v>
      </c>
      <c r="F264" s="16">
        <f t="shared" si="2"/>
        <v>-1.013120873</v>
      </c>
      <c r="G264" s="10">
        <f t="shared" si="3"/>
        <v>0.4622641509</v>
      </c>
      <c r="H264" s="16">
        <f t="shared" si="4"/>
        <v>0.04405779263</v>
      </c>
      <c r="I264" s="5" t="b">
        <f t="shared" si="5"/>
        <v>1</v>
      </c>
      <c r="J264" s="5" t="b">
        <f t="shared" si="6"/>
        <v>1</v>
      </c>
      <c r="K264" s="15">
        <f t="shared" si="7"/>
        <v>0.5737585477</v>
      </c>
      <c r="L264" s="10">
        <f t="shared" si="8"/>
        <v>0.4512641899</v>
      </c>
      <c r="M264" s="10">
        <f>'Precinct Vote Data'!H1042</f>
        <v>0.4742268041</v>
      </c>
      <c r="N264" s="10">
        <f>'Precinct Vote Data'!H1043</f>
        <v>0.4544740973</v>
      </c>
      <c r="O264" s="10">
        <f>'Precinct Vote Data'!H1044</f>
        <v>0.4622641509</v>
      </c>
      <c r="U264" s="16">
        <f t="shared" si="9"/>
        <v>-1.055938309</v>
      </c>
      <c r="V264" s="5" t="b">
        <f t="shared" si="10"/>
        <v>1</v>
      </c>
      <c r="W264" s="5">
        <f t="shared" si="11"/>
        <v>1.013120873</v>
      </c>
      <c r="X264" s="5">
        <f t="shared" si="12"/>
        <v>0.04405779263</v>
      </c>
      <c r="Y264" s="5">
        <f t="shared" si="13"/>
        <v>1.055938309</v>
      </c>
      <c r="Z264" s="10">
        <f>MIN(1,MAX(0,(5.3914776420524+0.021102849201698*'Precinct Vote Data'!I1045*100+(-5.72594740176815)*1+0.927016741366831*(O264*100))/100))</f>
        <v>0.4244496404</v>
      </c>
      <c r="AA264" s="16">
        <f t="shared" si="14"/>
        <v>-3.737393262</v>
      </c>
      <c r="AB264" s="5" t="b">
        <f t="shared" si="15"/>
        <v>1</v>
      </c>
      <c r="AC264" s="5">
        <f t="shared" si="16"/>
        <v>3.737393262</v>
      </c>
    </row>
    <row r="265" ht="15.0" customHeight="1">
      <c r="A265" s="5" t="s">
        <v>327</v>
      </c>
      <c r="B265" s="5" t="s">
        <v>157</v>
      </c>
      <c r="C265" s="5" t="s">
        <v>60</v>
      </c>
      <c r="D265" s="10">
        <f t="shared" si="1"/>
        <v>0.7642487775</v>
      </c>
      <c r="E265" s="10">
        <f>'Precinct Vote Data'!H1049</f>
        <v>0.7154213037</v>
      </c>
      <c r="F265" s="16">
        <f t="shared" si="2"/>
        <v>4.882747382</v>
      </c>
      <c r="G265" s="10">
        <f t="shared" si="3"/>
        <v>0.793258427</v>
      </c>
      <c r="H265" s="16">
        <f t="shared" si="4"/>
        <v>7.783712331</v>
      </c>
      <c r="I265" s="5" t="b">
        <f t="shared" si="5"/>
        <v>1</v>
      </c>
      <c r="J265" s="5" t="b">
        <f t="shared" si="6"/>
        <v>1</v>
      </c>
      <c r="K265" s="15">
        <f t="shared" si="7"/>
        <v>1.65393366</v>
      </c>
      <c r="L265" s="10">
        <f t="shared" si="8"/>
        <v>0.7615496082</v>
      </c>
      <c r="M265" s="10">
        <f>'Precinct Vote Data'!H1046</f>
        <v>0.8206278027</v>
      </c>
      <c r="N265" s="10">
        <f>'Precinct Vote Data'!H1047</f>
        <v>0.76096823</v>
      </c>
      <c r="O265" s="10">
        <f>'Precinct Vote Data'!H1048</f>
        <v>0.793258427</v>
      </c>
      <c r="U265" s="16">
        <f t="shared" si="9"/>
        <v>4.612830459</v>
      </c>
      <c r="V265" s="5" t="b">
        <f t="shared" si="10"/>
        <v>1</v>
      </c>
      <c r="W265" s="5">
        <f t="shared" si="11"/>
        <v>4.882747382</v>
      </c>
      <c r="X265" s="5">
        <f t="shared" si="12"/>
        <v>7.783712331</v>
      </c>
      <c r="Y265" s="5">
        <f t="shared" si="13"/>
        <v>4.612830459</v>
      </c>
      <c r="Z265" s="10">
        <f>MIN(1,MAX(0,(5.3914776420524+0.021102849201698*'Precinct Vote Data'!I1049*100+(-5.72594740176815)*1+0.927016741366831*(O265*100))/100))</f>
        <v>0.7422054897</v>
      </c>
      <c r="AA265" s="16">
        <f t="shared" si="14"/>
        <v>2.678418608</v>
      </c>
      <c r="AB265" s="5" t="b">
        <f t="shared" si="15"/>
        <v>1</v>
      </c>
      <c r="AC265" s="5">
        <f t="shared" si="16"/>
        <v>2.678418608</v>
      </c>
    </row>
    <row r="266" ht="15.0" customHeight="1">
      <c r="A266" s="5" t="s">
        <v>327</v>
      </c>
      <c r="B266" s="5" t="s">
        <v>157</v>
      </c>
      <c r="C266" s="5" t="s">
        <v>63</v>
      </c>
      <c r="D266" s="10">
        <f t="shared" si="1"/>
        <v>0.7152376515</v>
      </c>
      <c r="E266" s="10">
        <f>'Precinct Vote Data'!H1053</f>
        <v>0.7330016584</v>
      </c>
      <c r="F266" s="16">
        <f t="shared" si="2"/>
        <v>-1.776400686</v>
      </c>
      <c r="G266" s="10">
        <f t="shared" si="3"/>
        <v>0.7514124294</v>
      </c>
      <c r="H266" s="16">
        <f t="shared" si="4"/>
        <v>1.8410771</v>
      </c>
      <c r="I266" s="5" t="b">
        <f t="shared" si="5"/>
        <v>1</v>
      </c>
      <c r="J266" s="5" t="b">
        <f t="shared" si="6"/>
        <v>1</v>
      </c>
      <c r="K266" s="15">
        <f t="shared" si="7"/>
        <v>1.653618887</v>
      </c>
      <c r="L266" s="10">
        <f t="shared" si="8"/>
        <v>0.7197096454</v>
      </c>
      <c r="M266" s="10">
        <f>'Precinct Vote Data'!H1050</f>
        <v>0.8136020151</v>
      </c>
      <c r="N266" s="10">
        <f>'Precinct Vote Data'!H1051</f>
        <v>0.7672672673</v>
      </c>
      <c r="O266" s="10">
        <f>'Precinct Vote Data'!H1052</f>
        <v>0.7514124294</v>
      </c>
      <c r="U266" s="16">
        <f t="shared" si="9"/>
        <v>-1.329201297</v>
      </c>
      <c r="V266" s="5" t="b">
        <f t="shared" si="10"/>
        <v>1</v>
      </c>
      <c r="W266" s="5">
        <f t="shared" si="11"/>
        <v>1.776400686</v>
      </c>
      <c r="X266" s="5">
        <f t="shared" si="12"/>
        <v>1.8410771</v>
      </c>
      <c r="Y266" s="5">
        <f t="shared" si="13"/>
        <v>1.329201297</v>
      </c>
      <c r="Z266" s="10">
        <f>MIN(1,MAX(0,(5.3914776420524+0.021102849201698*'Precinct Vote Data'!I1053*100+(-5.72594740176815)*1+0.927016741366831*(O266*100))/100))</f>
        <v>0.7021790327</v>
      </c>
      <c r="AA266" s="16">
        <f t="shared" si="14"/>
        <v>-3.082262564</v>
      </c>
      <c r="AB266" s="5" t="b">
        <f t="shared" si="15"/>
        <v>1</v>
      </c>
      <c r="AC266" s="5">
        <f t="shared" si="16"/>
        <v>3.082262564</v>
      </c>
    </row>
    <row r="267" ht="15.0" customHeight="1">
      <c r="A267" s="5" t="s">
        <v>327</v>
      </c>
      <c r="B267" s="5" t="s">
        <v>157</v>
      </c>
      <c r="C267" s="5" t="s">
        <v>331</v>
      </c>
      <c r="D267" s="10">
        <f t="shared" si="1"/>
        <v>0.7710936435</v>
      </c>
      <c r="E267" s="10">
        <f>'Precinct Vote Data'!H1057</f>
        <v>0.746882793</v>
      </c>
      <c r="F267" s="16">
        <f t="shared" si="2"/>
        <v>2.42108505</v>
      </c>
      <c r="G267" s="10">
        <f t="shared" si="3"/>
        <v>0.8004535147</v>
      </c>
      <c r="H267" s="16">
        <f t="shared" si="4"/>
        <v>5.357072172</v>
      </c>
      <c r="I267" s="5" t="b">
        <f t="shared" si="5"/>
        <v>1</v>
      </c>
      <c r="J267" s="5" t="b">
        <f t="shared" si="6"/>
        <v>1</v>
      </c>
      <c r="K267" s="15">
        <f t="shared" si="7"/>
        <v>1.518816376</v>
      </c>
      <c r="L267" s="10">
        <f t="shared" si="8"/>
        <v>0.7713351321</v>
      </c>
      <c r="M267" s="10">
        <f>'Precinct Vote Data'!H1054</f>
        <v>0.8387978142</v>
      </c>
      <c r="N267" s="10">
        <f>'Precinct Vote Data'!H1055</f>
        <v>0.7890625</v>
      </c>
      <c r="O267" s="10">
        <f>'Precinct Vote Data'!H1056</f>
        <v>0.8004535147</v>
      </c>
      <c r="U267" s="16">
        <f t="shared" si="9"/>
        <v>2.44523391</v>
      </c>
      <c r="V267" s="5" t="b">
        <f t="shared" si="10"/>
        <v>1</v>
      </c>
      <c r="W267" s="5">
        <f t="shared" si="11"/>
        <v>2.42108505</v>
      </c>
      <c r="X267" s="5">
        <f t="shared" si="12"/>
        <v>5.357072172</v>
      </c>
      <c r="Y267" s="5">
        <f t="shared" si="13"/>
        <v>2.44523391</v>
      </c>
      <c r="Z267" s="10">
        <f>MIN(1,MAX(0,(5.3914776420524+0.021102849201698*'Precinct Vote Data'!I1057*100+(-5.72594740176815)*1+0.927016741366831*(O267*100))/100))</f>
        <v>0.7475248742</v>
      </c>
      <c r="AA267" s="16">
        <f t="shared" si="14"/>
        <v>0.06420811953</v>
      </c>
      <c r="AB267" s="5" t="b">
        <f t="shared" si="15"/>
        <v>1</v>
      </c>
      <c r="AC267" s="5">
        <f t="shared" si="16"/>
        <v>0.06420811953</v>
      </c>
    </row>
    <row r="268" ht="15.0" customHeight="1">
      <c r="A268" s="5" t="s">
        <v>327</v>
      </c>
      <c r="B268" s="5" t="s">
        <v>157</v>
      </c>
      <c r="C268" s="5" t="s">
        <v>74</v>
      </c>
      <c r="D268" s="10">
        <f t="shared" si="1"/>
        <v>0.8683344875</v>
      </c>
      <c r="E268" s="10">
        <f>'Precinct Vote Data'!H1061</f>
        <v>0.81670282</v>
      </c>
      <c r="F268" s="16">
        <f t="shared" si="2"/>
        <v>5.163166751</v>
      </c>
      <c r="G268" s="10">
        <f t="shared" si="3"/>
        <v>0.875792142</v>
      </c>
      <c r="H268" s="16">
        <f t="shared" si="4"/>
        <v>5.9089322</v>
      </c>
      <c r="I268" s="5" t="b">
        <f t="shared" si="5"/>
        <v>1</v>
      </c>
      <c r="J268" s="5" t="b">
        <f t="shared" si="6"/>
        <v>1</v>
      </c>
      <c r="K268" s="15">
        <f t="shared" si="7"/>
        <v>0.7150595617</v>
      </c>
      <c r="L268" s="10">
        <f t="shared" si="8"/>
        <v>0.8620831918</v>
      </c>
      <c r="M268" s="10">
        <f>'Precinct Vote Data'!H1058</f>
        <v>0.862932062</v>
      </c>
      <c r="N268" s="10">
        <f>'Precinct Vote Data'!H1059</f>
        <v>0.8276990185</v>
      </c>
      <c r="O268" s="10">
        <f>'Precinct Vote Data'!H1060</f>
        <v>0.875792142</v>
      </c>
      <c r="U268" s="16">
        <f t="shared" si="9"/>
        <v>4.538037189</v>
      </c>
      <c r="V268" s="5" t="b">
        <f t="shared" si="10"/>
        <v>1</v>
      </c>
      <c r="W268" s="5">
        <f t="shared" si="11"/>
        <v>5.163166751</v>
      </c>
      <c r="X268" s="5">
        <f t="shared" si="12"/>
        <v>5.9089322</v>
      </c>
      <c r="Y268" s="5">
        <f t="shared" si="13"/>
        <v>4.538037189</v>
      </c>
      <c r="Z268" s="10">
        <f>MIN(1,MAX(0,(5.3914776420524+0.021102849201698*'Precinct Vote Data'!I1061*100+(-5.72594740176815)*1+0.927016741366831*(O268*100))/100))</f>
        <v>0.8177047988</v>
      </c>
      <c r="AA268" s="16">
        <f t="shared" si="14"/>
        <v>0.1001978826</v>
      </c>
      <c r="AB268" s="5" t="b">
        <f t="shared" si="15"/>
        <v>1</v>
      </c>
      <c r="AC268" s="5">
        <f t="shared" si="16"/>
        <v>0.1001978826</v>
      </c>
    </row>
    <row r="269" ht="15.0" customHeight="1">
      <c r="A269" s="5" t="s">
        <v>327</v>
      </c>
      <c r="B269" s="5" t="s">
        <v>157</v>
      </c>
      <c r="C269" s="5" t="s">
        <v>332</v>
      </c>
      <c r="D269" s="10">
        <f t="shared" si="1"/>
        <v>0.758607582</v>
      </c>
      <c r="E269" s="10">
        <f>'Precinct Vote Data'!H1065</f>
        <v>0.7263513514</v>
      </c>
      <c r="F269" s="16">
        <f t="shared" si="2"/>
        <v>3.225623063</v>
      </c>
      <c r="G269" s="10">
        <f t="shared" si="3"/>
        <v>0.7939914163</v>
      </c>
      <c r="H269" s="16">
        <f t="shared" si="4"/>
        <v>6.764006496</v>
      </c>
      <c r="I269" s="5" t="b">
        <f t="shared" si="5"/>
        <v>1</v>
      </c>
      <c r="J269" s="5" t="b">
        <f t="shared" si="6"/>
        <v>1</v>
      </c>
      <c r="K269" s="15">
        <f t="shared" si="7"/>
        <v>1.872438633</v>
      </c>
      <c r="L269" s="10">
        <f t="shared" si="8"/>
        <v>0.7580934727</v>
      </c>
      <c r="M269" s="10">
        <f>'Precinct Vote Data'!H1062</f>
        <v>0.8373205742</v>
      </c>
      <c r="N269" s="10">
        <f>'Precinct Vote Data'!H1063</f>
        <v>0.774498229</v>
      </c>
      <c r="O269" s="10">
        <f>'Precinct Vote Data'!H1064</f>
        <v>0.7939914163</v>
      </c>
      <c r="U269" s="16">
        <f t="shared" si="9"/>
        <v>3.174212139</v>
      </c>
      <c r="V269" s="5" t="b">
        <f t="shared" si="10"/>
        <v>1</v>
      </c>
      <c r="W269" s="5">
        <f t="shared" si="11"/>
        <v>3.225623063</v>
      </c>
      <c r="X269" s="5">
        <f t="shared" si="12"/>
        <v>6.764006496</v>
      </c>
      <c r="Y269" s="5">
        <f t="shared" si="13"/>
        <v>3.174212139</v>
      </c>
      <c r="Z269" s="10">
        <f>MIN(1,MAX(0,(5.3914776420524+0.021102849201698*'Precinct Vote Data'!I1065*100+(-5.72594740176815)*1+0.927016741366831*(O269*100))/100))</f>
        <v>0.7413233723</v>
      </c>
      <c r="AA269" s="16">
        <f t="shared" si="14"/>
        <v>1.497202094</v>
      </c>
      <c r="AB269" s="5" t="b">
        <f t="shared" si="15"/>
        <v>1</v>
      </c>
      <c r="AC269" s="5">
        <f t="shared" si="16"/>
        <v>1.497202094</v>
      </c>
    </row>
    <row r="270" ht="15.0" customHeight="1">
      <c r="A270" s="5" t="s">
        <v>327</v>
      </c>
      <c r="B270" s="5" t="s">
        <v>157</v>
      </c>
      <c r="C270" s="5" t="s">
        <v>87</v>
      </c>
      <c r="D270" s="10">
        <f t="shared" si="1"/>
        <v>0.6874882542</v>
      </c>
      <c r="E270" s="10">
        <f>'Precinct Vote Data'!H1069</f>
        <v>0.7016759777</v>
      </c>
      <c r="F270" s="16">
        <f t="shared" si="2"/>
        <v>-1.418772345</v>
      </c>
      <c r="G270" s="10">
        <f t="shared" si="3"/>
        <v>0.7605633803</v>
      </c>
      <c r="H270" s="16">
        <f t="shared" si="4"/>
        <v>5.888740263</v>
      </c>
      <c r="I270" s="5" t="b">
        <f t="shared" si="5"/>
        <v>1</v>
      </c>
      <c r="J270" s="5" t="b">
        <f t="shared" si="6"/>
        <v>1</v>
      </c>
      <c r="K270" s="15">
        <f t="shared" si="7"/>
        <v>3.662075275</v>
      </c>
      <c r="L270" s="10">
        <f t="shared" si="8"/>
        <v>0.690354953</v>
      </c>
      <c r="M270" s="10">
        <f>'Precinct Vote Data'!H1066</f>
        <v>0.8641114983</v>
      </c>
      <c r="N270" s="10">
        <f>'Precinct Vote Data'!H1067</f>
        <v>0.748434238</v>
      </c>
      <c r="O270" s="10">
        <f>'Precinct Vote Data'!H1068</f>
        <v>0.7605633803</v>
      </c>
      <c r="U270" s="16">
        <f t="shared" si="9"/>
        <v>-1.132102464</v>
      </c>
      <c r="V270" s="5" t="b">
        <f t="shared" si="10"/>
        <v>1</v>
      </c>
      <c r="W270" s="5">
        <f t="shared" si="11"/>
        <v>1.418772345</v>
      </c>
      <c r="X270" s="5">
        <f t="shared" si="12"/>
        <v>5.888740263</v>
      </c>
      <c r="Y270" s="5">
        <f t="shared" si="13"/>
        <v>1.132102464</v>
      </c>
      <c r="Z270" s="10">
        <f>MIN(1,MAX(0,(5.3914776420524+0.021102849201698*'Precinct Vote Data'!I1069*100+(-5.72594740176815)*1+0.927016741366831*(O270*100))/100))</f>
        <v>0.7112466663</v>
      </c>
      <c r="AA270" s="16">
        <f t="shared" si="14"/>
        <v>0.9570688695</v>
      </c>
      <c r="AB270" s="5" t="b">
        <f t="shared" si="15"/>
        <v>1</v>
      </c>
      <c r="AC270" s="5">
        <f t="shared" si="16"/>
        <v>0.9570688695</v>
      </c>
    </row>
    <row r="271" ht="15.0" customHeight="1">
      <c r="A271" s="5" t="s">
        <v>327</v>
      </c>
      <c r="B271" s="5" t="s">
        <v>157</v>
      </c>
      <c r="C271" s="5" t="s">
        <v>88</v>
      </c>
      <c r="D271" s="10">
        <f t="shared" si="1"/>
        <v>0.7198107507</v>
      </c>
      <c r="E271" s="10">
        <f>'Precinct Vote Data'!H1073</f>
        <v>0.7555910543</v>
      </c>
      <c r="F271" s="16">
        <f t="shared" si="2"/>
        <v>-3.578030362</v>
      </c>
      <c r="G271" s="10">
        <f t="shared" si="3"/>
        <v>0.7304964539</v>
      </c>
      <c r="H271" s="16">
        <f t="shared" si="4"/>
        <v>-2.509460041</v>
      </c>
      <c r="I271" s="5" t="b">
        <f t="shared" si="5"/>
        <v>1</v>
      </c>
      <c r="J271" s="5" t="b">
        <f t="shared" si="6"/>
        <v>1</v>
      </c>
      <c r="K271" s="15">
        <f t="shared" si="7"/>
        <v>0.5995060412</v>
      </c>
      <c r="L271" s="10">
        <f t="shared" si="8"/>
        <v>0.7190028681</v>
      </c>
      <c r="M271" s="10">
        <f>'Precinct Vote Data'!H1070</f>
        <v>0.7412451362</v>
      </c>
      <c r="N271" s="10">
        <f>'Precinct Vote Data'!H1071</f>
        <v>0.7199367089</v>
      </c>
      <c r="O271" s="10">
        <f>'Precinct Vote Data'!H1072</f>
        <v>0.7304964539</v>
      </c>
      <c r="U271" s="16">
        <f t="shared" si="9"/>
        <v>-3.658818619</v>
      </c>
      <c r="V271" s="5" t="b">
        <f t="shared" si="10"/>
        <v>1</v>
      </c>
      <c r="W271" s="5">
        <f t="shared" si="11"/>
        <v>3.578030362</v>
      </c>
      <c r="X271" s="5">
        <f t="shared" si="12"/>
        <v>2.509460041</v>
      </c>
      <c r="Y271" s="5">
        <f t="shared" si="13"/>
        <v>3.658818619</v>
      </c>
      <c r="Z271" s="10">
        <f>MIN(1,MAX(0,(5.3914776420524+0.021102849201698*'Precinct Vote Data'!I1073*100+(-5.72594740176815)*1+0.927016741366831*(O271*100))/100))</f>
        <v>0.6805400096</v>
      </c>
      <c r="AA271" s="16">
        <f t="shared" si="14"/>
        <v>-7.505104473</v>
      </c>
      <c r="AB271" s="5" t="b">
        <f t="shared" si="15"/>
        <v>1</v>
      </c>
      <c r="AC271" s="5">
        <f t="shared" si="16"/>
        <v>7.505104473</v>
      </c>
    </row>
    <row r="272" ht="15.0" customHeight="1">
      <c r="A272" s="5" t="s">
        <v>327</v>
      </c>
      <c r="B272" s="5" t="s">
        <v>157</v>
      </c>
      <c r="C272" s="5" t="s">
        <v>89</v>
      </c>
      <c r="D272" s="10">
        <f t="shared" si="1"/>
        <v>0.7170691824</v>
      </c>
      <c r="E272" s="10">
        <f>'Precinct Vote Data'!H1077</f>
        <v>0.7122370937</v>
      </c>
      <c r="F272" s="16">
        <f t="shared" si="2"/>
        <v>0.4832088663</v>
      </c>
      <c r="G272" s="10">
        <f t="shared" si="3"/>
        <v>0.7418478261</v>
      </c>
      <c r="H272" s="16">
        <f t="shared" si="4"/>
        <v>2.96107324</v>
      </c>
      <c r="I272" s="5" t="b">
        <f t="shared" si="5"/>
        <v>1</v>
      </c>
      <c r="J272" s="5" t="b">
        <f t="shared" si="6"/>
        <v>1</v>
      </c>
      <c r="K272" s="15">
        <f t="shared" si="7"/>
        <v>1.36433155</v>
      </c>
      <c r="L272" s="10">
        <f t="shared" si="8"/>
        <v>0.7156911894</v>
      </c>
      <c r="M272" s="10">
        <f>'Precinct Vote Data'!H1074</f>
        <v>0.7685459941</v>
      </c>
      <c r="N272" s="10">
        <f>'Precinct Vote Data'!H1075</f>
        <v>0.7209082308</v>
      </c>
      <c r="O272" s="10">
        <f>'Precinct Vote Data'!H1076</f>
        <v>0.7418478261</v>
      </c>
      <c r="U272" s="16">
        <f t="shared" si="9"/>
        <v>0.3454095736</v>
      </c>
      <c r="V272" s="5" t="b">
        <f t="shared" si="10"/>
        <v>1</v>
      </c>
      <c r="W272" s="5">
        <f t="shared" si="11"/>
        <v>0.4832088663</v>
      </c>
      <c r="X272" s="5">
        <f t="shared" si="12"/>
        <v>2.96107324</v>
      </c>
      <c r="Y272" s="5">
        <f t="shared" si="13"/>
        <v>0.3454095736</v>
      </c>
      <c r="Z272" s="10">
        <f>MIN(1,MAX(0,(5.3914776420524+0.021102849201698*'Precinct Vote Data'!I1077*100+(-5.72594740176815)*1+0.927016741366831*(O272*100))/100))</f>
        <v>0.6922446812</v>
      </c>
      <c r="AA272" s="16">
        <f t="shared" si="14"/>
        <v>-1.99924125</v>
      </c>
      <c r="AB272" s="5" t="b">
        <f t="shared" si="15"/>
        <v>1</v>
      </c>
      <c r="AC272" s="5">
        <f t="shared" si="16"/>
        <v>1.99924125</v>
      </c>
    </row>
    <row r="273" ht="15.0" customHeight="1">
      <c r="A273" s="5" t="s">
        <v>327</v>
      </c>
      <c r="B273" s="5" t="s">
        <v>157</v>
      </c>
      <c r="C273" s="5" t="s">
        <v>91</v>
      </c>
      <c r="D273" s="10">
        <f t="shared" si="1"/>
        <v>0.6834849494</v>
      </c>
      <c r="E273" s="10">
        <f>'Precinct Vote Data'!H1081</f>
        <v>0.6854271357</v>
      </c>
      <c r="F273" s="16">
        <f t="shared" si="2"/>
        <v>-0.1942186256</v>
      </c>
      <c r="G273" s="10">
        <f t="shared" si="3"/>
        <v>0.7155555556</v>
      </c>
      <c r="H273" s="16">
        <f t="shared" si="4"/>
        <v>3.012841988</v>
      </c>
      <c r="I273" s="5" t="b">
        <f t="shared" si="5"/>
        <v>1</v>
      </c>
      <c r="J273" s="5" t="b">
        <f t="shared" si="6"/>
        <v>1</v>
      </c>
      <c r="K273" s="15">
        <f t="shared" si="7"/>
        <v>1.49562562</v>
      </c>
      <c r="L273" s="10">
        <f t="shared" si="8"/>
        <v>0.6868817805</v>
      </c>
      <c r="M273" s="10">
        <f>'Precinct Vote Data'!H1078</f>
        <v>0.7686567164</v>
      </c>
      <c r="N273" s="10">
        <f>'Precinct Vote Data'!H1079</f>
        <v>0.7255460589</v>
      </c>
      <c r="O273" s="10">
        <f>'Precinct Vote Data'!H1080</f>
        <v>0.7155555556</v>
      </c>
      <c r="U273" s="16">
        <f t="shared" si="9"/>
        <v>0.1454644863</v>
      </c>
      <c r="V273" s="5" t="b">
        <f t="shared" si="10"/>
        <v>1</v>
      </c>
      <c r="W273" s="5">
        <f t="shared" si="11"/>
        <v>0.1942186256</v>
      </c>
      <c r="X273" s="5">
        <f t="shared" si="12"/>
        <v>3.012841988</v>
      </c>
      <c r="Y273" s="5">
        <f t="shared" si="13"/>
        <v>0.1454644863</v>
      </c>
      <c r="Z273" s="10">
        <f>MIN(1,MAX(0,(5.3914776420524+0.021102849201698*'Precinct Vote Data'!I1081*100+(-5.72594740176815)*1+0.927016741366831*(O273*100))/100))</f>
        <v>0.6675568738</v>
      </c>
      <c r="AA273" s="16">
        <f t="shared" si="14"/>
        <v>-1.787026189</v>
      </c>
      <c r="AB273" s="5" t="b">
        <f t="shared" si="15"/>
        <v>1</v>
      </c>
      <c r="AC273" s="5">
        <f t="shared" si="16"/>
        <v>1.787026189</v>
      </c>
    </row>
    <row r="274" ht="15.0" customHeight="1">
      <c r="A274" s="5" t="s">
        <v>327</v>
      </c>
      <c r="B274" s="5" t="s">
        <v>157</v>
      </c>
      <c r="C274" s="5" t="s">
        <v>92</v>
      </c>
      <c r="D274" s="10">
        <f t="shared" si="1"/>
        <v>0.6615540848</v>
      </c>
      <c r="E274" s="10">
        <f>'Precinct Vote Data'!H1085</f>
        <v>0.6487025948</v>
      </c>
      <c r="F274" s="16">
        <f t="shared" si="2"/>
        <v>1.285149</v>
      </c>
      <c r="G274" s="10">
        <f t="shared" si="3"/>
        <v>0.701754386</v>
      </c>
      <c r="H274" s="16">
        <f t="shared" si="4"/>
        <v>5.305179115</v>
      </c>
      <c r="I274" s="5" t="b">
        <f t="shared" si="5"/>
        <v>1</v>
      </c>
      <c r="J274" s="5" t="b">
        <f t="shared" si="6"/>
        <v>1</v>
      </c>
      <c r="K274" s="15">
        <f t="shared" si="7"/>
        <v>2.076184733</v>
      </c>
      <c r="L274" s="10">
        <f t="shared" si="8"/>
        <v>0.6619502711</v>
      </c>
      <c r="M274" s="10">
        <f>'Precinct Vote Data'!H1082</f>
        <v>0.754491018</v>
      </c>
      <c r="N274" s="10">
        <f>'Precinct Vote Data'!H1083</f>
        <v>0.6866267465</v>
      </c>
      <c r="O274" s="10">
        <f>'Precinct Vote Data'!H1084</f>
        <v>0.701754386</v>
      </c>
      <c r="U274" s="16">
        <f t="shared" si="9"/>
        <v>1.324767631</v>
      </c>
      <c r="V274" s="5" t="b">
        <f t="shared" si="10"/>
        <v>1</v>
      </c>
      <c r="W274" s="5">
        <f t="shared" si="11"/>
        <v>1.285149</v>
      </c>
      <c r="X274" s="5">
        <f t="shared" si="12"/>
        <v>5.305179115</v>
      </c>
      <c r="Y274" s="5">
        <f t="shared" si="13"/>
        <v>1.324767631</v>
      </c>
      <c r="Z274" s="10">
        <f>MIN(1,MAX(0,(5.3914776420524+0.021102849201698*'Precinct Vote Data'!I1085*100+(-5.72594740176815)*1+0.927016741366831*(O274*100))/100))</f>
        <v>0.6545603712</v>
      </c>
      <c r="AA274" s="16">
        <f t="shared" si="14"/>
        <v>0.5857776366</v>
      </c>
      <c r="AB274" s="5" t="b">
        <f t="shared" si="15"/>
        <v>1</v>
      </c>
      <c r="AC274" s="5">
        <f t="shared" si="16"/>
        <v>0.5857776366</v>
      </c>
    </row>
    <row r="275" ht="15.0" customHeight="1">
      <c r="A275" s="5" t="s">
        <v>327</v>
      </c>
      <c r="B275" s="5" t="s">
        <v>157</v>
      </c>
      <c r="C275" s="5" t="s">
        <v>94</v>
      </c>
      <c r="D275" s="10">
        <f t="shared" si="1"/>
        <v>0.7059885869</v>
      </c>
      <c r="E275" s="10">
        <f>'Precinct Vote Data'!H1089</f>
        <v>0.6968085106</v>
      </c>
      <c r="F275" s="16">
        <f t="shared" si="2"/>
        <v>0.9180076215</v>
      </c>
      <c r="G275" s="10">
        <f t="shared" si="3"/>
        <v>0.729216152</v>
      </c>
      <c r="H275" s="16">
        <f t="shared" si="4"/>
        <v>3.240764138</v>
      </c>
      <c r="I275" s="5" t="b">
        <f t="shared" si="5"/>
        <v>1</v>
      </c>
      <c r="J275" s="5" t="b">
        <f t="shared" si="6"/>
        <v>1</v>
      </c>
      <c r="K275" s="15">
        <f t="shared" si="7"/>
        <v>1.350062848</v>
      </c>
      <c r="L275" s="10">
        <f t="shared" si="8"/>
        <v>0.7033330715</v>
      </c>
      <c r="M275" s="10">
        <f>'Precinct Vote Data'!H1086</f>
        <v>0.7493606138</v>
      </c>
      <c r="N275" s="10">
        <f>'Precinct Vote Data'!H1087</f>
        <v>0.6998223801</v>
      </c>
      <c r="O275" s="10">
        <f>'Precinct Vote Data'!H1088</f>
        <v>0.729216152</v>
      </c>
      <c r="U275" s="16">
        <f t="shared" si="9"/>
        <v>0.6524560857</v>
      </c>
      <c r="V275" s="5" t="b">
        <f t="shared" si="10"/>
        <v>1</v>
      </c>
      <c r="W275" s="5">
        <f t="shared" si="11"/>
        <v>0.9180076215</v>
      </c>
      <c r="X275" s="5">
        <f t="shared" si="12"/>
        <v>3.240764138</v>
      </c>
      <c r="Y275" s="5">
        <f t="shared" si="13"/>
        <v>0.6524560857</v>
      </c>
      <c r="Z275" s="10">
        <f>MIN(1,MAX(0,(5.3914776420524+0.021102849201698*'Precinct Vote Data'!I1089*100+(-5.72594740176815)*1+0.927016741366831*(O275*100))/100))</f>
        <v>0.6797709847</v>
      </c>
      <c r="AA275" s="16">
        <f t="shared" si="14"/>
        <v>-1.703752592</v>
      </c>
      <c r="AB275" s="5" t="b">
        <f t="shared" si="15"/>
        <v>1</v>
      </c>
      <c r="AC275" s="5">
        <f t="shared" si="16"/>
        <v>1.703752592</v>
      </c>
    </row>
    <row r="276" ht="15.0" customHeight="1">
      <c r="A276" s="5" t="s">
        <v>327</v>
      </c>
      <c r="B276" s="5" t="s">
        <v>157</v>
      </c>
      <c r="C276" s="5" t="s">
        <v>95</v>
      </c>
      <c r="D276" s="10">
        <f t="shared" si="1"/>
        <v>0.7027236819</v>
      </c>
      <c r="E276" s="10">
        <f>'Precinct Vote Data'!H1093</f>
        <v>0.6758555133</v>
      </c>
      <c r="F276" s="16">
        <f t="shared" si="2"/>
        <v>2.686816858</v>
      </c>
      <c r="G276" s="10">
        <f t="shared" si="3"/>
        <v>0.7090680101</v>
      </c>
      <c r="H276" s="16">
        <f t="shared" si="4"/>
        <v>3.321249677</v>
      </c>
      <c r="I276" s="5" t="b">
        <f t="shared" si="5"/>
        <v>1</v>
      </c>
      <c r="J276" s="5" t="b">
        <f t="shared" si="6"/>
        <v>1</v>
      </c>
      <c r="K276" s="15">
        <f t="shared" si="7"/>
        <v>0.7047977853</v>
      </c>
      <c r="L276" s="10">
        <f t="shared" si="8"/>
        <v>0.6955557963</v>
      </c>
      <c r="M276" s="10">
        <f>'Precinct Vote Data'!H1090</f>
        <v>0.6915052161</v>
      </c>
      <c r="N276" s="10">
        <f>'Precinct Vote Data'!H1091</f>
        <v>0.6549094376</v>
      </c>
      <c r="O276" s="10">
        <f>'Precinct Vote Data'!H1092</f>
        <v>0.7090680101</v>
      </c>
      <c r="U276" s="16">
        <f t="shared" si="9"/>
        <v>1.970028297</v>
      </c>
      <c r="V276" s="5" t="b">
        <f t="shared" si="10"/>
        <v>1</v>
      </c>
      <c r="W276" s="5">
        <f t="shared" si="11"/>
        <v>2.686816858</v>
      </c>
      <c r="X276" s="5">
        <f t="shared" si="12"/>
        <v>3.321249677</v>
      </c>
      <c r="Y276" s="5">
        <f t="shared" si="13"/>
        <v>1.970028297</v>
      </c>
      <c r="Z276" s="10">
        <f>MIN(1,MAX(0,(5.3914776420524+0.021102849201698*'Precinct Vote Data'!I1093*100+(-5.72594740176815)*1+0.927016741366831*(O276*100))/100))</f>
        <v>0.6606396086</v>
      </c>
      <c r="AA276" s="16">
        <f t="shared" si="14"/>
        <v>-1.521590473</v>
      </c>
      <c r="AB276" s="5" t="b">
        <f t="shared" si="15"/>
        <v>1</v>
      </c>
      <c r="AC276" s="5">
        <f t="shared" si="16"/>
        <v>1.521590473</v>
      </c>
    </row>
    <row r="277" ht="15.0" customHeight="1">
      <c r="A277" s="5" t="s">
        <v>327</v>
      </c>
      <c r="B277" s="5" t="s">
        <v>157</v>
      </c>
      <c r="C277" s="5" t="s">
        <v>96</v>
      </c>
      <c r="D277" s="10">
        <f t="shared" si="1"/>
        <v>0.6290067832</v>
      </c>
      <c r="E277" s="10">
        <f>'Precinct Vote Data'!H1097</f>
        <v>0.6342062193</v>
      </c>
      <c r="F277" s="16">
        <f t="shared" si="2"/>
        <v>-0.5199436129</v>
      </c>
      <c r="G277" s="10">
        <f t="shared" si="3"/>
        <v>0.6315240084</v>
      </c>
      <c r="H277" s="16">
        <f t="shared" si="4"/>
        <v>-0.2682210962</v>
      </c>
      <c r="I277" s="5" t="b">
        <f t="shared" si="5"/>
        <v>1</v>
      </c>
      <c r="J277" s="5" t="b">
        <f t="shared" si="6"/>
        <v>1</v>
      </c>
      <c r="K277" s="15">
        <f t="shared" si="7"/>
        <v>0.3296217606</v>
      </c>
      <c r="L277" s="10">
        <f t="shared" si="8"/>
        <v>0.6252045792</v>
      </c>
      <c r="M277" s="10">
        <f>'Precinct Vote Data'!H1094</f>
        <v>0.6211251435</v>
      </c>
      <c r="N277" s="10">
        <f>'Precinct Vote Data'!H1095</f>
        <v>0.6031746032</v>
      </c>
      <c r="O277" s="10">
        <f>'Precinct Vote Data'!H1096</f>
        <v>0.6315240084</v>
      </c>
      <c r="U277" s="16">
        <f t="shared" si="9"/>
        <v>-0.9001640155</v>
      </c>
      <c r="V277" s="5" t="b">
        <f t="shared" si="10"/>
        <v>1</v>
      </c>
      <c r="W277" s="5">
        <f t="shared" si="11"/>
        <v>0.5199436129</v>
      </c>
      <c r="X277" s="5">
        <f t="shared" si="12"/>
        <v>0.2682210962</v>
      </c>
      <c r="Y277" s="5">
        <f t="shared" si="13"/>
        <v>0.9001640155</v>
      </c>
      <c r="Z277" s="10">
        <f>MIN(1,MAX(0,(5.3914776420524+0.021102849201698*'Precinct Vote Data'!I1097*100+(-5.72594740176815)*1+0.927016741366831*(O277*100))/100))</f>
        <v>0.586712265</v>
      </c>
      <c r="AA277" s="16">
        <f t="shared" si="14"/>
        <v>-4.749395433</v>
      </c>
      <c r="AB277" s="5" t="b">
        <f t="shared" si="15"/>
        <v>1</v>
      </c>
      <c r="AC277" s="5">
        <f t="shared" si="16"/>
        <v>4.749395433</v>
      </c>
    </row>
    <row r="278" ht="15.0" customHeight="1">
      <c r="A278" s="5" t="s">
        <v>327</v>
      </c>
      <c r="B278" s="5" t="s">
        <v>157</v>
      </c>
      <c r="C278" s="5" t="s">
        <v>98</v>
      </c>
      <c r="D278" s="10">
        <f t="shared" si="1"/>
        <v>0.6193641981</v>
      </c>
      <c r="E278" s="10">
        <f>'Precinct Vote Data'!H1101</f>
        <v>0.5894357743</v>
      </c>
      <c r="F278" s="16">
        <f t="shared" si="2"/>
        <v>2.992842376</v>
      </c>
      <c r="G278" s="10">
        <f t="shared" si="3"/>
        <v>0.605907781</v>
      </c>
      <c r="H278" s="16">
        <f t="shared" si="4"/>
        <v>1.647200667</v>
      </c>
      <c r="I278" s="5" t="b">
        <f t="shared" si="5"/>
        <v>1</v>
      </c>
      <c r="J278" s="5" t="b">
        <f t="shared" si="6"/>
        <v>1</v>
      </c>
      <c r="K278" s="15">
        <f t="shared" si="7"/>
        <v>-0.5367539546</v>
      </c>
      <c r="L278" s="10">
        <f t="shared" si="8"/>
        <v>0.6161982988</v>
      </c>
      <c r="M278" s="10">
        <f>'Precinct Vote Data'!H1098</f>
        <v>0.5773955774</v>
      </c>
      <c r="N278" s="10">
        <f>'Precinct Vote Data'!H1099</f>
        <v>0.5892526251</v>
      </c>
      <c r="O278" s="10">
        <f>'Precinct Vote Data'!H1100</f>
        <v>0.605907781</v>
      </c>
      <c r="U278" s="16">
        <f t="shared" si="9"/>
        <v>2.676252452</v>
      </c>
      <c r="V278" s="5" t="b">
        <f t="shared" si="10"/>
        <v>1</v>
      </c>
      <c r="W278" s="5">
        <f t="shared" si="11"/>
        <v>2.992842376</v>
      </c>
      <c r="X278" s="5">
        <f t="shared" si="12"/>
        <v>1.647200667</v>
      </c>
      <c r="Y278" s="5">
        <f t="shared" si="13"/>
        <v>2.676252452</v>
      </c>
      <c r="Z278" s="10">
        <f>MIN(1,MAX(0,(5.3914776420524+0.021102849201698*'Precinct Vote Data'!I1101*100+(-5.72594740176815)*1+0.927016741366831*(O278*100))/100))</f>
        <v>0.5611401969</v>
      </c>
      <c r="AA278" s="16">
        <f t="shared" si="14"/>
        <v>-2.829557741</v>
      </c>
      <c r="AB278" s="5" t="b">
        <f t="shared" si="15"/>
        <v>1</v>
      </c>
      <c r="AC278" s="5">
        <f t="shared" si="16"/>
        <v>2.829557741</v>
      </c>
    </row>
    <row r="279" ht="15.0" customHeight="1">
      <c r="A279" s="5" t="s">
        <v>327</v>
      </c>
      <c r="B279" s="5" t="s">
        <v>157</v>
      </c>
      <c r="C279" s="5" t="s">
        <v>100</v>
      </c>
      <c r="D279" s="10">
        <f t="shared" si="1"/>
        <v>0.6732640986</v>
      </c>
      <c r="E279" s="10">
        <f>'Precinct Vote Data'!H1105</f>
        <v>0.6404782237</v>
      </c>
      <c r="F279" s="16">
        <f t="shared" si="2"/>
        <v>3.278587486</v>
      </c>
      <c r="G279" s="10">
        <f t="shared" si="3"/>
        <v>0.6766917293</v>
      </c>
      <c r="H279" s="16">
        <f t="shared" si="4"/>
        <v>3.621350558</v>
      </c>
      <c r="I279" s="5" t="b">
        <f t="shared" si="5"/>
        <v>1</v>
      </c>
      <c r="J279" s="5" t="b">
        <f t="shared" si="6"/>
        <v>1</v>
      </c>
      <c r="K279" s="15">
        <f t="shared" si="7"/>
        <v>0.5194092979</v>
      </c>
      <c r="L279" s="10">
        <f t="shared" si="8"/>
        <v>0.6667337391</v>
      </c>
      <c r="M279" s="10">
        <f>'Precinct Vote Data'!H1102</f>
        <v>0.657687991</v>
      </c>
      <c r="N279" s="10">
        <f>'Precinct Vote Data'!H1103</f>
        <v>0.6284013605</v>
      </c>
      <c r="O279" s="10">
        <f>'Precinct Vote Data'!H1104</f>
        <v>0.6766917293</v>
      </c>
      <c r="U279" s="16">
        <f t="shared" si="9"/>
        <v>2.625551533</v>
      </c>
      <c r="V279" s="5" t="b">
        <f t="shared" si="10"/>
        <v>1</v>
      </c>
      <c r="W279" s="5">
        <f t="shared" si="11"/>
        <v>3.278587486</v>
      </c>
      <c r="X279" s="5">
        <f t="shared" si="12"/>
        <v>3.621350558</v>
      </c>
      <c r="Y279" s="5">
        <f t="shared" si="13"/>
        <v>2.625551533</v>
      </c>
      <c r="Z279" s="10">
        <f>MIN(1,MAX(0,(5.3914776420524+0.021102849201698*'Precinct Vote Data'!I1105*100+(-5.72594740176815)*1+0.927016741366831*(O279*100))/100))</f>
        <v>0.6293706348</v>
      </c>
      <c r="AA279" s="16">
        <f t="shared" si="14"/>
        <v>-1.110758898</v>
      </c>
      <c r="AB279" s="5" t="b">
        <f t="shared" si="15"/>
        <v>1</v>
      </c>
      <c r="AC279" s="5">
        <f t="shared" si="16"/>
        <v>1.110758898</v>
      </c>
    </row>
    <row r="280" ht="15.0" customHeight="1">
      <c r="A280" s="5" t="s">
        <v>327</v>
      </c>
      <c r="B280" s="5" t="s">
        <v>157</v>
      </c>
      <c r="C280" s="5" t="s">
        <v>102</v>
      </c>
      <c r="D280" s="10">
        <f t="shared" si="1"/>
        <v>0.640175204</v>
      </c>
      <c r="E280" s="10">
        <f>'Precinct Vote Data'!H1109</f>
        <v>0.6372443488</v>
      </c>
      <c r="F280" s="16">
        <f t="shared" si="2"/>
        <v>0.2930855207</v>
      </c>
      <c r="G280" s="10">
        <f t="shared" si="3"/>
        <v>0.6604850214</v>
      </c>
      <c r="H280" s="16">
        <f t="shared" si="4"/>
        <v>2.324067264</v>
      </c>
      <c r="I280" s="5" t="b">
        <f t="shared" si="5"/>
        <v>1</v>
      </c>
      <c r="J280" s="5" t="b">
        <f t="shared" si="6"/>
        <v>1</v>
      </c>
      <c r="K280" s="15">
        <f t="shared" si="7"/>
        <v>1.11180093</v>
      </c>
      <c r="L280" s="10">
        <f t="shared" si="8"/>
        <v>0.6391698411</v>
      </c>
      <c r="M280" s="10">
        <f>'Precinct Vote Data'!H1106</f>
        <v>0.6828125</v>
      </c>
      <c r="N280" s="10">
        <f>'Precinct Vote Data'!H1107</f>
        <v>0.6442105263</v>
      </c>
      <c r="O280" s="10">
        <f>'Precinct Vote Data'!H1108</f>
        <v>0.6604850214</v>
      </c>
      <c r="U280" s="16">
        <f t="shared" si="9"/>
        <v>0.192549235</v>
      </c>
      <c r="V280" s="5" t="b">
        <f t="shared" si="10"/>
        <v>1</v>
      </c>
      <c r="W280" s="5">
        <f t="shared" si="11"/>
        <v>0.2930855207</v>
      </c>
      <c r="X280" s="5">
        <f t="shared" si="12"/>
        <v>2.324067264</v>
      </c>
      <c r="Y280" s="5">
        <f t="shared" si="13"/>
        <v>0.192549235</v>
      </c>
      <c r="Z280" s="10">
        <f>MIN(1,MAX(0,(5.3914776420524+0.021102849201698*'Precinct Vote Data'!I1109*100+(-5.72594740176815)*1+0.927016741366831*(O280*100))/100))</f>
        <v>0.614804677</v>
      </c>
      <c r="AA280" s="16">
        <f t="shared" si="14"/>
        <v>-2.243967174</v>
      </c>
      <c r="AB280" s="5" t="b">
        <f t="shared" si="15"/>
        <v>1</v>
      </c>
      <c r="AC280" s="5">
        <f t="shared" si="16"/>
        <v>2.243967174</v>
      </c>
    </row>
    <row r="281" ht="15.0" customHeight="1">
      <c r="A281" s="5" t="s">
        <v>327</v>
      </c>
      <c r="B281" s="5" t="s">
        <v>157</v>
      </c>
      <c r="C281" s="5" t="s">
        <v>103</v>
      </c>
      <c r="D281" s="10">
        <f t="shared" si="1"/>
        <v>0.5818347354</v>
      </c>
      <c r="E281" s="10">
        <f>'Precinct Vote Data'!H1113</f>
        <v>0.5939004815</v>
      </c>
      <c r="F281" s="16">
        <f t="shared" si="2"/>
        <v>-1.206574619</v>
      </c>
      <c r="G281" s="10">
        <f t="shared" si="3"/>
        <v>0.6079836233</v>
      </c>
      <c r="H281" s="16">
        <f t="shared" si="4"/>
        <v>1.40831418</v>
      </c>
      <c r="I281" s="5" t="b">
        <f t="shared" si="5"/>
        <v>1</v>
      </c>
      <c r="J281" s="5" t="b">
        <f t="shared" si="6"/>
        <v>1</v>
      </c>
      <c r="K281" s="15">
        <f t="shared" si="7"/>
        <v>1.433795115</v>
      </c>
      <c r="L281" s="10">
        <f t="shared" si="8"/>
        <v>0.5804952479</v>
      </c>
      <c r="M281" s="10">
        <f>'Precinct Vote Data'!H1110</f>
        <v>0.6365688488</v>
      </c>
      <c r="N281" s="10">
        <f>'Precinct Vote Data'!H1111</f>
        <v>0.5867074102</v>
      </c>
      <c r="O281" s="10">
        <f>'Precinct Vote Data'!H1112</f>
        <v>0.6079836233</v>
      </c>
      <c r="U281" s="16">
        <f t="shared" si="9"/>
        <v>-1.340523365</v>
      </c>
      <c r="V281" s="5" t="b">
        <f t="shared" si="10"/>
        <v>1</v>
      </c>
      <c r="W281" s="5">
        <f t="shared" si="11"/>
        <v>1.206574619</v>
      </c>
      <c r="X281" s="5">
        <f t="shared" si="12"/>
        <v>1.40831418</v>
      </c>
      <c r="Y281" s="5">
        <f t="shared" si="13"/>
        <v>1.340523365</v>
      </c>
      <c r="Z281" s="10">
        <f>MIN(1,MAX(0,(5.3914776420524+0.021102849201698*'Precinct Vote Data'!I1113*100+(-5.72594740176815)*1+0.927016741366831*(O281*100))/100))</f>
        <v>0.5649553528</v>
      </c>
      <c r="AA281" s="16">
        <f t="shared" si="14"/>
        <v>-2.894512874</v>
      </c>
      <c r="AB281" s="5" t="b">
        <f t="shared" si="15"/>
        <v>1</v>
      </c>
      <c r="AC281" s="5">
        <f t="shared" si="16"/>
        <v>2.894512874</v>
      </c>
    </row>
    <row r="282" ht="15.0" customHeight="1">
      <c r="A282" s="5" t="s">
        <v>327</v>
      </c>
      <c r="B282" s="5" t="s">
        <v>157</v>
      </c>
      <c r="C282" s="5" t="s">
        <v>104</v>
      </c>
      <c r="D282" s="10">
        <f t="shared" si="1"/>
        <v>0.655661039</v>
      </c>
      <c r="E282" s="10">
        <f>'Precinct Vote Data'!H1117</f>
        <v>0.6246987952</v>
      </c>
      <c r="F282" s="16">
        <f t="shared" si="2"/>
        <v>3.096224381</v>
      </c>
      <c r="G282" s="10">
        <f t="shared" si="3"/>
        <v>0.6480400334</v>
      </c>
      <c r="H282" s="16">
        <f t="shared" si="4"/>
        <v>2.334123818</v>
      </c>
      <c r="I282" s="5" t="b">
        <f t="shared" si="5"/>
        <v>1</v>
      </c>
      <c r="J282" s="5" t="b">
        <f t="shared" si="6"/>
        <v>1</v>
      </c>
      <c r="K282" s="15">
        <f t="shared" si="7"/>
        <v>-0.4370580112</v>
      </c>
      <c r="L282" s="10">
        <f t="shared" si="8"/>
        <v>0.6564192045</v>
      </c>
      <c r="M282" s="10">
        <f>'Precinct Vote Data'!H1114</f>
        <v>0.641025641</v>
      </c>
      <c r="N282" s="10">
        <f>'Precinct Vote Data'!H1115</f>
        <v>0.6568742656</v>
      </c>
      <c r="O282" s="10">
        <f>'Precinct Vote Data'!H1116</f>
        <v>0.6480400334</v>
      </c>
      <c r="U282" s="16">
        <f t="shared" si="9"/>
        <v>3.172040936</v>
      </c>
      <c r="V282" s="5" t="b">
        <f t="shared" si="10"/>
        <v>1</v>
      </c>
      <c r="W282" s="5">
        <f t="shared" si="11"/>
        <v>3.096224381</v>
      </c>
      <c r="X282" s="5">
        <f t="shared" si="12"/>
        <v>2.334123818</v>
      </c>
      <c r="Y282" s="5">
        <f t="shared" si="13"/>
        <v>3.172040936</v>
      </c>
      <c r="Z282" s="10">
        <f>MIN(1,MAX(0,(5.3914776420524+0.021102849201698*'Precinct Vote Data'!I1117*100+(-5.72594740176815)*1+0.927016741366831*(O282*100))/100))</f>
        <v>0.6025167033</v>
      </c>
      <c r="AA282" s="16">
        <f t="shared" si="14"/>
        <v>-2.218209184</v>
      </c>
      <c r="AB282" s="5" t="b">
        <f t="shared" si="15"/>
        <v>1</v>
      </c>
      <c r="AC282" s="5">
        <f t="shared" si="16"/>
        <v>2.218209184</v>
      </c>
    </row>
    <row r="283" ht="15.0" customHeight="1">
      <c r="A283" s="5" t="s">
        <v>327</v>
      </c>
      <c r="B283" s="5" t="s">
        <v>157</v>
      </c>
      <c r="C283" s="5" t="s">
        <v>333</v>
      </c>
      <c r="D283" s="10">
        <f t="shared" si="1"/>
        <v>0.5979705686</v>
      </c>
      <c r="E283" s="10">
        <f>'Precinct Vote Data'!H1121</f>
        <v>0.5703517588</v>
      </c>
      <c r="F283" s="16">
        <f t="shared" si="2"/>
        <v>2.761880984</v>
      </c>
      <c r="G283" s="10">
        <f t="shared" si="3"/>
        <v>0.5972629521</v>
      </c>
      <c r="H283" s="16">
        <f t="shared" si="4"/>
        <v>2.691119331</v>
      </c>
      <c r="I283" s="5" t="b">
        <f t="shared" si="5"/>
        <v>1</v>
      </c>
      <c r="J283" s="5" t="b">
        <f t="shared" si="6"/>
        <v>1</v>
      </c>
      <c r="K283" s="15">
        <f t="shared" si="7"/>
        <v>0.2033543693</v>
      </c>
      <c r="L283" s="10">
        <f t="shared" si="8"/>
        <v>0.593364291</v>
      </c>
      <c r="M283" s="10">
        <f>'Precinct Vote Data'!H1118</f>
        <v>0.579868709</v>
      </c>
      <c r="N283" s="10">
        <f>'Precinct Vote Data'!H1119</f>
        <v>0.5645973154</v>
      </c>
      <c r="O283" s="10">
        <f>'Precinct Vote Data'!H1120</f>
        <v>0.5972629521</v>
      </c>
      <c r="U283" s="16">
        <f t="shared" si="9"/>
        <v>2.30125322</v>
      </c>
      <c r="V283" s="5" t="b">
        <f t="shared" si="10"/>
        <v>1</v>
      </c>
      <c r="W283" s="5">
        <f t="shared" si="11"/>
        <v>2.761880984</v>
      </c>
      <c r="X283" s="5">
        <f t="shared" si="12"/>
        <v>2.691119331</v>
      </c>
      <c r="Y283" s="5">
        <f t="shared" si="13"/>
        <v>2.30125322</v>
      </c>
      <c r="Z283" s="10">
        <f>MIN(1,MAX(0,(5.3914776420524+0.021102849201698*'Precinct Vote Data'!I1121*100+(-5.72594740176815)*1+0.927016741366831*(O283*100))/100))</f>
        <v>0.5531706118</v>
      </c>
      <c r="AA283" s="16">
        <f t="shared" si="14"/>
        <v>-1.718114701</v>
      </c>
      <c r="AB283" s="5" t="b">
        <f t="shared" si="15"/>
        <v>1</v>
      </c>
      <c r="AC283" s="5">
        <f t="shared" si="16"/>
        <v>1.718114701</v>
      </c>
    </row>
    <row r="284" ht="15.0" customHeight="1">
      <c r="A284" s="5" t="s">
        <v>327</v>
      </c>
      <c r="B284" s="5" t="s">
        <v>157</v>
      </c>
      <c r="C284" s="5" t="s">
        <v>106</v>
      </c>
      <c r="D284" s="10">
        <f t="shared" si="1"/>
        <v>0.6452250642</v>
      </c>
      <c r="E284" s="10">
        <f>'Precinct Vote Data'!H1125</f>
        <v>0.6435523114</v>
      </c>
      <c r="F284" s="16">
        <f t="shared" si="2"/>
        <v>0.167275272</v>
      </c>
      <c r="G284" s="10">
        <f t="shared" si="3"/>
        <v>0.6552217454</v>
      </c>
      <c r="H284" s="16">
        <f t="shared" si="4"/>
        <v>1.166943391</v>
      </c>
      <c r="I284" s="5" t="b">
        <f t="shared" si="5"/>
        <v>1</v>
      </c>
      <c r="J284" s="5" t="b">
        <f t="shared" si="6"/>
        <v>1</v>
      </c>
      <c r="K284" s="15">
        <f t="shared" si="7"/>
        <v>0.718472609</v>
      </c>
      <c r="L284" s="10">
        <f t="shared" si="8"/>
        <v>0.6414473611</v>
      </c>
      <c r="M284" s="10">
        <f>'Precinct Vote Data'!H1122</f>
        <v>0.6544585987</v>
      </c>
      <c r="N284" s="10">
        <f>'Precinct Vote Data'!H1123</f>
        <v>0.6237054085</v>
      </c>
      <c r="O284" s="10">
        <f>'Precinct Vote Data'!H1124</f>
        <v>0.6552217454</v>
      </c>
      <c r="U284" s="16">
        <f t="shared" si="9"/>
        <v>-0.2104950312</v>
      </c>
      <c r="V284" s="5" t="b">
        <f t="shared" si="10"/>
        <v>1</v>
      </c>
      <c r="W284" s="5">
        <f t="shared" si="11"/>
        <v>0.167275272</v>
      </c>
      <c r="X284" s="5">
        <f t="shared" si="12"/>
        <v>1.166943391</v>
      </c>
      <c r="Y284" s="5">
        <f t="shared" si="13"/>
        <v>0.2104950312</v>
      </c>
      <c r="Z284" s="10">
        <f>MIN(1,MAX(0,(5.3914776420524+0.021102849201698*'Precinct Vote Data'!I1125*100+(-5.72594740176815)*1+0.927016741366831*(O284*100))/100))</f>
        <v>0.6091299546</v>
      </c>
      <c r="AA284" s="16">
        <f t="shared" si="14"/>
        <v>-3.442235684</v>
      </c>
      <c r="AB284" s="5" t="b">
        <f t="shared" si="15"/>
        <v>1</v>
      </c>
      <c r="AC284" s="5">
        <f t="shared" si="16"/>
        <v>3.442235684</v>
      </c>
    </row>
    <row r="285" ht="15.0" customHeight="1">
      <c r="A285" s="5" t="s">
        <v>327</v>
      </c>
      <c r="B285" s="5" t="s">
        <v>157</v>
      </c>
      <c r="C285" s="5" t="s">
        <v>109</v>
      </c>
      <c r="D285" s="10">
        <f t="shared" si="1"/>
        <v>0.6709077748</v>
      </c>
      <c r="E285" s="10">
        <f>'Precinct Vote Data'!H1129</f>
        <v>0.6663770634</v>
      </c>
      <c r="F285" s="16">
        <f t="shared" si="2"/>
        <v>0.4530711399</v>
      </c>
      <c r="G285" s="10">
        <f t="shared" si="3"/>
        <v>0.6925031766</v>
      </c>
      <c r="H285" s="16">
        <f t="shared" si="4"/>
        <v>2.61261132</v>
      </c>
      <c r="I285" s="5" t="b">
        <f t="shared" si="5"/>
        <v>1</v>
      </c>
      <c r="J285" s="5" t="b">
        <f t="shared" si="6"/>
        <v>1</v>
      </c>
      <c r="K285" s="15">
        <f t="shared" si="7"/>
        <v>1.561369115</v>
      </c>
      <c r="L285" s="10">
        <f t="shared" si="8"/>
        <v>0.6625689831</v>
      </c>
      <c r="M285" s="10">
        <f>'Precinct Vote Data'!H1126</f>
        <v>0.6902173913</v>
      </c>
      <c r="N285" s="10">
        <f>'Precinct Vote Data'!H1127</f>
        <v>0.6231454006</v>
      </c>
      <c r="O285" s="10">
        <f>'Precinct Vote Data'!H1128</f>
        <v>0.6925031766</v>
      </c>
      <c r="U285" s="16">
        <f t="shared" si="9"/>
        <v>-0.3808080324</v>
      </c>
      <c r="V285" s="5" t="b">
        <f t="shared" si="10"/>
        <v>1</v>
      </c>
      <c r="W285" s="5">
        <f t="shared" si="11"/>
        <v>0.4530711399</v>
      </c>
      <c r="X285" s="5">
        <f t="shared" si="12"/>
        <v>2.61261132</v>
      </c>
      <c r="Y285" s="5">
        <f t="shared" si="13"/>
        <v>0.3808080324</v>
      </c>
      <c r="Z285" s="10">
        <f>MIN(1,MAX(0,(5.3914776420524+0.021102849201698*'Precinct Vote Data'!I1129*100+(-5.72594740176815)*1+0.927016741366831*(O285*100))/100))</f>
        <v>0.6449545262</v>
      </c>
      <c r="AA285" s="16">
        <f t="shared" si="14"/>
        <v>-2.142253723</v>
      </c>
      <c r="AB285" s="5" t="b">
        <f t="shared" si="15"/>
        <v>1</v>
      </c>
      <c r="AC285" s="5">
        <f t="shared" si="16"/>
        <v>2.142253723</v>
      </c>
    </row>
    <row r="286" ht="15.0" customHeight="1">
      <c r="A286" s="5" t="s">
        <v>327</v>
      </c>
      <c r="B286" s="5" t="s">
        <v>157</v>
      </c>
      <c r="C286" s="5" t="s">
        <v>110</v>
      </c>
      <c r="D286" s="10">
        <f t="shared" si="1"/>
        <v>0.6095313818</v>
      </c>
      <c r="E286" s="10">
        <f>'Precinct Vote Data'!H1133</f>
        <v>0.6072386059</v>
      </c>
      <c r="F286" s="16">
        <f t="shared" si="2"/>
        <v>0.2292775854</v>
      </c>
      <c r="G286" s="10">
        <f t="shared" si="3"/>
        <v>0.6379155436</v>
      </c>
      <c r="H286" s="16">
        <f t="shared" si="4"/>
        <v>3.067693768</v>
      </c>
      <c r="I286" s="5" t="b">
        <f t="shared" si="5"/>
        <v>1</v>
      </c>
      <c r="J286" s="5" t="b">
        <f t="shared" si="6"/>
        <v>1</v>
      </c>
      <c r="K286" s="15">
        <f t="shared" si="7"/>
        <v>1.492800872</v>
      </c>
      <c r="L286" s="10">
        <f t="shared" si="8"/>
        <v>0.6092959239</v>
      </c>
      <c r="M286" s="10">
        <f>'Precinct Vote Data'!H1130</f>
        <v>0.6733067729</v>
      </c>
      <c r="N286" s="10">
        <f>'Precinct Vote Data'!H1131</f>
        <v>0.6235455168</v>
      </c>
      <c r="O286" s="10">
        <f>'Precinct Vote Data'!H1132</f>
        <v>0.6379155436</v>
      </c>
      <c r="U286" s="16">
        <f t="shared" si="9"/>
        <v>0.205731805</v>
      </c>
      <c r="V286" s="5" t="b">
        <f t="shared" si="10"/>
        <v>1</v>
      </c>
      <c r="W286" s="5">
        <f t="shared" si="11"/>
        <v>0.2292775854</v>
      </c>
      <c r="X286" s="5">
        <f t="shared" si="12"/>
        <v>3.067693768</v>
      </c>
      <c r="Y286" s="5">
        <f t="shared" si="13"/>
        <v>0.205731805</v>
      </c>
      <c r="Z286" s="10">
        <f>MIN(1,MAX(0,(5.3914776420524+0.021102849201698*'Precinct Vote Data'!I1133*100+(-5.72594740176815)*1+0.927016741366831*(O286*100))/100))</f>
        <v>0.5936101665</v>
      </c>
      <c r="AA286" s="16">
        <f t="shared" si="14"/>
        <v>-1.362843941</v>
      </c>
      <c r="AB286" s="5" t="b">
        <f t="shared" si="15"/>
        <v>1</v>
      </c>
      <c r="AC286" s="5">
        <f t="shared" si="16"/>
        <v>1.362843941</v>
      </c>
    </row>
    <row r="287" ht="15.0" customHeight="1">
      <c r="A287" s="5" t="s">
        <v>327</v>
      </c>
      <c r="B287" s="5" t="s">
        <v>157</v>
      </c>
      <c r="C287" s="5" t="s">
        <v>111</v>
      </c>
      <c r="D287" s="10">
        <f t="shared" si="1"/>
        <v>0.613598233</v>
      </c>
      <c r="E287" s="10">
        <f>'Precinct Vote Data'!H1137</f>
        <v>0.696350365</v>
      </c>
      <c r="F287" s="16">
        <f t="shared" si="2"/>
        <v>-8.275213193</v>
      </c>
      <c r="G287" s="10">
        <f t="shared" si="3"/>
        <v>0.6919945726</v>
      </c>
      <c r="H287" s="16">
        <f t="shared" si="4"/>
        <v>-0.4355792372</v>
      </c>
      <c r="I287" s="5" t="b">
        <f t="shared" si="5"/>
        <v>1</v>
      </c>
      <c r="J287" s="5" t="b">
        <f t="shared" si="6"/>
        <v>1</v>
      </c>
      <c r="K287" s="15">
        <f t="shared" si="7"/>
        <v>3.531663357</v>
      </c>
      <c r="L287" s="10">
        <f t="shared" si="8"/>
        <v>0.6242863713</v>
      </c>
      <c r="M287" s="10">
        <f>'Precinct Vote Data'!H1134</f>
        <v>0.8303370787</v>
      </c>
      <c r="N287" s="10">
        <f>'Precinct Vote Data'!H1135</f>
        <v>0.733490566</v>
      </c>
      <c r="O287" s="10">
        <f>'Precinct Vote Data'!H1136</f>
        <v>0.6919945726</v>
      </c>
      <c r="U287" s="16">
        <f t="shared" si="9"/>
        <v>-7.206399368</v>
      </c>
      <c r="V287" s="5" t="b">
        <f t="shared" si="10"/>
        <v>1</v>
      </c>
      <c r="W287" s="5">
        <f t="shared" si="11"/>
        <v>8.275213193</v>
      </c>
      <c r="X287" s="5">
        <f t="shared" si="12"/>
        <v>0.4355792372</v>
      </c>
      <c r="Y287" s="5">
        <f t="shared" si="13"/>
        <v>7.206399368</v>
      </c>
      <c r="Z287" s="10">
        <f>MIN(1,MAX(0,(5.3914776420524+0.021102849201698*'Precinct Vote Data'!I1137*100+(-5.72594740176815)*1+0.927016741366831*(O287*100))/100))</f>
        <v>0.6470343762</v>
      </c>
      <c r="AA287" s="16">
        <f t="shared" si="14"/>
        <v>-4.931598875</v>
      </c>
      <c r="AB287" s="5" t="b">
        <f t="shared" si="15"/>
        <v>1</v>
      </c>
      <c r="AC287" s="5">
        <f t="shared" si="16"/>
        <v>4.931598875</v>
      </c>
    </row>
    <row r="288" ht="15.0" customHeight="1">
      <c r="A288" s="5" t="s">
        <v>327</v>
      </c>
      <c r="B288" s="5" t="s">
        <v>157</v>
      </c>
      <c r="C288" s="5" t="s">
        <v>113</v>
      </c>
      <c r="D288" s="10">
        <f t="shared" si="1"/>
        <v>0.5949351813</v>
      </c>
      <c r="E288" s="10">
        <f>'Precinct Vote Data'!H1141</f>
        <v>0.633976834</v>
      </c>
      <c r="F288" s="16">
        <f t="shared" si="2"/>
        <v>-3.904165272</v>
      </c>
      <c r="G288" s="10">
        <f t="shared" si="3"/>
        <v>0.6375442739</v>
      </c>
      <c r="H288" s="16">
        <f t="shared" si="4"/>
        <v>0.3567439931</v>
      </c>
      <c r="I288" s="5" t="b">
        <f t="shared" si="5"/>
        <v>1</v>
      </c>
      <c r="J288" s="5" t="b">
        <f t="shared" si="6"/>
        <v>1</v>
      </c>
      <c r="K288" s="15">
        <f t="shared" si="7"/>
        <v>2.222853662</v>
      </c>
      <c r="L288" s="10">
        <f t="shared" si="8"/>
        <v>0.5949282576</v>
      </c>
      <c r="M288" s="10">
        <f>'Precinct Vote Data'!H1138</f>
        <v>0.6919127086</v>
      </c>
      <c r="N288" s="10">
        <f>'Precinct Vote Data'!H1139</f>
        <v>0.6184538653</v>
      </c>
      <c r="O288" s="10">
        <f>'Precinct Vote Data'!H1140</f>
        <v>0.6375442739</v>
      </c>
      <c r="U288" s="16">
        <f t="shared" si="9"/>
        <v>-3.904857637</v>
      </c>
      <c r="V288" s="5" t="b">
        <f t="shared" si="10"/>
        <v>1</v>
      </c>
      <c r="W288" s="5">
        <f t="shared" si="11"/>
        <v>3.904165272</v>
      </c>
      <c r="X288" s="5">
        <f t="shared" si="12"/>
        <v>0.3567439931</v>
      </c>
      <c r="Y288" s="5">
        <f t="shared" si="13"/>
        <v>3.904857637</v>
      </c>
      <c r="Z288" s="10">
        <f>MIN(1,MAX(0,(5.3914776420524+0.021102849201698*'Precinct Vote Data'!I1141*100+(-5.72594740176815)*1+0.927016741366831*(O288*100))/100))</f>
        <v>0.5927658558</v>
      </c>
      <c r="AA288" s="16">
        <f t="shared" si="14"/>
        <v>-4.121097822</v>
      </c>
      <c r="AB288" s="5" t="b">
        <f t="shared" si="15"/>
        <v>1</v>
      </c>
      <c r="AC288" s="5">
        <f t="shared" si="16"/>
        <v>4.121097822</v>
      </c>
    </row>
    <row r="289" ht="15.0" customHeight="1">
      <c r="A289" s="5" t="s">
        <v>327</v>
      </c>
      <c r="B289" s="5" t="s">
        <v>157</v>
      </c>
      <c r="C289" s="5" t="s">
        <v>114</v>
      </c>
      <c r="D289" s="10">
        <f t="shared" si="1"/>
        <v>0.6605933095</v>
      </c>
      <c r="E289" s="10">
        <f>'Precinct Vote Data'!H1145</f>
        <v>0.7201017812</v>
      </c>
      <c r="F289" s="16">
        <f t="shared" si="2"/>
        <v>-5.950847168</v>
      </c>
      <c r="G289" s="10">
        <f t="shared" si="3"/>
        <v>0.7428571429</v>
      </c>
      <c r="H289" s="16">
        <f t="shared" si="4"/>
        <v>2.275536169</v>
      </c>
      <c r="I289" s="5" t="b">
        <f t="shared" si="5"/>
        <v>1</v>
      </c>
      <c r="J289" s="5" t="b">
        <f t="shared" si="6"/>
        <v>1</v>
      </c>
      <c r="K289" s="15">
        <f t="shared" si="7"/>
        <v>3.501678586</v>
      </c>
      <c r="L289" s="10">
        <f t="shared" si="8"/>
        <v>0.6757238024</v>
      </c>
      <c r="M289" s="10">
        <f>'Precinct Vote Data'!H1142</f>
        <v>0.9020408163</v>
      </c>
      <c r="N289" s="10">
        <f>'Precinct Vote Data'!H1143</f>
        <v>0.8144329897</v>
      </c>
      <c r="O289" s="10">
        <f>'Precinct Vote Data'!H1144</f>
        <v>0.7428571429</v>
      </c>
      <c r="U289" s="16">
        <f t="shared" si="9"/>
        <v>-4.43779788</v>
      </c>
      <c r="V289" s="5" t="b">
        <f t="shared" si="10"/>
        <v>1</v>
      </c>
      <c r="W289" s="5">
        <f t="shared" si="11"/>
        <v>5.950847168</v>
      </c>
      <c r="X289" s="5">
        <f t="shared" si="12"/>
        <v>2.275536169</v>
      </c>
      <c r="Y289" s="5">
        <f t="shared" si="13"/>
        <v>4.43779788</v>
      </c>
      <c r="Z289" s="10">
        <f>MIN(1,MAX(0,(5.3914776420524+0.021102849201698*'Precinct Vote Data'!I1145*100+(-5.72594740176815)*1+0.927016741366831*(O289*100))/100))</f>
        <v>0.6936256049</v>
      </c>
      <c r="AA289" s="16">
        <f t="shared" si="14"/>
        <v>-2.647617632</v>
      </c>
      <c r="AB289" s="5" t="b">
        <f t="shared" si="15"/>
        <v>1</v>
      </c>
      <c r="AC289" s="5">
        <f t="shared" si="16"/>
        <v>2.647617632</v>
      </c>
    </row>
    <row r="290" ht="15.0" customHeight="1">
      <c r="A290" s="5" t="s">
        <v>327</v>
      </c>
      <c r="B290" s="5" t="s">
        <v>157</v>
      </c>
      <c r="C290" s="5" t="s">
        <v>116</v>
      </c>
      <c r="D290" s="10">
        <f t="shared" si="1"/>
        <v>0.531068375</v>
      </c>
      <c r="E290" s="10">
        <f>'Precinct Vote Data'!H1149</f>
        <v>0.5350172216</v>
      </c>
      <c r="F290" s="16">
        <f t="shared" si="2"/>
        <v>-0.3948846555</v>
      </c>
      <c r="G290" s="10">
        <f t="shared" si="3"/>
        <v>0.5252808989</v>
      </c>
      <c r="H290" s="16">
        <f t="shared" si="4"/>
        <v>-0.9736322708</v>
      </c>
      <c r="I290" s="5" t="b">
        <f t="shared" si="5"/>
        <v>1</v>
      </c>
      <c r="J290" s="5" t="b">
        <f t="shared" si="6"/>
        <v>1</v>
      </c>
      <c r="K290" s="15">
        <f t="shared" si="7"/>
        <v>-0.1568171364</v>
      </c>
      <c r="L290" s="10">
        <f t="shared" si="8"/>
        <v>0.5282873593</v>
      </c>
      <c r="M290" s="10">
        <f>'Precinct Vote Data'!H1146</f>
        <v>0.5079365079</v>
      </c>
      <c r="N290" s="10">
        <f>'Precinct Vote Data'!H1147</f>
        <v>0.5079545455</v>
      </c>
      <c r="O290" s="10">
        <f>'Precinct Vote Data'!H1148</f>
        <v>0.5252808989</v>
      </c>
      <c r="U290" s="16">
        <f t="shared" si="9"/>
        <v>-0.6729862248</v>
      </c>
      <c r="V290" s="5" t="b">
        <f t="shared" si="10"/>
        <v>1</v>
      </c>
      <c r="W290" s="5">
        <f t="shared" si="11"/>
        <v>0.3948846555</v>
      </c>
      <c r="X290" s="5">
        <f t="shared" si="12"/>
        <v>0.9736322708</v>
      </c>
      <c r="Y290" s="5">
        <f t="shared" si="13"/>
        <v>0.6729862248</v>
      </c>
      <c r="Z290" s="10">
        <f>MIN(1,MAX(0,(5.3914776420524+0.021102849201698*'Precinct Vote Data'!I1149*100+(-5.72594740176815)*1+0.927016741366831*(O290*100))/100))</f>
        <v>0.4850977919</v>
      </c>
      <c r="AA290" s="16">
        <f t="shared" si="14"/>
        <v>-4.991942971</v>
      </c>
      <c r="AB290" s="5" t="b">
        <f t="shared" si="15"/>
        <v>0</v>
      </c>
      <c r="AC290" s="5">
        <f t="shared" si="16"/>
        <v>4.991942971</v>
      </c>
    </row>
    <row r="291" ht="15.0" customHeight="1">
      <c r="A291" s="5" t="s">
        <v>327</v>
      </c>
      <c r="B291" s="5" t="s">
        <v>157</v>
      </c>
      <c r="C291" s="5" t="s">
        <v>118</v>
      </c>
      <c r="D291" s="10">
        <f t="shared" si="1"/>
        <v>0.5391877439</v>
      </c>
      <c r="E291" s="10">
        <f>'Precinct Vote Data'!H1153</f>
        <v>0.5217391304</v>
      </c>
      <c r="F291" s="16">
        <f t="shared" si="2"/>
        <v>1.74486135</v>
      </c>
      <c r="G291" s="10">
        <f t="shared" si="3"/>
        <v>0.5353200883</v>
      </c>
      <c r="H291" s="16">
        <f t="shared" si="4"/>
        <v>1.358095787</v>
      </c>
      <c r="I291" s="5" t="b">
        <f t="shared" si="5"/>
        <v>1</v>
      </c>
      <c r="J291" s="5" t="b">
        <f t="shared" si="6"/>
        <v>1</v>
      </c>
      <c r="K291" s="15">
        <f t="shared" si="7"/>
        <v>0.007668496012</v>
      </c>
      <c r="L291" s="10">
        <f t="shared" si="8"/>
        <v>0.5351730697</v>
      </c>
      <c r="M291" s="10">
        <f>'Precinct Vote Data'!H1150</f>
        <v>0.5160098522</v>
      </c>
      <c r="N291" s="10">
        <f>'Precinct Vote Data'!H1151</f>
        <v>0.508302583</v>
      </c>
      <c r="O291" s="10">
        <f>'Precinct Vote Data'!H1152</f>
        <v>0.5353200883</v>
      </c>
      <c r="U291" s="16">
        <f t="shared" si="9"/>
        <v>1.34339393</v>
      </c>
      <c r="V291" s="5" t="b">
        <f t="shared" si="10"/>
        <v>1</v>
      </c>
      <c r="W291" s="5">
        <f t="shared" si="11"/>
        <v>1.74486135</v>
      </c>
      <c r="X291" s="5">
        <f t="shared" si="12"/>
        <v>1.358095787</v>
      </c>
      <c r="Y291" s="5">
        <f t="shared" si="13"/>
        <v>1.34339393</v>
      </c>
      <c r="Z291" s="10">
        <f>MIN(1,MAX(0,(5.3914776420524+0.021102849201698*'Precinct Vote Data'!I1153*100+(-5.72594740176815)*1+0.927016741366831*(O291*100))/100))</f>
        <v>0.4943430903</v>
      </c>
      <c r="AA291" s="16">
        <f t="shared" si="14"/>
        <v>-2.739604016</v>
      </c>
      <c r="AB291" s="5" t="b">
        <f t="shared" si="15"/>
        <v>0</v>
      </c>
      <c r="AC291" s="5">
        <f t="shared" si="16"/>
        <v>2.739604016</v>
      </c>
    </row>
    <row r="292" ht="15.0" customHeight="1">
      <c r="A292" s="5" t="s">
        <v>327</v>
      </c>
      <c r="B292" s="5" t="s">
        <v>157</v>
      </c>
      <c r="C292" s="5" t="s">
        <v>334</v>
      </c>
      <c r="D292" s="10">
        <f t="shared" si="1"/>
        <v>0.5651722043</v>
      </c>
      <c r="E292" s="10">
        <f>'Precinct Vote Data'!H1157</f>
        <v>0.5477996965</v>
      </c>
      <c r="F292" s="16">
        <f t="shared" si="2"/>
        <v>1.737250777</v>
      </c>
      <c r="G292" s="10">
        <f t="shared" si="3"/>
        <v>0.5734649123</v>
      </c>
      <c r="H292" s="16">
        <f t="shared" si="4"/>
        <v>2.566521577</v>
      </c>
      <c r="I292" s="5" t="b">
        <f t="shared" si="5"/>
        <v>1</v>
      </c>
      <c r="J292" s="5" t="b">
        <f t="shared" si="6"/>
        <v>1</v>
      </c>
      <c r="K292" s="15">
        <f t="shared" si="7"/>
        <v>0.3988554535</v>
      </c>
      <c r="L292" s="10">
        <f t="shared" si="8"/>
        <v>0.5658181514</v>
      </c>
      <c r="M292" s="10">
        <f>'Precinct Vote Data'!H1154</f>
        <v>0.5863636364</v>
      </c>
      <c r="N292" s="10">
        <f>'Precinct Vote Data'!H1155</f>
        <v>0.5743842365</v>
      </c>
      <c r="O292" s="10">
        <f>'Precinct Vote Data'!H1156</f>
        <v>0.5734649123</v>
      </c>
      <c r="U292" s="16">
        <f t="shared" si="9"/>
        <v>1.801845485</v>
      </c>
      <c r="V292" s="5" t="b">
        <f t="shared" si="10"/>
        <v>1</v>
      </c>
      <c r="W292" s="5">
        <f t="shared" si="11"/>
        <v>1.737250777</v>
      </c>
      <c r="X292" s="5">
        <f t="shared" si="12"/>
        <v>2.566521577</v>
      </c>
      <c r="Y292" s="5">
        <f t="shared" si="13"/>
        <v>1.801845485</v>
      </c>
      <c r="Z292" s="10">
        <f>MIN(1,MAX(0,(5.3914776420524+0.021102849201698*'Precinct Vote Data'!I1157*100+(-5.72594740176815)*1+0.927016741366831*(O292*100))/100))</f>
        <v>0.52925449</v>
      </c>
      <c r="AA292" s="16">
        <f t="shared" si="14"/>
        <v>-1.854520649</v>
      </c>
      <c r="AB292" s="5" t="b">
        <f t="shared" si="15"/>
        <v>1</v>
      </c>
      <c r="AC292" s="5">
        <f t="shared" si="16"/>
        <v>1.854520649</v>
      </c>
    </row>
    <row r="293" ht="15.0" customHeight="1">
      <c r="A293" s="5" t="s">
        <v>327</v>
      </c>
      <c r="B293" s="5" t="s">
        <v>157</v>
      </c>
      <c r="C293" s="5" t="s">
        <v>335</v>
      </c>
      <c r="D293" s="10">
        <f t="shared" si="1"/>
        <v>0.466946246</v>
      </c>
      <c r="E293" s="10">
        <f>'Precinct Vote Data'!H1161</f>
        <v>0.5007385524</v>
      </c>
      <c r="F293" s="16">
        <f t="shared" si="2"/>
        <v>-3.379230645</v>
      </c>
      <c r="G293" s="10">
        <f t="shared" si="3"/>
        <v>0.4813278008</v>
      </c>
      <c r="H293" s="16">
        <f t="shared" si="4"/>
        <v>-1.941075161</v>
      </c>
      <c r="I293" s="5" t="b">
        <f t="shared" si="5"/>
        <v>0</v>
      </c>
      <c r="J293" s="5" t="b">
        <f t="shared" si="6"/>
        <v>0</v>
      </c>
      <c r="K293" s="15">
        <f t="shared" si="7"/>
        <v>0.8320960152</v>
      </c>
      <c r="L293" s="10">
        <f t="shared" si="8"/>
        <v>0.465375056</v>
      </c>
      <c r="M293" s="10">
        <f>'Precinct Vote Data'!H1158</f>
        <v>0.4940617577</v>
      </c>
      <c r="N293" s="10">
        <f>'Precinct Vote Data'!H1159</f>
        <v>0.4636510501</v>
      </c>
      <c r="O293" s="10">
        <f>'Precinct Vote Data'!H1160</f>
        <v>0.4813278008</v>
      </c>
      <c r="U293" s="16">
        <f t="shared" si="9"/>
        <v>-3.536349648</v>
      </c>
      <c r="V293" s="5" t="b">
        <f t="shared" si="10"/>
        <v>0</v>
      </c>
      <c r="W293" s="5">
        <f t="shared" si="11"/>
        <v>3.379230645</v>
      </c>
      <c r="X293" s="5">
        <f t="shared" si="12"/>
        <v>1.941075161</v>
      </c>
      <c r="Y293" s="5">
        <f t="shared" si="13"/>
        <v>3.536349648</v>
      </c>
      <c r="Z293" s="10">
        <f>MIN(1,MAX(0,(5.3914776420524+0.021102849201698*'Precinct Vote Data'!I1161*100+(-5.72594740176815)*1+0.927016741366831*(O293*100))/100))</f>
        <v>0.4436814635</v>
      </c>
      <c r="AA293" s="16">
        <f t="shared" si="14"/>
        <v>-5.705708889</v>
      </c>
      <c r="AB293" s="5" t="b">
        <f t="shared" si="15"/>
        <v>0</v>
      </c>
      <c r="AC293" s="5">
        <f t="shared" si="16"/>
        <v>5.705708889</v>
      </c>
    </row>
    <row r="294" ht="15.0" customHeight="1">
      <c r="A294" s="5" t="s">
        <v>327</v>
      </c>
      <c r="B294" s="5" t="s">
        <v>157</v>
      </c>
      <c r="C294" s="5" t="s">
        <v>119</v>
      </c>
      <c r="D294" s="10">
        <f t="shared" si="1"/>
        <v>0.5666369321</v>
      </c>
      <c r="E294" s="10">
        <f>'Precinct Vote Data'!H1165</f>
        <v>0.5457115928</v>
      </c>
      <c r="F294" s="16">
        <f t="shared" si="2"/>
        <v>2.09253393</v>
      </c>
      <c r="G294" s="10">
        <f t="shared" si="3"/>
        <v>0.5784574468</v>
      </c>
      <c r="H294" s="16">
        <f t="shared" si="4"/>
        <v>3.274585397</v>
      </c>
      <c r="I294" s="5" t="b">
        <f t="shared" si="5"/>
        <v>1</v>
      </c>
      <c r="J294" s="5" t="b">
        <f t="shared" si="6"/>
        <v>1</v>
      </c>
      <c r="K294" s="15">
        <f t="shared" si="7"/>
        <v>0.768970157</v>
      </c>
      <c r="L294" s="10">
        <f t="shared" si="8"/>
        <v>0.5637149357</v>
      </c>
      <c r="M294" s="10">
        <f>'Precinct Vote Data'!H1162</f>
        <v>0.5830860534</v>
      </c>
      <c r="N294" s="10">
        <f>'Precinct Vote Data'!H1163</f>
        <v>0.552253116</v>
      </c>
      <c r="O294" s="10">
        <f>'Precinct Vote Data'!H1164</f>
        <v>0.5784574468</v>
      </c>
      <c r="U294" s="16">
        <f t="shared" si="9"/>
        <v>1.800334289</v>
      </c>
      <c r="V294" s="5" t="b">
        <f t="shared" si="10"/>
        <v>1</v>
      </c>
      <c r="W294" s="5">
        <f t="shared" si="11"/>
        <v>2.09253393</v>
      </c>
      <c r="X294" s="5">
        <f t="shared" si="12"/>
        <v>3.274585397</v>
      </c>
      <c r="Y294" s="5">
        <f t="shared" si="13"/>
        <v>1.800334289</v>
      </c>
      <c r="Z294" s="10">
        <f>MIN(1,MAX(0,(5.3914776420524+0.021102849201698*'Precinct Vote Data'!I1165*100+(-5.72594740176815)*1+0.927016741366831*(O294*100))/100))</f>
        <v>0.5358431078</v>
      </c>
      <c r="AA294" s="16">
        <f t="shared" si="14"/>
        <v>-0.9868485041</v>
      </c>
      <c r="AB294" s="5" t="b">
        <f t="shared" si="15"/>
        <v>1</v>
      </c>
      <c r="AC294" s="5">
        <f t="shared" si="16"/>
        <v>0.9868485041</v>
      </c>
    </row>
    <row r="295" ht="15.0" customHeight="1">
      <c r="A295" s="5" t="s">
        <v>327</v>
      </c>
      <c r="B295" s="5" t="s">
        <v>157</v>
      </c>
      <c r="C295" s="5" t="s">
        <v>336</v>
      </c>
      <c r="D295" s="10">
        <f t="shared" si="1"/>
        <v>0.5086224689</v>
      </c>
      <c r="E295" s="10">
        <f>'Precinct Vote Data'!H1169</f>
        <v>0.5170193192</v>
      </c>
      <c r="F295" s="16">
        <f t="shared" si="2"/>
        <v>-0.8396850344</v>
      </c>
      <c r="G295" s="10">
        <f t="shared" si="3"/>
        <v>0.54556804</v>
      </c>
      <c r="H295" s="16">
        <f t="shared" si="4"/>
        <v>2.854872072</v>
      </c>
      <c r="I295" s="5" t="b">
        <f t="shared" si="5"/>
        <v>1</v>
      </c>
      <c r="J295" s="5" t="b">
        <f t="shared" si="6"/>
        <v>1</v>
      </c>
      <c r="K295" s="15">
        <f t="shared" si="7"/>
        <v>1.895475481</v>
      </c>
      <c r="L295" s="10">
        <f t="shared" si="8"/>
        <v>0.5092284395</v>
      </c>
      <c r="M295" s="10">
        <f>'Precinct Vote Data'!H1166</f>
        <v>0.5949008499</v>
      </c>
      <c r="N295" s="10">
        <f>'Precinct Vote Data'!H1167</f>
        <v>0.5333969466</v>
      </c>
      <c r="O295" s="10">
        <f>'Precinct Vote Data'!H1168</f>
        <v>0.54556804</v>
      </c>
      <c r="U295" s="16">
        <f t="shared" si="9"/>
        <v>-0.7790879767</v>
      </c>
      <c r="V295" s="5" t="b">
        <f t="shared" si="10"/>
        <v>1</v>
      </c>
      <c r="W295" s="5">
        <f t="shared" si="11"/>
        <v>0.8396850344</v>
      </c>
      <c r="X295" s="5">
        <f t="shared" si="12"/>
        <v>2.854872072</v>
      </c>
      <c r="Y295" s="5">
        <f t="shared" si="13"/>
        <v>0.7790879767</v>
      </c>
      <c r="Z295" s="10">
        <f>MIN(1,MAX(0,(5.3914776420524+0.021102849201698*'Precinct Vote Data'!I1169*100+(-5.72594740176815)*1+0.927016741366831*(O295*100))/100))</f>
        <v>0.5037017239</v>
      </c>
      <c r="AA295" s="16">
        <f t="shared" si="14"/>
        <v>-1.33175953</v>
      </c>
      <c r="AB295" s="5" t="b">
        <f t="shared" si="15"/>
        <v>1</v>
      </c>
      <c r="AC295" s="5">
        <f t="shared" si="16"/>
        <v>1.33175953</v>
      </c>
    </row>
    <row r="296" ht="15.0" customHeight="1">
      <c r="A296" s="5" t="s">
        <v>327</v>
      </c>
      <c r="B296" s="5" t="s">
        <v>157</v>
      </c>
      <c r="C296" s="5" t="s">
        <v>337</v>
      </c>
      <c r="D296" s="10">
        <f t="shared" si="1"/>
        <v>0.5605555314</v>
      </c>
      <c r="E296" s="10">
        <f>'Precinct Vote Data'!H1173</f>
        <v>0.532385466</v>
      </c>
      <c r="F296" s="16">
        <f t="shared" si="2"/>
        <v>2.81700654</v>
      </c>
      <c r="G296" s="10">
        <f t="shared" si="3"/>
        <v>0.5659229209</v>
      </c>
      <c r="H296" s="16">
        <f t="shared" si="4"/>
        <v>3.353745486</v>
      </c>
      <c r="I296" s="5" t="b">
        <f t="shared" si="5"/>
        <v>1</v>
      </c>
      <c r="J296" s="5" t="b">
        <f t="shared" si="6"/>
        <v>1</v>
      </c>
      <c r="K296" s="15">
        <f t="shared" si="7"/>
        <v>0.6907696314</v>
      </c>
      <c r="L296" s="10">
        <f t="shared" si="8"/>
        <v>0.5526796515</v>
      </c>
      <c r="M296" s="10">
        <f>'Precinct Vote Data'!H1170</f>
        <v>0.5445783133</v>
      </c>
      <c r="N296" s="10">
        <f>'Precinct Vote Data'!H1171</f>
        <v>0.5071315372</v>
      </c>
      <c r="O296" s="10">
        <f>'Precinct Vote Data'!H1172</f>
        <v>0.5659229209</v>
      </c>
      <c r="U296" s="16">
        <f t="shared" si="9"/>
        <v>2.029418546</v>
      </c>
      <c r="V296" s="5" t="b">
        <f t="shared" si="10"/>
        <v>1</v>
      </c>
      <c r="W296" s="5">
        <f t="shared" si="11"/>
        <v>2.81700654</v>
      </c>
      <c r="X296" s="5">
        <f t="shared" si="12"/>
        <v>3.353745486</v>
      </c>
      <c r="Y296" s="5">
        <f t="shared" si="13"/>
        <v>2.029418546</v>
      </c>
      <c r="Z296" s="10">
        <f>MIN(1,MAX(0,(5.3914776420524+0.021102849201698*'Precinct Vote Data'!I1173*100+(-5.72594740176815)*1+0.927016741366831*(O296*100))/100))</f>
        <v>0.5245547072</v>
      </c>
      <c r="AA296" s="16">
        <f t="shared" si="14"/>
        <v>-0.7830758875</v>
      </c>
      <c r="AB296" s="5" t="b">
        <f t="shared" si="15"/>
        <v>1</v>
      </c>
      <c r="AC296" s="5">
        <f t="shared" si="16"/>
        <v>0.7830758875</v>
      </c>
    </row>
    <row r="297" ht="15.0" customHeight="1">
      <c r="A297" s="5" t="s">
        <v>327</v>
      </c>
      <c r="B297" s="5" t="s">
        <v>157</v>
      </c>
      <c r="C297" s="5" t="s">
        <v>338</v>
      </c>
      <c r="D297" s="10">
        <f t="shared" si="1"/>
        <v>0.5963946819</v>
      </c>
      <c r="E297" s="10">
        <f>'Precinct Vote Data'!H1177</f>
        <v>0.5712707182</v>
      </c>
      <c r="F297" s="16">
        <f t="shared" si="2"/>
        <v>2.512396363</v>
      </c>
      <c r="G297" s="10">
        <f t="shared" si="3"/>
        <v>0.5984</v>
      </c>
      <c r="H297" s="16">
        <f t="shared" si="4"/>
        <v>2.712928177</v>
      </c>
      <c r="I297" s="5" t="b">
        <f t="shared" si="5"/>
        <v>1</v>
      </c>
      <c r="J297" s="5" t="b">
        <f t="shared" si="6"/>
        <v>1</v>
      </c>
      <c r="K297" s="15">
        <f t="shared" si="7"/>
        <v>0.2265047906</v>
      </c>
      <c r="L297" s="10">
        <f t="shared" si="8"/>
        <v>0.5940575046</v>
      </c>
      <c r="M297" s="10">
        <f>'Precinct Vote Data'!H1174</f>
        <v>0.5925925926</v>
      </c>
      <c r="N297" s="10">
        <f>'Precinct Vote Data'!H1175</f>
        <v>0.5807692308</v>
      </c>
      <c r="O297" s="10">
        <f>'Precinct Vote Data'!H1176</f>
        <v>0.5984</v>
      </c>
      <c r="U297" s="16">
        <f t="shared" si="9"/>
        <v>2.278678635</v>
      </c>
      <c r="V297" s="5" t="b">
        <f t="shared" si="10"/>
        <v>1</v>
      </c>
      <c r="W297" s="5">
        <f t="shared" si="11"/>
        <v>2.512396363</v>
      </c>
      <c r="X297" s="5">
        <f t="shared" si="12"/>
        <v>2.712928177</v>
      </c>
      <c r="Y297" s="5">
        <f t="shared" si="13"/>
        <v>2.278678635</v>
      </c>
      <c r="Z297" s="10">
        <f>MIN(1,MAX(0,(5.3914776420524+0.021102849201698*'Precinct Vote Data'!I1177*100+(-5.72594740176815)*1+0.927016741366831*(O297*100))/100))</f>
        <v>0.5547227015</v>
      </c>
      <c r="AA297" s="16">
        <f t="shared" si="14"/>
        <v>-1.654801677</v>
      </c>
      <c r="AB297" s="5" t="b">
        <f t="shared" si="15"/>
        <v>1</v>
      </c>
      <c r="AC297" s="5">
        <f t="shared" si="16"/>
        <v>1.654801677</v>
      </c>
    </row>
    <row r="298" ht="15.0" customHeight="1">
      <c r="A298" s="5" t="s">
        <v>327</v>
      </c>
      <c r="B298" s="5" t="s">
        <v>157</v>
      </c>
      <c r="C298" s="5" t="s">
        <v>120</v>
      </c>
      <c r="D298" s="10">
        <f t="shared" si="1"/>
        <v>0.5991979985</v>
      </c>
      <c r="E298" s="10">
        <f>'Precinct Vote Data'!H1181</f>
        <v>0.6025641026</v>
      </c>
      <c r="F298" s="16">
        <f t="shared" si="2"/>
        <v>-0.3366104061</v>
      </c>
      <c r="G298" s="10">
        <f t="shared" si="3"/>
        <v>0.6049382716</v>
      </c>
      <c r="H298" s="16">
        <f t="shared" si="4"/>
        <v>0.2374169041</v>
      </c>
      <c r="I298" s="5" t="b">
        <f t="shared" si="5"/>
        <v>1</v>
      </c>
      <c r="J298" s="5" t="b">
        <f t="shared" si="6"/>
        <v>1</v>
      </c>
      <c r="K298" s="15">
        <f t="shared" si="7"/>
        <v>0.4157940085</v>
      </c>
      <c r="L298" s="10">
        <f t="shared" si="8"/>
        <v>0.5969667688</v>
      </c>
      <c r="M298" s="10">
        <f>'Precinct Vote Data'!H1178</f>
        <v>0.6042780749</v>
      </c>
      <c r="N298" s="10">
        <f>'Precinct Vote Data'!H1179</f>
        <v>0.5863970588</v>
      </c>
      <c r="O298" s="10">
        <f>'Precinct Vote Data'!H1180</f>
        <v>0.6049382716</v>
      </c>
      <c r="U298" s="16">
        <f t="shared" si="9"/>
        <v>-0.5597333783</v>
      </c>
      <c r="V298" s="5" t="b">
        <f t="shared" si="10"/>
        <v>1</v>
      </c>
      <c r="W298" s="5">
        <f t="shared" si="11"/>
        <v>0.3366104061</v>
      </c>
      <c r="X298" s="5">
        <f t="shared" si="12"/>
        <v>0.2374169041</v>
      </c>
      <c r="Y298" s="5">
        <f t="shared" si="13"/>
        <v>0.5597333783</v>
      </c>
      <c r="Z298" s="10">
        <f>MIN(1,MAX(0,(5.3914776420524+0.021102849201698*'Precinct Vote Data'!I1181*100+(-5.72594740176815)*1+0.927016741366831*(O298*100))/100))</f>
        <v>0.5609230675</v>
      </c>
      <c r="AA298" s="16">
        <f t="shared" si="14"/>
        <v>-4.164103506</v>
      </c>
      <c r="AB298" s="5" t="b">
        <f t="shared" si="15"/>
        <v>1</v>
      </c>
      <c r="AC298" s="5">
        <f t="shared" si="16"/>
        <v>4.164103506</v>
      </c>
    </row>
    <row r="299" ht="15.0" customHeight="1">
      <c r="A299" s="5" t="s">
        <v>327</v>
      </c>
      <c r="B299" s="5" t="s">
        <v>157</v>
      </c>
      <c r="C299" s="5" t="s">
        <v>122</v>
      </c>
      <c r="D299" s="10">
        <f t="shared" si="1"/>
        <v>0.4881830214</v>
      </c>
      <c r="E299" s="10">
        <f>'Precinct Vote Data'!H1185</f>
        <v>0.5191740413</v>
      </c>
      <c r="F299" s="16">
        <f t="shared" si="2"/>
        <v>-3.099101993</v>
      </c>
      <c r="G299" s="10">
        <f t="shared" si="3"/>
        <v>0.5</v>
      </c>
      <c r="H299" s="16">
        <f t="shared" si="4"/>
        <v>-1.91740413</v>
      </c>
      <c r="I299" s="5" t="b">
        <f t="shared" si="5"/>
        <v>0</v>
      </c>
      <c r="J299" s="5" t="b">
        <f t="shared" si="6"/>
        <v>0</v>
      </c>
      <c r="K299" s="15">
        <f t="shared" si="7"/>
        <v>0.6667440072</v>
      </c>
      <c r="L299" s="10">
        <f t="shared" si="8"/>
        <v>0.4872173441</v>
      </c>
      <c r="M299" s="10">
        <f>'Precinct Vote Data'!H1182</f>
        <v>0.511627907</v>
      </c>
      <c r="N299" s="10">
        <f>'Precinct Vote Data'!H1183</f>
        <v>0.487804878</v>
      </c>
      <c r="O299" s="10">
        <f>'Precinct Vote Data'!H1184</f>
        <v>0.5</v>
      </c>
      <c r="U299" s="16">
        <f t="shared" si="9"/>
        <v>-3.19566972</v>
      </c>
      <c r="V299" s="5" t="b">
        <f t="shared" si="10"/>
        <v>0</v>
      </c>
      <c r="W299" s="5">
        <f t="shared" si="11"/>
        <v>3.099101993</v>
      </c>
      <c r="X299" s="5">
        <f t="shared" si="12"/>
        <v>1.91740413</v>
      </c>
      <c r="Y299" s="5">
        <f t="shared" si="13"/>
        <v>3.19566972</v>
      </c>
      <c r="Z299" s="10">
        <f>MIN(1,MAX(0,(5.3914776420524+0.021102849201698*'Precinct Vote Data'!I1185*100+(-5.72594740176815)*1+0.927016741366831*(O299*100))/100))</f>
        <v>0.4604232381</v>
      </c>
      <c r="AA299" s="16">
        <f t="shared" si="14"/>
        <v>-5.875080317</v>
      </c>
      <c r="AB299" s="5" t="b">
        <f t="shared" si="15"/>
        <v>0</v>
      </c>
      <c r="AC299" s="5">
        <f t="shared" si="16"/>
        <v>5.875080317</v>
      </c>
    </row>
    <row r="300" ht="15.0" customHeight="1">
      <c r="A300" s="5" t="s">
        <v>327</v>
      </c>
      <c r="B300" s="5" t="s">
        <v>157</v>
      </c>
      <c r="C300" s="5" t="s">
        <v>339</v>
      </c>
      <c r="D300" s="10">
        <f t="shared" si="1"/>
        <v>0.535567608</v>
      </c>
      <c r="E300" s="10">
        <f>'Precinct Vote Data'!H1189</f>
        <v>0.5263157895</v>
      </c>
      <c r="F300" s="16">
        <f t="shared" si="2"/>
        <v>0.9251818479</v>
      </c>
      <c r="G300" s="10">
        <f t="shared" si="3"/>
        <v>0.5464396285</v>
      </c>
      <c r="H300" s="16">
        <f t="shared" si="4"/>
        <v>2.012383901</v>
      </c>
      <c r="I300" s="5" t="b">
        <f t="shared" si="5"/>
        <v>1</v>
      </c>
      <c r="J300" s="5" t="b">
        <f t="shared" si="6"/>
        <v>1</v>
      </c>
      <c r="K300" s="15">
        <f t="shared" si="7"/>
        <v>0.5613181376</v>
      </c>
      <c r="L300" s="10">
        <f t="shared" si="8"/>
        <v>0.535678172</v>
      </c>
      <c r="M300" s="10">
        <f>'Precinct Vote Data'!H1186</f>
        <v>0.5607142857</v>
      </c>
      <c r="N300" s="10">
        <f>'Precinct Vote Data'!H1187</f>
        <v>0.5423728814</v>
      </c>
      <c r="O300" s="10">
        <f>'Precinct Vote Data'!H1188</f>
        <v>0.5464396285</v>
      </c>
      <c r="U300" s="16">
        <f t="shared" si="9"/>
        <v>0.9362382547</v>
      </c>
      <c r="V300" s="5" t="b">
        <f t="shared" si="10"/>
        <v>1</v>
      </c>
      <c r="W300" s="5">
        <f t="shared" si="11"/>
        <v>0.9251818479</v>
      </c>
      <c r="X300" s="5">
        <f t="shared" si="12"/>
        <v>2.012383901</v>
      </c>
      <c r="Y300" s="5">
        <f t="shared" si="13"/>
        <v>0.9362382547</v>
      </c>
      <c r="Z300" s="10">
        <f>MIN(1,MAX(0,(5.3914776420524+0.021102849201698*'Precinct Vote Data'!I1189*100+(-5.72594740176815)*1+0.927016741366831*(O300*100))/100))</f>
        <v>0.5048747804</v>
      </c>
      <c r="AA300" s="16">
        <f t="shared" si="14"/>
        <v>-2.144100909</v>
      </c>
      <c r="AB300" s="5" t="b">
        <f t="shared" si="15"/>
        <v>1</v>
      </c>
      <c r="AC300" s="5">
        <f t="shared" si="16"/>
        <v>2.144100909</v>
      </c>
    </row>
    <row r="301" ht="15.0" customHeight="1">
      <c r="A301" s="5" t="s">
        <v>327</v>
      </c>
      <c r="B301" s="5" t="s">
        <v>157</v>
      </c>
      <c r="C301" s="5" t="s">
        <v>340</v>
      </c>
      <c r="D301" s="10">
        <f t="shared" si="1"/>
        <v>0.5457292451</v>
      </c>
      <c r="E301" s="10">
        <f>'Precinct Vote Data'!H1193</f>
        <v>0.5661605206</v>
      </c>
      <c r="F301" s="16">
        <f t="shared" si="2"/>
        <v>-2.043127548</v>
      </c>
      <c r="G301" s="10">
        <f t="shared" si="3"/>
        <v>0.5689900427</v>
      </c>
      <c r="H301" s="16">
        <f t="shared" si="4"/>
        <v>0.2829522067</v>
      </c>
      <c r="I301" s="5" t="b">
        <f t="shared" si="5"/>
        <v>1</v>
      </c>
      <c r="J301" s="5" t="b">
        <f t="shared" si="6"/>
        <v>1</v>
      </c>
      <c r="K301" s="15">
        <f t="shared" si="7"/>
        <v>1.204535425</v>
      </c>
      <c r="L301" s="10">
        <f t="shared" si="8"/>
        <v>0.5458969789</v>
      </c>
      <c r="M301" s="10">
        <f>'Precinct Vote Data'!H1190</f>
        <v>0.5992844365</v>
      </c>
      <c r="N301" s="10">
        <f>'Precinct Vote Data'!H1191</f>
        <v>0.5597964377</v>
      </c>
      <c r="O301" s="10">
        <f>'Precinct Vote Data'!H1192</f>
        <v>0.5689900427</v>
      </c>
      <c r="U301" s="16">
        <f t="shared" si="9"/>
        <v>-2.026354169</v>
      </c>
      <c r="V301" s="5" t="b">
        <f t="shared" si="10"/>
        <v>1</v>
      </c>
      <c r="W301" s="5">
        <f t="shared" si="11"/>
        <v>2.043127548</v>
      </c>
      <c r="X301" s="5">
        <f t="shared" si="12"/>
        <v>0.2829522067</v>
      </c>
      <c r="Y301" s="5">
        <f t="shared" si="13"/>
        <v>2.026354169</v>
      </c>
      <c r="Z301" s="10">
        <f>MIN(1,MAX(0,(5.3914776420524+0.021102849201698*'Precinct Vote Data'!I1193*100+(-5.72594740176815)*1+0.927016741366831*(O301*100))/100))</f>
        <v>0.5265749693</v>
      </c>
      <c r="AA301" s="16">
        <f t="shared" si="14"/>
        <v>-3.958555133</v>
      </c>
      <c r="AB301" s="5" t="b">
        <f t="shared" si="15"/>
        <v>1</v>
      </c>
      <c r="AC301" s="5">
        <f t="shared" si="16"/>
        <v>3.958555133</v>
      </c>
    </row>
    <row r="302" ht="15.0" customHeight="1">
      <c r="A302" s="5" t="s">
        <v>327</v>
      </c>
      <c r="B302" s="5" t="s">
        <v>157</v>
      </c>
      <c r="C302" s="5" t="s">
        <v>341</v>
      </c>
      <c r="D302" s="10">
        <f t="shared" si="1"/>
        <v>0.520923063</v>
      </c>
      <c r="E302" s="10">
        <f>'Precinct Vote Data'!H1197</f>
        <v>0.5075669383</v>
      </c>
      <c r="F302" s="16">
        <f t="shared" si="2"/>
        <v>1.335612471</v>
      </c>
      <c r="G302" s="10">
        <f t="shared" si="3"/>
        <v>0.5189504373</v>
      </c>
      <c r="H302" s="16">
        <f t="shared" si="4"/>
        <v>1.138349902</v>
      </c>
      <c r="I302" s="5" t="b">
        <f t="shared" si="5"/>
        <v>1</v>
      </c>
      <c r="J302" s="5" t="b">
        <f t="shared" si="6"/>
        <v>1</v>
      </c>
      <c r="K302" s="15">
        <f t="shared" si="7"/>
        <v>0.0744661656</v>
      </c>
      <c r="L302" s="10">
        <f t="shared" si="8"/>
        <v>0.5175227899</v>
      </c>
      <c r="M302" s="10">
        <f>'Precinct Vote Data'!H1194</f>
        <v>0.5042589438</v>
      </c>
      <c r="N302" s="10">
        <f>'Precinct Vote Data'!H1195</f>
        <v>0.4954853273</v>
      </c>
      <c r="O302" s="10">
        <f>'Precinct Vote Data'!H1196</f>
        <v>0.5189504373</v>
      </c>
      <c r="U302" s="16">
        <f t="shared" si="9"/>
        <v>0.9955851583</v>
      </c>
      <c r="V302" s="5" t="b">
        <f t="shared" si="10"/>
        <v>1</v>
      </c>
      <c r="W302" s="5">
        <f t="shared" si="11"/>
        <v>1.335612471</v>
      </c>
      <c r="X302" s="5">
        <f t="shared" si="12"/>
        <v>1.138349902</v>
      </c>
      <c r="Y302" s="5">
        <f t="shared" si="13"/>
        <v>0.9955851583</v>
      </c>
      <c r="Z302" s="10">
        <f>MIN(1,MAX(0,(5.3914776420524+0.021102849201698*'Precinct Vote Data'!I1197*100+(-5.72594740176815)*1+0.927016741366831*(O302*100))/100))</f>
        <v>0.4774461573</v>
      </c>
      <c r="AA302" s="16">
        <f t="shared" si="14"/>
        <v>-3.012078103</v>
      </c>
      <c r="AB302" s="5" t="b">
        <f t="shared" si="15"/>
        <v>0</v>
      </c>
      <c r="AC302" s="5">
        <f t="shared" si="16"/>
        <v>3.012078103</v>
      </c>
    </row>
    <row r="303" ht="15.0" customHeight="1">
      <c r="A303" s="5" t="s">
        <v>327</v>
      </c>
      <c r="B303" s="5" t="s">
        <v>157</v>
      </c>
      <c r="C303" s="5" t="s">
        <v>124</v>
      </c>
      <c r="D303" s="10">
        <f t="shared" si="1"/>
        <v>0.5828809126</v>
      </c>
      <c r="E303" s="10">
        <f>'Precinct Vote Data'!H1201</f>
        <v>0.5657492355</v>
      </c>
      <c r="F303" s="16">
        <f t="shared" si="2"/>
        <v>1.713167712</v>
      </c>
      <c r="G303" s="10">
        <f t="shared" si="3"/>
        <v>0.5719968178</v>
      </c>
      <c r="H303" s="16">
        <f t="shared" si="4"/>
        <v>0.6247582346</v>
      </c>
      <c r="I303" s="5" t="b">
        <f t="shared" si="5"/>
        <v>1</v>
      </c>
      <c r="J303" s="5" t="b">
        <f t="shared" si="6"/>
        <v>1</v>
      </c>
      <c r="K303" s="15">
        <f t="shared" si="7"/>
        <v>-0.5106699578</v>
      </c>
      <c r="L303" s="10">
        <f t="shared" si="8"/>
        <v>0.5817872595</v>
      </c>
      <c r="M303" s="10">
        <f>'Precinct Vote Data'!H1198</f>
        <v>0.5541871921</v>
      </c>
      <c r="N303" s="10">
        <f>'Precinct Vote Data'!H1199</f>
        <v>0.5690298507</v>
      </c>
      <c r="O303" s="10">
        <f>'Precinct Vote Data'!H1200</f>
        <v>0.5719968178</v>
      </c>
      <c r="U303" s="16">
        <f t="shared" si="9"/>
        <v>1.603802408</v>
      </c>
      <c r="V303" s="5" t="b">
        <f t="shared" si="10"/>
        <v>1</v>
      </c>
      <c r="W303" s="5">
        <f t="shared" si="11"/>
        <v>1.713167712</v>
      </c>
      <c r="X303" s="5">
        <f t="shared" si="12"/>
        <v>0.6247582346</v>
      </c>
      <c r="Y303" s="5">
        <f t="shared" si="13"/>
        <v>1.603802408</v>
      </c>
      <c r="Z303" s="10">
        <f>MIN(1,MAX(0,(5.3914776420524+0.021102849201698*'Precinct Vote Data'!I1201*100+(-5.72594740176815)*1+0.927016741366831*(O303*100))/100))</f>
        <v>0.5281341144</v>
      </c>
      <c r="AA303" s="16">
        <f t="shared" si="14"/>
        <v>-3.761512112</v>
      </c>
      <c r="AB303" s="5" t="b">
        <f t="shared" si="15"/>
        <v>1</v>
      </c>
      <c r="AC303" s="5">
        <f t="shared" si="16"/>
        <v>3.761512112</v>
      </c>
    </row>
    <row r="304" ht="15.0" customHeight="1">
      <c r="A304" s="5" t="s">
        <v>327</v>
      </c>
      <c r="B304" s="5" t="s">
        <v>157</v>
      </c>
      <c r="C304" s="5" t="s">
        <v>126</v>
      </c>
      <c r="D304" s="10">
        <f t="shared" si="1"/>
        <v>0.520977295</v>
      </c>
      <c r="E304" s="10">
        <f>'Precinct Vote Data'!H1205</f>
        <v>0.5100095329</v>
      </c>
      <c r="F304" s="16">
        <f t="shared" si="2"/>
        <v>1.096776213</v>
      </c>
      <c r="G304" s="10">
        <f t="shared" si="3"/>
        <v>0.504516129</v>
      </c>
      <c r="H304" s="16">
        <f t="shared" si="4"/>
        <v>-0.5493403856</v>
      </c>
      <c r="I304" s="5" t="b">
        <f t="shared" si="5"/>
        <v>1</v>
      </c>
      <c r="J304" s="5" t="b">
        <f t="shared" si="6"/>
        <v>1</v>
      </c>
      <c r="K304" s="15">
        <f t="shared" si="7"/>
        <v>-0.5912529973</v>
      </c>
      <c r="L304" s="10">
        <f t="shared" si="8"/>
        <v>0.5158514894</v>
      </c>
      <c r="M304" s="10">
        <f>'Precinct Vote Data'!H1202</f>
        <v>0.4651515152</v>
      </c>
      <c r="N304" s="10">
        <f>'Precinct Vote Data'!H1203</f>
        <v>0.4751703992</v>
      </c>
      <c r="O304" s="10">
        <f>'Precinct Vote Data'!H1204</f>
        <v>0.504516129</v>
      </c>
      <c r="U304" s="16">
        <f t="shared" si="9"/>
        <v>0.5841956544</v>
      </c>
      <c r="V304" s="5" t="b">
        <f t="shared" si="10"/>
        <v>1</v>
      </c>
      <c r="W304" s="5">
        <f t="shared" si="11"/>
        <v>1.096776213</v>
      </c>
      <c r="X304" s="5">
        <f t="shared" si="12"/>
        <v>0.5493403856</v>
      </c>
      <c r="Y304" s="5">
        <f t="shared" si="13"/>
        <v>0.5841956544</v>
      </c>
      <c r="Z304" s="10">
        <f>MIN(1,MAX(0,(5.3914776420524+0.021102849201698*'Precinct Vote Data'!I1205*100+(-5.72594740176815)*1+0.927016741366831*(O304*100))/100))</f>
        <v>0.4635018658</v>
      </c>
      <c r="AA304" s="16">
        <f t="shared" si="14"/>
        <v>-4.650766712</v>
      </c>
      <c r="AB304" s="5" t="b">
        <f t="shared" si="15"/>
        <v>0</v>
      </c>
      <c r="AC304" s="5">
        <f t="shared" si="16"/>
        <v>4.650766712</v>
      </c>
    </row>
    <row r="305" ht="15.0" customHeight="1">
      <c r="A305" s="5" t="s">
        <v>327</v>
      </c>
      <c r="B305" s="5" t="s">
        <v>157</v>
      </c>
      <c r="C305" s="5" t="s">
        <v>127</v>
      </c>
      <c r="D305" s="10">
        <f t="shared" si="1"/>
        <v>0.5101177728</v>
      </c>
      <c r="E305" s="10">
        <f>'Precinct Vote Data'!H1209</f>
        <v>0.5160289555</v>
      </c>
      <c r="F305" s="16">
        <f t="shared" si="2"/>
        <v>-0.5911182721</v>
      </c>
      <c r="G305" s="10">
        <f t="shared" si="3"/>
        <v>0.5051150895</v>
      </c>
      <c r="H305" s="16">
        <f t="shared" si="4"/>
        <v>-1.091386602</v>
      </c>
      <c r="I305" s="5" t="b">
        <f t="shared" si="5"/>
        <v>1</v>
      </c>
      <c r="J305" s="5" t="b">
        <f t="shared" si="6"/>
        <v>1</v>
      </c>
      <c r="K305" s="15">
        <f t="shared" si="7"/>
        <v>-0.4881915941</v>
      </c>
      <c r="L305" s="10">
        <f t="shared" si="8"/>
        <v>0.5144745815</v>
      </c>
      <c r="M305" s="10">
        <f>'Precinct Vote Data'!H1206</f>
        <v>0.5143266476</v>
      </c>
      <c r="N305" s="10">
        <f>'Precinct Vote Data'!H1207</f>
        <v>0.5385462555</v>
      </c>
      <c r="O305" s="10">
        <f>'Precinct Vote Data'!H1208</f>
        <v>0.5051150895</v>
      </c>
      <c r="U305" s="16">
        <f t="shared" si="9"/>
        <v>-0.1554374077</v>
      </c>
      <c r="V305" s="5" t="b">
        <f t="shared" si="10"/>
        <v>1</v>
      </c>
      <c r="W305" s="5">
        <f t="shared" si="11"/>
        <v>0.5911182721</v>
      </c>
      <c r="X305" s="5">
        <f t="shared" si="12"/>
        <v>1.091386602</v>
      </c>
      <c r="Y305" s="5">
        <f t="shared" si="13"/>
        <v>0.1554374077</v>
      </c>
      <c r="Z305" s="10">
        <f>MIN(1,MAX(0,(5.3914776420524+0.021102849201698*'Precinct Vote Data'!I1209*100+(-5.72594740176815)*1+0.927016741366831*(O305*100))/100))</f>
        <v>0.4654287974</v>
      </c>
      <c r="AA305" s="16">
        <f t="shared" si="14"/>
        <v>-5.060015817</v>
      </c>
      <c r="AB305" s="5" t="b">
        <f t="shared" si="15"/>
        <v>0</v>
      </c>
      <c r="AC305" s="5">
        <f t="shared" si="16"/>
        <v>5.060015817</v>
      </c>
    </row>
    <row r="306" ht="15.0" customHeight="1">
      <c r="A306" s="5" t="s">
        <v>327</v>
      </c>
      <c r="B306" s="5" t="s">
        <v>157</v>
      </c>
      <c r="C306" s="5" t="s">
        <v>342</v>
      </c>
      <c r="D306" s="10">
        <f t="shared" si="1"/>
        <v>0.5386627598</v>
      </c>
      <c r="E306" s="10">
        <f>'Precinct Vote Data'!H1213</f>
        <v>0.5180226571</v>
      </c>
      <c r="F306" s="16">
        <f t="shared" si="2"/>
        <v>2.064010273</v>
      </c>
      <c r="G306" s="10">
        <f t="shared" si="3"/>
        <v>0.5397877984</v>
      </c>
      <c r="H306" s="16">
        <f t="shared" si="4"/>
        <v>2.176514135</v>
      </c>
      <c r="I306" s="5" t="b">
        <f t="shared" si="5"/>
        <v>1</v>
      </c>
      <c r="J306" s="5" t="b">
        <f t="shared" si="6"/>
        <v>1</v>
      </c>
      <c r="K306" s="15">
        <f t="shared" si="7"/>
        <v>0.2230817191</v>
      </c>
      <c r="L306" s="10">
        <f t="shared" si="8"/>
        <v>0.5355109293</v>
      </c>
      <c r="M306" s="10">
        <f>'Precinct Vote Data'!H1210</f>
        <v>0.5299401198</v>
      </c>
      <c r="N306" s="10">
        <f>'Precinct Vote Data'!H1211</f>
        <v>0.5167173252</v>
      </c>
      <c r="O306" s="10">
        <f>'Precinct Vote Data'!H1212</f>
        <v>0.5397877984</v>
      </c>
      <c r="U306" s="16">
        <f t="shared" si="9"/>
        <v>1.748827224</v>
      </c>
      <c r="V306" s="5" t="b">
        <f t="shared" si="10"/>
        <v>1</v>
      </c>
      <c r="W306" s="5">
        <f t="shared" si="11"/>
        <v>2.064010273</v>
      </c>
      <c r="X306" s="5">
        <f t="shared" si="12"/>
        <v>2.176514135</v>
      </c>
      <c r="Y306" s="5">
        <f t="shared" si="13"/>
        <v>1.748827224</v>
      </c>
      <c r="Z306" s="10">
        <f>MIN(1,MAX(0,(5.3914776420524+0.021102849201698*'Precinct Vote Data'!I1213*100+(-5.72594740176815)*1+0.927016741366831*(O306*100))/100))</f>
        <v>0.4984530781</v>
      </c>
      <c r="AA306" s="16">
        <f t="shared" si="14"/>
        <v>-1.956957898</v>
      </c>
      <c r="AB306" s="5" t="b">
        <f t="shared" si="15"/>
        <v>0</v>
      </c>
      <c r="AC306" s="5">
        <f t="shared" si="16"/>
        <v>1.956957898</v>
      </c>
    </row>
    <row r="307" ht="15.0" customHeight="1">
      <c r="A307" s="5" t="s">
        <v>327</v>
      </c>
      <c r="B307" s="5" t="s">
        <v>343</v>
      </c>
      <c r="C307" s="5" t="s">
        <v>130</v>
      </c>
      <c r="D307" s="10">
        <f t="shared" si="1"/>
        <v>0.3903441831</v>
      </c>
      <c r="E307" s="10">
        <f>'Precinct Vote Data'!H1217</f>
        <v>0.3927227102</v>
      </c>
      <c r="F307" s="16">
        <f t="shared" si="2"/>
        <v>-0.2378527063</v>
      </c>
      <c r="G307" s="10">
        <f t="shared" si="3"/>
        <v>0.3893333333</v>
      </c>
      <c r="H307" s="16">
        <f t="shared" si="4"/>
        <v>-0.338937683</v>
      </c>
      <c r="I307" s="5" t="b">
        <f t="shared" si="5"/>
        <v>1</v>
      </c>
      <c r="J307" s="5" t="b">
        <f t="shared" si="6"/>
        <v>1</v>
      </c>
      <c r="K307" s="15">
        <f t="shared" si="7"/>
        <v>0.06923178537</v>
      </c>
      <c r="L307" s="10">
        <f t="shared" si="8"/>
        <v>0.3880060382</v>
      </c>
      <c r="M307" s="10">
        <f>'Precinct Vote Data'!H1214</f>
        <v>0.3796721311</v>
      </c>
      <c r="N307" s="10">
        <f>'Precinct Vote Data'!H1215</f>
        <v>0.3730434783</v>
      </c>
      <c r="O307" s="10">
        <f>'Precinct Vote Data'!H1216</f>
        <v>0.3893333333</v>
      </c>
      <c r="U307" s="16">
        <f t="shared" si="9"/>
        <v>-0.4716671984</v>
      </c>
      <c r="V307" s="5" t="b">
        <f t="shared" si="10"/>
        <v>1</v>
      </c>
      <c r="W307" s="5">
        <f t="shared" si="11"/>
        <v>0.2378527063</v>
      </c>
      <c r="X307" s="5">
        <f t="shared" si="12"/>
        <v>0.338937683</v>
      </c>
      <c r="Y307" s="5">
        <f t="shared" si="13"/>
        <v>0.4716671984</v>
      </c>
      <c r="Z307" s="10">
        <f>MIN(1,MAX(0,(5.3914776420524+0.021102849201698*'Precinct Vote Data'!I1217*100+(-5.72594740176815)*1+0.927016741366831*(O307*100))/100))</f>
        <v>0.3527286062</v>
      </c>
      <c r="AA307" s="16">
        <f t="shared" si="14"/>
        <v>-3.999410396</v>
      </c>
      <c r="AB307" s="5" t="b">
        <f t="shared" si="15"/>
        <v>1</v>
      </c>
      <c r="AC307" s="5">
        <f t="shared" si="16"/>
        <v>3.999410396</v>
      </c>
    </row>
    <row r="308" ht="15.0" customHeight="1">
      <c r="A308" s="5" t="s">
        <v>327</v>
      </c>
      <c r="B308" s="5" t="s">
        <v>343</v>
      </c>
      <c r="C308" s="5" t="s">
        <v>131</v>
      </c>
      <c r="D308" s="10">
        <f t="shared" si="1"/>
        <v>0.4145027917</v>
      </c>
      <c r="E308" s="10">
        <f>'Precinct Vote Data'!H1221</f>
        <v>0.4089775561</v>
      </c>
      <c r="F308" s="16">
        <f t="shared" si="2"/>
        <v>0.5525235561</v>
      </c>
      <c r="G308" s="10">
        <f t="shared" si="3"/>
        <v>0.4322298563</v>
      </c>
      <c r="H308" s="16">
        <f t="shared" si="4"/>
        <v>2.325230023</v>
      </c>
      <c r="I308" s="5" t="b">
        <f t="shared" si="5"/>
        <v>1</v>
      </c>
      <c r="J308" s="5" t="b">
        <f t="shared" si="6"/>
        <v>1</v>
      </c>
      <c r="K308" s="15">
        <f t="shared" si="7"/>
        <v>1.149613916</v>
      </c>
      <c r="L308" s="10">
        <f t="shared" si="8"/>
        <v>0.4101897346</v>
      </c>
      <c r="M308" s="10">
        <f>'Precinct Vote Data'!H1218</f>
        <v>0.4394184168</v>
      </c>
      <c r="N308" s="10">
        <f>'Precinct Vote Data'!H1219</f>
        <v>0.3934257833</v>
      </c>
      <c r="O308" s="10">
        <f>'Precinct Vote Data'!H1220</f>
        <v>0.4322298563</v>
      </c>
      <c r="U308" s="16">
        <f t="shared" si="9"/>
        <v>0.1212178464</v>
      </c>
      <c r="V308" s="5" t="b">
        <f t="shared" si="10"/>
        <v>1</v>
      </c>
      <c r="W308" s="5">
        <f t="shared" si="11"/>
        <v>0.5525235561</v>
      </c>
      <c r="X308" s="5">
        <f t="shared" si="12"/>
        <v>2.325230023</v>
      </c>
      <c r="Y308" s="5">
        <f t="shared" si="13"/>
        <v>0.1212178464</v>
      </c>
      <c r="Z308" s="10">
        <f>MIN(1,MAX(0,(5.3914776420524+0.021102849201698*'Precinct Vote Data'!I1221*100+(-5.72594740176815)*1+0.927016741366831*(O308*100))/100))</f>
        <v>0.3935221099</v>
      </c>
      <c r="AA308" s="16">
        <f t="shared" si="14"/>
        <v>-1.545544618</v>
      </c>
      <c r="AB308" s="5" t="b">
        <f t="shared" si="15"/>
        <v>1</v>
      </c>
      <c r="AC308" s="5">
        <f t="shared" si="16"/>
        <v>1.545544618</v>
      </c>
    </row>
    <row r="309" ht="15.0" customHeight="1">
      <c r="A309" s="5" t="s">
        <v>327</v>
      </c>
      <c r="B309" s="5" t="s">
        <v>343</v>
      </c>
      <c r="C309" s="5" t="s">
        <v>132</v>
      </c>
      <c r="D309" s="10">
        <f t="shared" si="1"/>
        <v>0.3412171313</v>
      </c>
      <c r="E309" s="10">
        <f>'Precinct Vote Data'!H1225</f>
        <v>0.3327922078</v>
      </c>
      <c r="F309" s="16">
        <f t="shared" si="2"/>
        <v>0.8424923504</v>
      </c>
      <c r="G309" s="10">
        <f t="shared" si="3"/>
        <v>0.3412784399</v>
      </c>
      <c r="H309" s="16">
        <f t="shared" si="4"/>
        <v>0.8486232078</v>
      </c>
      <c r="I309" s="5" t="b">
        <f t="shared" si="5"/>
        <v>1</v>
      </c>
      <c r="J309" s="5" t="b">
        <f t="shared" si="6"/>
        <v>1</v>
      </c>
      <c r="K309" s="15">
        <f t="shared" si="7"/>
        <v>0.1783717368</v>
      </c>
      <c r="L309" s="10">
        <f t="shared" si="8"/>
        <v>0.3378587398</v>
      </c>
      <c r="M309" s="10">
        <f>'Precinct Vote Data'!H1222</f>
        <v>0.3293333333</v>
      </c>
      <c r="N309" s="10">
        <f>'Precinct Vote Data'!H1223</f>
        <v>0.3172043011</v>
      </c>
      <c r="O309" s="10">
        <f>'Precinct Vote Data'!H1224</f>
        <v>0.3412784399</v>
      </c>
      <c r="U309" s="16">
        <f t="shared" si="9"/>
        <v>0.5066531999</v>
      </c>
      <c r="V309" s="5" t="b">
        <f t="shared" si="10"/>
        <v>1</v>
      </c>
      <c r="W309" s="5">
        <f t="shared" si="11"/>
        <v>0.8424923504</v>
      </c>
      <c r="X309" s="5">
        <f t="shared" si="12"/>
        <v>0.8486232078</v>
      </c>
      <c r="Y309" s="5">
        <f t="shared" si="13"/>
        <v>0.5066531999</v>
      </c>
      <c r="Z309" s="10">
        <f>MIN(1,MAX(0,(5.3914776420524+0.021102849201698*'Precinct Vote Data'!I1225*100+(-5.72594740176815)*1+0.927016741366831*(O309*100))/100))</f>
        <v>0.3071637581</v>
      </c>
      <c r="AA309" s="16">
        <f t="shared" si="14"/>
        <v>-2.562844967</v>
      </c>
      <c r="AB309" s="5" t="b">
        <f t="shared" si="15"/>
        <v>1</v>
      </c>
      <c r="AC309" s="5">
        <f t="shared" si="16"/>
        <v>2.562844967</v>
      </c>
    </row>
    <row r="310" ht="15.0" customHeight="1">
      <c r="A310" s="5" t="s">
        <v>327</v>
      </c>
      <c r="B310" s="5" t="s">
        <v>344</v>
      </c>
      <c r="C310" s="5" t="s">
        <v>133</v>
      </c>
      <c r="D310" s="10">
        <f t="shared" si="1"/>
        <v>0.2877593435</v>
      </c>
      <c r="E310" s="10">
        <f>'Precinct Vote Data'!H1229</f>
        <v>0.325203252</v>
      </c>
      <c r="F310" s="16">
        <f t="shared" si="2"/>
        <v>-3.74439085</v>
      </c>
      <c r="G310" s="10">
        <f t="shared" si="3"/>
        <v>0.3604651163</v>
      </c>
      <c r="H310" s="16">
        <f t="shared" si="4"/>
        <v>3.526186425</v>
      </c>
      <c r="I310" s="5" t="b">
        <f t="shared" si="5"/>
        <v>1</v>
      </c>
      <c r="J310" s="5" t="b">
        <f t="shared" si="6"/>
        <v>1</v>
      </c>
      <c r="K310" s="15">
        <f t="shared" si="7"/>
        <v>3.773880572</v>
      </c>
      <c r="L310" s="10">
        <f t="shared" si="8"/>
        <v>0.2881131847</v>
      </c>
      <c r="M310" s="10">
        <f>'Precinct Vote Data'!H1226</f>
        <v>0.4545454545</v>
      </c>
      <c r="N310" s="10">
        <f>'Precinct Vote Data'!H1227</f>
        <v>0.3305084746</v>
      </c>
      <c r="O310" s="10">
        <f>'Precinct Vote Data'!H1228</f>
        <v>0.3604651163</v>
      </c>
      <c r="U310" s="16">
        <f t="shared" si="9"/>
        <v>-3.70900673</v>
      </c>
      <c r="V310" s="5" t="b">
        <f t="shared" si="10"/>
        <v>1</v>
      </c>
      <c r="W310" s="5">
        <f t="shared" si="11"/>
        <v>3.74439085</v>
      </c>
      <c r="X310" s="5">
        <f t="shared" si="12"/>
        <v>3.526186425</v>
      </c>
      <c r="Y310" s="5">
        <f t="shared" si="13"/>
        <v>3.70900673</v>
      </c>
      <c r="Z310" s="10">
        <f>MIN(1,MAX(0,(5.3914776420524+0.021102849201698*'Precinct Vote Data'!I1229*100+(-5.72594740176815)*1+0.927016741366831*(O310*100))/100))</f>
        <v>0.3256802869</v>
      </c>
      <c r="AA310" s="16">
        <f t="shared" si="14"/>
        <v>0.04770349139</v>
      </c>
      <c r="AB310" s="5" t="b">
        <f t="shared" si="15"/>
        <v>1</v>
      </c>
      <c r="AC310" s="5">
        <f t="shared" si="16"/>
        <v>0.04770349139</v>
      </c>
    </row>
    <row r="311" ht="15.0" customHeight="1">
      <c r="A311" s="5" t="s">
        <v>327</v>
      </c>
      <c r="B311" s="5" t="s">
        <v>345</v>
      </c>
      <c r="C311" s="5" t="s">
        <v>135</v>
      </c>
      <c r="D311" s="10">
        <f t="shared" si="1"/>
        <v>0.422456031</v>
      </c>
      <c r="E311" s="10">
        <f>'Precinct Vote Data'!H1233</f>
        <v>0.4285714286</v>
      </c>
      <c r="F311" s="16">
        <f t="shared" si="2"/>
        <v>-0.6115397616</v>
      </c>
      <c r="G311" s="10">
        <f t="shared" si="3"/>
        <v>0.4268009295</v>
      </c>
      <c r="H311" s="16">
        <f t="shared" si="4"/>
        <v>-0.1770499059</v>
      </c>
      <c r="I311" s="5" t="b">
        <f t="shared" si="5"/>
        <v>1</v>
      </c>
      <c r="J311" s="5" t="b">
        <f t="shared" si="6"/>
        <v>1</v>
      </c>
      <c r="K311" s="15">
        <f t="shared" si="7"/>
        <v>0.5676319566</v>
      </c>
      <c r="L311" s="10">
        <f t="shared" si="8"/>
        <v>0.415918426</v>
      </c>
      <c r="M311" s="10">
        <f>'Precinct Vote Data'!H1230</f>
        <v>0.4089422028</v>
      </c>
      <c r="N311" s="10">
        <f>'Precinct Vote Data'!H1231</f>
        <v>0.3780487805</v>
      </c>
      <c r="O311" s="10">
        <f>'Precinct Vote Data'!H1232</f>
        <v>0.4268009295</v>
      </c>
      <c r="U311" s="16">
        <f t="shared" si="9"/>
        <v>-1.265300254</v>
      </c>
      <c r="V311" s="5" t="b">
        <f t="shared" si="10"/>
        <v>1</v>
      </c>
      <c r="W311" s="5">
        <f t="shared" si="11"/>
        <v>0.6115397616</v>
      </c>
      <c r="X311" s="5">
        <f t="shared" si="12"/>
        <v>0.1770499059</v>
      </c>
      <c r="Y311" s="5">
        <f t="shared" si="13"/>
        <v>1.265300254</v>
      </c>
      <c r="Z311" s="10">
        <f>MIN(1,MAX(0,(5.3914776420524+0.021102849201698*'Precinct Vote Data'!I1233*100+(-5.72594740176815)*1+0.927016741366831*(O311*100))/100))</f>
        <v>0.3892892019</v>
      </c>
      <c r="AA311" s="16">
        <f t="shared" si="14"/>
        <v>-3.928222672</v>
      </c>
      <c r="AB311" s="5" t="b">
        <f t="shared" si="15"/>
        <v>1</v>
      </c>
      <c r="AC311" s="5">
        <f t="shared" si="16"/>
        <v>3.928222672</v>
      </c>
    </row>
    <row r="312" ht="15.0" customHeight="1">
      <c r="A312" s="5" t="s">
        <v>327</v>
      </c>
      <c r="B312" s="5" t="s">
        <v>345</v>
      </c>
      <c r="C312" s="5" t="s">
        <v>136</v>
      </c>
      <c r="D312" s="10">
        <f t="shared" si="1"/>
        <v>0.4610977659</v>
      </c>
      <c r="E312" s="10">
        <f>'Precinct Vote Data'!H1237</f>
        <v>0.4337202199</v>
      </c>
      <c r="F312" s="16">
        <f t="shared" si="2"/>
        <v>2.737754598</v>
      </c>
      <c r="G312" s="10">
        <f t="shared" si="3"/>
        <v>0.4551386623</v>
      </c>
      <c r="H312" s="16">
        <f t="shared" si="4"/>
        <v>2.14184424</v>
      </c>
      <c r="I312" s="5" t="b">
        <f t="shared" si="5"/>
        <v>1</v>
      </c>
      <c r="J312" s="5" t="b">
        <f t="shared" si="6"/>
        <v>1</v>
      </c>
      <c r="K312" s="15">
        <f t="shared" si="7"/>
        <v>-0.09854165807</v>
      </c>
      <c r="L312" s="10">
        <f t="shared" si="8"/>
        <v>0.4570278793</v>
      </c>
      <c r="M312" s="10">
        <f>'Precinct Vote Data'!H1234</f>
        <v>0.4329608939</v>
      </c>
      <c r="N312" s="10">
        <f>'Precinct Vote Data'!H1235</f>
        <v>0.4286604361</v>
      </c>
      <c r="O312" s="10">
        <f>'Precinct Vote Data'!H1236</f>
        <v>0.4551386623</v>
      </c>
      <c r="U312" s="16">
        <f t="shared" si="9"/>
        <v>2.330765939</v>
      </c>
      <c r="V312" s="5" t="b">
        <f t="shared" si="10"/>
        <v>1</v>
      </c>
      <c r="W312" s="5">
        <f t="shared" si="11"/>
        <v>2.737754598</v>
      </c>
      <c r="X312" s="5">
        <f t="shared" si="12"/>
        <v>2.14184424</v>
      </c>
      <c r="Y312" s="5">
        <f t="shared" si="13"/>
        <v>2.330765939</v>
      </c>
      <c r="Z312" s="10">
        <f>MIN(1,MAX(0,(5.3914776420524+0.021102849201698*'Precinct Vote Data'!I1237*100+(-5.72594740176815)*1+0.927016741366831*(O312*100))/100))</f>
        <v>0.4166497719</v>
      </c>
      <c r="AA312" s="16">
        <f t="shared" si="14"/>
        <v>-1.707044803</v>
      </c>
      <c r="AB312" s="5" t="b">
        <f t="shared" si="15"/>
        <v>1</v>
      </c>
      <c r="AC312" s="5">
        <f t="shared" si="16"/>
        <v>1.707044803</v>
      </c>
    </row>
    <row r="313" ht="15.0" customHeight="1">
      <c r="A313" s="5" t="s">
        <v>327</v>
      </c>
      <c r="B313" s="5" t="s">
        <v>346</v>
      </c>
      <c r="C313" s="5" t="s">
        <v>139</v>
      </c>
      <c r="D313" s="10">
        <f t="shared" si="1"/>
        <v>0.3712687046</v>
      </c>
      <c r="E313" s="10">
        <f>'Precinct Vote Data'!H1241</f>
        <v>0.4125475285</v>
      </c>
      <c r="F313" s="16">
        <f t="shared" si="2"/>
        <v>-4.127882392</v>
      </c>
      <c r="G313" s="10">
        <f t="shared" si="3"/>
        <v>0.3903133903</v>
      </c>
      <c r="H313" s="16">
        <f t="shared" si="4"/>
        <v>-2.22341382</v>
      </c>
      <c r="I313" s="5" t="b">
        <f t="shared" si="5"/>
        <v>1</v>
      </c>
      <c r="J313" s="5" t="b">
        <f t="shared" si="6"/>
        <v>1</v>
      </c>
      <c r="K313" s="15">
        <f t="shared" si="7"/>
        <v>1.346458818</v>
      </c>
      <c r="L313" s="10">
        <f t="shared" si="8"/>
        <v>0.3644994054</v>
      </c>
      <c r="M313" s="10">
        <f>'Precinct Vote Data'!H1238</f>
        <v>0.3903903904</v>
      </c>
      <c r="N313" s="10">
        <f>'Precinct Vote Data'!H1239</f>
        <v>0.3333333333</v>
      </c>
      <c r="O313" s="10">
        <f>'Precinct Vote Data'!H1240</f>
        <v>0.3903133903</v>
      </c>
      <c r="U313" s="16">
        <f t="shared" si="9"/>
        <v>-4.804812314</v>
      </c>
      <c r="V313" s="5" t="b">
        <f t="shared" si="10"/>
        <v>1</v>
      </c>
      <c r="W313" s="5">
        <f t="shared" si="11"/>
        <v>4.127882392</v>
      </c>
      <c r="X313" s="5">
        <f t="shared" si="12"/>
        <v>2.22341382</v>
      </c>
      <c r="Y313" s="5">
        <f t="shared" si="13"/>
        <v>4.804812314</v>
      </c>
      <c r="Z313" s="10">
        <f>MIN(1,MAX(0,(5.3914776420524+0.021102849201698*'Precinct Vote Data'!I1241*100+(-5.72594740176815)*1+0.927016741366831*(O313*100))/100))</f>
        <v>0.3555659358</v>
      </c>
      <c r="AA313" s="16">
        <f t="shared" si="14"/>
        <v>-5.698159267</v>
      </c>
      <c r="AB313" s="5" t="b">
        <f t="shared" si="15"/>
        <v>1</v>
      </c>
      <c r="AC313" s="5">
        <f t="shared" si="16"/>
        <v>5.698159267</v>
      </c>
    </row>
    <row r="314" ht="15.0" customHeight="1">
      <c r="A314" s="5" t="s">
        <v>327</v>
      </c>
      <c r="B314" s="5" t="s">
        <v>347</v>
      </c>
      <c r="C314" s="5" t="s">
        <v>140</v>
      </c>
      <c r="D314" s="10">
        <f t="shared" si="1"/>
        <v>0.7378150912</v>
      </c>
      <c r="E314" s="10">
        <f>'Precinct Vote Data'!H1245</f>
        <v>0.7140783745</v>
      </c>
      <c r="F314" s="16">
        <f t="shared" si="2"/>
        <v>2.37367167</v>
      </c>
      <c r="G314" s="10">
        <f t="shared" si="3"/>
        <v>0.7591836735</v>
      </c>
      <c r="H314" s="16">
        <f t="shared" si="4"/>
        <v>4.510529901</v>
      </c>
      <c r="I314" s="5" t="b">
        <f t="shared" si="5"/>
        <v>1</v>
      </c>
      <c r="J314" s="5" t="b">
        <f t="shared" si="6"/>
        <v>1</v>
      </c>
      <c r="K314" s="15">
        <f t="shared" si="7"/>
        <v>1.182879945</v>
      </c>
      <c r="L314" s="10">
        <f t="shared" si="8"/>
        <v>0.7365057834</v>
      </c>
      <c r="M314" s="10">
        <f>'Precinct Vote Data'!H1242</f>
        <v>0.7817745803</v>
      </c>
      <c r="N314" s="10">
        <f>'Precinct Vote Data'!H1243</f>
        <v>0.7402597403</v>
      </c>
      <c r="O314" s="10">
        <f>'Precinct Vote Data'!H1244</f>
        <v>0.7591836735</v>
      </c>
      <c r="U314" s="16">
        <f t="shared" si="9"/>
        <v>2.242740893</v>
      </c>
      <c r="V314" s="5" t="b">
        <f t="shared" si="10"/>
        <v>1</v>
      </c>
      <c r="W314" s="5">
        <f t="shared" si="11"/>
        <v>2.37367167</v>
      </c>
      <c r="X314" s="5">
        <f t="shared" si="12"/>
        <v>4.510529901</v>
      </c>
      <c r="Y314" s="5">
        <f t="shared" si="13"/>
        <v>2.242740893</v>
      </c>
      <c r="Z314" s="10">
        <f>MIN(1,MAX(0,(5.3914776420524+0.021102849201698*'Precinct Vote Data'!I1245*100+(-5.72594740176815)*1+0.927016741366831*(O314*100))/100))</f>
        <v>0.7081295969</v>
      </c>
      <c r="AA314" s="16">
        <f t="shared" si="14"/>
        <v>-0.5948777586</v>
      </c>
      <c r="AB314" s="5" t="b">
        <f t="shared" si="15"/>
        <v>1</v>
      </c>
      <c r="AC314" s="5">
        <f t="shared" si="16"/>
        <v>0.5948777586</v>
      </c>
    </row>
    <row r="315" ht="15.0" customHeight="1">
      <c r="A315" s="5" t="s">
        <v>327</v>
      </c>
      <c r="B315" s="5" t="s">
        <v>347</v>
      </c>
      <c r="C315" s="5" t="s">
        <v>142</v>
      </c>
      <c r="D315" s="10">
        <f t="shared" si="1"/>
        <v>0.7617593152</v>
      </c>
      <c r="E315" s="10">
        <f>'Precinct Vote Data'!H1249</f>
        <v>0.7371031746</v>
      </c>
      <c r="F315" s="16">
        <f t="shared" si="2"/>
        <v>2.465614061</v>
      </c>
      <c r="G315" s="10">
        <f t="shared" si="3"/>
        <v>0.7678983834</v>
      </c>
      <c r="H315" s="16">
        <f t="shared" si="4"/>
        <v>3.079520877</v>
      </c>
      <c r="I315" s="5" t="b">
        <f t="shared" si="5"/>
        <v>1</v>
      </c>
      <c r="J315" s="5" t="b">
        <f t="shared" si="6"/>
        <v>1</v>
      </c>
      <c r="K315" s="15">
        <f t="shared" si="7"/>
        <v>0.681689572</v>
      </c>
      <c r="L315" s="10">
        <f t="shared" si="8"/>
        <v>0.7548291947</v>
      </c>
      <c r="M315" s="10">
        <f>'Precinct Vote Data'!H1246</f>
        <v>0.7509247842</v>
      </c>
      <c r="N315" s="10">
        <f>'Precinct Vote Data'!H1247</f>
        <v>0.7155339806</v>
      </c>
      <c r="O315" s="10">
        <f>'Precinct Vote Data'!H1248</f>
        <v>0.7678983834</v>
      </c>
      <c r="U315" s="16">
        <f t="shared" si="9"/>
        <v>1.772602009</v>
      </c>
      <c r="V315" s="5" t="b">
        <f t="shared" si="10"/>
        <v>1</v>
      </c>
      <c r="W315" s="5">
        <f t="shared" si="11"/>
        <v>2.465614061</v>
      </c>
      <c r="X315" s="5">
        <f t="shared" si="12"/>
        <v>3.079520877</v>
      </c>
      <c r="Y315" s="5">
        <f t="shared" si="13"/>
        <v>1.772602009</v>
      </c>
      <c r="Z315" s="10">
        <f>MIN(1,MAX(0,(5.3914776420524+0.021102849201698*'Precinct Vote Data'!I1249*100+(-5.72594740176815)*1+0.927016741366831*(O315*100))/100))</f>
        <v>0.7166619901</v>
      </c>
      <c r="AA315" s="16">
        <f t="shared" si="14"/>
        <v>-2.04411845</v>
      </c>
      <c r="AB315" s="5" t="b">
        <f t="shared" si="15"/>
        <v>1</v>
      </c>
      <c r="AC315" s="5">
        <f t="shared" si="16"/>
        <v>2.04411845</v>
      </c>
    </row>
    <row r="316" ht="15.0" customHeight="1">
      <c r="A316" s="5" t="s">
        <v>327</v>
      </c>
      <c r="B316" s="5" t="s">
        <v>347</v>
      </c>
      <c r="C316" s="5" t="s">
        <v>148</v>
      </c>
      <c r="D316" s="10">
        <f t="shared" si="1"/>
        <v>0.8157853218</v>
      </c>
      <c r="E316" s="10">
        <f>'Precinct Vote Data'!H1253</f>
        <v>0.7927090779</v>
      </c>
      <c r="F316" s="16">
        <f t="shared" si="2"/>
        <v>2.307624392</v>
      </c>
      <c r="G316" s="10">
        <f t="shared" si="3"/>
        <v>0.8582089552</v>
      </c>
      <c r="H316" s="16">
        <f t="shared" si="4"/>
        <v>6.549987731</v>
      </c>
      <c r="I316" s="5" t="b">
        <f t="shared" si="5"/>
        <v>1</v>
      </c>
      <c r="J316" s="5" t="b">
        <f t="shared" si="6"/>
        <v>1</v>
      </c>
      <c r="K316" s="15">
        <f t="shared" si="7"/>
        <v>2.527421405</v>
      </c>
      <c r="L316" s="10">
        <f t="shared" si="8"/>
        <v>0.8097538393</v>
      </c>
      <c r="M316" s="10">
        <f>'Precinct Vote Data'!H1250</f>
        <v>0.8907721281</v>
      </c>
      <c r="N316" s="10">
        <f>'Precinct Vote Data'!H1251</f>
        <v>0.7960644007</v>
      </c>
      <c r="O316" s="10">
        <f>'Precinct Vote Data'!H1252</f>
        <v>0.8582089552</v>
      </c>
      <c r="U316" s="16">
        <f t="shared" si="9"/>
        <v>1.704476142</v>
      </c>
      <c r="V316" s="5" t="b">
        <f t="shared" si="10"/>
        <v>1</v>
      </c>
      <c r="W316" s="5">
        <f t="shared" si="11"/>
        <v>2.307624392</v>
      </c>
      <c r="X316" s="5">
        <f t="shared" si="12"/>
        <v>6.549987731</v>
      </c>
      <c r="Y316" s="5">
        <f t="shared" si="13"/>
        <v>1.704476142</v>
      </c>
      <c r="Z316" s="10">
        <f>MIN(1,MAX(0,(5.3914776420524+0.021102849201698*'Precinct Vote Data'!I1253*100+(-5.72594740176815)*1+0.927016741366831*(O316*100))/100))</f>
        <v>0.8021477106</v>
      </c>
      <c r="AA316" s="16">
        <f t="shared" si="14"/>
        <v>0.9438632698</v>
      </c>
      <c r="AB316" s="5" t="b">
        <f t="shared" si="15"/>
        <v>1</v>
      </c>
      <c r="AC316" s="5">
        <f t="shared" si="16"/>
        <v>0.9438632698</v>
      </c>
    </row>
    <row r="317" ht="15.0" customHeight="1">
      <c r="A317" s="5" t="s">
        <v>327</v>
      </c>
      <c r="B317" s="5" t="s">
        <v>347</v>
      </c>
      <c r="C317" s="5" t="s">
        <v>149</v>
      </c>
      <c r="D317" s="10">
        <f t="shared" si="1"/>
        <v>0.7184474578</v>
      </c>
      <c r="E317" s="10">
        <f>'Precinct Vote Data'!H1257</f>
        <v>0.687727825</v>
      </c>
      <c r="F317" s="16">
        <f t="shared" si="2"/>
        <v>3.071963276</v>
      </c>
      <c r="G317" s="10">
        <f t="shared" si="3"/>
        <v>0.7466863034</v>
      </c>
      <c r="H317" s="16">
        <f t="shared" si="4"/>
        <v>5.895847836</v>
      </c>
      <c r="I317" s="5" t="b">
        <f t="shared" si="5"/>
        <v>1</v>
      </c>
      <c r="J317" s="5" t="b">
        <f t="shared" si="6"/>
        <v>1</v>
      </c>
      <c r="K317" s="15">
        <f t="shared" si="7"/>
        <v>1.753169293</v>
      </c>
      <c r="L317" s="10">
        <f t="shared" si="8"/>
        <v>0.7130749629</v>
      </c>
      <c r="M317" s="10">
        <f>'Precinct Vote Data'!H1254</f>
        <v>0.7635009311</v>
      </c>
      <c r="N317" s="10">
        <f>'Precinct Vote Data'!H1255</f>
        <v>0.695599022</v>
      </c>
      <c r="O317" s="10">
        <f>'Precinct Vote Data'!H1256</f>
        <v>0.7466863034</v>
      </c>
      <c r="U317" s="16">
        <f t="shared" si="9"/>
        <v>2.534713792</v>
      </c>
      <c r="V317" s="5" t="b">
        <f t="shared" si="10"/>
        <v>1</v>
      </c>
      <c r="W317" s="5">
        <f t="shared" si="11"/>
        <v>3.071963276</v>
      </c>
      <c r="X317" s="5">
        <f t="shared" si="12"/>
        <v>5.895847836</v>
      </c>
      <c r="Y317" s="5">
        <f t="shared" si="13"/>
        <v>2.534713792</v>
      </c>
      <c r="Z317" s="10">
        <f>MIN(1,MAX(0,(5.3914776420524+0.021102849201698*'Precinct Vote Data'!I1257*100+(-5.72594740176815)*1+0.927016741366831*(O317*100))/100))</f>
        <v>0.695873255</v>
      </c>
      <c r="AA317" s="16">
        <f t="shared" si="14"/>
        <v>0.8145429946</v>
      </c>
      <c r="AB317" s="5" t="b">
        <f t="shared" si="15"/>
        <v>1</v>
      </c>
      <c r="AC317" s="5">
        <f t="shared" si="16"/>
        <v>0.8145429946</v>
      </c>
    </row>
    <row r="318" ht="15.0" customHeight="1">
      <c r="A318" s="5" t="s">
        <v>327</v>
      </c>
      <c r="B318" s="5" t="s">
        <v>347</v>
      </c>
      <c r="C318" s="5" t="s">
        <v>348</v>
      </c>
      <c r="D318" s="10">
        <f t="shared" si="1"/>
        <v>0.680610467</v>
      </c>
      <c r="E318" s="10">
        <f>'Precinct Vote Data'!H1261</f>
        <v>0.6611253197</v>
      </c>
      <c r="F318" s="16">
        <f t="shared" si="2"/>
        <v>1.948514734</v>
      </c>
      <c r="G318" s="10">
        <f t="shared" si="3"/>
        <v>0.7013487476</v>
      </c>
      <c r="H318" s="16">
        <f t="shared" si="4"/>
        <v>4.02234279</v>
      </c>
      <c r="I318" s="5" t="b">
        <f t="shared" si="5"/>
        <v>1</v>
      </c>
      <c r="J318" s="5" t="b">
        <f t="shared" si="6"/>
        <v>1</v>
      </c>
      <c r="K318" s="15">
        <f t="shared" si="7"/>
        <v>1.15279067</v>
      </c>
      <c r="L318" s="10">
        <f t="shared" si="8"/>
        <v>0.6792477219</v>
      </c>
      <c r="M318" s="10">
        <f>'Precinct Vote Data'!H1258</f>
        <v>0.7229437229</v>
      </c>
      <c r="N318" s="10">
        <f>'Precinct Vote Data'!H1259</f>
        <v>0.6823238566</v>
      </c>
      <c r="O318" s="10">
        <f>'Precinct Vote Data'!H1260</f>
        <v>0.7013487476</v>
      </c>
      <c r="U318" s="16">
        <f t="shared" si="9"/>
        <v>1.812240216</v>
      </c>
      <c r="V318" s="5" t="b">
        <f t="shared" si="10"/>
        <v>1</v>
      </c>
      <c r="W318" s="5">
        <f t="shared" si="11"/>
        <v>1.948514734</v>
      </c>
      <c r="X318" s="5">
        <f t="shared" si="12"/>
        <v>4.02234279</v>
      </c>
      <c r="Y318" s="5">
        <f t="shared" si="13"/>
        <v>1.812240216</v>
      </c>
      <c r="Z318" s="10">
        <f>MIN(1,MAX(0,(5.3914776420524+0.021102849201698*'Precinct Vote Data'!I1261*100+(-5.72594740176815)*1+0.927016741366831*(O318*100))/100))</f>
        <v>0.653876236</v>
      </c>
      <c r="AA318" s="16">
        <f t="shared" si="14"/>
        <v>-0.7249083678</v>
      </c>
      <c r="AB318" s="5" t="b">
        <f t="shared" si="15"/>
        <v>1</v>
      </c>
      <c r="AC318" s="5">
        <f t="shared" si="16"/>
        <v>0.7249083678</v>
      </c>
    </row>
    <row r="319" ht="15.0" customHeight="1">
      <c r="A319" s="5" t="s">
        <v>327</v>
      </c>
      <c r="B319" s="5" t="s">
        <v>347</v>
      </c>
      <c r="C319" s="5" t="s">
        <v>150</v>
      </c>
      <c r="D319" s="10">
        <f t="shared" si="1"/>
        <v>0.6730989137</v>
      </c>
      <c r="E319" s="10">
        <f>'Precinct Vote Data'!H1265</f>
        <v>0.7350157729</v>
      </c>
      <c r="F319" s="16">
        <f t="shared" si="2"/>
        <v>-6.191685921</v>
      </c>
      <c r="G319" s="10">
        <f t="shared" si="3"/>
        <v>0.7264150943</v>
      </c>
      <c r="H319" s="16">
        <f t="shared" si="4"/>
        <v>-0.8600678531</v>
      </c>
      <c r="I319" s="5" t="b">
        <f t="shared" si="5"/>
        <v>1</v>
      </c>
      <c r="J319" s="5" t="b">
        <f t="shared" si="6"/>
        <v>1</v>
      </c>
      <c r="K319" s="15">
        <f t="shared" si="7"/>
        <v>2.435602803</v>
      </c>
      <c r="L319" s="10">
        <f t="shared" si="8"/>
        <v>0.6797203026</v>
      </c>
      <c r="M319" s="10">
        <f>'Precinct Vote Data'!H1262</f>
        <v>0.8181818182</v>
      </c>
      <c r="N319" s="10">
        <f>'Precinct Vote Data'!H1263</f>
        <v>0.75</v>
      </c>
      <c r="O319" s="10">
        <f>'Precinct Vote Data'!H1264</f>
        <v>0.7264150943</v>
      </c>
      <c r="U319" s="16">
        <f t="shared" si="9"/>
        <v>-5.529547024</v>
      </c>
      <c r="V319" s="5" t="b">
        <f t="shared" si="10"/>
        <v>1</v>
      </c>
      <c r="W319" s="5">
        <f t="shared" si="11"/>
        <v>6.191685921</v>
      </c>
      <c r="X319" s="5">
        <f t="shared" si="12"/>
        <v>0.8600678531</v>
      </c>
      <c r="Y319" s="5">
        <f t="shared" si="13"/>
        <v>5.529547024</v>
      </c>
      <c r="Z319" s="10">
        <f>MIN(1,MAX(0,(5.3914776420524+0.021102849201698*'Precinct Vote Data'!I1265*100+(-5.72594740176815)*1+0.927016741366831*(O319*100))/100))</f>
        <v>0.6786051305</v>
      </c>
      <c r="AA319" s="16">
        <f t="shared" si="14"/>
        <v>-5.641064234</v>
      </c>
      <c r="AB319" s="5" t="b">
        <f t="shared" si="15"/>
        <v>1</v>
      </c>
      <c r="AC319" s="5">
        <f t="shared" si="16"/>
        <v>5.641064234</v>
      </c>
    </row>
    <row r="320" ht="15.0" customHeight="1">
      <c r="A320" s="5" t="s">
        <v>327</v>
      </c>
      <c r="B320" s="5" t="s">
        <v>347</v>
      </c>
      <c r="C320" s="5" t="s">
        <v>349</v>
      </c>
      <c r="D320" s="10">
        <f t="shared" si="1"/>
        <v>0.7114556226</v>
      </c>
      <c r="E320" s="10">
        <f>'Precinct Vote Data'!H1269</f>
        <v>0.7562862669</v>
      </c>
      <c r="F320" s="16">
        <f t="shared" si="2"/>
        <v>-4.483064436</v>
      </c>
      <c r="G320" s="10">
        <f t="shared" si="3"/>
        <v>0.7561728395</v>
      </c>
      <c r="H320" s="16">
        <f t="shared" si="4"/>
        <v>-0.01134274184</v>
      </c>
      <c r="I320" s="5" t="b">
        <f t="shared" si="5"/>
        <v>1</v>
      </c>
      <c r="J320" s="5" t="b">
        <f t="shared" si="6"/>
        <v>1</v>
      </c>
      <c r="K320" s="15">
        <f t="shared" si="7"/>
        <v>2.604091337</v>
      </c>
      <c r="L320" s="10">
        <f t="shared" si="8"/>
        <v>0.7062478261</v>
      </c>
      <c r="M320" s="10">
        <f>'Precinct Vote Data'!H1266</f>
        <v>0.7946127946</v>
      </c>
      <c r="N320" s="10">
        <f>'Precinct Vote Data'!H1267</f>
        <v>0.6989010989</v>
      </c>
      <c r="O320" s="10">
        <f>'Precinct Vote Data'!H1268</f>
        <v>0.7561728395</v>
      </c>
      <c r="U320" s="16">
        <f t="shared" si="9"/>
        <v>-5.003844083</v>
      </c>
      <c r="V320" s="5" t="b">
        <f t="shared" si="10"/>
        <v>1</v>
      </c>
      <c r="W320" s="5">
        <f t="shared" si="11"/>
        <v>4.483064436</v>
      </c>
      <c r="X320" s="5">
        <f t="shared" si="12"/>
        <v>0.01134274184</v>
      </c>
      <c r="Y320" s="5">
        <f t="shared" si="13"/>
        <v>5.003844083</v>
      </c>
      <c r="Z320" s="10">
        <f>MIN(1,MAX(0,(5.3914776420524+0.021102849201698*'Precinct Vote Data'!I1269*100+(-5.72594740176815)*1+0.927016741366831*(O320*100))/100))</f>
        <v>0.7065941229</v>
      </c>
      <c r="AA320" s="16">
        <f t="shared" si="14"/>
        <v>-4.969214402</v>
      </c>
      <c r="AB320" s="5" t="b">
        <f t="shared" si="15"/>
        <v>1</v>
      </c>
      <c r="AC320" s="5">
        <f t="shared" si="16"/>
        <v>4.969214402</v>
      </c>
    </row>
    <row r="321" ht="15.0" customHeight="1">
      <c r="A321" s="5" t="s">
        <v>327</v>
      </c>
      <c r="B321" s="5" t="s">
        <v>347</v>
      </c>
      <c r="C321" s="5" t="s">
        <v>151</v>
      </c>
      <c r="D321" s="10">
        <f t="shared" si="1"/>
        <v>0.7099357881</v>
      </c>
      <c r="E321" s="10">
        <f>'Precinct Vote Data'!H1273</f>
        <v>0.6743362832</v>
      </c>
      <c r="F321" s="16">
        <f t="shared" si="2"/>
        <v>3.559950496</v>
      </c>
      <c r="G321" s="10">
        <f t="shared" si="3"/>
        <v>0.761627907</v>
      </c>
      <c r="H321" s="16">
        <f t="shared" si="4"/>
        <v>8.729162379</v>
      </c>
      <c r="I321" s="5" t="b">
        <f t="shared" si="5"/>
        <v>1</v>
      </c>
      <c r="J321" s="5" t="b">
        <f t="shared" si="6"/>
        <v>1</v>
      </c>
      <c r="K321" s="15">
        <f t="shared" si="7"/>
        <v>2.790991597</v>
      </c>
      <c r="L321" s="10">
        <f t="shared" si="8"/>
        <v>0.7081196867</v>
      </c>
      <c r="M321" s="10">
        <f>'Precinct Vote Data'!H1270</f>
        <v>0.8211143695</v>
      </c>
      <c r="N321" s="10">
        <f>'Precinct Vote Data'!H1271</f>
        <v>0.7255244755</v>
      </c>
      <c r="O321" s="10">
        <f>'Precinct Vote Data'!H1272</f>
        <v>0.761627907</v>
      </c>
      <c r="U321" s="16">
        <f t="shared" si="9"/>
        <v>3.37834035</v>
      </c>
      <c r="V321" s="5" t="b">
        <f t="shared" si="10"/>
        <v>1</v>
      </c>
      <c r="W321" s="5">
        <f t="shared" si="11"/>
        <v>3.559950496</v>
      </c>
      <c r="X321" s="5">
        <f t="shared" si="12"/>
        <v>8.729162379</v>
      </c>
      <c r="Y321" s="5">
        <f t="shared" si="13"/>
        <v>3.37834035</v>
      </c>
      <c r="Z321" s="10">
        <f>MIN(1,MAX(0,(5.3914776420524+0.021102849201698*'Precinct Vote Data'!I1273*100+(-5.72594740176815)*1+0.927016741366831*(O321*100))/100))</f>
        <v>0.7106444559</v>
      </c>
      <c r="AA321" s="16">
        <f t="shared" si="14"/>
        <v>3.630817269</v>
      </c>
      <c r="AB321" s="5" t="b">
        <f t="shared" si="15"/>
        <v>1</v>
      </c>
      <c r="AC321" s="5">
        <f t="shared" si="16"/>
        <v>3.630817269</v>
      </c>
    </row>
    <row r="322" ht="15.0" customHeight="1">
      <c r="A322" s="5" t="s">
        <v>327</v>
      </c>
      <c r="B322" s="5" t="s">
        <v>347</v>
      </c>
      <c r="C322" s="5" t="s">
        <v>152</v>
      </c>
      <c r="D322" s="10">
        <f t="shared" si="1"/>
        <v>0.6409214092</v>
      </c>
      <c r="E322" s="10">
        <f>'Precinct Vote Data'!H1277</f>
        <v>0.6398467433</v>
      </c>
      <c r="F322" s="16">
        <f t="shared" si="2"/>
        <v>0.1074665919</v>
      </c>
      <c r="G322" s="10">
        <f t="shared" si="3"/>
        <v>0.6615853659</v>
      </c>
      <c r="H322" s="16">
        <f t="shared" si="4"/>
        <v>2.173862256</v>
      </c>
      <c r="I322" s="5" t="b">
        <f t="shared" si="5"/>
        <v>1</v>
      </c>
      <c r="J322" s="5" t="b">
        <f t="shared" si="6"/>
        <v>1</v>
      </c>
      <c r="K322" s="15">
        <f t="shared" si="7"/>
        <v>0.9735489243</v>
      </c>
      <c r="L322" s="10">
        <f t="shared" si="8"/>
        <v>0.6429207198</v>
      </c>
      <c r="M322" s="10">
        <f>'Precinct Vote Data'!H1274</f>
        <v>0.6951219512</v>
      </c>
      <c r="N322" s="10">
        <f>'Precinct Vote Data'!H1275</f>
        <v>0.6666666667</v>
      </c>
      <c r="O322" s="10">
        <f>'Precinct Vote Data'!H1276</f>
        <v>0.6615853659</v>
      </c>
      <c r="U322" s="16">
        <f t="shared" si="9"/>
        <v>0.3073976504</v>
      </c>
      <c r="V322" s="5" t="b">
        <f t="shared" si="10"/>
        <v>1</v>
      </c>
      <c r="W322" s="5">
        <f t="shared" si="11"/>
        <v>0.1074665919</v>
      </c>
      <c r="X322" s="5">
        <f t="shared" si="12"/>
        <v>2.173862256</v>
      </c>
      <c r="Y322" s="5">
        <f t="shared" si="13"/>
        <v>0.3073976504</v>
      </c>
      <c r="Z322" s="10">
        <f>MIN(1,MAX(0,(5.3914776420524+0.021102849201698*'Precinct Vote Data'!I1277*100+(-5.72594740176815)*1+0.927016741366831*(O322*100))/100))</f>
        <v>0.6165274396</v>
      </c>
      <c r="AA322" s="16">
        <f t="shared" si="14"/>
        <v>-2.331930366</v>
      </c>
      <c r="AB322" s="5" t="b">
        <f t="shared" si="15"/>
        <v>1</v>
      </c>
      <c r="AC322" s="5">
        <f t="shared" si="16"/>
        <v>2.331930366</v>
      </c>
    </row>
    <row r="323" ht="15.0" customHeight="1">
      <c r="A323" s="5" t="s">
        <v>327</v>
      </c>
      <c r="B323" s="5" t="s">
        <v>347</v>
      </c>
      <c r="C323" s="5" t="s">
        <v>153</v>
      </c>
      <c r="D323" s="10">
        <f t="shared" si="1"/>
        <v>0.6761046353</v>
      </c>
      <c r="E323" s="10">
        <f>'Precinct Vote Data'!H1281</f>
        <v>0.6104815864</v>
      </c>
      <c r="F323" s="16">
        <f t="shared" si="2"/>
        <v>6.562304893</v>
      </c>
      <c r="G323" s="10">
        <f t="shared" si="3"/>
        <v>0.6732673267</v>
      </c>
      <c r="H323" s="16">
        <f t="shared" si="4"/>
        <v>6.278574033</v>
      </c>
      <c r="I323" s="5" t="b">
        <f t="shared" si="5"/>
        <v>1</v>
      </c>
      <c r="J323" s="5" t="b">
        <f t="shared" si="6"/>
        <v>1</v>
      </c>
      <c r="K323" s="15">
        <f t="shared" si="7"/>
        <v>0.127245331</v>
      </c>
      <c r="L323" s="10">
        <f t="shared" si="8"/>
        <v>0.6708278098</v>
      </c>
      <c r="M323" s="10">
        <f>'Precinct Vote Data'!H1278</f>
        <v>0.6507537688</v>
      </c>
      <c r="N323" s="10">
        <f>'Precinct Vote Data'!H1279</f>
        <v>0.6367521368</v>
      </c>
      <c r="O323" s="10">
        <f>'Precinct Vote Data'!H1280</f>
        <v>0.6732673267</v>
      </c>
      <c r="U323" s="16">
        <f t="shared" si="9"/>
        <v>6.034622342</v>
      </c>
      <c r="V323" s="5" t="b">
        <f t="shared" si="10"/>
        <v>1</v>
      </c>
      <c r="W323" s="5">
        <f t="shared" si="11"/>
        <v>6.562304893</v>
      </c>
      <c r="X323" s="5">
        <f t="shared" si="12"/>
        <v>6.278574033</v>
      </c>
      <c r="Y323" s="5">
        <f t="shared" si="13"/>
        <v>6.034622342</v>
      </c>
      <c r="Z323" s="10">
        <f>MIN(1,MAX(0,(5.3914776420524+0.021102849201698*'Precinct Vote Data'!I1281*100+(-5.72594740176815)*1+0.927016741366831*(O323*100))/100))</f>
        <v>0.6281101847</v>
      </c>
      <c r="AA323" s="16">
        <f t="shared" si="14"/>
        <v>1.762859825</v>
      </c>
      <c r="AB323" s="5" t="b">
        <f t="shared" si="15"/>
        <v>1</v>
      </c>
      <c r="AC323" s="5">
        <f t="shared" si="16"/>
        <v>1.762859825</v>
      </c>
    </row>
    <row r="324" ht="15.0" customHeight="1">
      <c r="A324" s="5" t="s">
        <v>327</v>
      </c>
      <c r="B324" s="5" t="s">
        <v>347</v>
      </c>
      <c r="C324" s="5" t="s">
        <v>154</v>
      </c>
      <c r="D324" s="10">
        <f t="shared" si="1"/>
        <v>0.6754387937</v>
      </c>
      <c r="E324" s="10">
        <f>'Precinct Vote Data'!H1285</f>
        <v>0.6720707443</v>
      </c>
      <c r="F324" s="16">
        <f t="shared" si="2"/>
        <v>0.336804937</v>
      </c>
      <c r="G324" s="10">
        <f t="shared" si="3"/>
        <v>0.7112831858</v>
      </c>
      <c r="H324" s="16">
        <f t="shared" si="4"/>
        <v>3.921244155</v>
      </c>
      <c r="I324" s="5" t="b">
        <f t="shared" si="5"/>
        <v>1</v>
      </c>
      <c r="J324" s="5" t="b">
        <f t="shared" si="6"/>
        <v>1</v>
      </c>
      <c r="K324" s="15">
        <f t="shared" si="7"/>
        <v>1.732597413</v>
      </c>
      <c r="L324" s="10">
        <f t="shared" si="8"/>
        <v>0.6780662445</v>
      </c>
      <c r="M324" s="10">
        <f>'Precinct Vote Data'!H1282</f>
        <v>0.7664473684</v>
      </c>
      <c r="N324" s="10">
        <f>'Precinct Vote Data'!H1283</f>
        <v>0.7140783745</v>
      </c>
      <c r="O324" s="10">
        <f>'Precinct Vote Data'!H1284</f>
        <v>0.7112831858</v>
      </c>
      <c r="U324" s="16">
        <f t="shared" si="9"/>
        <v>0.5995500258</v>
      </c>
      <c r="V324" s="5" t="b">
        <f t="shared" si="10"/>
        <v>1</v>
      </c>
      <c r="W324" s="5">
        <f t="shared" si="11"/>
        <v>0.336804937</v>
      </c>
      <c r="X324" s="5">
        <f t="shared" si="12"/>
        <v>3.921244155</v>
      </c>
      <c r="Y324" s="5">
        <f t="shared" si="13"/>
        <v>0.5995500258</v>
      </c>
      <c r="Z324" s="10">
        <f>MIN(1,MAX(0,(5.3914776420524+0.021102849201698*'Precinct Vote Data'!I1285*100+(-5.72594740176815)*1+0.927016741366831*(O324*100))/100))</f>
        <v>0.664651458</v>
      </c>
      <c r="AA324" s="16">
        <f t="shared" si="14"/>
        <v>-0.741928629</v>
      </c>
      <c r="AB324" s="5" t="b">
        <f t="shared" si="15"/>
        <v>1</v>
      </c>
      <c r="AC324" s="5">
        <f t="shared" si="16"/>
        <v>0.741928629</v>
      </c>
    </row>
    <row r="325" ht="15.0" customHeight="1">
      <c r="A325" s="5" t="s">
        <v>327</v>
      </c>
      <c r="B325" s="5" t="s">
        <v>347</v>
      </c>
      <c r="C325" s="5" t="s">
        <v>155</v>
      </c>
      <c r="D325" s="10">
        <f t="shared" si="1"/>
        <v>0.6581459863</v>
      </c>
      <c r="E325" s="10">
        <f>'Precinct Vote Data'!H1289</f>
        <v>0.6691729323</v>
      </c>
      <c r="F325" s="16">
        <f t="shared" si="2"/>
        <v>-1.102694601</v>
      </c>
      <c r="G325" s="10">
        <f t="shared" si="3"/>
        <v>0.6754716981</v>
      </c>
      <c r="H325" s="16">
        <f t="shared" si="4"/>
        <v>0.6298765782</v>
      </c>
      <c r="I325" s="5" t="b">
        <f t="shared" si="5"/>
        <v>1</v>
      </c>
      <c r="J325" s="5" t="b">
        <f t="shared" si="6"/>
        <v>1</v>
      </c>
      <c r="K325" s="15">
        <f t="shared" si="7"/>
        <v>0.727589511</v>
      </c>
      <c r="L325" s="10">
        <f t="shared" si="8"/>
        <v>0.6615225268</v>
      </c>
      <c r="M325" s="10">
        <f>'Precinct Vote Data'!H1286</f>
        <v>0.7096774194</v>
      </c>
      <c r="N325" s="10">
        <f>'Precinct Vote Data'!H1287</f>
        <v>0.6919060052</v>
      </c>
      <c r="O325" s="10">
        <f>'Precinct Vote Data'!H1288</f>
        <v>0.6754716981</v>
      </c>
      <c r="U325" s="16">
        <f t="shared" si="9"/>
        <v>-0.7650405499</v>
      </c>
      <c r="V325" s="5" t="b">
        <f t="shared" si="10"/>
        <v>1</v>
      </c>
      <c r="W325" s="5">
        <f t="shared" si="11"/>
        <v>1.102694601</v>
      </c>
      <c r="X325" s="5">
        <f t="shared" si="12"/>
        <v>0.6298765782</v>
      </c>
      <c r="Y325" s="5">
        <f t="shared" si="13"/>
        <v>0.7650405499</v>
      </c>
      <c r="Z325" s="10">
        <f>MIN(1,MAX(0,(5.3914776420524+0.021102849201698*'Precinct Vote Data'!I1289*100+(-5.72594740176815)*1+0.927016741366831*(O325*100))/100))</f>
        <v>0.6311518386</v>
      </c>
      <c r="AA325" s="16">
        <f t="shared" si="14"/>
        <v>-3.802109373</v>
      </c>
      <c r="AB325" s="5" t="b">
        <f t="shared" si="15"/>
        <v>1</v>
      </c>
      <c r="AC325" s="5">
        <f t="shared" si="16"/>
        <v>3.802109373</v>
      </c>
    </row>
    <row r="326" ht="15.0" customHeight="1">
      <c r="A326" s="5" t="s">
        <v>327</v>
      </c>
      <c r="B326" s="5" t="s">
        <v>347</v>
      </c>
      <c r="C326" s="5" t="s">
        <v>156</v>
      </c>
      <c r="D326" s="10">
        <f t="shared" si="1"/>
        <v>0.6762841091</v>
      </c>
      <c r="E326" s="10">
        <f>'Precinct Vote Data'!H1293</f>
        <v>0.6514522822</v>
      </c>
      <c r="F326" s="16">
        <f t="shared" si="2"/>
        <v>2.483182694</v>
      </c>
      <c r="G326" s="10">
        <f t="shared" si="3"/>
        <v>0.7023554604</v>
      </c>
      <c r="H326" s="16">
        <f t="shared" si="4"/>
        <v>5.090317823</v>
      </c>
      <c r="I326" s="5" t="b">
        <f t="shared" si="5"/>
        <v>1</v>
      </c>
      <c r="J326" s="5" t="b">
        <f t="shared" si="6"/>
        <v>1</v>
      </c>
      <c r="K326" s="15">
        <f t="shared" si="7"/>
        <v>1.534994879</v>
      </c>
      <c r="L326" s="10">
        <f t="shared" si="8"/>
        <v>0.6729269074</v>
      </c>
      <c r="M326" s="10">
        <f>'Precinct Vote Data'!H1290</f>
        <v>0.7236180905</v>
      </c>
      <c r="N326" s="10">
        <f>'Precinct Vote Data'!H1291</f>
        <v>0.6666666667</v>
      </c>
      <c r="O326" s="10">
        <f>'Precinct Vote Data'!H1292</f>
        <v>0.7023554604</v>
      </c>
      <c r="U326" s="16">
        <f t="shared" si="9"/>
        <v>2.147462523</v>
      </c>
      <c r="V326" s="5" t="b">
        <f t="shared" si="10"/>
        <v>1</v>
      </c>
      <c r="W326" s="5">
        <f t="shared" si="11"/>
        <v>2.483182694</v>
      </c>
      <c r="X326" s="5">
        <f t="shared" si="12"/>
        <v>5.090317823</v>
      </c>
      <c r="Y326" s="5">
        <f t="shared" si="13"/>
        <v>2.147462523</v>
      </c>
      <c r="Z326" s="10">
        <f>MIN(1,MAX(0,(5.3914776420524+0.021102849201698*'Precinct Vote Data'!I1293*100+(-5.72594740176815)*1+0.927016741366831*(O326*100))/100))</f>
        <v>0.6551070258</v>
      </c>
      <c r="AA326" s="16">
        <f t="shared" si="14"/>
        <v>0.3654743645</v>
      </c>
      <c r="AB326" s="5" t="b">
        <f t="shared" si="15"/>
        <v>1</v>
      </c>
      <c r="AC326" s="5">
        <f t="shared" si="16"/>
        <v>0.3654743645</v>
      </c>
    </row>
    <row r="327" ht="15.0" customHeight="1">
      <c r="A327" s="5" t="s">
        <v>327</v>
      </c>
      <c r="B327" s="5" t="s">
        <v>347</v>
      </c>
      <c r="C327" s="5" t="s">
        <v>158</v>
      </c>
      <c r="D327" s="10">
        <f t="shared" si="1"/>
        <v>0.687799876</v>
      </c>
      <c r="E327" s="10">
        <f>'Precinct Vote Data'!H1297</f>
        <v>0.6831091181</v>
      </c>
      <c r="F327" s="16">
        <f t="shared" si="2"/>
        <v>0.4690757947</v>
      </c>
      <c r="G327" s="10">
        <f t="shared" si="3"/>
        <v>0.7214912281</v>
      </c>
      <c r="H327" s="16">
        <f t="shared" si="4"/>
        <v>3.838210998</v>
      </c>
      <c r="I327" s="5" t="b">
        <f t="shared" si="5"/>
        <v>1</v>
      </c>
      <c r="J327" s="5" t="b">
        <f t="shared" si="6"/>
        <v>1</v>
      </c>
      <c r="K327" s="15">
        <f t="shared" si="7"/>
        <v>1.8354437</v>
      </c>
      <c r="L327" s="10">
        <f t="shared" si="8"/>
        <v>0.6863025425</v>
      </c>
      <c r="M327" s="10">
        <f>'Precinct Vote Data'!H1294</f>
        <v>0.7591397849</v>
      </c>
      <c r="N327" s="10">
        <f>'Precinct Vote Data'!H1295</f>
        <v>0.6957142857</v>
      </c>
      <c r="O327" s="10">
        <f>'Precinct Vote Data'!H1296</f>
        <v>0.7214912281</v>
      </c>
      <c r="U327" s="16">
        <f t="shared" si="9"/>
        <v>0.3193424374</v>
      </c>
      <c r="V327" s="5" t="b">
        <f t="shared" si="10"/>
        <v>1</v>
      </c>
      <c r="W327" s="5">
        <f t="shared" si="11"/>
        <v>0.4690757947</v>
      </c>
      <c r="X327" s="5">
        <f t="shared" si="12"/>
        <v>3.838210998</v>
      </c>
      <c r="Y327" s="5">
        <f t="shared" si="13"/>
        <v>0.3193424374</v>
      </c>
      <c r="Z327" s="10">
        <f>MIN(1,MAX(0,(5.3914776420524+0.021102849201698*'Precinct Vote Data'!I1297*100+(-5.72594740176815)*1+0.927016741366831*(O327*100))/100))</f>
        <v>0.6729327245</v>
      </c>
      <c r="AA327" s="16">
        <f t="shared" si="14"/>
        <v>-1.01763936</v>
      </c>
      <c r="AB327" s="5" t="b">
        <f t="shared" si="15"/>
        <v>1</v>
      </c>
      <c r="AC327" s="5">
        <f t="shared" si="16"/>
        <v>1.01763936</v>
      </c>
    </row>
    <row r="328" ht="15.0" customHeight="1">
      <c r="A328" s="5" t="s">
        <v>327</v>
      </c>
      <c r="B328" s="5" t="s">
        <v>347</v>
      </c>
      <c r="C328" s="5" t="s">
        <v>159</v>
      </c>
      <c r="D328" s="10">
        <f t="shared" si="1"/>
        <v>0.6891811468</v>
      </c>
      <c r="E328" s="10">
        <f>'Precinct Vote Data'!H1301</f>
        <v>0.6960556845</v>
      </c>
      <c r="F328" s="16">
        <f t="shared" si="2"/>
        <v>-0.6874537608</v>
      </c>
      <c r="G328" s="10">
        <f t="shared" si="3"/>
        <v>0.7123745819</v>
      </c>
      <c r="H328" s="16">
        <f t="shared" si="4"/>
        <v>1.631889749</v>
      </c>
      <c r="I328" s="5" t="b">
        <f t="shared" si="5"/>
        <v>1</v>
      </c>
      <c r="J328" s="5" t="b">
        <f t="shared" si="6"/>
        <v>1</v>
      </c>
      <c r="K328" s="15">
        <f t="shared" si="7"/>
        <v>1.120346136</v>
      </c>
      <c r="L328" s="10">
        <f t="shared" si="8"/>
        <v>0.690895575</v>
      </c>
      <c r="M328" s="10">
        <f>'Precinct Vote Data'!H1298</f>
        <v>0.7481203008</v>
      </c>
      <c r="N328" s="10">
        <f>'Precinct Vote Data'!H1299</f>
        <v>0.7142857143</v>
      </c>
      <c r="O328" s="10">
        <f>'Precinct Vote Data'!H1300</f>
        <v>0.7123745819</v>
      </c>
      <c r="U328" s="16">
        <f t="shared" si="9"/>
        <v>-0.5160109443</v>
      </c>
      <c r="V328" s="5" t="b">
        <f t="shared" si="10"/>
        <v>1</v>
      </c>
      <c r="W328" s="5">
        <f t="shared" si="11"/>
        <v>0.6874537608</v>
      </c>
      <c r="X328" s="5">
        <f t="shared" si="12"/>
        <v>1.631889749</v>
      </c>
      <c r="Y328" s="5">
        <f t="shared" si="13"/>
        <v>0.5160109443</v>
      </c>
      <c r="Z328" s="10">
        <f>MIN(1,MAX(0,(5.3914776420524+0.021102849201698*'Precinct Vote Data'!I1301*100+(-5.72594740176815)*1+0.927016741366831*(O328*100))/100))</f>
        <v>0.6652516949</v>
      </c>
      <c r="AA328" s="16">
        <f t="shared" si="14"/>
        <v>-3.080398956</v>
      </c>
      <c r="AB328" s="5" t="b">
        <f t="shared" si="15"/>
        <v>1</v>
      </c>
      <c r="AC328" s="5">
        <f t="shared" si="16"/>
        <v>3.080398956</v>
      </c>
    </row>
    <row r="329" ht="15.0" customHeight="1">
      <c r="A329" s="5" t="s">
        <v>327</v>
      </c>
      <c r="B329" s="5" t="s">
        <v>350</v>
      </c>
      <c r="C329" s="5" t="s">
        <v>351</v>
      </c>
      <c r="D329" s="10">
        <f t="shared" si="1"/>
        <v>0.4933303736</v>
      </c>
      <c r="E329" s="10">
        <f>'Precinct Vote Data'!H1305</f>
        <v>0.4845140619</v>
      </c>
      <c r="F329" s="16">
        <f t="shared" si="2"/>
        <v>0.881631169</v>
      </c>
      <c r="G329" s="10">
        <f t="shared" si="3"/>
        <v>0.504867872</v>
      </c>
      <c r="H329" s="16">
        <f t="shared" si="4"/>
        <v>2.03538101</v>
      </c>
      <c r="I329" s="5" t="b">
        <f t="shared" si="5"/>
        <v>1</v>
      </c>
      <c r="J329" s="5" t="b">
        <f t="shared" si="6"/>
        <v>0</v>
      </c>
      <c r="K329" s="15">
        <f t="shared" si="7"/>
        <v>0.6977680201</v>
      </c>
      <c r="L329" s="10">
        <f t="shared" si="8"/>
        <v>0.4914904312</v>
      </c>
      <c r="M329" s="10">
        <f>'Precinct Vote Data'!H1302</f>
        <v>0.5130090498</v>
      </c>
      <c r="N329" s="10">
        <f>'Precinct Vote Data'!H1303</f>
        <v>0.4865377323</v>
      </c>
      <c r="O329" s="10">
        <f>'Precinct Vote Data'!H1304</f>
        <v>0.504867872</v>
      </c>
      <c r="U329" s="16">
        <f t="shared" si="9"/>
        <v>0.6976369278</v>
      </c>
      <c r="V329" s="5" t="b">
        <f t="shared" si="10"/>
        <v>1</v>
      </c>
      <c r="W329" s="5">
        <f t="shared" si="11"/>
        <v>0.881631169</v>
      </c>
      <c r="X329" s="5">
        <f t="shared" si="12"/>
        <v>2.03538101</v>
      </c>
      <c r="Y329" s="5">
        <f t="shared" si="13"/>
        <v>0.6976369278</v>
      </c>
      <c r="Z329" s="10">
        <f>MIN(1,MAX(0,(5.3914776420524+0.021102849201698*'Precinct Vote Data'!I1305*100+(-5.72594740176815)*1+0.927016741366831*(O329*100))/100))</f>
        <v>0.4642816487</v>
      </c>
      <c r="AA329" s="16">
        <f t="shared" si="14"/>
        <v>-2.023241326</v>
      </c>
      <c r="AB329" s="5" t="b">
        <f t="shared" si="15"/>
        <v>1</v>
      </c>
      <c r="AC329" s="5">
        <f t="shared" si="16"/>
        <v>2.023241326</v>
      </c>
    </row>
    <row r="330" ht="15.0" customHeight="1">
      <c r="A330" s="5" t="s">
        <v>327</v>
      </c>
      <c r="B330" s="5" t="s">
        <v>350</v>
      </c>
      <c r="C330" s="5" t="s">
        <v>352</v>
      </c>
      <c r="D330" s="10">
        <f t="shared" si="1"/>
        <v>0.517313292</v>
      </c>
      <c r="E330" s="10">
        <f>'Precinct Vote Data'!H1309</f>
        <v>0.5360461391</v>
      </c>
      <c r="F330" s="16">
        <f t="shared" si="2"/>
        <v>-1.873284705</v>
      </c>
      <c r="G330" s="10">
        <f t="shared" si="3"/>
        <v>0.5290939318</v>
      </c>
      <c r="H330" s="16">
        <f t="shared" si="4"/>
        <v>-0.6952207221</v>
      </c>
      <c r="I330" s="5" t="b">
        <f t="shared" si="5"/>
        <v>1</v>
      </c>
      <c r="J330" s="5" t="b">
        <f t="shared" si="6"/>
        <v>1</v>
      </c>
      <c r="K330" s="15">
        <f t="shared" si="7"/>
        <v>0.6450847489</v>
      </c>
      <c r="L330" s="10">
        <f t="shared" si="8"/>
        <v>0.516726522</v>
      </c>
      <c r="M330" s="10">
        <f>'Precinct Vote Data'!H1306</f>
        <v>0.5420319752</v>
      </c>
      <c r="N330" s="10">
        <f>'Precinct Vote Data'!H1307</f>
        <v>0.5196280992</v>
      </c>
      <c r="O330" s="10">
        <f>'Precinct Vote Data'!H1308</f>
        <v>0.5290939318</v>
      </c>
      <c r="U330" s="16">
        <f t="shared" si="9"/>
        <v>-1.931961703</v>
      </c>
      <c r="V330" s="5" t="b">
        <f t="shared" si="10"/>
        <v>1</v>
      </c>
      <c r="W330" s="5">
        <f t="shared" si="11"/>
        <v>1.873284705</v>
      </c>
      <c r="X330" s="5">
        <f t="shared" si="12"/>
        <v>0.6952207221</v>
      </c>
      <c r="Y330" s="5">
        <f t="shared" si="13"/>
        <v>1.931961703</v>
      </c>
      <c r="Z330" s="10">
        <f>MIN(1,MAX(0,(5.3914776420524+0.021102849201698*'Precinct Vote Data'!I1309*100+(-5.72594740176815)*1+0.927016741366831*(O330*100))/100))</f>
        <v>0.4879677975</v>
      </c>
      <c r="AA330" s="16">
        <f t="shared" si="14"/>
        <v>-4.807834154</v>
      </c>
      <c r="AB330" s="5" t="b">
        <f t="shared" si="15"/>
        <v>0</v>
      </c>
      <c r="AC330" s="5">
        <f t="shared" si="16"/>
        <v>4.807834154</v>
      </c>
    </row>
    <row r="331" ht="15.0" customHeight="1">
      <c r="A331" s="5" t="s">
        <v>327</v>
      </c>
      <c r="B331" s="5" t="s">
        <v>350</v>
      </c>
      <c r="C331" s="5" t="s">
        <v>353</v>
      </c>
      <c r="D331" s="10">
        <f t="shared" si="1"/>
        <v>0.5072871529</v>
      </c>
      <c r="E331" s="10">
        <f>'Precinct Vote Data'!H1313</f>
        <v>0.5104712042</v>
      </c>
      <c r="F331" s="16">
        <f t="shared" si="2"/>
        <v>-0.318405125</v>
      </c>
      <c r="G331" s="10">
        <f t="shared" si="3"/>
        <v>0.540027137</v>
      </c>
      <c r="H331" s="16">
        <f t="shared" si="4"/>
        <v>2.955593285</v>
      </c>
      <c r="I331" s="5" t="b">
        <f t="shared" si="5"/>
        <v>1</v>
      </c>
      <c r="J331" s="5" t="b">
        <f t="shared" si="6"/>
        <v>1</v>
      </c>
      <c r="K331" s="15">
        <f t="shared" si="7"/>
        <v>1.6586309</v>
      </c>
      <c r="L331" s="10">
        <f t="shared" si="8"/>
        <v>0.508228264</v>
      </c>
      <c r="M331" s="10">
        <f>'Precinct Vote Data'!H1310</f>
        <v>0.5851910828</v>
      </c>
      <c r="N331" s="10">
        <f>'Precinct Vote Data'!H1311</f>
        <v>0.5321350763</v>
      </c>
      <c r="O331" s="10">
        <f>'Precinct Vote Data'!H1312</f>
        <v>0.540027137</v>
      </c>
      <c r="U331" s="16">
        <f t="shared" si="9"/>
        <v>-0.2242940237</v>
      </c>
      <c r="V331" s="5" t="b">
        <f t="shared" si="10"/>
        <v>1</v>
      </c>
      <c r="W331" s="5">
        <f t="shared" si="11"/>
        <v>0.318405125</v>
      </c>
      <c r="X331" s="5">
        <f t="shared" si="12"/>
        <v>2.955593285</v>
      </c>
      <c r="Y331" s="5">
        <f t="shared" si="13"/>
        <v>0.2242940237</v>
      </c>
      <c r="Z331" s="10">
        <f>MIN(1,MAX(0,(5.3914776420524+0.021102849201698*'Precinct Vote Data'!I1313*100+(-5.72594740176815)*1+0.927016741366831*(O331*100))/100))</f>
        <v>0.4992109614</v>
      </c>
      <c r="AA331" s="16">
        <f t="shared" si="14"/>
        <v>-1.126024283</v>
      </c>
      <c r="AB331" s="5" t="b">
        <f t="shared" si="15"/>
        <v>0</v>
      </c>
      <c r="AC331" s="5">
        <f t="shared" si="16"/>
        <v>1.126024283</v>
      </c>
    </row>
    <row r="332" ht="15.0" customHeight="1">
      <c r="A332" s="5" t="s">
        <v>327</v>
      </c>
      <c r="B332" s="5" t="s">
        <v>350</v>
      </c>
      <c r="C332" s="5" t="s">
        <v>354</v>
      </c>
      <c r="D332" s="10">
        <f t="shared" si="1"/>
        <v>0.5124187797</v>
      </c>
      <c r="E332" s="10">
        <f>'Precinct Vote Data'!H1317</f>
        <v>0.5300589391</v>
      </c>
      <c r="F332" s="16">
        <f t="shared" si="2"/>
        <v>-1.764015938</v>
      </c>
      <c r="G332" s="10">
        <f t="shared" si="3"/>
        <v>0.5254860746</v>
      </c>
      <c r="H332" s="16">
        <f t="shared" si="4"/>
        <v>-0.4572864477</v>
      </c>
      <c r="I332" s="5" t="b">
        <f t="shared" si="5"/>
        <v>1</v>
      </c>
      <c r="J332" s="5" t="b">
        <f t="shared" si="6"/>
        <v>1</v>
      </c>
      <c r="K332" s="15">
        <f t="shared" si="7"/>
        <v>0.7335051263</v>
      </c>
      <c r="L332" s="10">
        <f t="shared" si="8"/>
        <v>0.5114234906</v>
      </c>
      <c r="M332" s="10">
        <f>'Precinct Vote Data'!H1314</f>
        <v>0.5386040766</v>
      </c>
      <c r="N332" s="10">
        <f>'Precinct Vote Data'!H1315</f>
        <v>0.5125201939</v>
      </c>
      <c r="O332" s="10">
        <f>'Precinct Vote Data'!H1316</f>
        <v>0.5254860746</v>
      </c>
      <c r="U332" s="16">
        <f t="shared" si="9"/>
        <v>-1.863544851</v>
      </c>
      <c r="V332" s="5" t="b">
        <f t="shared" si="10"/>
        <v>1</v>
      </c>
      <c r="W332" s="5">
        <f t="shared" si="11"/>
        <v>1.764015938</v>
      </c>
      <c r="X332" s="5">
        <f t="shared" si="12"/>
        <v>0.4572864477</v>
      </c>
      <c r="Y332" s="5">
        <f t="shared" si="13"/>
        <v>1.863544851</v>
      </c>
      <c r="Z332" s="10">
        <f>MIN(1,MAX(0,(5.3914776420524+0.021102849201698*'Precinct Vote Data'!I1317*100+(-5.72594740176815)*1+0.927016741366831*(O332*100))/100))</f>
        <v>0.485589764</v>
      </c>
      <c r="AA332" s="16">
        <f t="shared" si="14"/>
        <v>-4.446917513</v>
      </c>
      <c r="AB332" s="5" t="b">
        <f t="shared" si="15"/>
        <v>0</v>
      </c>
      <c r="AC332" s="5">
        <f t="shared" si="16"/>
        <v>4.446917513</v>
      </c>
    </row>
    <row r="333" ht="15.0" customHeight="1">
      <c r="A333" s="5" t="s">
        <v>327</v>
      </c>
      <c r="B333" s="5" t="s">
        <v>355</v>
      </c>
      <c r="C333" s="5" t="s">
        <v>162</v>
      </c>
      <c r="D333" s="10">
        <f t="shared" si="1"/>
        <v>0.5568147344</v>
      </c>
      <c r="E333" s="10">
        <f>'Precinct Vote Data'!H1321</f>
        <v>0.5959933222</v>
      </c>
      <c r="F333" s="16">
        <f t="shared" si="2"/>
        <v>-3.917858782</v>
      </c>
      <c r="G333" s="10">
        <f t="shared" si="3"/>
        <v>0.5925925926</v>
      </c>
      <c r="H333" s="16">
        <f t="shared" si="4"/>
        <v>-0.3400729611</v>
      </c>
      <c r="I333" s="5" t="b">
        <f t="shared" si="5"/>
        <v>1</v>
      </c>
      <c r="J333" s="5" t="b">
        <f t="shared" si="6"/>
        <v>1</v>
      </c>
      <c r="K333" s="15">
        <f t="shared" si="7"/>
        <v>1.510660652</v>
      </c>
      <c r="L333" s="10">
        <f t="shared" si="8"/>
        <v>0.5636305696</v>
      </c>
      <c r="M333" s="10">
        <f>'Precinct Vote Data'!H1318</f>
        <v>0.6626666667</v>
      </c>
      <c r="N333" s="10">
        <f>'Precinct Vote Data'!H1319</f>
        <v>0.6254071661</v>
      </c>
      <c r="O333" s="10">
        <f>'Precinct Vote Data'!H1320</f>
        <v>0.5925925926</v>
      </c>
      <c r="U333" s="16">
        <f t="shared" si="9"/>
        <v>-3.236275265</v>
      </c>
      <c r="V333" s="5" t="b">
        <f t="shared" si="10"/>
        <v>1</v>
      </c>
      <c r="W333" s="5">
        <f t="shared" si="11"/>
        <v>3.917858782</v>
      </c>
      <c r="X333" s="5">
        <f t="shared" si="12"/>
        <v>0.3400729611</v>
      </c>
      <c r="Y333" s="5">
        <f t="shared" si="13"/>
        <v>3.236275265</v>
      </c>
      <c r="Z333" s="10">
        <f>MIN(1,MAX(0,(5.3914776420524+0.021102849201698*'Precinct Vote Data'!I1321*100+(-5.72594740176815)*1+0.927016741366831*(O333*100))/100))</f>
        <v>0.5521838016</v>
      </c>
      <c r="AA333" s="16">
        <f t="shared" si="14"/>
        <v>-4.380952056</v>
      </c>
      <c r="AB333" s="5" t="b">
        <f t="shared" si="15"/>
        <v>1</v>
      </c>
      <c r="AC333" s="5">
        <f t="shared" si="16"/>
        <v>4.380952056</v>
      </c>
    </row>
    <row r="334" ht="15.0" customHeight="1">
      <c r="A334" s="5" t="s">
        <v>327</v>
      </c>
      <c r="B334" s="5" t="s">
        <v>356</v>
      </c>
      <c r="C334" s="5" t="s">
        <v>163</v>
      </c>
      <c r="D334" s="10">
        <f t="shared" si="1"/>
        <v>0.4159144855</v>
      </c>
      <c r="E334" s="10">
        <f>'Precinct Vote Data'!H1325</f>
        <v>0.5291262136</v>
      </c>
      <c r="F334" s="16">
        <f t="shared" si="2"/>
        <v>-11.32117281</v>
      </c>
      <c r="G334" s="10">
        <f t="shared" si="3"/>
        <v>0.5106382979</v>
      </c>
      <c r="H334" s="16">
        <f t="shared" si="4"/>
        <v>-1.848791572</v>
      </c>
      <c r="I334" s="5" t="b">
        <f t="shared" si="5"/>
        <v>0</v>
      </c>
      <c r="J334" s="5" t="b">
        <f t="shared" si="6"/>
        <v>1</v>
      </c>
      <c r="K334" s="15">
        <f t="shared" si="7"/>
        <v>4.691816399</v>
      </c>
      <c r="L334" s="10">
        <f t="shared" si="8"/>
        <v>0.4206879212</v>
      </c>
      <c r="M334" s="10">
        <f>'Precinct Vote Data'!H1322</f>
        <v>0.6486486486</v>
      </c>
      <c r="N334" s="10">
        <f>'Precinct Vote Data'!H1323</f>
        <v>0.5024875622</v>
      </c>
      <c r="O334" s="10">
        <f>'Precinct Vote Data'!H1324</f>
        <v>0.5106382979</v>
      </c>
      <c r="U334" s="16">
        <f t="shared" si="9"/>
        <v>-10.84382924</v>
      </c>
      <c r="V334" s="5" t="b">
        <f t="shared" si="10"/>
        <v>0</v>
      </c>
      <c r="W334" s="5">
        <f t="shared" si="11"/>
        <v>11.32117281</v>
      </c>
      <c r="X334" s="5">
        <f t="shared" si="12"/>
        <v>1.848791572</v>
      </c>
      <c r="Y334" s="5">
        <f t="shared" si="13"/>
        <v>10.84382924</v>
      </c>
      <c r="Z334" s="10">
        <f>MIN(1,MAX(0,(5.3914776420524+0.021102849201698*'Precinct Vote Data'!I1325*100+(-5.72594740176815)*1+0.927016741366831*(O334*100))/100))</f>
        <v>0.471245298</v>
      </c>
      <c r="AA334" s="16">
        <f t="shared" si="14"/>
        <v>-5.788091559</v>
      </c>
      <c r="AB334" s="5" t="b">
        <f t="shared" si="15"/>
        <v>0</v>
      </c>
      <c r="AC334" s="5">
        <f t="shared" si="16"/>
        <v>5.788091559</v>
      </c>
    </row>
    <row r="335" ht="15.0" customHeight="1">
      <c r="A335" s="5" t="s">
        <v>327</v>
      </c>
      <c r="B335" s="5" t="s">
        <v>190</v>
      </c>
      <c r="C335" s="5" t="s">
        <v>164</v>
      </c>
      <c r="D335" s="10">
        <f t="shared" si="1"/>
        <v>0.5932831032</v>
      </c>
      <c r="E335" s="10">
        <f>'Precinct Vote Data'!H1329</f>
        <v>0.5798421372</v>
      </c>
      <c r="F335" s="16">
        <f t="shared" si="2"/>
        <v>1.344096593</v>
      </c>
      <c r="G335" s="10">
        <f t="shared" si="3"/>
        <v>0.585106383</v>
      </c>
      <c r="H335" s="16">
        <f t="shared" si="4"/>
        <v>0.526424576</v>
      </c>
      <c r="I335" s="5" t="b">
        <f t="shared" si="5"/>
        <v>1</v>
      </c>
      <c r="J335" s="5" t="b">
        <f t="shared" si="6"/>
        <v>1</v>
      </c>
      <c r="K335" s="15">
        <f t="shared" si="7"/>
        <v>-0.2210661435</v>
      </c>
      <c r="L335" s="10">
        <f t="shared" si="8"/>
        <v>0.58934461</v>
      </c>
      <c r="M335" s="10">
        <f>'Precinct Vote Data'!H1326</f>
        <v>0.5605680869</v>
      </c>
      <c r="N335" s="10">
        <f>'Precinct Vote Data'!H1327</f>
        <v>0.5605599513</v>
      </c>
      <c r="O335" s="10">
        <f>'Precinct Vote Data'!H1328</f>
        <v>0.585106383</v>
      </c>
      <c r="U335" s="16">
        <f t="shared" si="9"/>
        <v>0.9502472746</v>
      </c>
      <c r="V335" s="5" t="b">
        <f t="shared" si="10"/>
        <v>1</v>
      </c>
      <c r="W335" s="5">
        <f t="shared" si="11"/>
        <v>1.344096593</v>
      </c>
      <c r="X335" s="5">
        <f t="shared" si="12"/>
        <v>0.526424576</v>
      </c>
      <c r="Y335" s="5">
        <f t="shared" si="13"/>
        <v>0.9502472746</v>
      </c>
      <c r="Z335" s="10">
        <f>MIN(1,MAX(0,(5.3914776420524+0.021102849201698*'Precinct Vote Data'!I1329*100+(-5.72594740176815)*1+0.927016741366831*(O335*100))/100))</f>
        <v>0.5412344187</v>
      </c>
      <c r="AA335" s="16">
        <f t="shared" si="14"/>
        <v>-3.860771856</v>
      </c>
      <c r="AB335" s="5" t="b">
        <f t="shared" si="15"/>
        <v>1</v>
      </c>
      <c r="AC335" s="5">
        <f t="shared" si="16"/>
        <v>3.860771856</v>
      </c>
    </row>
    <row r="336" ht="15.0" customHeight="1">
      <c r="A336" s="5" t="s">
        <v>327</v>
      </c>
      <c r="B336" s="5" t="s">
        <v>190</v>
      </c>
      <c r="C336" s="5" t="s">
        <v>165</v>
      </c>
      <c r="D336" s="10">
        <f t="shared" si="1"/>
        <v>0.5295819182</v>
      </c>
      <c r="E336" s="10">
        <f>'Precinct Vote Data'!H1333</f>
        <v>0.5508474576</v>
      </c>
      <c r="F336" s="16">
        <f t="shared" si="2"/>
        <v>-2.126553938</v>
      </c>
      <c r="G336" s="10">
        <f t="shared" si="3"/>
        <v>0.5459297984</v>
      </c>
      <c r="H336" s="16">
        <f t="shared" si="4"/>
        <v>-0.491765927</v>
      </c>
      <c r="I336" s="5" t="b">
        <f t="shared" si="5"/>
        <v>1</v>
      </c>
      <c r="J336" s="5" t="b">
        <f t="shared" si="6"/>
        <v>1</v>
      </c>
      <c r="K336" s="15">
        <f t="shared" si="7"/>
        <v>0.9423709724</v>
      </c>
      <c r="L336" s="10">
        <f t="shared" si="8"/>
        <v>0.5278628885</v>
      </c>
      <c r="M336" s="10">
        <f>'Precinct Vote Data'!H1330</f>
        <v>0.5606446141</v>
      </c>
      <c r="N336" s="10">
        <f>'Precinct Vote Data'!H1331</f>
        <v>0.5263157895</v>
      </c>
      <c r="O336" s="10">
        <f>'Precinct Vote Data'!H1332</f>
        <v>0.5459297984</v>
      </c>
      <c r="U336" s="16">
        <f t="shared" si="9"/>
        <v>-2.298456912</v>
      </c>
      <c r="V336" s="5" t="b">
        <f t="shared" si="10"/>
        <v>1</v>
      </c>
      <c r="W336" s="5">
        <f t="shared" si="11"/>
        <v>2.126553938</v>
      </c>
      <c r="X336" s="5">
        <f t="shared" si="12"/>
        <v>0.491765927</v>
      </c>
      <c r="Y336" s="5">
        <f t="shared" si="13"/>
        <v>2.298456912</v>
      </c>
      <c r="Z336" s="10">
        <f>MIN(1,MAX(0,(5.3914776420524+0.021102849201698*'Precinct Vote Data'!I1333*100+(-5.72594740176815)*1+0.927016741366831*(O336*100))/100))</f>
        <v>0.5049191791</v>
      </c>
      <c r="AA336" s="16">
        <f t="shared" si="14"/>
        <v>-4.59282785</v>
      </c>
      <c r="AB336" s="5" t="b">
        <f t="shared" si="15"/>
        <v>1</v>
      </c>
      <c r="AC336" s="5">
        <f t="shared" si="16"/>
        <v>4.59282785</v>
      </c>
    </row>
    <row r="337" ht="15.0" customHeight="1">
      <c r="A337" s="5" t="s">
        <v>327</v>
      </c>
      <c r="B337" s="5" t="s">
        <v>190</v>
      </c>
      <c r="C337" s="5" t="s">
        <v>166</v>
      </c>
      <c r="D337" s="10">
        <f t="shared" si="1"/>
        <v>0.5454195636</v>
      </c>
      <c r="E337" s="10">
        <f>'Precinct Vote Data'!H1337</f>
        <v>0.5210280374</v>
      </c>
      <c r="F337" s="16">
        <f t="shared" si="2"/>
        <v>2.439152622</v>
      </c>
      <c r="G337" s="10">
        <f t="shared" si="3"/>
        <v>0.5344352617</v>
      </c>
      <c r="H337" s="16">
        <f t="shared" si="4"/>
        <v>1.340722432</v>
      </c>
      <c r="I337" s="5" t="b">
        <f t="shared" si="5"/>
        <v>1</v>
      </c>
      <c r="J337" s="5" t="b">
        <f t="shared" si="6"/>
        <v>1</v>
      </c>
      <c r="K337" s="15">
        <f t="shared" si="7"/>
        <v>-0.368038592</v>
      </c>
      <c r="L337" s="10">
        <f t="shared" si="8"/>
        <v>0.5414912092</v>
      </c>
      <c r="M337" s="10">
        <f>'Precinct Vote Data'!H1334</f>
        <v>0.5063492063</v>
      </c>
      <c r="N337" s="10">
        <f>'Precinct Vote Data'!H1335</f>
        <v>0.5112160567</v>
      </c>
      <c r="O337" s="10">
        <f>'Precinct Vote Data'!H1336</f>
        <v>0.5344352617</v>
      </c>
      <c r="U337" s="16">
        <f t="shared" si="9"/>
        <v>2.046317178</v>
      </c>
      <c r="V337" s="5" t="b">
        <f t="shared" si="10"/>
        <v>1</v>
      </c>
      <c r="W337" s="5">
        <f t="shared" si="11"/>
        <v>2.439152622</v>
      </c>
      <c r="X337" s="5">
        <f t="shared" si="12"/>
        <v>1.340722432</v>
      </c>
      <c r="Y337" s="5">
        <f t="shared" si="13"/>
        <v>2.046317178</v>
      </c>
      <c r="Z337" s="10">
        <f>MIN(1,MAX(0,(5.3914776420524+0.021102849201698*'Precinct Vote Data'!I1337*100+(-5.72594740176815)*1+0.927016741366831*(O337*100))/100))</f>
        <v>0.4925858747</v>
      </c>
      <c r="AA337" s="16">
        <f t="shared" si="14"/>
        <v>-2.844216267</v>
      </c>
      <c r="AB337" s="5" t="b">
        <f t="shared" si="15"/>
        <v>0</v>
      </c>
      <c r="AC337" s="5">
        <f t="shared" si="16"/>
        <v>2.844216267</v>
      </c>
    </row>
    <row r="338" ht="15.0" customHeight="1">
      <c r="A338" s="5" t="s">
        <v>327</v>
      </c>
      <c r="B338" s="5" t="s">
        <v>190</v>
      </c>
      <c r="C338" s="5" t="s">
        <v>167</v>
      </c>
      <c r="D338" s="10">
        <f t="shared" si="1"/>
        <v>0.5261920339</v>
      </c>
      <c r="E338" s="10">
        <f>'Precinct Vote Data'!H1341</f>
        <v>0.5232067511</v>
      </c>
      <c r="F338" s="16">
        <f t="shared" si="2"/>
        <v>0.2985282828</v>
      </c>
      <c r="G338" s="10">
        <f t="shared" si="3"/>
        <v>0.5261780105</v>
      </c>
      <c r="H338" s="16">
        <f t="shared" si="4"/>
        <v>0.2971259416</v>
      </c>
      <c r="I338" s="5" t="b">
        <f t="shared" si="5"/>
        <v>1</v>
      </c>
      <c r="J338" s="5" t="b">
        <f t="shared" si="6"/>
        <v>1</v>
      </c>
      <c r="K338" s="15">
        <f t="shared" si="7"/>
        <v>0.101051685</v>
      </c>
      <c r="L338" s="10">
        <f t="shared" si="8"/>
        <v>0.5242406718</v>
      </c>
      <c r="M338" s="10">
        <f>'Precinct Vote Data'!H1338</f>
        <v>0.5191740413</v>
      </c>
      <c r="N338" s="10">
        <f>'Precinct Vote Data'!H1339</f>
        <v>0.5122121424</v>
      </c>
      <c r="O338" s="10">
        <f>'Precinct Vote Data'!H1340</f>
        <v>0.5261780105</v>
      </c>
      <c r="U338" s="16">
        <f t="shared" si="9"/>
        <v>0.1033920792</v>
      </c>
      <c r="V338" s="5" t="b">
        <f t="shared" si="10"/>
        <v>1</v>
      </c>
      <c r="W338" s="5">
        <f t="shared" si="11"/>
        <v>0.2985282828</v>
      </c>
      <c r="X338" s="5">
        <f t="shared" si="12"/>
        <v>0.2971259416</v>
      </c>
      <c r="Y338" s="5">
        <f t="shared" si="13"/>
        <v>0.1033920792</v>
      </c>
      <c r="Z338" s="10">
        <f>MIN(1,MAX(0,(5.3914776420524+0.021102849201698*'Precinct Vote Data'!I1341*100+(-5.72594740176815)*1+0.927016741366831*(O338*100))/100))</f>
        <v>0.4850979771</v>
      </c>
      <c r="AA338" s="16">
        <f t="shared" si="14"/>
        <v>-3.810877397</v>
      </c>
      <c r="AB338" s="5" t="b">
        <f t="shared" si="15"/>
        <v>0</v>
      </c>
      <c r="AC338" s="5">
        <f t="shared" si="16"/>
        <v>3.810877397</v>
      </c>
    </row>
    <row r="339" ht="15.0" customHeight="1">
      <c r="A339" s="5" t="s">
        <v>327</v>
      </c>
      <c r="B339" s="5" t="s">
        <v>190</v>
      </c>
      <c r="C339" s="5" t="s">
        <v>357</v>
      </c>
      <c r="D339" s="10">
        <f t="shared" si="1"/>
        <v>0.5684342341</v>
      </c>
      <c r="E339" s="10">
        <f>'Precinct Vote Data'!H1345</f>
        <v>0.5457746479</v>
      </c>
      <c r="F339" s="16">
        <f t="shared" si="2"/>
        <v>2.26595862</v>
      </c>
      <c r="G339" s="10">
        <f t="shared" si="3"/>
        <v>0.567965368</v>
      </c>
      <c r="H339" s="16">
        <f t="shared" si="4"/>
        <v>2.219072008</v>
      </c>
      <c r="I339" s="5" t="b">
        <f t="shared" si="5"/>
        <v>1</v>
      </c>
      <c r="J339" s="5" t="b">
        <f t="shared" si="6"/>
        <v>1</v>
      </c>
      <c r="K339" s="15">
        <f t="shared" si="7"/>
        <v>0.08891372258</v>
      </c>
      <c r="L339" s="10">
        <f t="shared" si="8"/>
        <v>0.5662607354</v>
      </c>
      <c r="M339" s="10">
        <f>'Precinct Vote Data'!H1342</f>
        <v>0.5595854922</v>
      </c>
      <c r="N339" s="10">
        <f>'Precinct Vote Data'!H1343</f>
        <v>0.5526122149</v>
      </c>
      <c r="O339" s="10">
        <f>'Precinct Vote Data'!H1344</f>
        <v>0.567965368</v>
      </c>
      <c r="U339" s="16">
        <f t="shared" si="9"/>
        <v>2.048608755</v>
      </c>
      <c r="V339" s="5" t="b">
        <f t="shared" si="10"/>
        <v>1</v>
      </c>
      <c r="W339" s="5">
        <f t="shared" si="11"/>
        <v>2.26595862</v>
      </c>
      <c r="X339" s="5">
        <f t="shared" si="12"/>
        <v>2.219072008</v>
      </c>
      <c r="Y339" s="5">
        <f t="shared" si="13"/>
        <v>2.048608755</v>
      </c>
      <c r="Z339" s="10">
        <f>MIN(1,MAX(0,(5.3914776420524+0.021102849201698*'Precinct Vote Data'!I1345*100+(-5.72594740176815)*1+0.927016741366831*(O339*100))/100))</f>
        <v>0.5243589077</v>
      </c>
      <c r="AA339" s="16">
        <f t="shared" si="14"/>
        <v>-2.141574017</v>
      </c>
      <c r="AB339" s="5" t="b">
        <f t="shared" si="15"/>
        <v>1</v>
      </c>
      <c r="AC339" s="5">
        <f t="shared" si="16"/>
        <v>2.141574017</v>
      </c>
    </row>
    <row r="340" ht="15.0" customHeight="1">
      <c r="A340" s="5" t="s">
        <v>327</v>
      </c>
      <c r="B340" s="5" t="s">
        <v>190</v>
      </c>
      <c r="C340" s="5" t="s">
        <v>358</v>
      </c>
      <c r="D340" s="10">
        <f t="shared" si="1"/>
        <v>0.564630215</v>
      </c>
      <c r="E340" s="10">
        <f>'Precinct Vote Data'!H1349</f>
        <v>0.5300829876</v>
      </c>
      <c r="F340" s="16">
        <f t="shared" si="2"/>
        <v>3.454722745</v>
      </c>
      <c r="G340" s="10">
        <f t="shared" si="3"/>
        <v>0.5473411154</v>
      </c>
      <c r="H340" s="16">
        <f t="shared" si="4"/>
        <v>1.725812788</v>
      </c>
      <c r="I340" s="5" t="b">
        <f t="shared" si="5"/>
        <v>1</v>
      </c>
      <c r="J340" s="5" t="b">
        <f t="shared" si="6"/>
        <v>1</v>
      </c>
      <c r="K340" s="15">
        <f t="shared" si="7"/>
        <v>-0.6903965414</v>
      </c>
      <c r="L340" s="10">
        <f t="shared" si="8"/>
        <v>0.560577232</v>
      </c>
      <c r="M340" s="10">
        <f>'Precinct Vote Data'!H1346</f>
        <v>0.5107604017</v>
      </c>
      <c r="N340" s="10">
        <f>'Precinct Vote Data'!H1347</f>
        <v>0.5260469867</v>
      </c>
      <c r="O340" s="10">
        <f>'Precinct Vote Data'!H1348</f>
        <v>0.5473411154</v>
      </c>
      <c r="U340" s="16">
        <f t="shared" si="9"/>
        <v>3.049424449</v>
      </c>
      <c r="V340" s="5" t="b">
        <f t="shared" si="10"/>
        <v>1</v>
      </c>
      <c r="W340" s="5">
        <f t="shared" si="11"/>
        <v>3.454722745</v>
      </c>
      <c r="X340" s="5">
        <f t="shared" si="12"/>
        <v>1.725812788</v>
      </c>
      <c r="Y340" s="5">
        <f t="shared" si="13"/>
        <v>3.049424449</v>
      </c>
      <c r="Z340" s="10">
        <f>MIN(1,MAX(0,(5.3914776420524+0.021102849201698*'Precinct Vote Data'!I1349*100+(-5.72594740176815)*1+0.927016741366831*(O340*100))/100))</f>
        <v>0.5046215669</v>
      </c>
      <c r="AA340" s="16">
        <f t="shared" si="14"/>
        <v>-2.546142069</v>
      </c>
      <c r="AB340" s="5" t="b">
        <f t="shared" si="15"/>
        <v>1</v>
      </c>
      <c r="AC340" s="5">
        <f t="shared" si="16"/>
        <v>2.546142069</v>
      </c>
    </row>
    <row r="341" ht="15.0" customHeight="1">
      <c r="A341" s="5" t="s">
        <v>327</v>
      </c>
      <c r="B341" s="5" t="s">
        <v>359</v>
      </c>
      <c r="C341" s="5" t="s">
        <v>168</v>
      </c>
      <c r="D341" s="10">
        <f t="shared" si="1"/>
        <v>0.4467122219</v>
      </c>
      <c r="E341" s="10">
        <f>'Precinct Vote Data'!H1353</f>
        <v>0.487654321</v>
      </c>
      <c r="F341" s="16">
        <f t="shared" si="2"/>
        <v>-4.094209909</v>
      </c>
      <c r="G341" s="10">
        <f t="shared" si="3"/>
        <v>0.4908675799</v>
      </c>
      <c r="H341" s="16">
        <f t="shared" si="4"/>
        <v>0.3213258921</v>
      </c>
      <c r="I341" s="5" t="b">
        <f t="shared" si="5"/>
        <v>1</v>
      </c>
      <c r="J341" s="5" t="b">
        <f t="shared" si="6"/>
        <v>1</v>
      </c>
      <c r="K341" s="15">
        <f t="shared" si="7"/>
        <v>2.14472637</v>
      </c>
      <c r="L341" s="10">
        <f t="shared" si="8"/>
        <v>0.4497494013</v>
      </c>
      <c r="M341" s="10">
        <f>'Precinct Vote Data'!H1350</f>
        <v>0.5581081081</v>
      </c>
      <c r="N341" s="10">
        <f>'Precinct Vote Data'!H1351</f>
        <v>0.4928825623</v>
      </c>
      <c r="O341" s="10">
        <f>'Precinct Vote Data'!H1352</f>
        <v>0.4908675799</v>
      </c>
      <c r="U341" s="16">
        <f t="shared" si="9"/>
        <v>-3.790491972</v>
      </c>
      <c r="V341" s="5" t="b">
        <f t="shared" si="10"/>
        <v>1</v>
      </c>
      <c r="W341" s="5">
        <f t="shared" si="11"/>
        <v>4.094209909</v>
      </c>
      <c r="X341" s="5">
        <f t="shared" si="12"/>
        <v>0.3213258921</v>
      </c>
      <c r="Y341" s="5">
        <f t="shared" si="13"/>
        <v>3.790491972</v>
      </c>
      <c r="Z341" s="10">
        <f>MIN(1,MAX(0,(5.3914776420524+0.021102849201698*'Precinct Vote Data'!I1353*100+(-5.72594740176815)*1+0.927016741366831*(O341*100))/100))</f>
        <v>0.4523772785</v>
      </c>
      <c r="AA341" s="16">
        <f t="shared" si="14"/>
        <v>-3.527704247</v>
      </c>
      <c r="AB341" s="5" t="b">
        <f t="shared" si="15"/>
        <v>1</v>
      </c>
      <c r="AC341" s="5">
        <f t="shared" si="16"/>
        <v>3.527704247</v>
      </c>
    </row>
    <row r="342" ht="15.0" customHeight="1">
      <c r="A342" s="5" t="s">
        <v>327</v>
      </c>
      <c r="B342" s="5" t="s">
        <v>359</v>
      </c>
      <c r="C342" s="5" t="s">
        <v>169</v>
      </c>
      <c r="D342" s="10">
        <f t="shared" si="1"/>
        <v>0.4994372615</v>
      </c>
      <c r="E342" s="10">
        <f>'Precinct Vote Data'!H1357</f>
        <v>0.5042643923</v>
      </c>
      <c r="F342" s="16">
        <f t="shared" si="2"/>
        <v>-0.482713078</v>
      </c>
      <c r="G342" s="10">
        <f t="shared" si="3"/>
        <v>0.5330396476</v>
      </c>
      <c r="H342" s="16">
        <f t="shared" si="4"/>
        <v>2.877525525</v>
      </c>
      <c r="I342" s="5" t="b">
        <f t="shared" si="5"/>
        <v>0</v>
      </c>
      <c r="J342" s="5" t="b">
        <f t="shared" si="6"/>
        <v>1</v>
      </c>
      <c r="K342" s="15">
        <f t="shared" si="7"/>
        <v>1.829258946</v>
      </c>
      <c r="L342" s="10">
        <f t="shared" si="8"/>
        <v>0.4979695346</v>
      </c>
      <c r="M342" s="10">
        <f>'Precinct Vote Data'!H1354</f>
        <v>0.5706806283</v>
      </c>
      <c r="N342" s="10">
        <f>'Precinct Vote Data'!H1355</f>
        <v>0.5075144509</v>
      </c>
      <c r="O342" s="10">
        <f>'Precinct Vote Data'!H1356</f>
        <v>0.5330396476</v>
      </c>
      <c r="U342" s="16">
        <f t="shared" si="9"/>
        <v>-0.6294857737</v>
      </c>
      <c r="V342" s="5" t="b">
        <f t="shared" si="10"/>
        <v>0</v>
      </c>
      <c r="W342" s="5">
        <f t="shared" si="11"/>
        <v>0.482713078</v>
      </c>
      <c r="X342" s="5">
        <f t="shared" si="12"/>
        <v>2.877525525</v>
      </c>
      <c r="Y342" s="5">
        <f t="shared" si="13"/>
        <v>0.6294857737</v>
      </c>
      <c r="Z342" s="10">
        <f>MIN(1,MAX(0,(5.3914776420524+0.021102849201698*'Precinct Vote Data'!I1357*100+(-5.72594740176815)*1+0.927016741366831*(O342*100))/100))</f>
        <v>0.4926363685</v>
      </c>
      <c r="AA342" s="16">
        <f t="shared" si="14"/>
        <v>-1.162802378</v>
      </c>
      <c r="AB342" s="5" t="b">
        <f t="shared" si="15"/>
        <v>0</v>
      </c>
      <c r="AC342" s="5">
        <f t="shared" si="16"/>
        <v>1.162802378</v>
      </c>
    </row>
    <row r="343" ht="15.0" customHeight="1">
      <c r="A343" s="5" t="s">
        <v>327</v>
      </c>
      <c r="B343" s="5" t="s">
        <v>359</v>
      </c>
      <c r="C343" s="5" t="s">
        <v>171</v>
      </c>
      <c r="D343" s="10">
        <f t="shared" si="1"/>
        <v>0.5566792919</v>
      </c>
      <c r="E343" s="10">
        <f>'Precinct Vote Data'!H1361</f>
        <v>0.5227781927</v>
      </c>
      <c r="F343" s="16">
        <f t="shared" si="2"/>
        <v>3.390109923</v>
      </c>
      <c r="G343" s="10">
        <f t="shared" si="3"/>
        <v>0.5698818898</v>
      </c>
      <c r="H343" s="16">
        <f t="shared" si="4"/>
        <v>4.710369708</v>
      </c>
      <c r="I343" s="5" t="b">
        <f t="shared" si="5"/>
        <v>1</v>
      </c>
      <c r="J343" s="5" t="b">
        <f t="shared" si="6"/>
        <v>1</v>
      </c>
      <c r="K343" s="15">
        <f t="shared" si="7"/>
        <v>1.036686659</v>
      </c>
      <c r="L343" s="10">
        <f t="shared" si="8"/>
        <v>0.5500067822</v>
      </c>
      <c r="M343" s="10">
        <f>'Precinct Vote Data'!H1358</f>
        <v>0.5628476085</v>
      </c>
      <c r="N343" s="10">
        <f>'Precinct Vote Data'!H1359</f>
        <v>0.5162055336</v>
      </c>
      <c r="O343" s="10">
        <f>'Precinct Vote Data'!H1360</f>
        <v>0.5698818898</v>
      </c>
      <c r="U343" s="16">
        <f t="shared" si="9"/>
        <v>2.722858956</v>
      </c>
      <c r="V343" s="5" t="b">
        <f t="shared" si="10"/>
        <v>1</v>
      </c>
      <c r="W343" s="5">
        <f t="shared" si="11"/>
        <v>3.390109923</v>
      </c>
      <c r="X343" s="5">
        <f t="shared" si="12"/>
        <v>4.710369708</v>
      </c>
      <c r="Y343" s="5">
        <f t="shared" si="13"/>
        <v>2.722858956</v>
      </c>
      <c r="Z343" s="10">
        <f>MIN(1,MAX(0,(5.3914776420524+0.021102849201698*'Precinct Vote Data'!I1361*100+(-5.72594740176815)*1+0.927016741366831*(O343*100))/100))</f>
        <v>0.526013159</v>
      </c>
      <c r="AA343" s="16">
        <f t="shared" si="14"/>
        <v>0.3234966304</v>
      </c>
      <c r="AB343" s="5" t="b">
        <f t="shared" si="15"/>
        <v>1</v>
      </c>
      <c r="AC343" s="5">
        <f t="shared" si="16"/>
        <v>0.3234966304</v>
      </c>
    </row>
    <row r="344" ht="15.0" customHeight="1">
      <c r="A344" s="5" t="s">
        <v>327</v>
      </c>
      <c r="B344" s="5" t="s">
        <v>99</v>
      </c>
      <c r="C344" s="5" t="s">
        <v>172</v>
      </c>
      <c r="D344" s="10">
        <f t="shared" si="1"/>
        <v>0.3440746134</v>
      </c>
      <c r="E344" s="10">
        <f>'Precinct Vote Data'!H1365</f>
        <v>0.3339449541</v>
      </c>
      <c r="F344" s="16">
        <f t="shared" si="2"/>
        <v>1.012965926</v>
      </c>
      <c r="G344" s="10">
        <f t="shared" si="3"/>
        <v>0.3549648163</v>
      </c>
      <c r="H344" s="16">
        <f t="shared" si="4"/>
        <v>2.101986213</v>
      </c>
      <c r="I344" s="5" t="b">
        <f t="shared" si="5"/>
        <v>1</v>
      </c>
      <c r="J344" s="5" t="b">
        <f t="shared" si="6"/>
        <v>1</v>
      </c>
      <c r="K344" s="15">
        <f t="shared" si="7"/>
        <v>0.659404895</v>
      </c>
      <c r="L344" s="10">
        <f t="shared" si="8"/>
        <v>0.3423228641</v>
      </c>
      <c r="M344" s="10">
        <f>'Precinct Vote Data'!H1362</f>
        <v>0.3625954198</v>
      </c>
      <c r="N344" s="10">
        <f>'Precinct Vote Data'!H1363</f>
        <v>0.3375554148</v>
      </c>
      <c r="O344" s="10">
        <f>'Precinct Vote Data'!H1364</f>
        <v>0.3549648163</v>
      </c>
      <c r="U344" s="16">
        <f t="shared" si="9"/>
        <v>0.8377909927</v>
      </c>
      <c r="V344" s="5" t="b">
        <f t="shared" si="10"/>
        <v>1</v>
      </c>
      <c r="W344" s="5">
        <f t="shared" si="11"/>
        <v>1.012965926</v>
      </c>
      <c r="X344" s="5">
        <f t="shared" si="12"/>
        <v>2.101986213</v>
      </c>
      <c r="Y344" s="5">
        <f t="shared" si="13"/>
        <v>0.8377909927</v>
      </c>
      <c r="Z344" s="10">
        <f>MIN(1,MAX(0,(5.3914776420524+0.021102849201698*'Precinct Vote Data'!I1365*100+(-5.72594740176815)*1+0.927016741366831*(O344*100))/100))</f>
        <v>0.3207122544</v>
      </c>
      <c r="AA344" s="16">
        <f t="shared" si="14"/>
        <v>-1.323269971</v>
      </c>
      <c r="AB344" s="5" t="b">
        <f t="shared" si="15"/>
        <v>1</v>
      </c>
      <c r="AC344" s="5">
        <f t="shared" si="16"/>
        <v>1.323269971</v>
      </c>
    </row>
    <row r="345" ht="15.0" customHeight="1">
      <c r="A345" s="5" t="s">
        <v>327</v>
      </c>
      <c r="B345" s="5" t="s">
        <v>99</v>
      </c>
      <c r="C345" s="5" t="s">
        <v>173</v>
      </c>
      <c r="D345" s="10">
        <f t="shared" si="1"/>
        <v>0.3505091591</v>
      </c>
      <c r="E345" s="10">
        <f>'Precinct Vote Data'!H1369</f>
        <v>0.335089568</v>
      </c>
      <c r="F345" s="16">
        <f t="shared" si="2"/>
        <v>1.541959115</v>
      </c>
      <c r="G345" s="10">
        <f t="shared" si="3"/>
        <v>0.3660899654</v>
      </c>
      <c r="H345" s="16">
        <f t="shared" si="4"/>
        <v>3.100039743</v>
      </c>
      <c r="I345" s="5" t="b">
        <f t="shared" si="5"/>
        <v>1</v>
      </c>
      <c r="J345" s="5" t="b">
        <f t="shared" si="6"/>
        <v>1</v>
      </c>
      <c r="K345" s="15">
        <f t="shared" si="7"/>
        <v>0.9167254294</v>
      </c>
      <c r="L345" s="10">
        <f t="shared" si="8"/>
        <v>0.3485147257</v>
      </c>
      <c r="M345" s="10">
        <f>'Precinct Vote Data'!H1366</f>
        <v>0.3788395904</v>
      </c>
      <c r="N345" s="10">
        <f>'Precinct Vote Data'!H1367</f>
        <v>0.3448467967</v>
      </c>
      <c r="O345" s="10">
        <f>'Precinct Vote Data'!H1368</f>
        <v>0.3660899654</v>
      </c>
      <c r="U345" s="16">
        <f t="shared" si="9"/>
        <v>1.342515777</v>
      </c>
      <c r="V345" s="5" t="b">
        <f t="shared" si="10"/>
        <v>1</v>
      </c>
      <c r="W345" s="5">
        <f t="shared" si="11"/>
        <v>1.541959115</v>
      </c>
      <c r="X345" s="5">
        <f t="shared" si="12"/>
        <v>3.100039743</v>
      </c>
      <c r="Y345" s="5">
        <f t="shared" si="13"/>
        <v>1.342515777</v>
      </c>
      <c r="Z345" s="10">
        <f>MIN(1,MAX(0,(5.3914776420524+0.021102849201698*'Precinct Vote Data'!I1369*100+(-5.72594740176815)*1+0.927016741366831*(O345*100))/100))</f>
        <v>0.3321734489</v>
      </c>
      <c r="AA345" s="16">
        <f t="shared" si="14"/>
        <v>-0.2916119057</v>
      </c>
      <c r="AB345" s="5" t="b">
        <f t="shared" si="15"/>
        <v>1</v>
      </c>
      <c r="AC345" s="5">
        <f t="shared" si="16"/>
        <v>0.2916119057</v>
      </c>
    </row>
    <row r="346" ht="15.0" customHeight="1">
      <c r="A346" s="5" t="s">
        <v>327</v>
      </c>
      <c r="B346" s="5" t="s">
        <v>99</v>
      </c>
      <c r="C346" s="5" t="s">
        <v>175</v>
      </c>
      <c r="D346" s="10">
        <f t="shared" si="1"/>
        <v>0.2725965609</v>
      </c>
      <c r="E346" s="10">
        <f>'Precinct Vote Data'!H1373</f>
        <v>0.3115438108</v>
      </c>
      <c r="F346" s="16">
        <f t="shared" si="2"/>
        <v>-3.894724998</v>
      </c>
      <c r="G346" s="10">
        <f t="shared" si="3"/>
        <v>0.2892057026</v>
      </c>
      <c r="H346" s="16">
        <f t="shared" si="4"/>
        <v>-2.23381082</v>
      </c>
      <c r="I346" s="5" t="b">
        <f t="shared" si="5"/>
        <v>1</v>
      </c>
      <c r="J346" s="5" t="b">
        <f t="shared" si="6"/>
        <v>1</v>
      </c>
      <c r="K346" s="15">
        <f t="shared" si="7"/>
        <v>0.5100516291</v>
      </c>
      <c r="L346" s="10">
        <f t="shared" si="8"/>
        <v>0.2794271154</v>
      </c>
      <c r="M346" s="10">
        <f>'Precinct Vote Data'!H1370</f>
        <v>0.3348623853</v>
      </c>
      <c r="N346" s="10">
        <f>'Precinct Vote Data'!H1371</f>
        <v>0.3306916427</v>
      </c>
      <c r="O346" s="10">
        <f>'Precinct Vote Data'!H1372</f>
        <v>0.2892057026</v>
      </c>
      <c r="U346" s="16">
        <f t="shared" si="9"/>
        <v>-3.211669548</v>
      </c>
      <c r="V346" s="5" t="b">
        <f t="shared" si="10"/>
        <v>1</v>
      </c>
      <c r="W346" s="5">
        <f t="shared" si="11"/>
        <v>3.894724998</v>
      </c>
      <c r="X346" s="5">
        <f t="shared" si="12"/>
        <v>2.23381082</v>
      </c>
      <c r="Y346" s="5">
        <f t="shared" si="13"/>
        <v>3.211669548</v>
      </c>
      <c r="Z346" s="10">
        <f>MIN(1,MAX(0,(5.3914776420524+0.021102849201698*'Precinct Vote Data'!I1373*100+(-5.72594740176815)*1+0.927016741366831*(O346*100))/100))</f>
        <v>0.2595984044</v>
      </c>
      <c r="AA346" s="16">
        <f t="shared" si="14"/>
        <v>-5.194540645</v>
      </c>
      <c r="AB346" s="5" t="b">
        <f t="shared" si="15"/>
        <v>1</v>
      </c>
      <c r="AC346" s="5">
        <f t="shared" si="16"/>
        <v>5.194540645</v>
      </c>
    </row>
    <row r="347" ht="15.0" customHeight="1">
      <c r="A347" s="5" t="s">
        <v>327</v>
      </c>
      <c r="B347" s="5" t="s">
        <v>99</v>
      </c>
      <c r="C347" s="5" t="s">
        <v>177</v>
      </c>
      <c r="D347" s="10">
        <f t="shared" si="1"/>
        <v>0.3331493976</v>
      </c>
      <c r="E347" s="10">
        <f>'Precinct Vote Data'!H1377</f>
        <v>0.3352033661</v>
      </c>
      <c r="F347" s="16">
        <f t="shared" si="2"/>
        <v>-0.2053968439</v>
      </c>
      <c r="G347" s="10">
        <f t="shared" si="3"/>
        <v>0.3536693192</v>
      </c>
      <c r="H347" s="16">
        <f t="shared" si="4"/>
        <v>1.846595313</v>
      </c>
      <c r="I347" s="5" t="b">
        <f t="shared" si="5"/>
        <v>1</v>
      </c>
      <c r="J347" s="5" t="b">
        <f t="shared" si="6"/>
        <v>1</v>
      </c>
      <c r="K347" s="15">
        <f t="shared" si="7"/>
        <v>1.167178771</v>
      </c>
      <c r="L347" s="10">
        <f t="shared" si="8"/>
        <v>0.3312924482</v>
      </c>
      <c r="M347" s="10">
        <f>'Precinct Vote Data'!H1374</f>
        <v>0.3732162459</v>
      </c>
      <c r="N347" s="10">
        <f>'Precinct Vote Data'!H1375</f>
        <v>0.3312034079</v>
      </c>
      <c r="O347" s="10">
        <f>'Precinct Vote Data'!H1376</f>
        <v>0.3536693192</v>
      </c>
      <c r="U347" s="16">
        <f t="shared" si="9"/>
        <v>-0.3910917816</v>
      </c>
      <c r="V347" s="5" t="b">
        <f t="shared" si="10"/>
        <v>1</v>
      </c>
      <c r="W347" s="5">
        <f t="shared" si="11"/>
        <v>0.2053968439</v>
      </c>
      <c r="X347" s="5">
        <f t="shared" si="12"/>
        <v>1.846595313</v>
      </c>
      <c r="Y347" s="5">
        <f t="shared" si="13"/>
        <v>0.3910917816</v>
      </c>
      <c r="Z347" s="10">
        <f>MIN(1,MAX(0,(5.3914776420524+0.021102849201698*'Precinct Vote Data'!I1377*100+(-5.72594740176815)*1+0.927016741366831*(O347*100))/100))</f>
        <v>0.3199143714</v>
      </c>
      <c r="AA347" s="16">
        <f t="shared" si="14"/>
        <v>-1.52889947</v>
      </c>
      <c r="AB347" s="5" t="b">
        <f t="shared" si="15"/>
        <v>1</v>
      </c>
      <c r="AC347" s="5">
        <f t="shared" si="16"/>
        <v>1.52889947</v>
      </c>
    </row>
    <row r="348" ht="15.0" customHeight="1">
      <c r="A348" s="5" t="s">
        <v>327</v>
      </c>
      <c r="B348" s="5" t="s">
        <v>99</v>
      </c>
      <c r="C348" s="5" t="s">
        <v>178</v>
      </c>
      <c r="D348" s="10">
        <f t="shared" si="1"/>
        <v>0.363889872</v>
      </c>
      <c r="E348" s="10">
        <f>'Precinct Vote Data'!H1381</f>
        <v>0.3582089552</v>
      </c>
      <c r="F348" s="16">
        <f t="shared" si="2"/>
        <v>0.568091675</v>
      </c>
      <c r="G348" s="10">
        <f t="shared" si="3"/>
        <v>0.3657894737</v>
      </c>
      <c r="H348" s="16">
        <f t="shared" si="4"/>
        <v>0.758051846</v>
      </c>
      <c r="I348" s="5" t="b">
        <f t="shared" si="5"/>
        <v>1</v>
      </c>
      <c r="J348" s="5" t="b">
        <f t="shared" si="6"/>
        <v>1</v>
      </c>
      <c r="K348" s="15">
        <f t="shared" si="7"/>
        <v>0.5007799337</v>
      </c>
      <c r="L348" s="10">
        <f t="shared" si="8"/>
        <v>0.3561886411</v>
      </c>
      <c r="M348" s="10">
        <f>'Precinct Vote Data'!H1378</f>
        <v>0.3406432749</v>
      </c>
      <c r="N348" s="10">
        <f>'Precinct Vote Data'!H1379</f>
        <v>0.3097982709</v>
      </c>
      <c r="O348" s="10">
        <f>'Precinct Vote Data'!H1380</f>
        <v>0.3657894737</v>
      </c>
      <c r="U348" s="16">
        <f t="shared" si="9"/>
        <v>-0.2020314103</v>
      </c>
      <c r="V348" s="5" t="b">
        <f t="shared" si="10"/>
        <v>1</v>
      </c>
      <c r="W348" s="5">
        <f t="shared" si="11"/>
        <v>0.568091675</v>
      </c>
      <c r="X348" s="5">
        <f t="shared" si="12"/>
        <v>0.758051846</v>
      </c>
      <c r="Y348" s="5">
        <f t="shared" si="13"/>
        <v>0.2020314103</v>
      </c>
      <c r="Z348" s="10">
        <f>MIN(1,MAX(0,(5.3914776420524+0.021102849201698*'Precinct Vote Data'!I1381*100+(-5.72594740176815)*1+0.927016741366831*(O348*100))/100))</f>
        <v>0.3306477097</v>
      </c>
      <c r="AA348" s="16">
        <f t="shared" si="14"/>
        <v>-2.756124555</v>
      </c>
      <c r="AB348" s="5" t="b">
        <f t="shared" si="15"/>
        <v>1</v>
      </c>
      <c r="AC348" s="5">
        <f t="shared" si="16"/>
        <v>2.756124555</v>
      </c>
    </row>
    <row r="349" ht="15.0" customHeight="1">
      <c r="A349" s="5" t="s">
        <v>327</v>
      </c>
      <c r="B349" s="5" t="s">
        <v>360</v>
      </c>
      <c r="C349" s="5" t="s">
        <v>180</v>
      </c>
      <c r="D349" s="10">
        <f t="shared" si="1"/>
        <v>0.3487082588</v>
      </c>
      <c r="E349" s="10">
        <f>'Precinct Vote Data'!H1385</f>
        <v>0.3755334282</v>
      </c>
      <c r="F349" s="16">
        <f t="shared" si="2"/>
        <v>-2.682516934</v>
      </c>
      <c r="G349" s="10">
        <f t="shared" si="3"/>
        <v>0.3801498127</v>
      </c>
      <c r="H349" s="16">
        <f t="shared" si="4"/>
        <v>0.4616384569</v>
      </c>
      <c r="I349" s="5" t="b">
        <f t="shared" si="5"/>
        <v>1</v>
      </c>
      <c r="J349" s="5" t="b">
        <f t="shared" si="6"/>
        <v>1</v>
      </c>
      <c r="K349" s="15">
        <f t="shared" si="7"/>
        <v>1.692738788</v>
      </c>
      <c r="L349" s="10">
        <f t="shared" si="8"/>
        <v>0.3476970314</v>
      </c>
      <c r="M349" s="10">
        <f>'Precinct Vote Data'!H1382</f>
        <v>0.4166666667</v>
      </c>
      <c r="N349" s="10">
        <f>'Precinct Vote Data'!H1383</f>
        <v>0.3588588589</v>
      </c>
      <c r="O349" s="10">
        <f>'Precinct Vote Data'!H1384</f>
        <v>0.3801498127</v>
      </c>
      <c r="U349" s="16">
        <f t="shared" si="9"/>
        <v>-2.783639675</v>
      </c>
      <c r="V349" s="5" t="b">
        <f t="shared" si="10"/>
        <v>1</v>
      </c>
      <c r="W349" s="5">
        <f t="shared" si="11"/>
        <v>2.682516934</v>
      </c>
      <c r="X349" s="5">
        <f t="shared" si="12"/>
        <v>0.4616384569</v>
      </c>
      <c r="Y349" s="5">
        <f t="shared" si="13"/>
        <v>2.783639675</v>
      </c>
      <c r="Z349" s="10">
        <f>MIN(1,MAX(0,(5.3914776420524+0.021102849201698*'Precinct Vote Data'!I1385*100+(-5.72594740176815)*1+0.927016741366831*(O349*100))/100))</f>
        <v>0.343527376</v>
      </c>
      <c r="AA349" s="16">
        <f t="shared" si="14"/>
        <v>-3.200605219</v>
      </c>
      <c r="AB349" s="5" t="b">
        <f t="shared" si="15"/>
        <v>1</v>
      </c>
      <c r="AC349" s="5">
        <f t="shared" si="16"/>
        <v>3.200605219</v>
      </c>
    </row>
    <row r="350" ht="15.0" customHeight="1">
      <c r="A350" s="5" t="s">
        <v>327</v>
      </c>
      <c r="B350" s="5" t="s">
        <v>360</v>
      </c>
      <c r="C350" s="5" t="s">
        <v>181</v>
      </c>
      <c r="D350" s="10">
        <f t="shared" si="1"/>
        <v>0.314352415</v>
      </c>
      <c r="E350" s="10">
        <f>'Precinct Vote Data'!H1389</f>
        <v>0.3177816901</v>
      </c>
      <c r="F350" s="16">
        <f t="shared" si="2"/>
        <v>-0.3429275121</v>
      </c>
      <c r="G350" s="10">
        <f t="shared" si="3"/>
        <v>0.3556581986</v>
      </c>
      <c r="H350" s="16">
        <f t="shared" si="4"/>
        <v>3.787650847</v>
      </c>
      <c r="I350" s="5" t="b">
        <f t="shared" si="5"/>
        <v>1</v>
      </c>
      <c r="J350" s="5" t="b">
        <f t="shared" si="6"/>
        <v>1</v>
      </c>
      <c r="K350" s="15">
        <f t="shared" si="7"/>
        <v>2.358796883</v>
      </c>
      <c r="L350" s="10">
        <f t="shared" si="8"/>
        <v>0.3104359115</v>
      </c>
      <c r="M350" s="10">
        <f>'Precinct Vote Data'!H1386</f>
        <v>0.3943661972</v>
      </c>
      <c r="N350" s="10">
        <f>'Precinct Vote Data'!H1387</f>
        <v>0.309156845</v>
      </c>
      <c r="O350" s="10">
        <f>'Precinct Vote Data'!H1388</f>
        <v>0.3556581986</v>
      </c>
      <c r="U350" s="16">
        <f t="shared" si="9"/>
        <v>-0.7345778597</v>
      </c>
      <c r="V350" s="5" t="b">
        <f t="shared" si="10"/>
        <v>1</v>
      </c>
      <c r="W350" s="5">
        <f t="shared" si="11"/>
        <v>0.3429275121</v>
      </c>
      <c r="X350" s="5">
        <f t="shared" si="12"/>
        <v>3.787650847</v>
      </c>
      <c r="Y350" s="5">
        <f t="shared" si="13"/>
        <v>0.7345778597</v>
      </c>
      <c r="Z350" s="10">
        <f>MIN(1,MAX(0,(5.3914776420524+0.021102849201698*'Precinct Vote Data'!I1389*100+(-5.72594740176815)*1+0.927016741366831*(O350*100))/100))</f>
        <v>0.3203399844</v>
      </c>
      <c r="AA350" s="16">
        <f t="shared" si="14"/>
        <v>0.2558294274</v>
      </c>
      <c r="AB350" s="5" t="b">
        <f t="shared" si="15"/>
        <v>1</v>
      </c>
      <c r="AC350" s="5">
        <f t="shared" si="16"/>
        <v>0.2558294274</v>
      </c>
    </row>
    <row r="351" ht="15.0" customHeight="1">
      <c r="A351" s="5" t="s">
        <v>327</v>
      </c>
      <c r="B351" s="5" t="s">
        <v>361</v>
      </c>
      <c r="C351" s="5" t="s">
        <v>182</v>
      </c>
      <c r="D351" s="10">
        <f t="shared" si="1"/>
        <v>0.4397554978</v>
      </c>
      <c r="E351" s="10">
        <f>'Precinct Vote Data'!H1393</f>
        <v>0.462600321</v>
      </c>
      <c r="F351" s="16">
        <f t="shared" si="2"/>
        <v>-2.284482321</v>
      </c>
      <c r="G351" s="10">
        <f t="shared" si="3"/>
        <v>0.4453155625</v>
      </c>
      <c r="H351" s="16">
        <f t="shared" si="4"/>
        <v>-1.72847585</v>
      </c>
      <c r="I351" s="5" t="b">
        <f t="shared" si="5"/>
        <v>1</v>
      </c>
      <c r="J351" s="5" t="b">
        <f t="shared" si="6"/>
        <v>1</v>
      </c>
      <c r="K351" s="15">
        <f t="shared" si="7"/>
        <v>0.3440391162</v>
      </c>
      <c r="L351" s="10">
        <f t="shared" si="8"/>
        <v>0.4387197273</v>
      </c>
      <c r="M351" s="10">
        <f>'Precinct Vote Data'!H1390</f>
        <v>0.4487051793</v>
      </c>
      <c r="N351" s="10">
        <f>'Precinct Vote Data'!H1391</f>
        <v>0.4354146019</v>
      </c>
      <c r="O351" s="10">
        <f>'Precinct Vote Data'!H1392</f>
        <v>0.4453155625</v>
      </c>
      <c r="U351" s="16">
        <f t="shared" si="9"/>
        <v>-2.388059377</v>
      </c>
      <c r="V351" s="5" t="b">
        <f t="shared" si="10"/>
        <v>1</v>
      </c>
      <c r="W351" s="5">
        <f t="shared" si="11"/>
        <v>2.284482321</v>
      </c>
      <c r="X351" s="5">
        <f t="shared" si="12"/>
        <v>1.72847585</v>
      </c>
      <c r="Y351" s="5">
        <f t="shared" si="13"/>
        <v>2.388059377</v>
      </c>
      <c r="Z351" s="10">
        <f>MIN(1,MAX(0,(5.3914776420524+0.021102849201698*'Precinct Vote Data'!I1393*100+(-5.72594740176815)*1+0.927016741366831*(O351*100))/100))</f>
        <v>0.4073388963</v>
      </c>
      <c r="AA351" s="16">
        <f t="shared" si="14"/>
        <v>-5.526142474</v>
      </c>
      <c r="AB351" s="5" t="b">
        <f t="shared" si="15"/>
        <v>1</v>
      </c>
      <c r="AC351" s="5">
        <f t="shared" si="16"/>
        <v>5.526142474</v>
      </c>
    </row>
    <row r="352" ht="15.0" customHeight="1">
      <c r="A352" s="5" t="s">
        <v>327</v>
      </c>
      <c r="B352" s="5" t="s">
        <v>361</v>
      </c>
      <c r="C352" s="5" t="s">
        <v>183</v>
      </c>
      <c r="D352" s="10">
        <f t="shared" si="1"/>
        <v>0.4176759903</v>
      </c>
      <c r="E352" s="10">
        <f>'Precinct Vote Data'!H1397</f>
        <v>0.4234800839</v>
      </c>
      <c r="F352" s="16">
        <f t="shared" si="2"/>
        <v>-0.580409357</v>
      </c>
      <c r="G352" s="10">
        <f t="shared" si="3"/>
        <v>0.4320557491</v>
      </c>
      <c r="H352" s="16">
        <f t="shared" si="4"/>
        <v>0.8575665271</v>
      </c>
      <c r="I352" s="5" t="b">
        <f t="shared" si="5"/>
        <v>1</v>
      </c>
      <c r="J352" s="5" t="b">
        <f t="shared" si="6"/>
        <v>1</v>
      </c>
      <c r="K352" s="15">
        <f t="shared" si="7"/>
        <v>0.9665727197</v>
      </c>
      <c r="L352" s="10">
        <f t="shared" si="8"/>
        <v>0.4135248492</v>
      </c>
      <c r="M352" s="10">
        <f>'Precinct Vote Data'!H1394</f>
        <v>0.4355509356</v>
      </c>
      <c r="N352" s="10">
        <f>'Precinct Vote Data'!H1395</f>
        <v>0.3959068454</v>
      </c>
      <c r="O352" s="10">
        <f>'Precinct Vote Data'!H1396</f>
        <v>0.4320557491</v>
      </c>
      <c r="U352" s="16">
        <f t="shared" si="9"/>
        <v>-0.9955234666</v>
      </c>
      <c r="V352" s="5" t="b">
        <f t="shared" si="10"/>
        <v>1</v>
      </c>
      <c r="W352" s="5">
        <f t="shared" si="11"/>
        <v>0.580409357</v>
      </c>
      <c r="X352" s="5">
        <f t="shared" si="12"/>
        <v>0.8575665271</v>
      </c>
      <c r="Y352" s="5">
        <f t="shared" si="13"/>
        <v>0.9955234666</v>
      </c>
      <c r="Z352" s="10">
        <f>MIN(1,MAX(0,(5.3914776420524+0.021102849201698*'Precinct Vote Data'!I1397*100+(-5.72594740176815)*1+0.927016741366831*(O352*100))/100))</f>
        <v>0.3947640491</v>
      </c>
      <c r="AA352" s="16">
        <f t="shared" si="14"/>
        <v>-2.871603476</v>
      </c>
      <c r="AB352" s="5" t="b">
        <f t="shared" si="15"/>
        <v>1</v>
      </c>
      <c r="AC352" s="5">
        <f t="shared" si="16"/>
        <v>2.871603476</v>
      </c>
    </row>
    <row r="353" ht="15.0" customHeight="1">
      <c r="A353" s="5" t="s">
        <v>327</v>
      </c>
      <c r="B353" s="5" t="s">
        <v>362</v>
      </c>
      <c r="C353" s="5" t="s">
        <v>184</v>
      </c>
      <c r="D353" s="10">
        <f t="shared" si="1"/>
        <v>0.5463115784</v>
      </c>
      <c r="E353" s="10">
        <f>'Precinct Vote Data'!H1401</f>
        <v>0.5260791367</v>
      </c>
      <c r="F353" s="16">
        <f t="shared" si="2"/>
        <v>2.023244176</v>
      </c>
      <c r="G353" s="10">
        <f t="shared" si="3"/>
        <v>0.5375661376</v>
      </c>
      <c r="H353" s="16">
        <f t="shared" si="4"/>
        <v>1.148700088</v>
      </c>
      <c r="I353" s="5" t="b">
        <f t="shared" si="5"/>
        <v>1</v>
      </c>
      <c r="J353" s="5" t="b">
        <f t="shared" si="6"/>
        <v>1</v>
      </c>
      <c r="K353" s="15">
        <f t="shared" si="7"/>
        <v>-0.1219712533</v>
      </c>
      <c r="L353" s="10">
        <f t="shared" si="8"/>
        <v>0.5399045411</v>
      </c>
      <c r="M353" s="10">
        <f>'Precinct Vote Data'!H1398</f>
        <v>0.5034642032</v>
      </c>
      <c r="N353" s="10">
        <f>'Precinct Vote Data'!H1399</f>
        <v>0.4955985915</v>
      </c>
      <c r="O353" s="10">
        <f>'Precinct Vote Data'!H1400</f>
        <v>0.5375661376</v>
      </c>
      <c r="U353" s="16">
        <f t="shared" si="9"/>
        <v>1.382540444</v>
      </c>
      <c r="V353" s="5" t="b">
        <f t="shared" si="10"/>
        <v>1</v>
      </c>
      <c r="W353" s="5">
        <f t="shared" si="11"/>
        <v>2.023244176</v>
      </c>
      <c r="X353" s="5">
        <f t="shared" si="12"/>
        <v>1.148700088</v>
      </c>
      <c r="Y353" s="5">
        <f t="shared" si="13"/>
        <v>1.382540444</v>
      </c>
      <c r="Z353" s="10">
        <f>MIN(1,MAX(0,(5.3914776420524+0.021102849201698*'Precinct Vote Data'!I1401*100+(-5.72594740176815)*1+0.927016741366831*(O353*100))/100))</f>
        <v>0.4945871574</v>
      </c>
      <c r="AA353" s="16">
        <f t="shared" si="14"/>
        <v>-3.149197931</v>
      </c>
      <c r="AB353" s="5" t="b">
        <f t="shared" si="15"/>
        <v>0</v>
      </c>
      <c r="AC353" s="5">
        <f t="shared" si="16"/>
        <v>3.149197931</v>
      </c>
    </row>
    <row r="354" ht="15.0" customHeight="1">
      <c r="A354" s="5" t="s">
        <v>327</v>
      </c>
      <c r="B354" s="5" t="s">
        <v>362</v>
      </c>
      <c r="C354" s="5" t="s">
        <v>185</v>
      </c>
      <c r="D354" s="10">
        <f t="shared" si="1"/>
        <v>0.4365868465</v>
      </c>
      <c r="E354" s="10">
        <f>'Precinct Vote Data'!H1405</f>
        <v>0.4190163934</v>
      </c>
      <c r="F354" s="16">
        <f t="shared" si="2"/>
        <v>1.757045305</v>
      </c>
      <c r="G354" s="10">
        <f t="shared" si="3"/>
        <v>0.4429416737</v>
      </c>
      <c r="H354" s="16">
        <f t="shared" si="4"/>
        <v>2.392528027</v>
      </c>
      <c r="I354" s="5" t="b">
        <f t="shared" si="5"/>
        <v>1</v>
      </c>
      <c r="J354" s="5" t="b">
        <f t="shared" si="6"/>
        <v>1</v>
      </c>
      <c r="K354" s="15">
        <f t="shared" si="7"/>
        <v>0.4357325995</v>
      </c>
      <c r="L354" s="10">
        <f t="shared" si="8"/>
        <v>0.434587913</v>
      </c>
      <c r="M354" s="10">
        <f>'Precinct Vote Data'!H1402</f>
        <v>0.4438976378</v>
      </c>
      <c r="N354" s="10">
        <f>'Precinct Vote Data'!H1403</f>
        <v>0.4257891202</v>
      </c>
      <c r="O354" s="10">
        <f>'Precinct Vote Data'!H1404</f>
        <v>0.4429416737</v>
      </c>
      <c r="U354" s="16">
        <f t="shared" si="9"/>
        <v>1.557151957</v>
      </c>
      <c r="V354" s="5" t="b">
        <f t="shared" si="10"/>
        <v>1</v>
      </c>
      <c r="W354" s="5">
        <f t="shared" si="11"/>
        <v>1.757045305</v>
      </c>
      <c r="X354" s="5">
        <f t="shared" si="12"/>
        <v>2.392528027</v>
      </c>
      <c r="Y354" s="5">
        <f t="shared" si="13"/>
        <v>1.557151957</v>
      </c>
      <c r="Z354" s="10">
        <f>MIN(1,MAX(0,(5.3914776420524+0.021102849201698*'Precinct Vote Data'!I1405*100+(-5.72594740176815)*1+0.927016741366831*(O354*100))/100))</f>
        <v>0.4046887709</v>
      </c>
      <c r="AA354" s="16">
        <f t="shared" si="14"/>
        <v>-1.432762252</v>
      </c>
      <c r="AB354" s="5" t="b">
        <f t="shared" si="15"/>
        <v>1</v>
      </c>
      <c r="AC354" s="5">
        <f t="shared" si="16"/>
        <v>1.432762252</v>
      </c>
    </row>
    <row r="355" ht="15.0" customHeight="1">
      <c r="A355" s="5" t="s">
        <v>327</v>
      </c>
      <c r="B355" s="5" t="s">
        <v>362</v>
      </c>
      <c r="C355" s="5" t="s">
        <v>187</v>
      </c>
      <c r="D355" s="10">
        <f t="shared" si="1"/>
        <v>0.4430284029</v>
      </c>
      <c r="E355" s="10">
        <f>'Precinct Vote Data'!H1409</f>
        <v>0.4269662921</v>
      </c>
      <c r="F355" s="16">
        <f t="shared" si="2"/>
        <v>1.606211076</v>
      </c>
      <c r="G355" s="10">
        <f t="shared" si="3"/>
        <v>0.4407582938</v>
      </c>
      <c r="H355" s="16">
        <f t="shared" si="4"/>
        <v>1.37920017</v>
      </c>
      <c r="I355" s="5" t="b">
        <f t="shared" si="5"/>
        <v>1</v>
      </c>
      <c r="J355" s="5" t="b">
        <f t="shared" si="6"/>
        <v>1</v>
      </c>
      <c r="K355" s="15">
        <f t="shared" si="7"/>
        <v>-0.2362116074</v>
      </c>
      <c r="L355" s="10">
        <f t="shared" si="8"/>
        <v>0.445286886</v>
      </c>
      <c r="M355" s="10">
        <f>'Precinct Vote Data'!H1406</f>
        <v>0.4459459459</v>
      </c>
      <c r="N355" s="10">
        <f>'Precinct Vote Data'!H1407</f>
        <v>0.4579439252</v>
      </c>
      <c r="O355" s="10">
        <f>'Precinct Vote Data'!H1408</f>
        <v>0.4407582938</v>
      </c>
      <c r="U355" s="16">
        <f t="shared" si="9"/>
        <v>1.832059388</v>
      </c>
      <c r="V355" s="5" t="b">
        <f t="shared" si="10"/>
        <v>1</v>
      </c>
      <c r="W355" s="5">
        <f t="shared" si="11"/>
        <v>1.606211076</v>
      </c>
      <c r="X355" s="5">
        <f t="shared" si="12"/>
        <v>1.37920017</v>
      </c>
      <c r="Y355" s="5">
        <f t="shared" si="13"/>
        <v>1.832059388</v>
      </c>
      <c r="Z355" s="10">
        <f>MIN(1,MAX(0,(5.3914776420524+0.021102849201698*'Precinct Vote Data'!I1409*100+(-5.72594740176815)*1+0.927016741366831*(O355*100))/100))</f>
        <v>0.4023313162</v>
      </c>
      <c r="AA355" s="16">
        <f t="shared" si="14"/>
        <v>-2.463497592</v>
      </c>
      <c r="AB355" s="5" t="b">
        <f t="shared" si="15"/>
        <v>1</v>
      </c>
      <c r="AC355" s="5">
        <f t="shared" si="16"/>
        <v>2.463497592</v>
      </c>
    </row>
    <row r="356" ht="15.0" customHeight="1">
      <c r="A356" s="5" t="s">
        <v>327</v>
      </c>
      <c r="B356" s="5" t="s">
        <v>362</v>
      </c>
      <c r="C356" s="5" t="s">
        <v>188</v>
      </c>
      <c r="D356" s="10">
        <f t="shared" si="1"/>
        <v>0.5120741734</v>
      </c>
      <c r="E356" s="10">
        <f>'Precinct Vote Data'!H1413</f>
        <v>0.5199161426</v>
      </c>
      <c r="F356" s="16">
        <f t="shared" si="2"/>
        <v>-0.7841969177</v>
      </c>
      <c r="G356" s="10">
        <f t="shared" si="3"/>
        <v>0.5225464191</v>
      </c>
      <c r="H356" s="16">
        <f t="shared" si="4"/>
        <v>0.263027654</v>
      </c>
      <c r="I356" s="5" t="b">
        <f t="shared" si="5"/>
        <v>1</v>
      </c>
      <c r="J356" s="5" t="b">
        <f t="shared" si="6"/>
        <v>1</v>
      </c>
      <c r="K356" s="15">
        <f t="shared" si="7"/>
        <v>0.6458426615</v>
      </c>
      <c r="L356" s="10">
        <f t="shared" si="8"/>
        <v>0.5101644788</v>
      </c>
      <c r="M356" s="10">
        <f>'Precinct Vote Data'!H1410</f>
        <v>0.5290780142</v>
      </c>
      <c r="N356" s="10">
        <f>'Precinct Vote Data'!H1411</f>
        <v>0.5041928721</v>
      </c>
      <c r="O356" s="10">
        <f>'Precinct Vote Data'!H1412</f>
        <v>0.5225464191</v>
      </c>
      <c r="U356" s="16">
        <f t="shared" si="9"/>
        <v>-0.9751663785</v>
      </c>
      <c r="V356" s="5" t="b">
        <f t="shared" si="10"/>
        <v>1</v>
      </c>
      <c r="W356" s="5">
        <f t="shared" si="11"/>
        <v>0.7841969177</v>
      </c>
      <c r="X356" s="5">
        <f t="shared" si="12"/>
        <v>0.263027654</v>
      </c>
      <c r="Y356" s="5">
        <f t="shared" si="13"/>
        <v>0.9751663785</v>
      </c>
      <c r="Z356" s="10">
        <f>MIN(1,MAX(0,(5.3914776420524+0.021102849201698*'Precinct Vote Data'!I1413*100+(-5.72594740176815)*1+0.927016741366831*(O356*100))/100))</f>
        <v>0.4819255773</v>
      </c>
      <c r="AA356" s="16">
        <f t="shared" si="14"/>
        <v>-3.799056526</v>
      </c>
      <c r="AB356" s="5" t="b">
        <f t="shared" si="15"/>
        <v>0</v>
      </c>
      <c r="AC356" s="5">
        <f t="shared" si="16"/>
        <v>3.799056526</v>
      </c>
    </row>
    <row r="357" ht="15.0" customHeight="1">
      <c r="A357" s="5" t="s">
        <v>327</v>
      </c>
      <c r="B357" s="5" t="s">
        <v>362</v>
      </c>
      <c r="C357" s="5" t="s">
        <v>363</v>
      </c>
      <c r="D357" s="10">
        <f t="shared" si="1"/>
        <v>0.5352336934</v>
      </c>
      <c r="E357" s="10">
        <f>'Precinct Vote Data'!H1417</f>
        <v>0.515195369</v>
      </c>
      <c r="F357" s="16">
        <f t="shared" si="2"/>
        <v>2.003832434</v>
      </c>
      <c r="G357" s="10">
        <f t="shared" si="3"/>
        <v>0.5439189189</v>
      </c>
      <c r="H357" s="16">
        <f t="shared" si="4"/>
        <v>2.872354989</v>
      </c>
      <c r="I357" s="5" t="b">
        <f t="shared" si="5"/>
        <v>1</v>
      </c>
      <c r="J357" s="5" t="b">
        <f t="shared" si="6"/>
        <v>1</v>
      </c>
      <c r="K357" s="15">
        <f t="shared" si="7"/>
        <v>0.7091256201</v>
      </c>
      <c r="L357" s="10">
        <f t="shared" si="8"/>
        <v>0.5303237329</v>
      </c>
      <c r="M357" s="10">
        <f>'Precinct Vote Data'!H1414</f>
        <v>0.537428023</v>
      </c>
      <c r="N357" s="10">
        <f>'Precinct Vote Data'!H1415</f>
        <v>0.5048814505</v>
      </c>
      <c r="O357" s="10">
        <f>'Precinct Vote Data'!H1416</f>
        <v>0.5439189189</v>
      </c>
      <c r="U357" s="16">
        <f t="shared" si="9"/>
        <v>1.512836389</v>
      </c>
      <c r="V357" s="5" t="b">
        <f t="shared" si="10"/>
        <v>1</v>
      </c>
      <c r="W357" s="5">
        <f t="shared" si="11"/>
        <v>2.003832434</v>
      </c>
      <c r="X357" s="5">
        <f t="shared" si="12"/>
        <v>2.872354989</v>
      </c>
      <c r="Y357" s="5">
        <f t="shared" si="13"/>
        <v>1.512836389</v>
      </c>
      <c r="Z357" s="10">
        <f>MIN(1,MAX(0,(5.3914776420524+0.021102849201698*'Precinct Vote Data'!I1417*100+(-5.72594740176815)*1+0.927016741366831*(O357*100))/100))</f>
        <v>0.5000816688</v>
      </c>
      <c r="AA357" s="16">
        <f t="shared" si="14"/>
        <v>-1.511370026</v>
      </c>
      <c r="AB357" s="5" t="b">
        <f t="shared" si="15"/>
        <v>1</v>
      </c>
      <c r="AC357" s="5">
        <f t="shared" si="16"/>
        <v>1.511370026</v>
      </c>
    </row>
    <row r="358" ht="15.0" customHeight="1">
      <c r="A358" s="5" t="s">
        <v>327</v>
      </c>
      <c r="B358" s="5" t="s">
        <v>362</v>
      </c>
      <c r="C358" s="5" t="s">
        <v>364</v>
      </c>
      <c r="D358" s="10">
        <f t="shared" si="1"/>
        <v>0.5473155799</v>
      </c>
      <c r="E358" s="10">
        <f>'Precinct Vote Data'!H1421</f>
        <v>0.5541082164</v>
      </c>
      <c r="F358" s="16">
        <f t="shared" si="2"/>
        <v>-0.6792636502</v>
      </c>
      <c r="G358" s="10">
        <f t="shared" si="3"/>
        <v>0.5619266055</v>
      </c>
      <c r="H358" s="16">
        <f t="shared" si="4"/>
        <v>0.7818389072</v>
      </c>
      <c r="I358" s="5" t="b">
        <f t="shared" si="5"/>
        <v>1</v>
      </c>
      <c r="J358" s="5" t="b">
        <f t="shared" si="6"/>
        <v>1</v>
      </c>
      <c r="K358" s="15">
        <f t="shared" si="7"/>
        <v>0.973962932</v>
      </c>
      <c r="L358" s="10">
        <f t="shared" si="8"/>
        <v>0.5432540222</v>
      </c>
      <c r="M358" s="10">
        <f>'Precinct Vote Data'!H1418</f>
        <v>0.5660377358</v>
      </c>
      <c r="N358" s="10">
        <f>'Precinct Vote Data'!H1419</f>
        <v>0.5263157895</v>
      </c>
      <c r="O358" s="10">
        <f>'Precinct Vote Data'!H1420</f>
        <v>0.5619266055</v>
      </c>
      <c r="U358" s="16">
        <f t="shared" si="9"/>
        <v>-1.085419424</v>
      </c>
      <c r="V358" s="5" t="b">
        <f t="shared" si="10"/>
        <v>1</v>
      </c>
      <c r="W358" s="5">
        <f t="shared" si="11"/>
        <v>0.6792636502</v>
      </c>
      <c r="X358" s="5">
        <f t="shared" si="12"/>
        <v>0.7818389072</v>
      </c>
      <c r="Y358" s="5">
        <f t="shared" si="13"/>
        <v>1.085419424</v>
      </c>
      <c r="Z358" s="10">
        <f>MIN(1,MAX(0,(5.3914776420524+0.021102849201698*'Precinct Vote Data'!I1421*100+(-5.72594740176815)*1+0.927016741366831*(O358*100))/100))</f>
        <v>0.5177838119</v>
      </c>
      <c r="AA358" s="16">
        <f t="shared" si="14"/>
        <v>-3.632440453</v>
      </c>
      <c r="AB358" s="5" t="b">
        <f t="shared" si="15"/>
        <v>1</v>
      </c>
      <c r="AC358" s="5">
        <f t="shared" si="16"/>
        <v>3.632440453</v>
      </c>
    </row>
    <row r="359" ht="15.0" customHeight="1">
      <c r="A359" s="5" t="s">
        <v>327</v>
      </c>
      <c r="B359" s="5" t="s">
        <v>362</v>
      </c>
      <c r="C359" s="5" t="s">
        <v>189</v>
      </c>
      <c r="D359" s="10">
        <f t="shared" si="1"/>
        <v>0.4084775933</v>
      </c>
      <c r="E359" s="10">
        <f>'Precinct Vote Data'!H1425</f>
        <v>0.4087759815</v>
      </c>
      <c r="F359" s="16">
        <f t="shared" si="2"/>
        <v>-0.02983882438</v>
      </c>
      <c r="G359" s="10">
        <f t="shared" si="3"/>
        <v>0.4341317365</v>
      </c>
      <c r="H359" s="16">
        <f t="shared" si="4"/>
        <v>2.5355755</v>
      </c>
      <c r="I359" s="5" t="b">
        <f t="shared" si="5"/>
        <v>1</v>
      </c>
      <c r="J359" s="5" t="b">
        <f t="shared" si="6"/>
        <v>1</v>
      </c>
      <c r="K359" s="15">
        <f t="shared" si="7"/>
        <v>1.553364747</v>
      </c>
      <c r="L359" s="10">
        <f t="shared" si="8"/>
        <v>0.4043510008</v>
      </c>
      <c r="M359" s="10">
        <f>'Precinct Vote Data'!H1422</f>
        <v>0.4521072797</v>
      </c>
      <c r="N359" s="10">
        <f>'Precinct Vote Data'!H1423</f>
        <v>0.3931203931</v>
      </c>
      <c r="O359" s="10">
        <f>'Precinct Vote Data'!H1424</f>
        <v>0.4341317365</v>
      </c>
      <c r="U359" s="16">
        <f t="shared" si="9"/>
        <v>-0.4424980686</v>
      </c>
      <c r="V359" s="5" t="b">
        <f t="shared" si="10"/>
        <v>1</v>
      </c>
      <c r="W359" s="5">
        <f t="shared" si="11"/>
        <v>0.02983882438</v>
      </c>
      <c r="X359" s="5">
        <f t="shared" si="12"/>
        <v>2.5355755</v>
      </c>
      <c r="Y359" s="5">
        <f t="shared" si="13"/>
        <v>0.4424980686</v>
      </c>
      <c r="Z359" s="10">
        <f>MIN(1,MAX(0,(5.3914776420524+0.021102849201698*'Precinct Vote Data'!I1425*100+(-5.72594740176815)*1+0.927016741366831*(O359*100))/100))</f>
        <v>0.3973237199</v>
      </c>
      <c r="AA359" s="16">
        <f t="shared" si="14"/>
        <v>-1.145226159</v>
      </c>
      <c r="AB359" s="5" t="b">
        <f t="shared" si="15"/>
        <v>1</v>
      </c>
      <c r="AC359" s="5">
        <f t="shared" si="16"/>
        <v>1.145226159</v>
      </c>
    </row>
    <row r="360" ht="15.0" customHeight="1">
      <c r="A360" s="5" t="s">
        <v>327</v>
      </c>
      <c r="B360" s="5" t="s">
        <v>362</v>
      </c>
      <c r="C360" s="5" t="s">
        <v>191</v>
      </c>
      <c r="D360" s="10">
        <f t="shared" si="1"/>
        <v>0.4134856934</v>
      </c>
      <c r="E360" s="10">
        <f>'Precinct Vote Data'!H1429</f>
        <v>0.4167487685</v>
      </c>
      <c r="F360" s="16">
        <f t="shared" si="2"/>
        <v>-0.3263075025</v>
      </c>
      <c r="G360" s="10">
        <f t="shared" si="3"/>
        <v>0.4242424242</v>
      </c>
      <c r="H360" s="16">
        <f t="shared" si="4"/>
        <v>0.749365577</v>
      </c>
      <c r="I360" s="5" t="b">
        <f t="shared" si="5"/>
        <v>1</v>
      </c>
      <c r="J360" s="5" t="b">
        <f t="shared" si="6"/>
        <v>1</v>
      </c>
      <c r="K360" s="15">
        <f t="shared" si="7"/>
        <v>0.6066421137</v>
      </c>
      <c r="L360" s="10">
        <f t="shared" si="8"/>
        <v>0.4126120274</v>
      </c>
      <c r="M360" s="10">
        <f>'Precinct Vote Data'!H1426</f>
        <v>0.4348462665</v>
      </c>
      <c r="N360" s="10">
        <f>'Precinct Vote Data'!H1427</f>
        <v>0.4131799163</v>
      </c>
      <c r="O360" s="10">
        <f>'Precinct Vote Data'!H1428</f>
        <v>0.4242424242</v>
      </c>
      <c r="U360" s="16">
        <f t="shared" si="9"/>
        <v>-0.4136741073</v>
      </c>
      <c r="V360" s="5" t="b">
        <f t="shared" si="10"/>
        <v>1</v>
      </c>
      <c r="W360" s="5">
        <f t="shared" si="11"/>
        <v>0.3263075025</v>
      </c>
      <c r="X360" s="5">
        <f t="shared" si="12"/>
        <v>0.749365577</v>
      </c>
      <c r="Y360" s="5">
        <f t="shared" si="13"/>
        <v>0.4136741073</v>
      </c>
      <c r="Z360" s="10">
        <f>MIN(1,MAX(0,(5.3914776420524+0.021102849201698*'Precinct Vote Data'!I1429*100+(-5.72594740176815)*1+0.927016741366831*(O360*100))/100))</f>
        <v>0.3867844767</v>
      </c>
      <c r="AA360" s="16">
        <f t="shared" si="14"/>
        <v>-2.996429179</v>
      </c>
      <c r="AB360" s="5" t="b">
        <f t="shared" si="15"/>
        <v>1</v>
      </c>
      <c r="AC360" s="5">
        <f t="shared" si="16"/>
        <v>2.996429179</v>
      </c>
    </row>
    <row r="361" ht="15.0" customHeight="1">
      <c r="A361" s="5" t="s">
        <v>327</v>
      </c>
      <c r="B361" s="5" t="s">
        <v>365</v>
      </c>
      <c r="C361" s="5" t="s">
        <v>193</v>
      </c>
      <c r="D361" s="10">
        <f t="shared" si="1"/>
        <v>0.3308351168</v>
      </c>
      <c r="E361" s="10">
        <f>'Precinct Vote Data'!H1433</f>
        <v>0.3486786019</v>
      </c>
      <c r="F361" s="16">
        <f t="shared" si="2"/>
        <v>-1.784348511</v>
      </c>
      <c r="G361" s="10">
        <f t="shared" si="3"/>
        <v>0.3489861259</v>
      </c>
      <c r="H361" s="16">
        <f t="shared" si="4"/>
        <v>0.03075240583</v>
      </c>
      <c r="I361" s="5" t="b">
        <f t="shared" si="5"/>
        <v>1</v>
      </c>
      <c r="J361" s="5" t="b">
        <f t="shared" si="6"/>
        <v>1</v>
      </c>
      <c r="K361" s="15">
        <f t="shared" si="7"/>
        <v>0.9053373235</v>
      </c>
      <c r="L361" s="10">
        <f t="shared" si="8"/>
        <v>0.3316292163</v>
      </c>
      <c r="M361" s="10">
        <f>'Precinct Vote Data'!H1430</f>
        <v>0.375</v>
      </c>
      <c r="N361" s="10">
        <f>'Precinct Vote Data'!H1431</f>
        <v>0.3465608466</v>
      </c>
      <c r="O361" s="10">
        <f>'Precinct Vote Data'!H1432</f>
        <v>0.3489861259</v>
      </c>
      <c r="U361" s="16">
        <f t="shared" si="9"/>
        <v>-1.704938558</v>
      </c>
      <c r="V361" s="5" t="b">
        <f t="shared" si="10"/>
        <v>1</v>
      </c>
      <c r="W361" s="5">
        <f t="shared" si="11"/>
        <v>1.784348511</v>
      </c>
      <c r="X361" s="5">
        <f t="shared" si="12"/>
        <v>0.03075240583</v>
      </c>
      <c r="Y361" s="5">
        <f t="shared" si="13"/>
        <v>1.704938558</v>
      </c>
      <c r="Z361" s="10">
        <f>MIN(1,MAX(0,(5.3914776420524+0.021102849201698*'Precinct Vote Data'!I1433*100+(-5.72594740176815)*1+0.927016741366831*(O361*100))/100))</f>
        <v>0.3143025813</v>
      </c>
      <c r="AA361" s="16">
        <f t="shared" si="14"/>
        <v>-3.437602059</v>
      </c>
      <c r="AB361" s="5" t="b">
        <f t="shared" si="15"/>
        <v>1</v>
      </c>
      <c r="AC361" s="5">
        <f t="shared" si="16"/>
        <v>3.437602059</v>
      </c>
    </row>
    <row r="362" ht="15.0" customHeight="1">
      <c r="A362" s="5" t="s">
        <v>327</v>
      </c>
      <c r="B362" s="5" t="s">
        <v>365</v>
      </c>
      <c r="C362" s="5" t="s">
        <v>195</v>
      </c>
      <c r="D362" s="10">
        <f t="shared" si="1"/>
        <v>0.334533276</v>
      </c>
      <c r="E362" s="10">
        <f>'Precinct Vote Data'!H1437</f>
        <v>0.3379513014</v>
      </c>
      <c r="F362" s="16">
        <f t="shared" si="2"/>
        <v>-0.3418025463</v>
      </c>
      <c r="G362" s="10">
        <f t="shared" si="3"/>
        <v>0.3556280587</v>
      </c>
      <c r="H362" s="16">
        <f t="shared" si="4"/>
        <v>1.76767573</v>
      </c>
      <c r="I362" s="5" t="b">
        <f t="shared" si="5"/>
        <v>1</v>
      </c>
      <c r="J362" s="5" t="b">
        <f t="shared" si="6"/>
        <v>1</v>
      </c>
      <c r="K362" s="15">
        <f t="shared" si="7"/>
        <v>1.105571034</v>
      </c>
      <c r="L362" s="10">
        <f t="shared" si="8"/>
        <v>0.3344323165</v>
      </c>
      <c r="M362" s="10">
        <f>'Precinct Vote Data'!H1434</f>
        <v>0.3821954485</v>
      </c>
      <c r="N362" s="10">
        <f>'Precinct Vote Data'!H1435</f>
        <v>0.3454784899</v>
      </c>
      <c r="O362" s="10">
        <f>'Precinct Vote Data'!H1436</f>
        <v>0.3556280587</v>
      </c>
      <c r="U362" s="16">
        <f t="shared" si="9"/>
        <v>-0.3518984915</v>
      </c>
      <c r="V362" s="5" t="b">
        <f t="shared" si="10"/>
        <v>1</v>
      </c>
      <c r="W362" s="5">
        <f t="shared" si="11"/>
        <v>0.3418025463</v>
      </c>
      <c r="X362" s="5">
        <f t="shared" si="12"/>
        <v>1.76767573</v>
      </c>
      <c r="Y362" s="5">
        <f t="shared" si="13"/>
        <v>0.3518984915</v>
      </c>
      <c r="Z362" s="10">
        <f>MIN(1,MAX(0,(5.3914776420524+0.021102849201698*'Precinct Vote Data'!I1437*100+(-5.72594740176815)*1+0.927016741366831*(O362*100))/100))</f>
        <v>0.3213524147</v>
      </c>
      <c r="AA362" s="16">
        <f t="shared" si="14"/>
        <v>-1.659888673</v>
      </c>
      <c r="AB362" s="5" t="b">
        <f t="shared" si="15"/>
        <v>1</v>
      </c>
      <c r="AC362" s="5">
        <f t="shared" si="16"/>
        <v>1.659888673</v>
      </c>
    </row>
    <row r="363" ht="15.0" customHeight="1">
      <c r="A363" s="5" t="s">
        <v>327</v>
      </c>
      <c r="B363" s="5" t="s">
        <v>365</v>
      </c>
      <c r="C363" s="5" t="s">
        <v>196</v>
      </c>
      <c r="D363" s="10">
        <f t="shared" si="1"/>
        <v>0.3287111205</v>
      </c>
      <c r="E363" s="10">
        <f>'Precinct Vote Data'!H1441</f>
        <v>0.3169177289</v>
      </c>
      <c r="F363" s="16">
        <f t="shared" si="2"/>
        <v>1.179339164</v>
      </c>
      <c r="G363" s="10">
        <f t="shared" si="3"/>
        <v>0.3355605048</v>
      </c>
      <c r="H363" s="16">
        <f t="shared" si="4"/>
        <v>1.864277597</v>
      </c>
      <c r="I363" s="5" t="b">
        <f t="shared" si="5"/>
        <v>1</v>
      </c>
      <c r="J363" s="5" t="b">
        <f t="shared" si="6"/>
        <v>1</v>
      </c>
      <c r="K363" s="15">
        <f t="shared" si="7"/>
        <v>0.5563741866</v>
      </c>
      <c r="L363" s="10">
        <f t="shared" si="8"/>
        <v>0.3248938326</v>
      </c>
      <c r="M363" s="10">
        <f>'Precinct Vote Data'!H1438</f>
        <v>0.3306379155</v>
      </c>
      <c r="N363" s="10">
        <f>'Precinct Vote Data'!H1439</f>
        <v>0.3051671733</v>
      </c>
      <c r="O363" s="10">
        <f>'Precinct Vote Data'!H1440</f>
        <v>0.3355605048</v>
      </c>
      <c r="U363" s="16">
        <f t="shared" si="9"/>
        <v>0.7976103751</v>
      </c>
      <c r="V363" s="5" t="b">
        <f t="shared" si="10"/>
        <v>1</v>
      </c>
      <c r="W363" s="5">
        <f t="shared" si="11"/>
        <v>1.179339164</v>
      </c>
      <c r="X363" s="5">
        <f t="shared" si="12"/>
        <v>1.864277597</v>
      </c>
      <c r="Y363" s="5">
        <f t="shared" si="13"/>
        <v>0.7976103751</v>
      </c>
      <c r="Z363" s="10">
        <f>MIN(1,MAX(0,(5.3914776420524+0.021102849201698*'Precinct Vote Data'!I1441*100+(-5.72594740176815)*1+0.927016741366831*(O363*100))/100))</f>
        <v>0.3017111961</v>
      </c>
      <c r="AA363" s="16">
        <f t="shared" si="14"/>
        <v>-1.520653276</v>
      </c>
      <c r="AB363" s="5" t="b">
        <f t="shared" si="15"/>
        <v>1</v>
      </c>
      <c r="AC363" s="5">
        <f t="shared" si="16"/>
        <v>1.520653276</v>
      </c>
    </row>
    <row r="364" ht="15.0" customHeight="1">
      <c r="A364" s="5" t="s">
        <v>327</v>
      </c>
      <c r="B364" s="5" t="s">
        <v>365</v>
      </c>
      <c r="C364" s="5" t="s">
        <v>197</v>
      </c>
      <c r="D364" s="10">
        <f t="shared" si="1"/>
        <v>0.3751383381</v>
      </c>
      <c r="E364" s="10">
        <f>'Precinct Vote Data'!H1445</f>
        <v>0.3132992327</v>
      </c>
      <c r="F364" s="16">
        <f t="shared" si="2"/>
        <v>6.183910534</v>
      </c>
      <c r="G364" s="10">
        <f t="shared" si="3"/>
        <v>0.3624801272</v>
      </c>
      <c r="H364" s="16">
        <f t="shared" si="4"/>
        <v>4.918089445</v>
      </c>
      <c r="I364" s="5" t="b">
        <f t="shared" si="5"/>
        <v>1</v>
      </c>
      <c r="J364" s="5" t="b">
        <f t="shared" si="6"/>
        <v>1</v>
      </c>
      <c r="K364" s="15">
        <f t="shared" si="7"/>
        <v>-0.3600228273</v>
      </c>
      <c r="L364" s="10">
        <f t="shared" si="8"/>
        <v>0.3693823983</v>
      </c>
      <c r="M364" s="10">
        <f>'Precinct Vote Data'!H1442</f>
        <v>0.3257142857</v>
      </c>
      <c r="N364" s="10">
        <f>'Precinct Vote Data'!H1443</f>
        <v>0.3269230769</v>
      </c>
      <c r="O364" s="10">
        <f>'Precinct Vote Data'!H1444</f>
        <v>0.3624801272</v>
      </c>
      <c r="U364" s="16">
        <f t="shared" si="9"/>
        <v>5.608316559</v>
      </c>
      <c r="V364" s="5" t="b">
        <f t="shared" si="10"/>
        <v>1</v>
      </c>
      <c r="W364" s="5">
        <f t="shared" si="11"/>
        <v>6.183910534</v>
      </c>
      <c r="X364" s="5">
        <f t="shared" si="12"/>
        <v>4.918089445</v>
      </c>
      <c r="Y364" s="5">
        <f t="shared" si="13"/>
        <v>5.608316559</v>
      </c>
      <c r="Z364" s="10">
        <f>MIN(1,MAX(0,(5.3914776420524+0.021102849201698*'Precinct Vote Data'!I1445*100+(-5.72594740176815)*1+0.927016741366831*(O364*100))/100))</f>
        <v>0.3265606224</v>
      </c>
      <c r="AA364" s="16">
        <f t="shared" si="14"/>
        <v>1.326138971</v>
      </c>
      <c r="AB364" s="5" t="b">
        <f t="shared" si="15"/>
        <v>1</v>
      </c>
      <c r="AC364" s="5">
        <f t="shared" si="16"/>
        <v>1.326138971</v>
      </c>
    </row>
    <row r="365" ht="15.0" customHeight="1">
      <c r="A365" s="5" t="s">
        <v>327</v>
      </c>
      <c r="B365" s="5" t="s">
        <v>366</v>
      </c>
      <c r="C365" s="5" t="s">
        <v>198</v>
      </c>
      <c r="D365" s="10">
        <f t="shared" si="1"/>
        <v>0.496034575</v>
      </c>
      <c r="E365" s="10">
        <f>'Precinct Vote Data'!H1449</f>
        <v>0.4983416252</v>
      </c>
      <c r="F365" s="16">
        <f t="shared" si="2"/>
        <v>-0.2307050226</v>
      </c>
      <c r="G365" s="10">
        <f t="shared" si="3"/>
        <v>0.500524659</v>
      </c>
      <c r="H365" s="16">
        <f t="shared" si="4"/>
        <v>0.2183033764</v>
      </c>
      <c r="I365" s="5" t="b">
        <f t="shared" si="5"/>
        <v>1</v>
      </c>
      <c r="J365" s="5" t="b">
        <f t="shared" si="6"/>
        <v>0</v>
      </c>
      <c r="K365" s="15">
        <f t="shared" si="7"/>
        <v>0.3253573143</v>
      </c>
      <c r="L365" s="10">
        <f t="shared" si="8"/>
        <v>0.4942869867</v>
      </c>
      <c r="M365" s="10">
        <f>'Precinct Vote Data'!H1446</f>
        <v>0.5</v>
      </c>
      <c r="N365" s="10">
        <f>'Precinct Vote Data'!H1447</f>
        <v>0.4860050891</v>
      </c>
      <c r="O365" s="10">
        <f>'Precinct Vote Data'!H1448</f>
        <v>0.500524659</v>
      </c>
      <c r="U365" s="16">
        <f t="shared" si="9"/>
        <v>-0.405463849</v>
      </c>
      <c r="V365" s="5" t="b">
        <f t="shared" si="10"/>
        <v>1</v>
      </c>
      <c r="W365" s="5">
        <f t="shared" si="11"/>
        <v>0.2307050226</v>
      </c>
      <c r="X365" s="5">
        <f t="shared" si="12"/>
        <v>0.2183033764</v>
      </c>
      <c r="Y365" s="5">
        <f t="shared" si="13"/>
        <v>0.405463849</v>
      </c>
      <c r="Z365" s="10">
        <f>MIN(1,MAX(0,(5.3914776420524+0.021102849201698*'Precinct Vote Data'!I1449*100+(-5.72594740176815)*1+0.927016741366831*(O365*100))/100))</f>
        <v>0.4592192676</v>
      </c>
      <c r="AA365" s="16">
        <f t="shared" si="14"/>
        <v>-3.912235765</v>
      </c>
      <c r="AB365" s="5" t="b">
        <f t="shared" si="15"/>
        <v>1</v>
      </c>
      <c r="AC365" s="5">
        <f t="shared" si="16"/>
        <v>3.912235765</v>
      </c>
    </row>
    <row r="366" ht="15.0" customHeight="1">
      <c r="A366" s="5" t="s">
        <v>327</v>
      </c>
      <c r="B366" s="5" t="s">
        <v>366</v>
      </c>
      <c r="C366" s="5" t="s">
        <v>199</v>
      </c>
      <c r="D366" s="10">
        <f t="shared" si="1"/>
        <v>0.5246145936</v>
      </c>
      <c r="E366" s="10">
        <f>'Precinct Vote Data'!H1453</f>
        <v>0.4910798122</v>
      </c>
      <c r="F366" s="16">
        <f t="shared" si="2"/>
        <v>3.353478141</v>
      </c>
      <c r="G366" s="10">
        <f t="shared" si="3"/>
        <v>0.5501285347</v>
      </c>
      <c r="H366" s="16">
        <f t="shared" si="4"/>
        <v>5.90487225</v>
      </c>
      <c r="I366" s="5" t="b">
        <f t="shared" si="5"/>
        <v>0</v>
      </c>
      <c r="J366" s="5" t="b">
        <f t="shared" si="6"/>
        <v>0</v>
      </c>
      <c r="K366" s="15">
        <f t="shared" si="7"/>
        <v>1.689644186</v>
      </c>
      <c r="L366" s="10">
        <f t="shared" si="8"/>
        <v>0.5177350823</v>
      </c>
      <c r="M366" s="10">
        <f>'Precinct Vote Data'!H1450</f>
        <v>0.5580693816</v>
      </c>
      <c r="N366" s="10">
        <f>'Precinct Vote Data'!H1451</f>
        <v>0.4894684052</v>
      </c>
      <c r="O366" s="10">
        <f>'Precinct Vote Data'!H1452</f>
        <v>0.5501285347</v>
      </c>
      <c r="U366" s="16">
        <f t="shared" si="9"/>
        <v>2.665527014</v>
      </c>
      <c r="V366" s="5" t="b">
        <f t="shared" si="10"/>
        <v>0</v>
      </c>
      <c r="W366" s="5">
        <f t="shared" si="11"/>
        <v>3.353478141</v>
      </c>
      <c r="X366" s="5">
        <f t="shared" si="12"/>
        <v>5.90487225</v>
      </c>
      <c r="Y366" s="5">
        <f t="shared" si="13"/>
        <v>2.665527014</v>
      </c>
      <c r="Z366" s="10">
        <f>MIN(1,MAX(0,(5.3914776420524+0.021102849201698*'Precinct Vote Data'!I1453*100+(-5.72594740176815)*1+0.927016741366831*(O366*100))/100))</f>
        <v>0.5069502067</v>
      </c>
      <c r="AA366" s="16">
        <f t="shared" si="14"/>
        <v>1.587039451</v>
      </c>
      <c r="AB366" s="5" t="b">
        <f t="shared" si="15"/>
        <v>0</v>
      </c>
      <c r="AC366" s="5">
        <f t="shared" si="16"/>
        <v>1.587039451</v>
      </c>
    </row>
    <row r="367" ht="15.0" customHeight="1">
      <c r="A367" s="5" t="s">
        <v>327</v>
      </c>
      <c r="B367" s="5" t="s">
        <v>366</v>
      </c>
      <c r="C367" s="5" t="s">
        <v>200</v>
      </c>
      <c r="D367" s="10">
        <f t="shared" si="1"/>
        <v>0.4612386294</v>
      </c>
      <c r="E367" s="10">
        <f>'Precinct Vote Data'!H1457</f>
        <v>0.4772497472</v>
      </c>
      <c r="F367" s="16">
        <f t="shared" si="2"/>
        <v>-1.601111781</v>
      </c>
      <c r="G367" s="10">
        <f t="shared" si="3"/>
        <v>0.5034293553</v>
      </c>
      <c r="H367" s="16">
        <f t="shared" si="4"/>
        <v>2.617960806</v>
      </c>
      <c r="I367" s="5" t="b">
        <f t="shared" si="5"/>
        <v>1</v>
      </c>
      <c r="J367" s="5" t="b">
        <f t="shared" si="6"/>
        <v>0</v>
      </c>
      <c r="K367" s="15">
        <f t="shared" si="7"/>
        <v>2.409578145</v>
      </c>
      <c r="L367" s="10">
        <f t="shared" si="8"/>
        <v>0.4572335021</v>
      </c>
      <c r="M367" s="10">
        <f>'Precinct Vote Data'!H1454</f>
        <v>0.5429497569</v>
      </c>
      <c r="N367" s="10">
        <f>'Precinct Vote Data'!H1455</f>
        <v>0.4558979809</v>
      </c>
      <c r="O367" s="10">
        <f>'Precinct Vote Data'!H1456</f>
        <v>0.5034293553</v>
      </c>
      <c r="U367" s="16">
        <f t="shared" si="9"/>
        <v>-2.001624517</v>
      </c>
      <c r="V367" s="5" t="b">
        <f t="shared" si="10"/>
        <v>1</v>
      </c>
      <c r="W367" s="5">
        <f t="shared" si="11"/>
        <v>1.601111781</v>
      </c>
      <c r="X367" s="5">
        <f t="shared" si="12"/>
        <v>2.617960806</v>
      </c>
      <c r="Y367" s="5">
        <f t="shared" si="13"/>
        <v>2.001624517</v>
      </c>
      <c r="Z367" s="10">
        <f>MIN(1,MAX(0,(5.3914776420524+0.021102849201698*'Precinct Vote Data'!I1457*100+(-5.72594740176815)*1+0.927016741366831*(O367*100))/100))</f>
        <v>0.4639104095</v>
      </c>
      <c r="AA367" s="16">
        <f t="shared" si="14"/>
        <v>-1.333933773</v>
      </c>
      <c r="AB367" s="5" t="b">
        <f t="shared" si="15"/>
        <v>1</v>
      </c>
      <c r="AC367" s="5">
        <f t="shared" si="16"/>
        <v>1.333933773</v>
      </c>
    </row>
    <row r="368" ht="15.0" customHeight="1">
      <c r="A368" s="5" t="s">
        <v>327</v>
      </c>
      <c r="B368" s="5" t="s">
        <v>367</v>
      </c>
      <c r="C368" s="5" t="s">
        <v>206</v>
      </c>
      <c r="D368" s="10">
        <f t="shared" si="1"/>
        <v>0.4245641003</v>
      </c>
      <c r="E368" s="10">
        <f>'Precinct Vote Data'!H1461</f>
        <v>0.4457831325</v>
      </c>
      <c r="F368" s="16">
        <f t="shared" si="2"/>
        <v>-2.121903225</v>
      </c>
      <c r="G368" s="10">
        <f t="shared" si="3"/>
        <v>0.4640883978</v>
      </c>
      <c r="H368" s="16">
        <f t="shared" si="4"/>
        <v>1.830526526</v>
      </c>
      <c r="I368" s="5" t="b">
        <f t="shared" si="5"/>
        <v>1</v>
      </c>
      <c r="J368" s="5" t="b">
        <f t="shared" si="6"/>
        <v>1</v>
      </c>
      <c r="K368" s="15">
        <f t="shared" si="7"/>
        <v>2.273482871</v>
      </c>
      <c r="L368" s="10">
        <f t="shared" si="8"/>
        <v>0.4205017304</v>
      </c>
      <c r="M368" s="10">
        <f>'Precinct Vote Data'!H1458</f>
        <v>0.5</v>
      </c>
      <c r="N368" s="10">
        <f>'Precinct Vote Data'!H1459</f>
        <v>0.4173387097</v>
      </c>
      <c r="O368" s="10">
        <f>'Precinct Vote Data'!H1460</f>
        <v>0.4640883978</v>
      </c>
      <c r="U368" s="16">
        <f t="shared" si="9"/>
        <v>-2.528140208</v>
      </c>
      <c r="V368" s="5" t="b">
        <f t="shared" si="10"/>
        <v>1</v>
      </c>
      <c r="W368" s="5">
        <f t="shared" si="11"/>
        <v>2.121903225</v>
      </c>
      <c r="X368" s="5">
        <f t="shared" si="12"/>
        <v>1.830526526</v>
      </c>
      <c r="Y368" s="5">
        <f t="shared" si="13"/>
        <v>2.528140208</v>
      </c>
      <c r="Z368" s="10">
        <f>MIN(1,MAX(0,(5.3914776420524+0.021102849201698*'Precinct Vote Data'!I1461*100+(-5.72594740176815)*1+0.927016741366831*(O368*100))/100))</f>
        <v>0.4278521888</v>
      </c>
      <c r="AA368" s="16">
        <f t="shared" si="14"/>
        <v>-1.79309437</v>
      </c>
      <c r="AB368" s="5" t="b">
        <f t="shared" si="15"/>
        <v>1</v>
      </c>
      <c r="AC368" s="5">
        <f t="shared" si="16"/>
        <v>1.79309437</v>
      </c>
    </row>
    <row r="369" ht="15.0" customHeight="1">
      <c r="A369" s="5" t="s">
        <v>327</v>
      </c>
      <c r="B369" s="5" t="s">
        <v>367</v>
      </c>
      <c r="C369" s="5" t="s">
        <v>208</v>
      </c>
      <c r="D369" s="10">
        <f t="shared" si="1"/>
        <v>0.5150267067</v>
      </c>
      <c r="E369" s="10">
        <f>'Precinct Vote Data'!H1465</f>
        <v>0.5048465267</v>
      </c>
      <c r="F369" s="16">
        <f t="shared" si="2"/>
        <v>1.018018007</v>
      </c>
      <c r="G369" s="10">
        <f t="shared" si="3"/>
        <v>0.519650655</v>
      </c>
      <c r="H369" s="16">
        <f t="shared" si="4"/>
        <v>1.480412837</v>
      </c>
      <c r="I369" s="5" t="b">
        <f t="shared" si="5"/>
        <v>1</v>
      </c>
      <c r="J369" s="5" t="b">
        <f t="shared" si="6"/>
        <v>1</v>
      </c>
      <c r="K369" s="15">
        <f t="shared" si="7"/>
        <v>0.470646884</v>
      </c>
      <c r="L369" s="10">
        <f t="shared" si="8"/>
        <v>0.510627526</v>
      </c>
      <c r="M369" s="10">
        <f>'Precinct Vote Data'!H1462</f>
        <v>0.5098039216</v>
      </c>
      <c r="N369" s="10">
        <f>'Precinct Vote Data'!H1463</f>
        <v>0.4860853432</v>
      </c>
      <c r="O369" s="10">
        <f>'Precinct Vote Data'!H1464</f>
        <v>0.519650655</v>
      </c>
      <c r="U369" s="16">
        <f t="shared" si="9"/>
        <v>0.5780999392</v>
      </c>
      <c r="V369" s="5" t="b">
        <f t="shared" si="10"/>
        <v>1</v>
      </c>
      <c r="W369" s="5">
        <f t="shared" si="11"/>
        <v>1.018018007</v>
      </c>
      <c r="X369" s="5">
        <f t="shared" si="12"/>
        <v>1.480412837</v>
      </c>
      <c r="Y369" s="5">
        <f t="shared" si="13"/>
        <v>0.5780999392</v>
      </c>
      <c r="Z369" s="10">
        <f>MIN(1,MAX(0,(5.3914776420524+0.021102849201698*'Precinct Vote Data'!I1465*100+(-5.72594740176815)*1+0.927016741366831*(O369*100))/100))</f>
        <v>0.4793297875</v>
      </c>
      <c r="AA369" s="16">
        <f t="shared" si="14"/>
        <v>-2.551673917</v>
      </c>
      <c r="AB369" s="5" t="b">
        <f t="shared" si="15"/>
        <v>0</v>
      </c>
      <c r="AC369" s="5">
        <f t="shared" si="16"/>
        <v>2.551673917</v>
      </c>
    </row>
    <row r="370" ht="15.0" customHeight="1">
      <c r="A370" s="5" t="s">
        <v>327</v>
      </c>
      <c r="B370" s="5" t="s">
        <v>368</v>
      </c>
      <c r="C370" s="5" t="s">
        <v>210</v>
      </c>
      <c r="D370" s="10">
        <f t="shared" si="1"/>
        <v>0.4818211243</v>
      </c>
      <c r="E370" s="10">
        <f>'Precinct Vote Data'!H1469</f>
        <v>0.4662212324</v>
      </c>
      <c r="F370" s="16">
        <f t="shared" si="2"/>
        <v>1.559989192</v>
      </c>
      <c r="G370" s="10">
        <f t="shared" si="3"/>
        <v>0.4931937173</v>
      </c>
      <c r="H370" s="16">
        <f t="shared" si="4"/>
        <v>2.697248491</v>
      </c>
      <c r="I370" s="5" t="b">
        <f t="shared" si="5"/>
        <v>1</v>
      </c>
      <c r="J370" s="5" t="b">
        <f t="shared" si="6"/>
        <v>1</v>
      </c>
      <c r="K370" s="15">
        <f t="shared" si="7"/>
        <v>0.8469991334</v>
      </c>
      <c r="L370" s="10">
        <f t="shared" si="8"/>
        <v>0.4769552534</v>
      </c>
      <c r="M370" s="10">
        <f>'Precinct Vote Data'!H1466</f>
        <v>0.4902912621</v>
      </c>
      <c r="N370" s="10">
        <f>'Precinct Vote Data'!H1467</f>
        <v>0.453271028</v>
      </c>
      <c r="O370" s="10">
        <f>'Precinct Vote Data'!H1468</f>
        <v>0.4931937173</v>
      </c>
      <c r="U370" s="16">
        <f t="shared" si="9"/>
        <v>1.073402104</v>
      </c>
      <c r="V370" s="5" t="b">
        <f t="shared" si="10"/>
        <v>1</v>
      </c>
      <c r="W370" s="5">
        <f t="shared" si="11"/>
        <v>1.559989192</v>
      </c>
      <c r="X370" s="5">
        <f t="shared" si="12"/>
        <v>2.697248491</v>
      </c>
      <c r="Y370" s="5">
        <f t="shared" si="13"/>
        <v>1.073402104</v>
      </c>
      <c r="Z370" s="10">
        <f>MIN(1,MAX(0,(5.3914776420524+0.021102849201698*'Precinct Vote Data'!I1469*100+(-5.72594740176815)*1+0.927016741366831*(O370*100))/100))</f>
        <v>0.4536367757</v>
      </c>
      <c r="AA370" s="16">
        <f t="shared" si="14"/>
        <v>-1.258445666</v>
      </c>
      <c r="AB370" s="5" t="b">
        <f t="shared" si="15"/>
        <v>1</v>
      </c>
      <c r="AC370" s="5">
        <f t="shared" si="16"/>
        <v>1.258445666</v>
      </c>
    </row>
    <row r="371" ht="15.0" customHeight="1">
      <c r="A371" s="5" t="s">
        <v>327</v>
      </c>
      <c r="B371" s="5" t="s">
        <v>368</v>
      </c>
      <c r="C371" s="5" t="s">
        <v>211</v>
      </c>
      <c r="D371" s="10">
        <f t="shared" si="1"/>
        <v>0.4789287106</v>
      </c>
      <c r="E371" s="10">
        <f>'Precinct Vote Data'!H1473</f>
        <v>0.4835526316</v>
      </c>
      <c r="F371" s="16">
        <f t="shared" si="2"/>
        <v>-0.4623921</v>
      </c>
      <c r="G371" s="10">
        <f t="shared" si="3"/>
        <v>0.5071942446</v>
      </c>
      <c r="H371" s="16">
        <f t="shared" si="4"/>
        <v>2.364161303</v>
      </c>
      <c r="I371" s="5" t="b">
        <f t="shared" si="5"/>
        <v>1</v>
      </c>
      <c r="J371" s="5" t="b">
        <f t="shared" si="6"/>
        <v>0</v>
      </c>
      <c r="K371" s="15">
        <f t="shared" si="7"/>
        <v>1.76701148</v>
      </c>
      <c r="L371" s="10">
        <f t="shared" si="8"/>
        <v>0.4733175251</v>
      </c>
      <c r="M371" s="10">
        <f>'Precinct Vote Data'!H1470</f>
        <v>0.5231884058</v>
      </c>
      <c r="N371" s="10">
        <f>'Precinct Vote Data'!H1471</f>
        <v>0.4543859649</v>
      </c>
      <c r="O371" s="10">
        <f>'Precinct Vote Data'!H1472</f>
        <v>0.5071942446</v>
      </c>
      <c r="U371" s="16">
        <f t="shared" si="9"/>
        <v>-1.023510651</v>
      </c>
      <c r="V371" s="5" t="b">
        <f t="shared" si="10"/>
        <v>1</v>
      </c>
      <c r="W371" s="5">
        <f t="shared" si="11"/>
        <v>0.4623921</v>
      </c>
      <c r="X371" s="5">
        <f t="shared" si="12"/>
        <v>2.364161303</v>
      </c>
      <c r="Y371" s="5">
        <f t="shared" si="13"/>
        <v>1.023510651</v>
      </c>
      <c r="Z371" s="10">
        <f>MIN(1,MAX(0,(5.3914776420524+0.021102849201698*'Precinct Vote Data'!I1473*100+(-5.72594740176815)*1+0.927016741366831*(O371*100))/100))</f>
        <v>0.4679892944</v>
      </c>
      <c r="AA371" s="16">
        <f t="shared" si="14"/>
        <v>-1.556333717</v>
      </c>
      <c r="AB371" s="5" t="b">
        <f t="shared" si="15"/>
        <v>1</v>
      </c>
      <c r="AC371" s="5">
        <f t="shared" si="16"/>
        <v>1.556333717</v>
      </c>
    </row>
    <row r="372" ht="15.0" customHeight="1">
      <c r="A372" s="5" t="s">
        <v>327</v>
      </c>
      <c r="B372" s="5" t="s">
        <v>368</v>
      </c>
      <c r="C372" s="5" t="s">
        <v>212</v>
      </c>
      <c r="D372" s="10">
        <f t="shared" si="1"/>
        <v>0.4735836057</v>
      </c>
      <c r="E372" s="10">
        <f>'Precinct Vote Data'!H1477</f>
        <v>0.4530744337</v>
      </c>
      <c r="F372" s="16">
        <f t="shared" si="2"/>
        <v>2.0509172</v>
      </c>
      <c r="G372" s="10">
        <f t="shared" si="3"/>
        <v>0.4965909091</v>
      </c>
      <c r="H372" s="16">
        <f t="shared" si="4"/>
        <v>4.351647543</v>
      </c>
      <c r="I372" s="5" t="b">
        <f t="shared" si="5"/>
        <v>1</v>
      </c>
      <c r="J372" s="5" t="b">
        <f t="shared" si="6"/>
        <v>1</v>
      </c>
      <c r="K372" s="15">
        <f t="shared" si="7"/>
        <v>1.578302493</v>
      </c>
      <c r="L372" s="10">
        <f t="shared" si="8"/>
        <v>0.4663320729</v>
      </c>
      <c r="M372" s="10">
        <f>'Precinct Vote Data'!H1474</f>
        <v>0.5</v>
      </c>
      <c r="N372" s="10">
        <f>'Precinct Vote Data'!H1475</f>
        <v>0.4343871806</v>
      </c>
      <c r="O372" s="10">
        <f>'Precinct Vote Data'!H1476</f>
        <v>0.4965909091</v>
      </c>
      <c r="U372" s="16">
        <f t="shared" si="9"/>
        <v>1.325763927</v>
      </c>
      <c r="V372" s="5" t="b">
        <f t="shared" si="10"/>
        <v>1</v>
      </c>
      <c r="W372" s="5">
        <f t="shared" si="11"/>
        <v>2.0509172</v>
      </c>
      <c r="X372" s="5">
        <f t="shared" si="12"/>
        <v>4.351647543</v>
      </c>
      <c r="Y372" s="5">
        <f t="shared" si="13"/>
        <v>1.325763927</v>
      </c>
      <c r="Z372" s="10">
        <f>MIN(1,MAX(0,(5.3914776420524+0.021102849201698*'Precinct Vote Data'!I1477*100+(-5.72594740176815)*1+0.927016741366831*(O372*100))/100))</f>
        <v>0.4571933144</v>
      </c>
      <c r="AA372" s="16">
        <f t="shared" si="14"/>
        <v>0.4118880727</v>
      </c>
      <c r="AB372" s="5" t="b">
        <f t="shared" si="15"/>
        <v>1</v>
      </c>
      <c r="AC372" s="5">
        <f t="shared" si="16"/>
        <v>0.4118880727</v>
      </c>
    </row>
    <row r="373" ht="15.0" customHeight="1">
      <c r="A373" s="5" t="s">
        <v>327</v>
      </c>
      <c r="B373" s="5" t="s">
        <v>368</v>
      </c>
      <c r="C373" s="5" t="s">
        <v>214</v>
      </c>
      <c r="D373" s="10">
        <f t="shared" si="1"/>
        <v>0.48441247</v>
      </c>
      <c r="E373" s="10">
        <f>'Precinct Vote Data'!H1481</f>
        <v>0.422459893</v>
      </c>
      <c r="F373" s="16">
        <f t="shared" si="2"/>
        <v>6.195257698</v>
      </c>
      <c r="G373" s="10">
        <f t="shared" si="3"/>
        <v>0.5</v>
      </c>
      <c r="H373" s="16">
        <f t="shared" si="4"/>
        <v>7.754010695</v>
      </c>
      <c r="I373" s="5" t="b">
        <f t="shared" si="5"/>
        <v>1</v>
      </c>
      <c r="J373" s="5" t="b">
        <f t="shared" si="6"/>
        <v>1</v>
      </c>
      <c r="K373" s="15">
        <f t="shared" si="7"/>
        <v>1.102956192</v>
      </c>
      <c r="L373" s="10">
        <f t="shared" si="8"/>
        <v>0.4788543889</v>
      </c>
      <c r="M373" s="10">
        <f>'Precinct Vote Data'!H1478</f>
        <v>0.5</v>
      </c>
      <c r="N373" s="10">
        <f>'Precinct Vote Data'!H1479</f>
        <v>0.4532374101</v>
      </c>
      <c r="O373" s="10">
        <f>'Precinct Vote Data'!H1480</f>
        <v>0.5</v>
      </c>
      <c r="U373" s="16">
        <f t="shared" si="9"/>
        <v>5.639449585</v>
      </c>
      <c r="V373" s="5" t="b">
        <f t="shared" si="10"/>
        <v>1</v>
      </c>
      <c r="W373" s="5">
        <f t="shared" si="11"/>
        <v>6.195257698</v>
      </c>
      <c r="X373" s="5">
        <f t="shared" si="12"/>
        <v>7.754010695</v>
      </c>
      <c r="Y373" s="5">
        <f t="shared" si="13"/>
        <v>5.639449585</v>
      </c>
      <c r="Z373" s="10">
        <f>MIN(1,MAX(0,(5.3914776420524+0.021102849201698*'Precinct Vote Data'!I1481*100+(-5.72594740176815)*1+0.927016741366831*(O373*100))/100))</f>
        <v>0.4601636731</v>
      </c>
      <c r="AA373" s="16">
        <f t="shared" si="14"/>
        <v>3.770378004</v>
      </c>
      <c r="AB373" s="5" t="b">
        <f t="shared" si="15"/>
        <v>1</v>
      </c>
      <c r="AC373" s="5">
        <f t="shared" si="16"/>
        <v>3.770378004</v>
      </c>
    </row>
    <row r="374" ht="15.0" customHeight="1">
      <c r="A374" s="5" t="s">
        <v>327</v>
      </c>
      <c r="B374" s="5" t="s">
        <v>369</v>
      </c>
      <c r="C374" s="5" t="s">
        <v>216</v>
      </c>
      <c r="D374" s="10">
        <f t="shared" si="1"/>
        <v>0.5572957003</v>
      </c>
      <c r="E374" s="10">
        <f>'Precinct Vote Data'!H1485</f>
        <v>0.546093427</v>
      </c>
      <c r="F374" s="16">
        <f t="shared" si="2"/>
        <v>1.120227329</v>
      </c>
      <c r="G374" s="10">
        <f t="shared" si="3"/>
        <v>0.5773606371</v>
      </c>
      <c r="H374" s="16">
        <f t="shared" si="4"/>
        <v>3.126721005</v>
      </c>
      <c r="I374" s="5" t="b">
        <f t="shared" si="5"/>
        <v>1</v>
      </c>
      <c r="J374" s="5" t="b">
        <f t="shared" si="6"/>
        <v>1</v>
      </c>
      <c r="K374" s="15">
        <f t="shared" si="7"/>
        <v>1.142066656</v>
      </c>
      <c r="L374" s="10">
        <f t="shared" si="8"/>
        <v>0.5554652096</v>
      </c>
      <c r="M374" s="10">
        <f>'Precinct Vote Data'!H1482</f>
        <v>0.5964214712</v>
      </c>
      <c r="N374" s="10">
        <f>'Precinct Vote Data'!H1483</f>
        <v>0.555287495</v>
      </c>
      <c r="O374" s="10">
        <f>'Precinct Vote Data'!H1484</f>
        <v>0.5773606371</v>
      </c>
      <c r="U374" s="16">
        <f t="shared" si="9"/>
        <v>0.9371782543</v>
      </c>
      <c r="V374" s="5" t="b">
        <f t="shared" si="10"/>
        <v>1</v>
      </c>
      <c r="W374" s="5">
        <f t="shared" si="11"/>
        <v>1.120227329</v>
      </c>
      <c r="X374" s="5">
        <f t="shared" si="12"/>
        <v>3.126721005</v>
      </c>
      <c r="Y374" s="5">
        <f t="shared" si="13"/>
        <v>0.9371782543</v>
      </c>
      <c r="Z374" s="10">
        <f>MIN(1,MAX(0,(5.3914776420524+0.021102849201698*'Precinct Vote Data'!I1485*100+(-5.72594740176815)*1+0.927016741366831*(O374*100))/100))</f>
        <v>0.5347778103</v>
      </c>
      <c r="AA374" s="16">
        <f t="shared" si="14"/>
        <v>-1.131561677</v>
      </c>
      <c r="AB374" s="5" t="b">
        <f t="shared" si="15"/>
        <v>1</v>
      </c>
      <c r="AC374" s="5">
        <f t="shared" si="16"/>
        <v>1.131561677</v>
      </c>
    </row>
    <row r="375" ht="15.0" customHeight="1">
      <c r="A375" s="5" t="s">
        <v>327</v>
      </c>
      <c r="B375" s="5" t="s">
        <v>369</v>
      </c>
      <c r="C375" s="5" t="s">
        <v>217</v>
      </c>
      <c r="D375" s="10">
        <f t="shared" si="1"/>
        <v>0.4689003831</v>
      </c>
      <c r="E375" s="10">
        <f>'Precinct Vote Data'!H1489</f>
        <v>0.4683840749</v>
      </c>
      <c r="F375" s="16">
        <f t="shared" si="2"/>
        <v>0.05163081765</v>
      </c>
      <c r="G375" s="10">
        <f t="shared" si="3"/>
        <v>0.496007984</v>
      </c>
      <c r="H375" s="16">
        <f t="shared" si="4"/>
        <v>2.762390909</v>
      </c>
      <c r="I375" s="5" t="b">
        <f t="shared" si="5"/>
        <v>1</v>
      </c>
      <c r="J375" s="5" t="b">
        <f t="shared" si="6"/>
        <v>1</v>
      </c>
      <c r="K375" s="15">
        <f t="shared" si="7"/>
        <v>1.477357409</v>
      </c>
      <c r="L375" s="10">
        <f t="shared" si="8"/>
        <v>0.4676844428</v>
      </c>
      <c r="M375" s="10">
        <f>'Precinct Vote Data'!H1486</f>
        <v>0.5262593783</v>
      </c>
      <c r="N375" s="10">
        <f>'Precinct Vote Data'!H1487</f>
        <v>0.4751879699</v>
      </c>
      <c r="O375" s="10">
        <f>'Precinct Vote Data'!H1488</f>
        <v>0.496007984</v>
      </c>
      <c r="U375" s="16">
        <f t="shared" si="9"/>
        <v>-0.06996321809</v>
      </c>
      <c r="V375" s="5" t="b">
        <f t="shared" si="10"/>
        <v>1</v>
      </c>
      <c r="W375" s="5">
        <f t="shared" si="11"/>
        <v>0.05163081765</v>
      </c>
      <c r="X375" s="5">
        <f t="shared" si="12"/>
        <v>2.762390909</v>
      </c>
      <c r="Y375" s="5">
        <f t="shared" si="13"/>
        <v>0.06996321809</v>
      </c>
      <c r="Z375" s="10">
        <f>MIN(1,MAX(0,(5.3914776420524+0.021102849201698*'Precinct Vote Data'!I1489*100+(-5.72594740176815)*1+0.927016741366831*(O375*100))/100))</f>
        <v>0.4567331239</v>
      </c>
      <c r="AA375" s="16">
        <f t="shared" si="14"/>
        <v>-1.165095102</v>
      </c>
      <c r="AB375" s="5" t="b">
        <f t="shared" si="15"/>
        <v>1</v>
      </c>
      <c r="AC375" s="5">
        <f t="shared" si="16"/>
        <v>1.165095102</v>
      </c>
    </row>
    <row r="376" ht="15.0" customHeight="1">
      <c r="A376" s="5" t="s">
        <v>327</v>
      </c>
      <c r="B376" s="5" t="s">
        <v>369</v>
      </c>
      <c r="C376" s="5" t="s">
        <v>218</v>
      </c>
      <c r="D376" s="10">
        <f t="shared" si="1"/>
        <v>0.531525165</v>
      </c>
      <c r="E376" s="10">
        <f>'Precinct Vote Data'!H1493</f>
        <v>0.5089561458</v>
      </c>
      <c r="F376" s="16">
        <f t="shared" si="2"/>
        <v>2.256901923</v>
      </c>
      <c r="G376" s="10">
        <f t="shared" si="3"/>
        <v>0.5324114088</v>
      </c>
      <c r="H376" s="16">
        <f t="shared" si="4"/>
        <v>2.345526305</v>
      </c>
      <c r="I376" s="5" t="b">
        <f t="shared" si="5"/>
        <v>1</v>
      </c>
      <c r="J376" s="5" t="b">
        <f t="shared" si="6"/>
        <v>1</v>
      </c>
      <c r="K376" s="15">
        <f t="shared" si="7"/>
        <v>0.3013476355</v>
      </c>
      <c r="L376" s="10">
        <f t="shared" si="8"/>
        <v>0.5266340444</v>
      </c>
      <c r="M376" s="10">
        <f>'Precinct Vote Data'!H1490</f>
        <v>0.5160320641</v>
      </c>
      <c r="N376" s="10">
        <f>'Precinct Vote Data'!H1491</f>
        <v>0.496993988</v>
      </c>
      <c r="O376" s="10">
        <f>'Precinct Vote Data'!H1492</f>
        <v>0.5324114088</v>
      </c>
      <c r="U376" s="16">
        <f t="shared" si="9"/>
        <v>1.767789859</v>
      </c>
      <c r="V376" s="5" t="b">
        <f t="shared" si="10"/>
        <v>1</v>
      </c>
      <c r="W376" s="5">
        <f t="shared" si="11"/>
        <v>2.256901923</v>
      </c>
      <c r="X376" s="5">
        <f t="shared" si="12"/>
        <v>2.345526305</v>
      </c>
      <c r="Y376" s="5">
        <f t="shared" si="13"/>
        <v>1.767789859</v>
      </c>
      <c r="Z376" s="10">
        <f>MIN(1,MAX(0,(5.3914776420524+0.021102849201698*'Precinct Vote Data'!I1493*100+(-5.72594740176815)*1+0.927016741366831*(O376*100))/100))</f>
        <v>0.4914673215</v>
      </c>
      <c r="AA376" s="16">
        <f t="shared" si="14"/>
        <v>-1.748882429</v>
      </c>
      <c r="AB376" s="5" t="b">
        <f t="shared" si="15"/>
        <v>0</v>
      </c>
      <c r="AC376" s="5">
        <f t="shared" si="16"/>
        <v>1.748882429</v>
      </c>
    </row>
    <row r="377" ht="15.0" customHeight="1">
      <c r="A377" s="5" t="s">
        <v>327</v>
      </c>
      <c r="B377" s="5" t="s">
        <v>369</v>
      </c>
      <c r="C377" s="5" t="s">
        <v>219</v>
      </c>
      <c r="D377" s="10">
        <f t="shared" si="1"/>
        <v>0.4627082376</v>
      </c>
      <c r="E377" s="10">
        <f>'Precinct Vote Data'!H1497</f>
        <v>0.4721013059</v>
      </c>
      <c r="F377" s="16">
        <f t="shared" si="2"/>
        <v>-0.9393068274</v>
      </c>
      <c r="G377" s="10">
        <f t="shared" si="3"/>
        <v>0.4836065574</v>
      </c>
      <c r="H377" s="16">
        <f t="shared" si="4"/>
        <v>1.150525148</v>
      </c>
      <c r="I377" s="5" t="b">
        <f t="shared" si="5"/>
        <v>1</v>
      </c>
      <c r="J377" s="5" t="b">
        <f t="shared" si="6"/>
        <v>1</v>
      </c>
      <c r="K377" s="15">
        <f t="shared" si="7"/>
        <v>1.163317784</v>
      </c>
      <c r="L377" s="10">
        <f t="shared" si="8"/>
        <v>0.4613037083</v>
      </c>
      <c r="M377" s="10">
        <f>'Precinct Vote Data'!H1494</f>
        <v>0.5052562418</v>
      </c>
      <c r="N377" s="10">
        <f>'Precinct Vote Data'!H1495</f>
        <v>0.4642109669</v>
      </c>
      <c r="O377" s="10">
        <f>'Precinct Vote Data'!H1496</f>
        <v>0.4836065574</v>
      </c>
      <c r="U377" s="16">
        <f t="shared" si="9"/>
        <v>-1.079759755</v>
      </c>
      <c r="V377" s="5" t="b">
        <f t="shared" si="10"/>
        <v>1</v>
      </c>
      <c r="W377" s="5">
        <f t="shared" si="11"/>
        <v>0.9393068274</v>
      </c>
      <c r="X377" s="5">
        <f t="shared" si="12"/>
        <v>1.150525148</v>
      </c>
      <c r="Y377" s="5">
        <f t="shared" si="13"/>
        <v>1.079759755</v>
      </c>
      <c r="Z377" s="10">
        <f>MIN(1,MAX(0,(5.3914776420524+0.021102849201698*'Precinct Vote Data'!I1497*100+(-5.72594740176815)*1+0.927016741366831*(O377*100))/100))</f>
        <v>0.4445446203</v>
      </c>
      <c r="AA377" s="16">
        <f t="shared" si="14"/>
        <v>-2.755668555</v>
      </c>
      <c r="AB377" s="5" t="b">
        <f t="shared" si="15"/>
        <v>1</v>
      </c>
      <c r="AC377" s="5">
        <f t="shared" si="16"/>
        <v>2.755668555</v>
      </c>
    </row>
    <row r="378" ht="15.0" customHeight="1">
      <c r="A378" s="5" t="s">
        <v>327</v>
      </c>
      <c r="B378" s="5" t="s">
        <v>369</v>
      </c>
      <c r="C378" s="5" t="s">
        <v>223</v>
      </c>
      <c r="D378" s="10">
        <f t="shared" si="1"/>
        <v>0.5281325536</v>
      </c>
      <c r="E378" s="10">
        <f>'Precinct Vote Data'!H1501</f>
        <v>0.5492716367</v>
      </c>
      <c r="F378" s="16">
        <f t="shared" si="2"/>
        <v>-2.11390831</v>
      </c>
      <c r="G378" s="10">
        <f t="shared" si="3"/>
        <v>0.5527314112</v>
      </c>
      <c r="H378" s="16">
        <f t="shared" si="4"/>
        <v>0.3459774554</v>
      </c>
      <c r="I378" s="5" t="b">
        <f t="shared" si="5"/>
        <v>1</v>
      </c>
      <c r="J378" s="5" t="b">
        <f t="shared" si="6"/>
        <v>1</v>
      </c>
      <c r="K378" s="15">
        <f t="shared" si="7"/>
        <v>1.388378271</v>
      </c>
      <c r="L378" s="10">
        <f t="shared" si="8"/>
        <v>0.5261137566</v>
      </c>
      <c r="M378" s="10">
        <f>'Precinct Vote Data'!H1498</f>
        <v>0.5769059296</v>
      </c>
      <c r="N378" s="10">
        <f>'Precinct Vote Data'!H1499</f>
        <v>0.5272838749</v>
      </c>
      <c r="O378" s="10">
        <f>'Precinct Vote Data'!H1500</f>
        <v>0.5527314112</v>
      </c>
      <c r="U378" s="16">
        <f t="shared" si="9"/>
        <v>-2.315788006</v>
      </c>
      <c r="V378" s="5" t="b">
        <f t="shared" si="10"/>
        <v>1</v>
      </c>
      <c r="W378" s="5">
        <f t="shared" si="11"/>
        <v>2.11390831</v>
      </c>
      <c r="X378" s="5">
        <f t="shared" si="12"/>
        <v>0.3459774554</v>
      </c>
      <c r="Y378" s="5">
        <f t="shared" si="13"/>
        <v>2.315788006</v>
      </c>
      <c r="Z378" s="10">
        <f>MIN(1,MAX(0,(5.3914776420524+0.021102849201698*'Precinct Vote Data'!I1501*100+(-5.72594740176815)*1+0.927016741366831*(O378*100))/100))</f>
        <v>0.5106060746</v>
      </c>
      <c r="AA378" s="16">
        <f t="shared" si="14"/>
        <v>-3.866556203</v>
      </c>
      <c r="AB378" s="5" t="b">
        <f t="shared" si="15"/>
        <v>1</v>
      </c>
      <c r="AC378" s="5">
        <f t="shared" si="16"/>
        <v>3.866556203</v>
      </c>
    </row>
    <row r="379" ht="15.0" customHeight="1">
      <c r="A379" s="5" t="s">
        <v>327</v>
      </c>
      <c r="B379" s="5" t="s">
        <v>369</v>
      </c>
      <c r="C379" s="5" t="s">
        <v>224</v>
      </c>
      <c r="D379" s="10">
        <f t="shared" si="1"/>
        <v>0.4925767743</v>
      </c>
      <c r="E379" s="10">
        <f>'Precinct Vote Data'!H1505</f>
        <v>0.4889896373</v>
      </c>
      <c r="F379" s="16">
        <f t="shared" si="2"/>
        <v>0.3587137014</v>
      </c>
      <c r="G379" s="10">
        <f t="shared" si="3"/>
        <v>0.4919292852</v>
      </c>
      <c r="H379" s="16">
        <f t="shared" si="4"/>
        <v>0.293964786</v>
      </c>
      <c r="I379" s="5" t="b">
        <f t="shared" si="5"/>
        <v>1</v>
      </c>
      <c r="J379" s="5" t="b">
        <f t="shared" si="6"/>
        <v>1</v>
      </c>
      <c r="K379" s="15">
        <f t="shared" si="7"/>
        <v>0.07200009434</v>
      </c>
      <c r="L379" s="10">
        <f t="shared" si="8"/>
        <v>0.4905489167</v>
      </c>
      <c r="M379" s="10">
        <f>'Precinct Vote Data'!H1502</f>
        <v>0.4838427948</v>
      </c>
      <c r="N379" s="10">
        <f>'Precinct Vote Data'!H1503</f>
        <v>0.4776987718</v>
      </c>
      <c r="O379" s="10">
        <f>'Precinct Vote Data'!H1504</f>
        <v>0.4919292852</v>
      </c>
      <c r="U379" s="16">
        <f t="shared" si="9"/>
        <v>0.1559279351</v>
      </c>
      <c r="V379" s="5" t="b">
        <f t="shared" si="10"/>
        <v>1</v>
      </c>
      <c r="W379" s="5">
        <f t="shared" si="11"/>
        <v>0.3587137014</v>
      </c>
      <c r="X379" s="5">
        <f t="shared" si="12"/>
        <v>0.293964786</v>
      </c>
      <c r="Y379" s="5">
        <f t="shared" si="13"/>
        <v>0.1559279351</v>
      </c>
      <c r="Z379" s="10">
        <f>MIN(1,MAX(0,(5.3914776420524+0.021102849201698*'Precinct Vote Data'!I1505*100+(-5.72594740176815)*1+0.927016741366831*(O379*100))/100))</f>
        <v>0.452131201</v>
      </c>
      <c r="AA379" s="16">
        <f t="shared" si="14"/>
        <v>-3.685843635</v>
      </c>
      <c r="AB379" s="5" t="b">
        <f t="shared" si="15"/>
        <v>1</v>
      </c>
      <c r="AC379" s="5">
        <f t="shared" si="16"/>
        <v>3.685843635</v>
      </c>
    </row>
    <row r="380" ht="15.0" customHeight="1">
      <c r="A380" s="5" t="s">
        <v>327</v>
      </c>
      <c r="B380" s="5" t="s">
        <v>369</v>
      </c>
      <c r="C380" s="5" t="s">
        <v>225</v>
      </c>
      <c r="D380" s="10">
        <f t="shared" si="1"/>
        <v>0.4322344886</v>
      </c>
      <c r="E380" s="10">
        <f>'Precinct Vote Data'!H1509</f>
        <v>0.4371184371</v>
      </c>
      <c r="F380" s="16">
        <f t="shared" si="2"/>
        <v>-0.4883948531</v>
      </c>
      <c r="G380" s="10">
        <f t="shared" si="3"/>
        <v>0.4658187599</v>
      </c>
      <c r="H380" s="16">
        <f t="shared" si="4"/>
        <v>2.870032282</v>
      </c>
      <c r="I380" s="5" t="b">
        <f t="shared" si="5"/>
        <v>1</v>
      </c>
      <c r="J380" s="5" t="b">
        <f t="shared" si="6"/>
        <v>1</v>
      </c>
      <c r="K380" s="15">
        <f t="shared" si="7"/>
        <v>1.705885663</v>
      </c>
      <c r="L380" s="10">
        <f t="shared" si="8"/>
        <v>0.4331139299</v>
      </c>
      <c r="M380" s="10">
        <f>'Precinct Vote Data'!H1506</f>
        <v>0.5118397086</v>
      </c>
      <c r="N380" s="10">
        <f>'Precinct Vote Data'!H1507</f>
        <v>0.4571078431</v>
      </c>
      <c r="O380" s="10">
        <f>'Precinct Vote Data'!H1508</f>
        <v>0.4658187599</v>
      </c>
      <c r="U380" s="16">
        <f t="shared" si="9"/>
        <v>-0.4004507229</v>
      </c>
      <c r="V380" s="5" t="b">
        <f t="shared" si="10"/>
        <v>1</v>
      </c>
      <c r="W380" s="5">
        <f t="shared" si="11"/>
        <v>0.4883948531</v>
      </c>
      <c r="X380" s="5">
        <f t="shared" si="12"/>
        <v>2.870032282</v>
      </c>
      <c r="Y380" s="5">
        <f t="shared" si="13"/>
        <v>0.4004507229</v>
      </c>
      <c r="Z380" s="10">
        <f>MIN(1,MAX(0,(5.3914776420524+0.021102849201698*'Precinct Vote Data'!I1509*100+(-5.72594740176815)*1+0.927016741366831*(O380*100))/100))</f>
        <v>0.4289666774</v>
      </c>
      <c r="AA380" s="16">
        <f t="shared" si="14"/>
        <v>-0.815175971</v>
      </c>
      <c r="AB380" s="5" t="b">
        <f t="shared" si="15"/>
        <v>1</v>
      </c>
      <c r="AC380" s="5">
        <f t="shared" si="16"/>
        <v>0.815175971</v>
      </c>
    </row>
    <row r="381" ht="15.0" customHeight="1">
      <c r="A381" s="5" t="s">
        <v>327</v>
      </c>
      <c r="B381" s="5" t="s">
        <v>370</v>
      </c>
      <c r="C381" s="5" t="s">
        <v>227</v>
      </c>
      <c r="D381" s="10">
        <f t="shared" si="1"/>
        <v>0.361478728</v>
      </c>
      <c r="E381" s="10">
        <f>'Precinct Vote Data'!H1513</f>
        <v>0.3601286174</v>
      </c>
      <c r="F381" s="16">
        <f t="shared" si="2"/>
        <v>0.135011061</v>
      </c>
      <c r="G381" s="10">
        <f t="shared" si="3"/>
        <v>0.4093264249</v>
      </c>
      <c r="H381" s="16">
        <f t="shared" si="4"/>
        <v>4.919780751</v>
      </c>
      <c r="I381" s="5" t="b">
        <f t="shared" si="5"/>
        <v>1</v>
      </c>
      <c r="J381" s="5" t="b">
        <f t="shared" si="6"/>
        <v>1</v>
      </c>
      <c r="K381" s="15">
        <f t="shared" si="7"/>
        <v>2.802279157</v>
      </c>
      <c r="L381" s="10">
        <f t="shared" si="8"/>
        <v>0.3556018022</v>
      </c>
      <c r="M381" s="10">
        <f>'Precinct Vote Data'!H1510</f>
        <v>0.4493670886</v>
      </c>
      <c r="N381" s="10">
        <f>'Precinct Vote Data'!H1511</f>
        <v>0.3458646617</v>
      </c>
      <c r="O381" s="10">
        <f>'Precinct Vote Data'!H1512</f>
        <v>0.4093264249</v>
      </c>
      <c r="U381" s="16">
        <f t="shared" si="9"/>
        <v>-0.4526815171</v>
      </c>
      <c r="V381" s="5" t="b">
        <f t="shared" si="10"/>
        <v>1</v>
      </c>
      <c r="W381" s="5">
        <f t="shared" si="11"/>
        <v>0.135011061</v>
      </c>
      <c r="X381" s="5">
        <f t="shared" si="12"/>
        <v>4.919780751</v>
      </c>
      <c r="Y381" s="5">
        <f t="shared" si="13"/>
        <v>0.4526815171</v>
      </c>
      <c r="Z381" s="10">
        <f>MIN(1,MAX(0,(5.3914776420524+0.021102849201698*'Precinct Vote Data'!I1513*100+(-5.72594740176815)*1+0.927016741366831*(O381*100))/100))</f>
        <v>0.3718470857</v>
      </c>
      <c r="AA381" s="16">
        <f t="shared" si="14"/>
        <v>1.171846832</v>
      </c>
      <c r="AB381" s="5" t="b">
        <f t="shared" si="15"/>
        <v>1</v>
      </c>
      <c r="AC381" s="5">
        <f t="shared" si="16"/>
        <v>1.171846832</v>
      </c>
    </row>
    <row r="382" ht="15.0" customHeight="1">
      <c r="A382" s="5" t="s">
        <v>327</v>
      </c>
      <c r="B382" s="5" t="s">
        <v>370</v>
      </c>
      <c r="C382" s="5" t="s">
        <v>228</v>
      </c>
      <c r="D382" s="10">
        <f t="shared" si="1"/>
        <v>0.357610098</v>
      </c>
      <c r="E382" s="10">
        <f>'Precinct Vote Data'!H1517</f>
        <v>0.350473613</v>
      </c>
      <c r="F382" s="16">
        <f t="shared" si="2"/>
        <v>0.7136485008</v>
      </c>
      <c r="G382" s="10">
        <f t="shared" si="3"/>
        <v>0.3493761141</v>
      </c>
      <c r="H382" s="16">
        <f t="shared" si="4"/>
        <v>-0.1097498909</v>
      </c>
      <c r="I382" s="5" t="b">
        <f t="shared" si="5"/>
        <v>1</v>
      </c>
      <c r="J382" s="5" t="b">
        <f t="shared" si="6"/>
        <v>1</v>
      </c>
      <c r="K382" s="15">
        <f t="shared" si="7"/>
        <v>-0.3681266275</v>
      </c>
      <c r="L382" s="10">
        <f t="shared" si="8"/>
        <v>0.3564337493</v>
      </c>
      <c r="M382" s="10">
        <f>'Precinct Vote Data'!H1514</f>
        <v>0.3346534653</v>
      </c>
      <c r="N382" s="10">
        <f>'Precinct Vote Data'!H1515</f>
        <v>0.3446327684</v>
      </c>
      <c r="O382" s="10">
        <f>'Precinct Vote Data'!H1516</f>
        <v>0.3493761141</v>
      </c>
      <c r="U382" s="16">
        <f t="shared" si="9"/>
        <v>0.5960136342</v>
      </c>
      <c r="V382" s="5" t="b">
        <f t="shared" si="10"/>
        <v>1</v>
      </c>
      <c r="W382" s="5">
        <f t="shared" si="11"/>
        <v>0.7136485008</v>
      </c>
      <c r="X382" s="5">
        <f t="shared" si="12"/>
        <v>0.1097498909</v>
      </c>
      <c r="Y382" s="5">
        <f t="shared" si="13"/>
        <v>0.5960136342</v>
      </c>
      <c r="Z382" s="10">
        <f>MIN(1,MAX(0,(5.3914776420524+0.021102849201698*'Precinct Vote Data'!I1517*100+(-5.72594740176815)*1+0.927016741366831*(O382*100))/100))</f>
        <v>0.3158859618</v>
      </c>
      <c r="AA382" s="16">
        <f t="shared" si="14"/>
        <v>-3.458765119</v>
      </c>
      <c r="AB382" s="5" t="b">
        <f t="shared" si="15"/>
        <v>1</v>
      </c>
      <c r="AC382" s="5">
        <f t="shared" si="16"/>
        <v>3.458765119</v>
      </c>
    </row>
    <row r="383" ht="15.0" customHeight="1">
      <c r="A383" s="5" t="s">
        <v>327</v>
      </c>
      <c r="B383" s="5" t="s">
        <v>370</v>
      </c>
      <c r="C383" s="5" t="s">
        <v>371</v>
      </c>
      <c r="D383" s="10">
        <f t="shared" si="1"/>
        <v>0.3959768492</v>
      </c>
      <c r="E383" s="10">
        <f>'Precinct Vote Data'!H1521</f>
        <v>0.403960396</v>
      </c>
      <c r="F383" s="16">
        <f t="shared" si="2"/>
        <v>-0.7983546887</v>
      </c>
      <c r="G383" s="10">
        <f t="shared" si="3"/>
        <v>0.4277286136</v>
      </c>
      <c r="H383" s="16">
        <f t="shared" si="4"/>
        <v>2.376821753</v>
      </c>
      <c r="I383" s="5" t="b">
        <f t="shared" si="5"/>
        <v>1</v>
      </c>
      <c r="J383" s="5" t="b">
        <f t="shared" si="6"/>
        <v>1</v>
      </c>
      <c r="K383" s="15">
        <f t="shared" si="7"/>
        <v>1.510492263</v>
      </c>
      <c r="L383" s="10">
        <f t="shared" si="8"/>
        <v>0.3987698188</v>
      </c>
      <c r="M383" s="10">
        <f>'Precinct Vote Data'!H1518</f>
        <v>0.4782608696</v>
      </c>
      <c r="N383" s="10">
        <f>'Precinct Vote Data'!H1519</f>
        <v>0.4335378323</v>
      </c>
      <c r="O383" s="10">
        <f>'Precinct Vote Data'!H1520</f>
        <v>0.4277286136</v>
      </c>
      <c r="U383" s="16">
        <f t="shared" si="9"/>
        <v>-0.5190577191</v>
      </c>
      <c r="V383" s="5" t="b">
        <f t="shared" si="10"/>
        <v>1</v>
      </c>
      <c r="W383" s="5">
        <f t="shared" si="11"/>
        <v>0.7983546887</v>
      </c>
      <c r="X383" s="5">
        <f t="shared" si="12"/>
        <v>2.376821753</v>
      </c>
      <c r="Y383" s="5">
        <f t="shared" si="13"/>
        <v>0.5190577191</v>
      </c>
      <c r="Z383" s="10">
        <f>MIN(1,MAX(0,(5.3914776420524+0.021102849201698*'Precinct Vote Data'!I1521*100+(-5.72594740176815)*1+0.927016741366831*(O383*100))/100))</f>
        <v>0.39081181</v>
      </c>
      <c r="AA383" s="16">
        <f t="shared" si="14"/>
        <v>-1.314858607</v>
      </c>
      <c r="AB383" s="5" t="b">
        <f t="shared" si="15"/>
        <v>1</v>
      </c>
      <c r="AC383" s="5">
        <f t="shared" si="16"/>
        <v>1.314858607</v>
      </c>
    </row>
    <row r="384" ht="15.0" customHeight="1">
      <c r="A384" s="5" t="s">
        <v>327</v>
      </c>
      <c r="B384" s="5" t="s">
        <v>370</v>
      </c>
      <c r="C384" s="5" t="s">
        <v>230</v>
      </c>
      <c r="D384" s="10">
        <f t="shared" si="1"/>
        <v>0.4355045222</v>
      </c>
      <c r="E384" s="10">
        <f>'Precinct Vote Data'!H1525</f>
        <v>0.3902439024</v>
      </c>
      <c r="F384" s="16">
        <f t="shared" si="2"/>
        <v>4.526061974</v>
      </c>
      <c r="G384" s="10">
        <f t="shared" si="3"/>
        <v>0.4642857143</v>
      </c>
      <c r="H384" s="16">
        <f t="shared" si="4"/>
        <v>7.404181185</v>
      </c>
      <c r="I384" s="5" t="b">
        <f t="shared" si="5"/>
        <v>1</v>
      </c>
      <c r="J384" s="5" t="b">
        <f t="shared" si="6"/>
        <v>1</v>
      </c>
      <c r="K384" s="15">
        <f t="shared" si="7"/>
        <v>1.674551105</v>
      </c>
      <c r="L384" s="10">
        <f t="shared" si="8"/>
        <v>0.4321816229</v>
      </c>
      <c r="M384" s="10">
        <f>'Precinct Vote Data'!H1522</f>
        <v>0.4891304348</v>
      </c>
      <c r="N384" s="10">
        <f>'Precinct Vote Data'!H1523</f>
        <v>0.4276315789</v>
      </c>
      <c r="O384" s="10">
        <f>'Precinct Vote Data'!H1524</f>
        <v>0.4642857143</v>
      </c>
      <c r="U384" s="16">
        <f t="shared" si="9"/>
        <v>4.193772042</v>
      </c>
      <c r="V384" s="5" t="b">
        <f t="shared" si="10"/>
        <v>1</v>
      </c>
      <c r="W384" s="5">
        <f t="shared" si="11"/>
        <v>4.526061974</v>
      </c>
      <c r="X384" s="5">
        <f t="shared" si="12"/>
        <v>7.404181185</v>
      </c>
      <c r="Y384" s="5">
        <f t="shared" si="13"/>
        <v>4.193772042</v>
      </c>
      <c r="Z384" s="10">
        <f>MIN(1,MAX(0,(5.3914776420524+0.021102849201698*'Precinct Vote Data'!I1525*100+(-5.72594740176815)*1+0.927016741366831*(O384*100))/100))</f>
        <v>0.4252410873</v>
      </c>
      <c r="AA384" s="16">
        <f t="shared" si="14"/>
        <v>3.499718485</v>
      </c>
      <c r="AB384" s="5" t="b">
        <f t="shared" si="15"/>
        <v>1</v>
      </c>
      <c r="AC384" s="5">
        <f t="shared" si="16"/>
        <v>3.499718485</v>
      </c>
    </row>
    <row r="385" ht="15.0" customHeight="1">
      <c r="A385" s="5" t="s">
        <v>327</v>
      </c>
      <c r="B385" s="5" t="s">
        <v>372</v>
      </c>
      <c r="C385" s="5" t="s">
        <v>232</v>
      </c>
      <c r="D385" s="10">
        <f t="shared" si="1"/>
        <v>0.3035118062</v>
      </c>
      <c r="E385" s="10">
        <f>'Precinct Vote Data'!H1529</f>
        <v>0.3494486853</v>
      </c>
      <c r="F385" s="16">
        <f t="shared" si="2"/>
        <v>-4.593687916</v>
      </c>
      <c r="G385" s="10">
        <f t="shared" si="3"/>
        <v>0.3467391304</v>
      </c>
      <c r="H385" s="16">
        <f t="shared" si="4"/>
        <v>-0.2709554892</v>
      </c>
      <c r="I385" s="5" t="b">
        <f t="shared" si="5"/>
        <v>1</v>
      </c>
      <c r="J385" s="5" t="b">
        <f t="shared" si="6"/>
        <v>1</v>
      </c>
      <c r="K385" s="15">
        <f t="shared" si="7"/>
        <v>2.097137586</v>
      </c>
      <c r="L385" s="10">
        <f t="shared" si="8"/>
        <v>0.3065333125</v>
      </c>
      <c r="M385" s="10">
        <f>'Precinct Vote Data'!H1526</f>
        <v>0.4127388535</v>
      </c>
      <c r="N385" s="10">
        <f>'Precinct Vote Data'!H1527</f>
        <v>0.3490566038</v>
      </c>
      <c r="O385" s="10">
        <f>'Precinct Vote Data'!H1528</f>
        <v>0.3467391304</v>
      </c>
      <c r="U385" s="16">
        <f t="shared" si="9"/>
        <v>-4.29153728</v>
      </c>
      <c r="V385" s="5" t="b">
        <f t="shared" si="10"/>
        <v>1</v>
      </c>
      <c r="W385" s="5">
        <f t="shared" si="11"/>
        <v>4.593687916</v>
      </c>
      <c r="X385" s="5">
        <f t="shared" si="12"/>
        <v>0.2709554892</v>
      </c>
      <c r="Y385" s="5">
        <f t="shared" si="13"/>
        <v>4.29153728</v>
      </c>
      <c r="Z385" s="10">
        <f>MIN(1,MAX(0,(5.3914776420524+0.021102849201698*'Precinct Vote Data'!I1529*100+(-5.72594740176815)*1+0.927016741366831*(O385*100))/100))</f>
        <v>0.3132261847</v>
      </c>
      <c r="AA385" s="16">
        <f t="shared" si="14"/>
        <v>-3.622250058</v>
      </c>
      <c r="AB385" s="5" t="b">
        <f t="shared" si="15"/>
        <v>1</v>
      </c>
      <c r="AC385" s="5">
        <f t="shared" si="16"/>
        <v>3.622250058</v>
      </c>
    </row>
    <row r="386" ht="15.0" customHeight="1">
      <c r="A386" s="5" t="s">
        <v>327</v>
      </c>
      <c r="B386" s="5" t="s">
        <v>372</v>
      </c>
      <c r="C386" s="5" t="s">
        <v>233</v>
      </c>
      <c r="D386" s="10">
        <f t="shared" si="1"/>
        <v>0.3252477108</v>
      </c>
      <c r="E386" s="10">
        <f>'Precinct Vote Data'!H1533</f>
        <v>0.3631790744</v>
      </c>
      <c r="F386" s="16">
        <f t="shared" si="2"/>
        <v>-3.79313636</v>
      </c>
      <c r="G386" s="10">
        <f t="shared" si="3"/>
        <v>0.3679245283</v>
      </c>
      <c r="H386" s="16">
        <f t="shared" si="4"/>
        <v>0.4745453855</v>
      </c>
      <c r="I386" s="5" t="b">
        <f t="shared" si="5"/>
        <v>1</v>
      </c>
      <c r="J386" s="5" t="b">
        <f t="shared" si="6"/>
        <v>1</v>
      </c>
      <c r="K386" s="15">
        <f t="shared" si="7"/>
        <v>2.067556089</v>
      </c>
      <c r="L386" s="10">
        <f t="shared" si="8"/>
        <v>0.3282858398</v>
      </c>
      <c r="M386" s="10">
        <f>'Precinct Vote Data'!H1530</f>
        <v>0.4332810047</v>
      </c>
      <c r="N386" s="10">
        <f>'Precinct Vote Data'!H1531</f>
        <v>0.3706070288</v>
      </c>
      <c r="O386" s="10">
        <f>'Precinct Vote Data'!H1532</f>
        <v>0.3679245283</v>
      </c>
      <c r="U386" s="16">
        <f t="shared" si="9"/>
        <v>-3.489323469</v>
      </c>
      <c r="V386" s="5" t="b">
        <f t="shared" si="10"/>
        <v>1</v>
      </c>
      <c r="W386" s="5">
        <f t="shared" si="11"/>
        <v>3.79313636</v>
      </c>
      <c r="X386" s="5">
        <f t="shared" si="12"/>
        <v>0.4745453855</v>
      </c>
      <c r="Y386" s="5">
        <f t="shared" si="13"/>
        <v>3.489323469</v>
      </c>
      <c r="Z386" s="10">
        <f>MIN(1,MAX(0,(5.3914776420524+0.021102849201698*'Precinct Vote Data'!I1533*100+(-5.72594740176815)*1+0.927016741366831*(O386*100))/100))</f>
        <v>0.3325636325</v>
      </c>
      <c r="AA386" s="16">
        <f t="shared" si="14"/>
        <v>-3.061544195</v>
      </c>
      <c r="AB386" s="5" t="b">
        <f t="shared" si="15"/>
        <v>1</v>
      </c>
      <c r="AC386" s="5">
        <f t="shared" si="16"/>
        <v>3.061544195</v>
      </c>
    </row>
    <row r="387" ht="15.0" customHeight="1">
      <c r="A387" s="5" t="s">
        <v>327</v>
      </c>
      <c r="B387" s="5" t="s">
        <v>372</v>
      </c>
      <c r="C387" s="5" t="s">
        <v>234</v>
      </c>
      <c r="D387" s="10">
        <f t="shared" si="1"/>
        <v>0.3432746844</v>
      </c>
      <c r="E387" s="10">
        <f>'Precinct Vote Data'!H1537</f>
        <v>0.3408820024</v>
      </c>
      <c r="F387" s="16">
        <f t="shared" si="2"/>
        <v>0.2392682014</v>
      </c>
      <c r="G387" s="10">
        <f t="shared" si="3"/>
        <v>0.3446808511</v>
      </c>
      <c r="H387" s="16">
        <f t="shared" si="4"/>
        <v>0.379884868</v>
      </c>
      <c r="I387" s="5" t="b">
        <f t="shared" si="5"/>
        <v>1</v>
      </c>
      <c r="J387" s="5" t="b">
        <f t="shared" si="6"/>
        <v>1</v>
      </c>
      <c r="K387" s="15">
        <f t="shared" si="7"/>
        <v>0.06769924743</v>
      </c>
      <c r="L387" s="10">
        <f t="shared" si="8"/>
        <v>0.3433829374</v>
      </c>
      <c r="M387" s="10">
        <f>'Precinct Vote Data'!H1534</f>
        <v>0.3468634686</v>
      </c>
      <c r="N387" s="10">
        <f>'Precinct Vote Data'!H1535</f>
        <v>0.3448275862</v>
      </c>
      <c r="O387" s="10">
        <f>'Precinct Vote Data'!H1536</f>
        <v>0.3446808511</v>
      </c>
      <c r="U387" s="16">
        <f t="shared" si="9"/>
        <v>0.2500934975</v>
      </c>
      <c r="V387" s="5" t="b">
        <f t="shared" si="10"/>
        <v>1</v>
      </c>
      <c r="W387" s="5">
        <f t="shared" si="11"/>
        <v>0.2392682014</v>
      </c>
      <c r="X387" s="5">
        <f t="shared" si="12"/>
        <v>0.379884868</v>
      </c>
      <c r="Y387" s="5">
        <f t="shared" si="13"/>
        <v>0.2500934975</v>
      </c>
      <c r="Z387" s="10">
        <f>MIN(1,MAX(0,(5.3914776420524+0.021102849201698*'Precinct Vote Data'!I1537*100+(-5.72594740176815)*1+0.927016741366831*(O387*100))/100))</f>
        <v>0.3101089321</v>
      </c>
      <c r="AA387" s="16">
        <f t="shared" si="14"/>
        <v>-3.077307033</v>
      </c>
      <c r="AB387" s="5" t="b">
        <f t="shared" si="15"/>
        <v>1</v>
      </c>
      <c r="AC387" s="5">
        <f t="shared" si="16"/>
        <v>3.077307033</v>
      </c>
    </row>
    <row r="388" ht="15.0" customHeight="1">
      <c r="A388" s="5" t="s">
        <v>327</v>
      </c>
      <c r="B388" s="5" t="s">
        <v>372</v>
      </c>
      <c r="C388" s="5" t="s">
        <v>236</v>
      </c>
      <c r="D388" s="10">
        <f t="shared" si="1"/>
        <v>0.3080574644</v>
      </c>
      <c r="E388" s="10">
        <f>'Precinct Vote Data'!H1541</f>
        <v>0.3318681319</v>
      </c>
      <c r="F388" s="16">
        <f t="shared" si="2"/>
        <v>-2.381066747</v>
      </c>
      <c r="G388" s="10">
        <f t="shared" si="3"/>
        <v>0.3408769448</v>
      </c>
      <c r="H388" s="16">
        <f t="shared" si="4"/>
        <v>0.9008812969</v>
      </c>
      <c r="I388" s="5" t="b">
        <f t="shared" si="5"/>
        <v>1</v>
      </c>
      <c r="J388" s="5" t="b">
        <f t="shared" si="6"/>
        <v>1</v>
      </c>
      <c r="K388" s="15">
        <f t="shared" si="7"/>
        <v>1.590829932</v>
      </c>
      <c r="L388" s="10">
        <f t="shared" si="8"/>
        <v>0.3103779356</v>
      </c>
      <c r="M388" s="10">
        <f>'Precinct Vote Data'!H1538</f>
        <v>0.3910806175</v>
      </c>
      <c r="N388" s="10">
        <f>'Precinct Vote Data'!H1539</f>
        <v>0.3428258488</v>
      </c>
      <c r="O388" s="10">
        <f>'Precinct Vote Data'!H1540</f>
        <v>0.3408769448</v>
      </c>
      <c r="U388" s="16">
        <f t="shared" si="9"/>
        <v>-2.149019625</v>
      </c>
      <c r="V388" s="5" t="b">
        <f t="shared" si="10"/>
        <v>1</v>
      </c>
      <c r="W388" s="5">
        <f t="shared" si="11"/>
        <v>2.381066747</v>
      </c>
      <c r="X388" s="5">
        <f t="shared" si="12"/>
        <v>0.9008812969</v>
      </c>
      <c r="Y388" s="5">
        <f t="shared" si="13"/>
        <v>2.149019625</v>
      </c>
      <c r="Z388" s="10">
        <f>MIN(1,MAX(0,(5.3914776420524+0.021102849201698*'Precinct Vote Data'!I1541*100+(-5.72594740176815)*1+0.927016741366831*(O388*100))/100))</f>
        <v>0.3075238344</v>
      </c>
      <c r="AA388" s="16">
        <f t="shared" si="14"/>
        <v>-2.43442975</v>
      </c>
      <c r="AB388" s="5" t="b">
        <f t="shared" si="15"/>
        <v>1</v>
      </c>
      <c r="AC388" s="5">
        <f t="shared" si="16"/>
        <v>2.43442975</v>
      </c>
    </row>
    <row r="389" ht="15.0" customHeight="1">
      <c r="A389" s="5" t="s">
        <v>327</v>
      </c>
      <c r="B389" s="5" t="s">
        <v>373</v>
      </c>
      <c r="C389" s="5" t="s">
        <v>237</v>
      </c>
      <c r="D389" s="10">
        <f t="shared" si="1"/>
        <v>0.3057763019</v>
      </c>
      <c r="E389" s="10">
        <f>'Precinct Vote Data'!H1545</f>
        <v>0.3552123552</v>
      </c>
      <c r="F389" s="16">
        <f t="shared" si="2"/>
        <v>-4.943605331</v>
      </c>
      <c r="G389" s="10">
        <f t="shared" si="3"/>
        <v>0.3350515464</v>
      </c>
      <c r="H389" s="16">
        <f t="shared" si="4"/>
        <v>-2.016080882</v>
      </c>
      <c r="I389" s="5" t="b">
        <f t="shared" si="5"/>
        <v>1</v>
      </c>
      <c r="J389" s="5" t="b">
        <f t="shared" si="6"/>
        <v>1</v>
      </c>
      <c r="K389" s="15">
        <f t="shared" si="7"/>
        <v>1.511398582</v>
      </c>
      <c r="L389" s="10">
        <f t="shared" si="8"/>
        <v>0.3060753759</v>
      </c>
      <c r="M389" s="10">
        <f>'Precinct Vote Data'!H1542</f>
        <v>0.3734939759</v>
      </c>
      <c r="N389" s="10">
        <f>'Precinct Vote Data'!H1543</f>
        <v>0.3241106719</v>
      </c>
      <c r="O389" s="10">
        <f>'Precinct Vote Data'!H1544</f>
        <v>0.3350515464</v>
      </c>
      <c r="U389" s="16">
        <f t="shared" si="9"/>
        <v>-4.913697928</v>
      </c>
      <c r="V389" s="5" t="b">
        <f t="shared" si="10"/>
        <v>1</v>
      </c>
      <c r="W389" s="5">
        <f t="shared" si="11"/>
        <v>4.943605331</v>
      </c>
      <c r="X389" s="5">
        <f t="shared" si="12"/>
        <v>2.016080882</v>
      </c>
      <c r="Y389" s="5">
        <f t="shared" si="13"/>
        <v>4.913697928</v>
      </c>
      <c r="Z389" s="10">
        <f>MIN(1,MAX(0,(5.3914776420524+0.021102849201698*'Precinct Vote Data'!I1545*100+(-5.72594740176815)*1+0.927016741366831*(O389*100))/100))</f>
        <v>0.3024232529</v>
      </c>
      <c r="AA389" s="16">
        <f t="shared" si="14"/>
        <v>-5.278910227</v>
      </c>
      <c r="AB389" s="5" t="b">
        <f t="shared" si="15"/>
        <v>1</v>
      </c>
      <c r="AC389" s="5">
        <f t="shared" si="16"/>
        <v>5.278910227</v>
      </c>
    </row>
    <row r="390" ht="15.0" customHeight="1">
      <c r="A390" s="5" t="s">
        <v>327</v>
      </c>
      <c r="B390" s="5" t="s">
        <v>374</v>
      </c>
      <c r="C390" s="5" t="s">
        <v>238</v>
      </c>
      <c r="D390" s="10">
        <f t="shared" si="1"/>
        <v>0.3509196917</v>
      </c>
      <c r="E390" s="10">
        <f>'Precinct Vote Data'!H1549</f>
        <v>0.365720524</v>
      </c>
      <c r="F390" s="16">
        <f t="shared" si="2"/>
        <v>-1.480083232</v>
      </c>
      <c r="G390" s="10">
        <f t="shared" si="3"/>
        <v>0.3816568047</v>
      </c>
      <c r="H390" s="16">
        <f t="shared" si="4"/>
        <v>1.593628072</v>
      </c>
      <c r="I390" s="5" t="b">
        <f t="shared" si="5"/>
        <v>1</v>
      </c>
      <c r="J390" s="5" t="b">
        <f t="shared" si="6"/>
        <v>1</v>
      </c>
      <c r="K390" s="15">
        <f t="shared" si="7"/>
        <v>1.610234956</v>
      </c>
      <c r="L390" s="10">
        <f t="shared" si="8"/>
        <v>0.3507857671</v>
      </c>
      <c r="M390" s="10">
        <f>'Precinct Vote Data'!H1546</f>
        <v>0.4204152249</v>
      </c>
      <c r="N390" s="10">
        <f>'Precinct Vote Data'!H1547</f>
        <v>0.366962306</v>
      </c>
      <c r="O390" s="10">
        <f>'Precinct Vote Data'!H1548</f>
        <v>0.3816568047</v>
      </c>
      <c r="U390" s="16">
        <f t="shared" si="9"/>
        <v>-1.493475696</v>
      </c>
      <c r="V390" s="5" t="b">
        <f t="shared" si="10"/>
        <v>1</v>
      </c>
      <c r="W390" s="5">
        <f t="shared" si="11"/>
        <v>1.480083232</v>
      </c>
      <c r="X390" s="5">
        <f t="shared" si="12"/>
        <v>1.593628072</v>
      </c>
      <c r="Y390" s="5">
        <f t="shared" si="13"/>
        <v>1.493475696</v>
      </c>
      <c r="Z390" s="10">
        <f>MIN(1,MAX(0,(5.3914776420524+0.021102849201698*'Precinct Vote Data'!I1549*100+(-5.72594740176815)*1+0.927016741366831*(O390*100))/100))</f>
        <v>0.3477943703</v>
      </c>
      <c r="AA390" s="16">
        <f t="shared" si="14"/>
        <v>-1.792615374</v>
      </c>
      <c r="AB390" s="5" t="b">
        <f t="shared" si="15"/>
        <v>1</v>
      </c>
      <c r="AC390" s="5">
        <f t="shared" si="16"/>
        <v>1.792615374</v>
      </c>
    </row>
    <row r="391" ht="15.0" customHeight="1">
      <c r="A391" s="5" t="s">
        <v>327</v>
      </c>
      <c r="B391" s="5" t="s">
        <v>375</v>
      </c>
      <c r="C391" s="5" t="s">
        <v>239</v>
      </c>
      <c r="D391" s="10">
        <f t="shared" si="1"/>
        <v>0.3856601597</v>
      </c>
      <c r="E391" s="10">
        <f>'Precinct Vote Data'!H1553</f>
        <v>0.4046242775</v>
      </c>
      <c r="F391" s="16">
        <f t="shared" si="2"/>
        <v>-1.896411779</v>
      </c>
      <c r="G391" s="10">
        <f t="shared" si="3"/>
        <v>0.4134366925</v>
      </c>
      <c r="H391" s="16">
        <f t="shared" si="4"/>
        <v>0.881241505</v>
      </c>
      <c r="I391" s="5" t="b">
        <f t="shared" si="5"/>
        <v>1</v>
      </c>
      <c r="J391" s="5" t="b">
        <f t="shared" si="6"/>
        <v>1</v>
      </c>
      <c r="K391" s="15">
        <f t="shared" si="7"/>
        <v>1.400249531</v>
      </c>
      <c r="L391" s="10">
        <f t="shared" si="8"/>
        <v>0.3865914449</v>
      </c>
      <c r="M391" s="10">
        <f>'Precinct Vote Data'!H1550</f>
        <v>0.4522292994</v>
      </c>
      <c r="N391" s="10">
        <f>'Precinct Vote Data'!H1551</f>
        <v>0.4076923077</v>
      </c>
      <c r="O391" s="10">
        <f>'Precinct Vote Data'!H1552</f>
        <v>0.4134366925</v>
      </c>
      <c r="U391" s="16">
        <f t="shared" si="9"/>
        <v>-1.803283251</v>
      </c>
      <c r="V391" s="5" t="b">
        <f t="shared" si="10"/>
        <v>1</v>
      </c>
      <c r="W391" s="5">
        <f t="shared" si="11"/>
        <v>1.896411779</v>
      </c>
      <c r="X391" s="5">
        <f t="shared" si="12"/>
        <v>0.881241505</v>
      </c>
      <c r="Y391" s="5">
        <f t="shared" si="13"/>
        <v>1.803283251</v>
      </c>
      <c r="Z391" s="10">
        <f>MIN(1,MAX(0,(5.3914776420524+0.021102849201698*'Precinct Vote Data'!I1553*100+(-5.72594740176815)*1+0.927016741366831*(O391*100))/100))</f>
        <v>0.3779997889</v>
      </c>
      <c r="AA391" s="16">
        <f t="shared" si="14"/>
        <v>-2.66244886</v>
      </c>
      <c r="AB391" s="5" t="b">
        <f t="shared" si="15"/>
        <v>1</v>
      </c>
      <c r="AC391" s="5">
        <f t="shared" si="16"/>
        <v>2.66244886</v>
      </c>
    </row>
    <row r="392" ht="15.0" customHeight="1">
      <c r="A392" s="5" t="s">
        <v>327</v>
      </c>
      <c r="B392" s="5" t="s">
        <v>376</v>
      </c>
      <c r="C392" s="5" t="s">
        <v>240</v>
      </c>
      <c r="D392" s="10">
        <f t="shared" si="1"/>
        <v>0.4248202924</v>
      </c>
      <c r="E392" s="10">
        <f>'Precinct Vote Data'!H1557</f>
        <v>0.4195183777</v>
      </c>
      <c r="F392" s="16">
        <f t="shared" si="2"/>
        <v>0.5301914741</v>
      </c>
      <c r="G392" s="10">
        <f t="shared" si="3"/>
        <v>0.4331550802</v>
      </c>
      <c r="H392" s="16">
        <f t="shared" si="4"/>
        <v>1.363670252</v>
      </c>
      <c r="I392" s="5" t="b">
        <f t="shared" si="5"/>
        <v>1</v>
      </c>
      <c r="J392" s="5" t="b">
        <f t="shared" si="6"/>
        <v>1</v>
      </c>
      <c r="K392" s="15">
        <f t="shared" si="7"/>
        <v>0.6144468251</v>
      </c>
      <c r="L392" s="10">
        <f t="shared" si="8"/>
        <v>0.4213750533</v>
      </c>
      <c r="M392" s="10">
        <f>'Precinct Vote Data'!H1554</f>
        <v>0.4314606742</v>
      </c>
      <c r="N392" s="10">
        <f>'Precinct Vote Data'!H1555</f>
        <v>0.4047619048</v>
      </c>
      <c r="O392" s="10">
        <f>'Precinct Vote Data'!H1556</f>
        <v>0.4331550802</v>
      </c>
      <c r="U392" s="16">
        <f t="shared" si="9"/>
        <v>0.1856675626</v>
      </c>
      <c r="V392" s="5" t="b">
        <f t="shared" si="10"/>
        <v>1</v>
      </c>
      <c r="W392" s="5">
        <f t="shared" si="11"/>
        <v>0.5301914741</v>
      </c>
      <c r="X392" s="5">
        <f t="shared" si="12"/>
        <v>1.363670252</v>
      </c>
      <c r="Y392" s="5">
        <f t="shared" si="13"/>
        <v>0.1856675626</v>
      </c>
      <c r="Z392" s="10">
        <f>MIN(1,MAX(0,(5.3914776420524+0.021102849201698*'Precinct Vote Data'!I1557*100+(-5.72594740176815)*1+0.927016741366831*(O392*100))/100))</f>
        <v>0.3963276009</v>
      </c>
      <c r="AA392" s="16">
        <f t="shared" si="14"/>
        <v>-2.319077676</v>
      </c>
      <c r="AB392" s="5" t="b">
        <f t="shared" si="15"/>
        <v>1</v>
      </c>
      <c r="AC392" s="5">
        <f t="shared" si="16"/>
        <v>2.319077676</v>
      </c>
    </row>
    <row r="393" ht="15.0" customHeight="1">
      <c r="A393" s="5" t="s">
        <v>327</v>
      </c>
      <c r="B393" s="5" t="s">
        <v>377</v>
      </c>
      <c r="C393" s="5" t="s">
        <v>241</v>
      </c>
      <c r="D393" s="10">
        <f t="shared" si="1"/>
        <v>0.26485987</v>
      </c>
      <c r="E393" s="10">
        <f>'Precinct Vote Data'!H1561</f>
        <v>0.2915479582</v>
      </c>
      <c r="F393" s="16">
        <f t="shared" si="2"/>
        <v>-2.668808822</v>
      </c>
      <c r="G393" s="10">
        <f t="shared" si="3"/>
        <v>0.2919179735</v>
      </c>
      <c r="H393" s="16">
        <f t="shared" si="4"/>
        <v>0.03700152474</v>
      </c>
      <c r="I393" s="5" t="b">
        <f t="shared" si="5"/>
        <v>1</v>
      </c>
      <c r="J393" s="5" t="b">
        <f t="shared" si="6"/>
        <v>1</v>
      </c>
      <c r="K393" s="15">
        <f t="shared" si="7"/>
        <v>1.435197511</v>
      </c>
      <c r="L393" s="10">
        <f t="shared" si="8"/>
        <v>0.2644027116</v>
      </c>
      <c r="M393" s="10">
        <f>'Precinct Vote Data'!H1558</f>
        <v>0.324822695</v>
      </c>
      <c r="N393" s="10">
        <f>'Precinct Vote Data'!H1559</f>
        <v>0.2765531062</v>
      </c>
      <c r="O393" s="10">
        <f>'Precinct Vote Data'!H1560</f>
        <v>0.2919179735</v>
      </c>
      <c r="U393" s="16">
        <f t="shared" si="9"/>
        <v>-2.714524659</v>
      </c>
      <c r="V393" s="5" t="b">
        <f t="shared" si="10"/>
        <v>1</v>
      </c>
      <c r="W393" s="5">
        <f t="shared" si="11"/>
        <v>2.668808822</v>
      </c>
      <c r="X393" s="5">
        <f t="shared" si="12"/>
        <v>0.03700152474</v>
      </c>
      <c r="Y393" s="5">
        <f t="shared" si="13"/>
        <v>2.714524659</v>
      </c>
      <c r="Z393" s="10">
        <f>MIN(1,MAX(0,(5.3914776420524+0.021102849201698*'Precinct Vote Data'!I1561*100+(-5.72594740176815)*1+0.927016741366831*(O393*100))/100))</f>
        <v>0.2598927051</v>
      </c>
      <c r="AA393" s="16">
        <f t="shared" si="14"/>
        <v>-3.16552531</v>
      </c>
      <c r="AB393" s="5" t="b">
        <f t="shared" si="15"/>
        <v>1</v>
      </c>
      <c r="AC393" s="5">
        <f t="shared" si="16"/>
        <v>3.16552531</v>
      </c>
    </row>
    <row r="394" ht="15.0" customHeight="1">
      <c r="A394" s="5" t="s">
        <v>327</v>
      </c>
      <c r="B394" s="5" t="s">
        <v>377</v>
      </c>
      <c r="C394" s="5" t="s">
        <v>242</v>
      </c>
      <c r="D394" s="10">
        <f t="shared" si="1"/>
        <v>0.2957169534</v>
      </c>
      <c r="E394" s="10">
        <f>'Precinct Vote Data'!H1565</f>
        <v>0.3226703755</v>
      </c>
      <c r="F394" s="16">
        <f t="shared" si="2"/>
        <v>-2.695342207</v>
      </c>
      <c r="G394" s="10">
        <f t="shared" si="3"/>
        <v>0.3299319728</v>
      </c>
      <c r="H394" s="16">
        <f t="shared" si="4"/>
        <v>0.7261597268</v>
      </c>
      <c r="I394" s="5" t="b">
        <f t="shared" si="5"/>
        <v>1</v>
      </c>
      <c r="J394" s="5" t="b">
        <f t="shared" si="6"/>
        <v>1</v>
      </c>
      <c r="K394" s="15">
        <f t="shared" si="7"/>
        <v>1.71440702</v>
      </c>
      <c r="L394" s="10">
        <f t="shared" si="8"/>
        <v>0.2970637733</v>
      </c>
      <c r="M394" s="10">
        <f>'Precinct Vote Data'!H1562</f>
        <v>0.3784313725</v>
      </c>
      <c r="N394" s="10">
        <f>'Precinct Vote Data'!H1563</f>
        <v>0.3242857143</v>
      </c>
      <c r="O394" s="10">
        <f>'Precinct Vote Data'!H1564</f>
        <v>0.3299319728</v>
      </c>
      <c r="U394" s="16">
        <f t="shared" si="9"/>
        <v>-2.560660219</v>
      </c>
      <c r="V394" s="5" t="b">
        <f t="shared" si="10"/>
        <v>1</v>
      </c>
      <c r="W394" s="5">
        <f t="shared" si="11"/>
        <v>2.695342207</v>
      </c>
      <c r="X394" s="5">
        <f t="shared" si="12"/>
        <v>0.7261597268</v>
      </c>
      <c r="Y394" s="5">
        <f t="shared" si="13"/>
        <v>2.560660219</v>
      </c>
      <c r="Z394" s="10">
        <f>MIN(1,MAX(0,(5.3914776420524+0.021102849201698*'Precinct Vote Data'!I1565*100+(-5.72594740176815)*1+0.927016741366831*(O394*100))/100))</f>
        <v>0.2961241528</v>
      </c>
      <c r="AA394" s="16">
        <f t="shared" si="14"/>
        <v>-2.654622271</v>
      </c>
      <c r="AB394" s="5" t="b">
        <f t="shared" si="15"/>
        <v>1</v>
      </c>
      <c r="AC394" s="5">
        <f t="shared" si="16"/>
        <v>2.654622271</v>
      </c>
    </row>
    <row r="395" ht="15.0" customHeight="1">
      <c r="A395" s="5" t="s">
        <v>327</v>
      </c>
      <c r="B395" s="5" t="s">
        <v>377</v>
      </c>
      <c r="C395" s="5" t="s">
        <v>243</v>
      </c>
      <c r="D395" s="10">
        <f t="shared" si="1"/>
        <v>0.2629726483</v>
      </c>
      <c r="E395" s="10">
        <f>'Precinct Vote Data'!H1569</f>
        <v>0.2705167173</v>
      </c>
      <c r="F395" s="16">
        <f t="shared" si="2"/>
        <v>-0.7544069019</v>
      </c>
      <c r="G395" s="10">
        <f t="shared" si="3"/>
        <v>0.2966601179</v>
      </c>
      <c r="H395" s="16">
        <f t="shared" si="4"/>
        <v>2.614340055</v>
      </c>
      <c r="I395" s="5" t="b">
        <f t="shared" si="5"/>
        <v>1</v>
      </c>
      <c r="J395" s="5" t="b">
        <f t="shared" si="6"/>
        <v>1</v>
      </c>
      <c r="K395" s="15">
        <f t="shared" si="7"/>
        <v>1.752972563</v>
      </c>
      <c r="L395" s="10">
        <f t="shared" si="8"/>
        <v>0.2630525491</v>
      </c>
      <c r="M395" s="10">
        <f>'Precinct Vote Data'!H1566</f>
        <v>0.3399503722</v>
      </c>
      <c r="N395" s="10">
        <f>'Precinct Vote Data'!H1567</f>
        <v>0.2821782178</v>
      </c>
      <c r="O395" s="10">
        <f>'Precinct Vote Data'!H1568</f>
        <v>0.2966601179</v>
      </c>
      <c r="U395" s="16">
        <f t="shared" si="9"/>
        <v>-0.7464168224</v>
      </c>
      <c r="V395" s="5" t="b">
        <f t="shared" si="10"/>
        <v>1</v>
      </c>
      <c r="W395" s="5">
        <f t="shared" si="11"/>
        <v>0.7544069019</v>
      </c>
      <c r="X395" s="5">
        <f t="shared" si="12"/>
        <v>2.614340055</v>
      </c>
      <c r="Y395" s="5">
        <f t="shared" si="13"/>
        <v>0.7464168224</v>
      </c>
      <c r="Z395" s="10">
        <f>MIN(1,MAX(0,(5.3914776420524+0.021102849201698*'Precinct Vote Data'!I1569*100+(-5.72594740176815)*1+0.927016741366831*(O395*100))/100))</f>
        <v>0.2649830361</v>
      </c>
      <c r="AA395" s="16">
        <f t="shared" si="14"/>
        <v>-0.5533681211</v>
      </c>
      <c r="AB395" s="5" t="b">
        <f t="shared" si="15"/>
        <v>1</v>
      </c>
      <c r="AC395" s="5">
        <f t="shared" si="16"/>
        <v>0.5533681211</v>
      </c>
    </row>
    <row r="396" ht="15.0" customHeight="1">
      <c r="A396" s="5" t="s">
        <v>327</v>
      </c>
      <c r="B396" s="5" t="s">
        <v>377</v>
      </c>
      <c r="C396" s="5" t="s">
        <v>245</v>
      </c>
      <c r="D396" s="10">
        <f t="shared" si="1"/>
        <v>0.3295480415</v>
      </c>
      <c r="E396" s="10">
        <f>'Precinct Vote Data'!H1573</f>
        <v>0.2950819672</v>
      </c>
      <c r="F396" s="16">
        <f t="shared" si="2"/>
        <v>3.446607432</v>
      </c>
      <c r="G396" s="10">
        <f t="shared" si="3"/>
        <v>0.3389473684</v>
      </c>
      <c r="H396" s="16">
        <f t="shared" si="4"/>
        <v>4.386540121</v>
      </c>
      <c r="I396" s="5" t="b">
        <f t="shared" si="5"/>
        <v>1</v>
      </c>
      <c r="J396" s="5" t="b">
        <f t="shared" si="6"/>
        <v>1</v>
      </c>
      <c r="K396" s="15">
        <f t="shared" si="7"/>
        <v>0.5128318936</v>
      </c>
      <c r="L396" s="10">
        <f t="shared" si="8"/>
        <v>0.3291154786</v>
      </c>
      <c r="M396" s="10">
        <f>'Precinct Vote Data'!H1570</f>
        <v>0.3493975904</v>
      </c>
      <c r="N396" s="10">
        <f>'Precinct Vote Data'!H1571</f>
        <v>0.3316498316</v>
      </c>
      <c r="O396" s="10">
        <f>'Precinct Vote Data'!H1572</f>
        <v>0.3389473684</v>
      </c>
      <c r="U396" s="16">
        <f t="shared" si="9"/>
        <v>3.403351136</v>
      </c>
      <c r="V396" s="5" t="b">
        <f t="shared" si="10"/>
        <v>1</v>
      </c>
      <c r="W396" s="5">
        <f t="shared" si="11"/>
        <v>3.446607432</v>
      </c>
      <c r="X396" s="5">
        <f t="shared" si="12"/>
        <v>4.386540121</v>
      </c>
      <c r="Y396" s="5">
        <f t="shared" si="13"/>
        <v>3.403351136</v>
      </c>
      <c r="Z396" s="10">
        <f>MIN(1,MAX(0,(5.3914776420524+0.021102849201698*'Precinct Vote Data'!I1573*100+(-5.72594740176815)*1+0.927016741366831*(O396*100))/100))</f>
        <v>0.3032850439</v>
      </c>
      <c r="AA396" s="16">
        <f t="shared" si="14"/>
        <v>0.8203076725</v>
      </c>
      <c r="AB396" s="5" t="b">
        <f t="shared" si="15"/>
        <v>1</v>
      </c>
      <c r="AC396" s="5">
        <f t="shared" si="16"/>
        <v>0.8203076725</v>
      </c>
    </row>
    <row r="397" ht="15.0" customHeight="1">
      <c r="A397" s="5" t="s">
        <v>327</v>
      </c>
      <c r="B397" s="5" t="s">
        <v>377</v>
      </c>
      <c r="C397" s="5" t="s">
        <v>246</v>
      </c>
      <c r="D397" s="10">
        <f t="shared" si="1"/>
        <v>0.3693293796</v>
      </c>
      <c r="E397" s="10">
        <f>'Precinct Vote Data'!H1577</f>
        <v>0.3758169935</v>
      </c>
      <c r="F397" s="16">
        <f t="shared" si="2"/>
        <v>-0.6487613828</v>
      </c>
      <c r="G397" s="10">
        <f t="shared" si="3"/>
        <v>0.3895027624</v>
      </c>
      <c r="H397" s="16">
        <f t="shared" si="4"/>
        <v>1.368576897</v>
      </c>
      <c r="I397" s="5" t="b">
        <f t="shared" si="5"/>
        <v>1</v>
      </c>
      <c r="J397" s="5" t="b">
        <f t="shared" si="6"/>
        <v>1</v>
      </c>
      <c r="K397" s="15">
        <f t="shared" si="7"/>
        <v>1.143087457</v>
      </c>
      <c r="L397" s="10">
        <f t="shared" si="8"/>
        <v>0.3675877644</v>
      </c>
      <c r="M397" s="10">
        <f>'Precinct Vote Data'!H1574</f>
        <v>0.4090202177</v>
      </c>
      <c r="N397" s="10">
        <f>'Precinct Vote Data'!H1575</f>
        <v>0.3680175246</v>
      </c>
      <c r="O397" s="10">
        <f>'Precinct Vote Data'!H1576</f>
        <v>0.3895027624</v>
      </c>
      <c r="U397" s="16">
        <f t="shared" si="9"/>
        <v>-0.8229229093</v>
      </c>
      <c r="V397" s="5" t="b">
        <f t="shared" si="10"/>
        <v>1</v>
      </c>
      <c r="W397" s="5">
        <f t="shared" si="11"/>
        <v>0.6487613828</v>
      </c>
      <c r="X397" s="5">
        <f t="shared" si="12"/>
        <v>1.368576897</v>
      </c>
      <c r="Y397" s="5">
        <f t="shared" si="13"/>
        <v>0.8229229093</v>
      </c>
      <c r="Z397" s="10">
        <f>MIN(1,MAX(0,(5.3914776420524+0.021102849201698*'Precinct Vote Data'!I1577*100+(-5.72594740176815)*1+0.927016741366831*(O397*100))/100))</f>
        <v>0.353531417</v>
      </c>
      <c r="AA397" s="16">
        <f t="shared" si="14"/>
        <v>-2.228557647</v>
      </c>
      <c r="AB397" s="5" t="b">
        <f t="shared" si="15"/>
        <v>1</v>
      </c>
      <c r="AC397" s="5">
        <f t="shared" si="16"/>
        <v>2.228557647</v>
      </c>
    </row>
    <row r="398" ht="15.0" customHeight="1">
      <c r="A398" s="5" t="s">
        <v>327</v>
      </c>
      <c r="B398" s="5" t="s">
        <v>378</v>
      </c>
      <c r="C398" s="5" t="s">
        <v>247</v>
      </c>
      <c r="D398" s="10">
        <f t="shared" si="1"/>
        <v>0.4952100945</v>
      </c>
      <c r="E398" s="10">
        <f>'Precinct Vote Data'!H1581</f>
        <v>0.4773227653</v>
      </c>
      <c r="F398" s="16">
        <f t="shared" si="2"/>
        <v>1.788732916</v>
      </c>
      <c r="G398" s="10">
        <f t="shared" si="3"/>
        <v>0.5077092511</v>
      </c>
      <c r="H398" s="16">
        <f t="shared" si="4"/>
        <v>3.03864858</v>
      </c>
      <c r="I398" s="5" t="b">
        <f t="shared" si="5"/>
        <v>1</v>
      </c>
      <c r="J398" s="5" t="b">
        <f t="shared" si="6"/>
        <v>0</v>
      </c>
      <c r="K398" s="15">
        <f t="shared" si="7"/>
        <v>0.9808750241</v>
      </c>
      <c r="L398" s="10">
        <f t="shared" si="8"/>
        <v>0.4889041508</v>
      </c>
      <c r="M398" s="10">
        <f>'Precinct Vote Data'!H1578</f>
        <v>0.5010893246</v>
      </c>
      <c r="N398" s="10">
        <f>'Precinct Vote Data'!H1579</f>
        <v>0.4569719282</v>
      </c>
      <c r="O398" s="10">
        <f>'Precinct Vote Data'!H1580</f>
        <v>0.5077092511</v>
      </c>
      <c r="U398" s="16">
        <f t="shared" si="9"/>
        <v>1.158138552</v>
      </c>
      <c r="V398" s="5" t="b">
        <f t="shared" si="10"/>
        <v>1</v>
      </c>
      <c r="W398" s="5">
        <f t="shared" si="11"/>
        <v>1.788732916</v>
      </c>
      <c r="X398" s="5">
        <f t="shared" si="12"/>
        <v>3.03864858</v>
      </c>
      <c r="Y398" s="5">
        <f t="shared" si="13"/>
        <v>1.158138552</v>
      </c>
      <c r="Z398" s="10">
        <f>MIN(1,MAX(0,(5.3914776420524+0.021102849201698*'Precinct Vote Data'!I1581*100+(-5.72594740176815)*1+0.927016741366831*(O398*100))/100))</f>
        <v>0.4660419967</v>
      </c>
      <c r="AA398" s="16">
        <f t="shared" si="14"/>
        <v>-1.128076862</v>
      </c>
      <c r="AB398" s="5" t="b">
        <f t="shared" si="15"/>
        <v>1</v>
      </c>
      <c r="AC398" s="5">
        <f t="shared" si="16"/>
        <v>1.128076862</v>
      </c>
    </row>
    <row r="399" ht="15.0" customHeight="1">
      <c r="A399" s="5" t="s">
        <v>327</v>
      </c>
      <c r="B399" s="5" t="s">
        <v>378</v>
      </c>
      <c r="C399" s="5" t="s">
        <v>248</v>
      </c>
      <c r="D399" s="10">
        <f t="shared" si="1"/>
        <v>0.4727116403</v>
      </c>
      <c r="E399" s="10">
        <f>'Precinct Vote Data'!H1585</f>
        <v>0.4782608696</v>
      </c>
      <c r="F399" s="16">
        <f t="shared" si="2"/>
        <v>-0.5549229283</v>
      </c>
      <c r="G399" s="10">
        <f t="shared" si="3"/>
        <v>0.4847809948</v>
      </c>
      <c r="H399" s="16">
        <f t="shared" si="4"/>
        <v>0.6520125238</v>
      </c>
      <c r="I399" s="5" t="b">
        <f t="shared" si="5"/>
        <v>1</v>
      </c>
      <c r="J399" s="5" t="b">
        <f t="shared" si="6"/>
        <v>1</v>
      </c>
      <c r="K399" s="15">
        <f t="shared" si="7"/>
        <v>0.6577081344</v>
      </c>
      <c r="L399" s="10">
        <f t="shared" si="8"/>
        <v>0.4721715725</v>
      </c>
      <c r="M399" s="10">
        <f>'Precinct Vote Data'!H1582</f>
        <v>0.4982547993</v>
      </c>
      <c r="N399" s="10">
        <f>'Precinct Vote Data'!H1583</f>
        <v>0.4755205402</v>
      </c>
      <c r="O399" s="10">
        <f>'Precinct Vote Data'!H1584</f>
        <v>0.4847809948</v>
      </c>
      <c r="U399" s="16">
        <f t="shared" si="9"/>
        <v>-0.6089297083</v>
      </c>
      <c r="V399" s="5" t="b">
        <f t="shared" si="10"/>
        <v>1</v>
      </c>
      <c r="W399" s="5">
        <f t="shared" si="11"/>
        <v>0.5549229283</v>
      </c>
      <c r="X399" s="5">
        <f t="shared" si="12"/>
        <v>0.6520125238</v>
      </c>
      <c r="Y399" s="5">
        <f t="shared" si="13"/>
        <v>0.6089297083</v>
      </c>
      <c r="Z399" s="10">
        <f>MIN(1,MAX(0,(5.3914776420524+0.021102849201698*'Precinct Vote Data'!I1585*100+(-5.72594740176815)*1+0.927016741366831*(O399*100))/100))</f>
        <v>0.4449580523</v>
      </c>
      <c r="AA399" s="16">
        <f t="shared" si="14"/>
        <v>-3.330281724</v>
      </c>
      <c r="AB399" s="5" t="b">
        <f t="shared" si="15"/>
        <v>1</v>
      </c>
      <c r="AC399" s="5">
        <f t="shared" si="16"/>
        <v>3.330281724</v>
      </c>
    </row>
    <row r="400" ht="15.0" customHeight="1">
      <c r="A400" s="5" t="s">
        <v>327</v>
      </c>
      <c r="B400" s="5" t="s">
        <v>379</v>
      </c>
      <c r="C400" s="5" t="s">
        <v>254</v>
      </c>
      <c r="D400" s="10">
        <f t="shared" si="1"/>
        <v>0.4094982109</v>
      </c>
      <c r="E400" s="10">
        <f>'Precinct Vote Data'!H1589</f>
        <v>0.3873370577</v>
      </c>
      <c r="F400" s="16">
        <f t="shared" si="2"/>
        <v>2.216115321</v>
      </c>
      <c r="G400" s="10">
        <f t="shared" si="3"/>
        <v>0.4212707182</v>
      </c>
      <c r="H400" s="16">
        <f t="shared" si="4"/>
        <v>3.39336605</v>
      </c>
      <c r="I400" s="5" t="b">
        <f t="shared" si="5"/>
        <v>1</v>
      </c>
      <c r="J400" s="5" t="b">
        <f t="shared" si="6"/>
        <v>1</v>
      </c>
      <c r="K400" s="15">
        <f t="shared" si="7"/>
        <v>0.8387687175</v>
      </c>
      <c r="L400" s="10">
        <f t="shared" si="8"/>
        <v>0.4051900459</v>
      </c>
      <c r="M400" s="10">
        <f>'Precinct Vote Data'!H1586</f>
        <v>0.4208754209</v>
      </c>
      <c r="N400" s="10">
        <f>'Precinct Vote Data'!H1587</f>
        <v>0.3851626016</v>
      </c>
      <c r="O400" s="10">
        <f>'Precinct Vote Data'!H1588</f>
        <v>0.4212707182</v>
      </c>
      <c r="U400" s="16">
        <f t="shared" si="9"/>
        <v>1.785298819</v>
      </c>
      <c r="V400" s="5" t="b">
        <f t="shared" si="10"/>
        <v>1</v>
      </c>
      <c r="W400" s="5">
        <f t="shared" si="11"/>
        <v>2.216115321</v>
      </c>
      <c r="X400" s="5">
        <f t="shared" si="12"/>
        <v>3.39336605</v>
      </c>
      <c r="Y400" s="5">
        <f t="shared" si="13"/>
        <v>1.785298819</v>
      </c>
      <c r="Z400" s="10">
        <f>MIN(1,MAX(0,(5.3914776420524+0.021102849201698*'Precinct Vote Data'!I1589*100+(-5.72594740176815)*1+0.927016741366831*(O400*100))/100))</f>
        <v>0.3842786691</v>
      </c>
      <c r="AA400" s="16">
        <f t="shared" si="14"/>
        <v>-0.3058388642</v>
      </c>
      <c r="AB400" s="5" t="b">
        <f t="shared" si="15"/>
        <v>1</v>
      </c>
      <c r="AC400" s="5">
        <f t="shared" si="16"/>
        <v>0.3058388642</v>
      </c>
    </row>
    <row r="401" ht="15.0" customHeight="1">
      <c r="A401" s="5" t="s">
        <v>327</v>
      </c>
      <c r="B401" s="5" t="s">
        <v>263</v>
      </c>
      <c r="C401" s="5" t="s">
        <v>255</v>
      </c>
      <c r="D401" s="10">
        <f t="shared" si="1"/>
        <v>0.3215317984</v>
      </c>
      <c r="E401" s="10">
        <f>'Precinct Vote Data'!H1593</f>
        <v>0.328476017</v>
      </c>
      <c r="F401" s="16">
        <f t="shared" si="2"/>
        <v>-0.6944218591</v>
      </c>
      <c r="G401" s="10">
        <f t="shared" si="3"/>
        <v>0.3492769744</v>
      </c>
      <c r="H401" s="16">
        <f t="shared" si="4"/>
        <v>2.080095742</v>
      </c>
      <c r="I401" s="5" t="b">
        <f t="shared" si="5"/>
        <v>1</v>
      </c>
      <c r="J401" s="5" t="b">
        <f t="shared" si="6"/>
        <v>1</v>
      </c>
      <c r="K401" s="15">
        <f t="shared" si="7"/>
        <v>1.421484344</v>
      </c>
      <c r="L401" s="10">
        <f t="shared" si="8"/>
        <v>0.3220246181</v>
      </c>
      <c r="M401" s="10">
        <f>'Precinct Vote Data'!H1590</f>
        <v>0.3864598025</v>
      </c>
      <c r="N401" s="10">
        <f>'Precinct Vote Data'!H1591</f>
        <v>0.3404071026</v>
      </c>
      <c r="O401" s="10">
        <f>'Precinct Vote Data'!H1592</f>
        <v>0.3492769744</v>
      </c>
      <c r="U401" s="16">
        <f t="shared" si="9"/>
        <v>-0.6451398879</v>
      </c>
      <c r="V401" s="5" t="b">
        <f t="shared" si="10"/>
        <v>1</v>
      </c>
      <c r="W401" s="5">
        <f t="shared" si="11"/>
        <v>0.6944218591</v>
      </c>
      <c r="X401" s="5">
        <f t="shared" si="12"/>
        <v>2.080095742</v>
      </c>
      <c r="Y401" s="5">
        <f t="shared" si="13"/>
        <v>0.6451398879</v>
      </c>
      <c r="Z401" s="10">
        <f>MIN(1,MAX(0,(5.3914776420524+0.021102849201698*'Precinct Vote Data'!I1593*100+(-5.72594740176815)*1+0.927016741366831*(O401*100))/100))</f>
        <v>0.3149879288</v>
      </c>
      <c r="AA401" s="16">
        <f t="shared" si="14"/>
        <v>-1.348808817</v>
      </c>
      <c r="AB401" s="5" t="b">
        <f t="shared" si="15"/>
        <v>1</v>
      </c>
      <c r="AC401" s="5">
        <f t="shared" si="16"/>
        <v>1.348808817</v>
      </c>
    </row>
    <row r="402" ht="15.0" customHeight="1">
      <c r="A402" s="5" t="s">
        <v>327</v>
      </c>
      <c r="B402" s="5" t="s">
        <v>263</v>
      </c>
      <c r="C402" s="5" t="s">
        <v>257</v>
      </c>
      <c r="D402" s="10">
        <f t="shared" si="1"/>
        <v>0.3454855582</v>
      </c>
      <c r="E402" s="10">
        <f>'Precinct Vote Data'!H1597</f>
        <v>0.3373819163</v>
      </c>
      <c r="F402" s="16">
        <f t="shared" si="2"/>
        <v>0.8103641902</v>
      </c>
      <c r="G402" s="10">
        <f t="shared" si="3"/>
        <v>0.3686956522</v>
      </c>
      <c r="H402" s="16">
        <f t="shared" si="4"/>
        <v>3.131373584</v>
      </c>
      <c r="I402" s="5" t="b">
        <f t="shared" si="5"/>
        <v>1</v>
      </c>
      <c r="J402" s="5" t="b">
        <f t="shared" si="6"/>
        <v>1</v>
      </c>
      <c r="K402" s="15">
        <f t="shared" si="7"/>
        <v>1.238735738</v>
      </c>
      <c r="L402" s="10">
        <f t="shared" si="8"/>
        <v>0.3449469082</v>
      </c>
      <c r="M402" s="10">
        <f>'Precinct Vote Data'!H1594</f>
        <v>0.3963963964</v>
      </c>
      <c r="N402" s="10">
        <f>'Precinct Vote Data'!H1595</f>
        <v>0.3544668588</v>
      </c>
      <c r="O402" s="10">
        <f>'Precinct Vote Data'!H1596</f>
        <v>0.3686956522</v>
      </c>
      <c r="U402" s="16">
        <f t="shared" si="9"/>
        <v>0.7564991914</v>
      </c>
      <c r="V402" s="5" t="b">
        <f t="shared" si="10"/>
        <v>1</v>
      </c>
      <c r="W402" s="5">
        <f t="shared" si="11"/>
        <v>0.8103641902</v>
      </c>
      <c r="X402" s="5">
        <f t="shared" si="12"/>
        <v>3.131373584</v>
      </c>
      <c r="Y402" s="5">
        <f t="shared" si="13"/>
        <v>0.7564991914</v>
      </c>
      <c r="Z402" s="10">
        <f>MIN(1,MAX(0,(5.3914776420524+0.021102849201698*'Precinct Vote Data'!I1597*100+(-5.72594740176815)*1+0.927016741366831*(O402*100))/100))</f>
        <v>0.3339326656</v>
      </c>
      <c r="AA402" s="16">
        <f t="shared" si="14"/>
        <v>-0.3449250766</v>
      </c>
      <c r="AB402" s="5" t="b">
        <f t="shared" si="15"/>
        <v>1</v>
      </c>
      <c r="AC402" s="5">
        <f t="shared" si="16"/>
        <v>0.3449250766</v>
      </c>
    </row>
    <row r="403" ht="15.0" customHeight="1">
      <c r="A403" s="5" t="s">
        <v>327</v>
      </c>
      <c r="B403" s="5" t="s">
        <v>380</v>
      </c>
      <c r="C403" s="5" t="s">
        <v>258</v>
      </c>
      <c r="D403" s="10">
        <f t="shared" si="1"/>
        <v>0.4284420857</v>
      </c>
      <c r="E403" s="10">
        <f>'Precinct Vote Data'!H1601</f>
        <v>0.475465313</v>
      </c>
      <c r="F403" s="16">
        <f t="shared" si="2"/>
        <v>-4.702322734</v>
      </c>
      <c r="G403" s="10">
        <f t="shared" si="3"/>
        <v>0.4806763285</v>
      </c>
      <c r="H403" s="16">
        <f t="shared" si="4"/>
        <v>0.5211015474</v>
      </c>
      <c r="I403" s="5" t="b">
        <f t="shared" si="5"/>
        <v>1</v>
      </c>
      <c r="J403" s="5" t="b">
        <f t="shared" si="6"/>
        <v>1</v>
      </c>
      <c r="K403" s="15">
        <f t="shared" si="7"/>
        <v>2.901492648</v>
      </c>
      <c r="L403" s="10">
        <f t="shared" si="8"/>
        <v>0.4250496086</v>
      </c>
      <c r="M403" s="10">
        <f>'Precinct Vote Data'!H1598</f>
        <v>0.5352112676</v>
      </c>
      <c r="N403" s="10">
        <f>'Precinct Vote Data'!H1599</f>
        <v>0.4330434783</v>
      </c>
      <c r="O403" s="10">
        <f>'Precinct Vote Data'!H1600</f>
        <v>0.4806763285</v>
      </c>
      <c r="U403" s="16">
        <f t="shared" si="9"/>
        <v>-5.041570441</v>
      </c>
      <c r="V403" s="5" t="b">
        <f t="shared" si="10"/>
        <v>1</v>
      </c>
      <c r="W403" s="5">
        <f t="shared" si="11"/>
        <v>4.702322734</v>
      </c>
      <c r="X403" s="5">
        <f t="shared" si="12"/>
        <v>0.5211015474</v>
      </c>
      <c r="Y403" s="5">
        <f t="shared" si="13"/>
        <v>5.041570441</v>
      </c>
      <c r="Z403" s="10">
        <f>MIN(1,MAX(0,(5.3914776420524+0.021102849201698*'Precinct Vote Data'!I1601*100+(-5.72594740176815)*1+0.927016741366831*(O403*100))/100))</f>
        <v>0.4428327447</v>
      </c>
      <c r="AA403" s="16">
        <f t="shared" si="14"/>
        <v>-3.263256829</v>
      </c>
      <c r="AB403" s="5" t="b">
        <f t="shared" si="15"/>
        <v>1</v>
      </c>
      <c r="AC403" s="5">
        <f t="shared" si="16"/>
        <v>3.263256829</v>
      </c>
    </row>
    <row r="404" ht="15.0" customHeight="1">
      <c r="A404" s="5" t="s">
        <v>327</v>
      </c>
      <c r="B404" s="5" t="s">
        <v>381</v>
      </c>
      <c r="C404" s="5" t="s">
        <v>259</v>
      </c>
      <c r="D404" s="10">
        <f t="shared" si="1"/>
        <v>0.4077393843</v>
      </c>
      <c r="E404" s="10">
        <f>'Precinct Vote Data'!H1605</f>
        <v>0.4189079055</v>
      </c>
      <c r="F404" s="16">
        <f t="shared" si="2"/>
        <v>-1.116852121</v>
      </c>
      <c r="G404" s="10">
        <f t="shared" si="3"/>
        <v>0.4357142857</v>
      </c>
      <c r="H404" s="16">
        <f t="shared" si="4"/>
        <v>1.680638025</v>
      </c>
      <c r="I404" s="5" t="b">
        <f t="shared" si="5"/>
        <v>1</v>
      </c>
      <c r="J404" s="5" t="b">
        <f t="shared" si="6"/>
        <v>1</v>
      </c>
      <c r="K404" s="15">
        <f t="shared" si="7"/>
        <v>1.586501491</v>
      </c>
      <c r="L404" s="10">
        <f t="shared" si="8"/>
        <v>0.4052982603</v>
      </c>
      <c r="M404" s="10">
        <f>'Precinct Vote Data'!H1602</f>
        <v>0.4626865672</v>
      </c>
      <c r="N404" s="10">
        <f>'Precinct Vote Data'!H1603</f>
        <v>0.4057341442</v>
      </c>
      <c r="O404" s="10">
        <f>'Precinct Vote Data'!H1604</f>
        <v>0.4357142857</v>
      </c>
      <c r="U404" s="16">
        <f t="shared" si="9"/>
        <v>-1.360964514</v>
      </c>
      <c r="V404" s="5" t="b">
        <f t="shared" si="10"/>
        <v>1</v>
      </c>
      <c r="W404" s="5">
        <f t="shared" si="11"/>
        <v>1.116852121</v>
      </c>
      <c r="X404" s="5">
        <f t="shared" si="12"/>
        <v>1.680638025</v>
      </c>
      <c r="Y404" s="5">
        <f t="shared" si="13"/>
        <v>1.360964514</v>
      </c>
      <c r="Z404" s="10">
        <f>MIN(1,MAX(0,(5.3914776420524+0.021102849201698*'Precinct Vote Data'!I1605*100+(-5.72594740176815)*1+0.927016741366831*(O404*100))/100))</f>
        <v>0.3970877696</v>
      </c>
      <c r="AA404" s="16">
        <f t="shared" si="14"/>
        <v>-2.182013587</v>
      </c>
      <c r="AB404" s="5" t="b">
        <f t="shared" si="15"/>
        <v>1</v>
      </c>
      <c r="AC404" s="5">
        <f t="shared" si="16"/>
        <v>2.182013587</v>
      </c>
    </row>
    <row r="405" ht="15.0" customHeight="1">
      <c r="A405" s="5" t="s">
        <v>327</v>
      </c>
      <c r="B405" s="5" t="s">
        <v>381</v>
      </c>
      <c r="C405" s="5" t="s">
        <v>260</v>
      </c>
      <c r="D405" s="10">
        <f t="shared" si="1"/>
        <v>0.3785169937</v>
      </c>
      <c r="E405" s="10">
        <f>'Precinct Vote Data'!H1609</f>
        <v>0.3931544866</v>
      </c>
      <c r="F405" s="16">
        <f t="shared" si="2"/>
        <v>-1.463749285</v>
      </c>
      <c r="G405" s="10">
        <f t="shared" si="3"/>
        <v>0.4</v>
      </c>
      <c r="H405" s="16">
        <f t="shared" si="4"/>
        <v>0.6845513414</v>
      </c>
      <c r="I405" s="5" t="b">
        <f t="shared" si="5"/>
        <v>1</v>
      </c>
      <c r="J405" s="5" t="b">
        <f t="shared" si="6"/>
        <v>1</v>
      </c>
      <c r="K405" s="15">
        <f t="shared" si="7"/>
        <v>1.270351534</v>
      </c>
      <c r="L405" s="10">
        <f t="shared" si="8"/>
        <v>0.3756451256</v>
      </c>
      <c r="M405" s="10">
        <f>'Precinct Vote Data'!H1606</f>
        <v>0.4171428571</v>
      </c>
      <c r="N405" s="10">
        <f>'Precinct Vote Data'!H1607</f>
        <v>0.3698366955</v>
      </c>
      <c r="O405" s="10">
        <f>'Precinct Vote Data'!H1608</f>
        <v>0.4</v>
      </c>
      <c r="U405" s="16">
        <f t="shared" si="9"/>
        <v>-1.750936096</v>
      </c>
      <c r="V405" s="5" t="b">
        <f t="shared" si="10"/>
        <v>1</v>
      </c>
      <c r="W405" s="5">
        <f t="shared" si="11"/>
        <v>1.463749285</v>
      </c>
      <c r="X405" s="5">
        <f t="shared" si="12"/>
        <v>0.6845513414</v>
      </c>
      <c r="Y405" s="5">
        <f t="shared" si="13"/>
        <v>1.750936096</v>
      </c>
      <c r="Z405" s="10">
        <f>MIN(1,MAX(0,(5.3914776420524+0.021102849201698*'Precinct Vote Data'!I1609*100+(-5.72594740176815)*1+0.927016741366831*(O405*100))/100))</f>
        <v>0.3634102519</v>
      </c>
      <c r="AA405" s="16">
        <f t="shared" si="14"/>
        <v>-2.974423468</v>
      </c>
      <c r="AB405" s="5" t="b">
        <f t="shared" si="15"/>
        <v>1</v>
      </c>
      <c r="AC405" s="5">
        <f t="shared" si="16"/>
        <v>2.974423468</v>
      </c>
    </row>
    <row r="406" ht="15.0" customHeight="1">
      <c r="A406" s="5" t="s">
        <v>327</v>
      </c>
      <c r="B406" s="5" t="s">
        <v>381</v>
      </c>
      <c r="C406" s="5" t="s">
        <v>264</v>
      </c>
      <c r="D406" s="10">
        <f t="shared" si="1"/>
        <v>0.4945795757</v>
      </c>
      <c r="E406" s="10">
        <f>'Precinct Vote Data'!H1613</f>
        <v>0.5024154589</v>
      </c>
      <c r="F406" s="16">
        <f t="shared" si="2"/>
        <v>-0.7835883236</v>
      </c>
      <c r="G406" s="10">
        <f t="shared" si="3"/>
        <v>0.4873765093</v>
      </c>
      <c r="H406" s="16">
        <f t="shared" si="4"/>
        <v>-1.503894961</v>
      </c>
      <c r="I406" s="5" t="b">
        <f t="shared" si="5"/>
        <v>0</v>
      </c>
      <c r="J406" s="5" t="b">
        <f t="shared" si="6"/>
        <v>0</v>
      </c>
      <c r="K406" s="15">
        <f t="shared" si="7"/>
        <v>-0.3666031193</v>
      </c>
      <c r="L406" s="10">
        <f t="shared" si="8"/>
        <v>0.4944049362</v>
      </c>
      <c r="M406" s="10">
        <f>'Precinct Vote Data'!H1610</f>
        <v>0.4775561097</v>
      </c>
      <c r="N406" s="10">
        <f>'Precinct Vote Data'!H1611</f>
        <v>0.4893449092</v>
      </c>
      <c r="O406" s="10">
        <f>'Precinct Vote Data'!H1612</f>
        <v>0.4873765093</v>
      </c>
      <c r="U406" s="16">
        <f t="shared" si="9"/>
        <v>-0.8010522689</v>
      </c>
      <c r="V406" s="5" t="b">
        <f t="shared" si="10"/>
        <v>0</v>
      </c>
      <c r="W406" s="5">
        <f t="shared" si="11"/>
        <v>0.7835883236</v>
      </c>
      <c r="X406" s="5">
        <f t="shared" si="12"/>
        <v>1.503894961</v>
      </c>
      <c r="Y406" s="5">
        <f t="shared" si="13"/>
        <v>0.8010522689</v>
      </c>
      <c r="Z406" s="10">
        <f>MIN(1,MAX(0,(5.3914776420524+0.021102849201698*'Precinct Vote Data'!I1613*100+(-5.72594740176815)*1+0.927016741366831*(O406*100))/100))</f>
        <v>0.4484002876</v>
      </c>
      <c r="AA406" s="16">
        <f t="shared" si="14"/>
        <v>-5.40151713</v>
      </c>
      <c r="AB406" s="5" t="b">
        <f t="shared" si="15"/>
        <v>0</v>
      </c>
      <c r="AC406" s="5">
        <f t="shared" si="16"/>
        <v>5.40151713</v>
      </c>
    </row>
    <row r="407" ht="15.0" customHeight="1">
      <c r="A407" s="5" t="s">
        <v>327</v>
      </c>
      <c r="B407" s="5" t="s">
        <v>381</v>
      </c>
      <c r="C407" s="5" t="s">
        <v>265</v>
      </c>
      <c r="D407" s="10">
        <f t="shared" si="1"/>
        <v>0.3941565996</v>
      </c>
      <c r="E407" s="10">
        <f>'Precinct Vote Data'!H1617</f>
        <v>0.4068767908</v>
      </c>
      <c r="F407" s="16">
        <f t="shared" si="2"/>
        <v>-1.272019123</v>
      </c>
      <c r="G407" s="10">
        <f t="shared" si="3"/>
        <v>0.425862069</v>
      </c>
      <c r="H407" s="16">
        <f t="shared" si="4"/>
        <v>1.898527813</v>
      </c>
      <c r="I407" s="5" t="b">
        <f t="shared" si="5"/>
        <v>1</v>
      </c>
      <c r="J407" s="5" t="b">
        <f t="shared" si="6"/>
        <v>1</v>
      </c>
      <c r="K407" s="15">
        <f t="shared" si="7"/>
        <v>1.524750593</v>
      </c>
      <c r="L407" s="10">
        <f t="shared" si="8"/>
        <v>0.396629917</v>
      </c>
      <c r="M407" s="10">
        <f>'Precinct Vote Data'!H1614</f>
        <v>0.4751908397</v>
      </c>
      <c r="N407" s="10">
        <f>'Precinct Vote Data'!H1615</f>
        <v>0.4294032023</v>
      </c>
      <c r="O407" s="10">
        <f>'Precinct Vote Data'!H1616</f>
        <v>0.425862069</v>
      </c>
      <c r="U407" s="16">
        <f t="shared" si="9"/>
        <v>-1.024687386</v>
      </c>
      <c r="V407" s="5" t="b">
        <f t="shared" si="10"/>
        <v>1</v>
      </c>
      <c r="W407" s="5">
        <f t="shared" si="11"/>
        <v>1.272019123</v>
      </c>
      <c r="X407" s="5">
        <f t="shared" si="12"/>
        <v>1.898527813</v>
      </c>
      <c r="Y407" s="5">
        <f t="shared" si="13"/>
        <v>1.024687386</v>
      </c>
      <c r="Z407" s="10">
        <f>MIN(1,MAX(0,(5.3914776420524+0.021102849201698*'Precinct Vote Data'!I1617*100+(-5.72594740176815)*1+0.927016741366831*(O407*100))/100))</f>
        <v>0.3886742069</v>
      </c>
      <c r="AA407" s="16">
        <f t="shared" si="14"/>
        <v>-1.820258394</v>
      </c>
      <c r="AB407" s="5" t="b">
        <f t="shared" si="15"/>
        <v>1</v>
      </c>
      <c r="AC407" s="5">
        <f t="shared" si="16"/>
        <v>1.820258394</v>
      </c>
    </row>
    <row r="408" ht="15.0" customHeight="1">
      <c r="A408" s="5" t="s">
        <v>327</v>
      </c>
      <c r="B408" s="5" t="s">
        <v>382</v>
      </c>
      <c r="C408" s="5" t="s">
        <v>266</v>
      </c>
      <c r="D408" s="10">
        <f t="shared" si="1"/>
        <v>0.599442063</v>
      </c>
      <c r="E408" s="10">
        <f>'Precinct Vote Data'!H1621</f>
        <v>0.5837837838</v>
      </c>
      <c r="F408" s="16">
        <f t="shared" si="2"/>
        <v>1.565827926</v>
      </c>
      <c r="G408" s="10">
        <f t="shared" si="3"/>
        <v>0.6150740242</v>
      </c>
      <c r="H408" s="16">
        <f t="shared" si="4"/>
        <v>3.129024044</v>
      </c>
      <c r="I408" s="5" t="b">
        <f t="shared" si="5"/>
        <v>1</v>
      </c>
      <c r="J408" s="5" t="b">
        <f t="shared" si="6"/>
        <v>1</v>
      </c>
      <c r="K408" s="15">
        <f t="shared" si="7"/>
        <v>0.9979638483</v>
      </c>
      <c r="L408" s="10">
        <f t="shared" si="8"/>
        <v>0.5959413011</v>
      </c>
      <c r="M408" s="10">
        <f>'Precinct Vote Data'!H1618</f>
        <v>0.6224961479</v>
      </c>
      <c r="N408" s="10">
        <f>'Precinct Vote Data'!H1619</f>
        <v>0.5830223881</v>
      </c>
      <c r="O408" s="10">
        <f>'Precinct Vote Data'!H1620</f>
        <v>0.6150740242</v>
      </c>
      <c r="U408" s="16">
        <f t="shared" si="9"/>
        <v>1.215751733</v>
      </c>
      <c r="V408" s="5" t="b">
        <f t="shared" si="10"/>
        <v>1</v>
      </c>
      <c r="W408" s="5">
        <f t="shared" si="11"/>
        <v>1.565827926</v>
      </c>
      <c r="X408" s="5">
        <f t="shared" si="12"/>
        <v>3.129024044</v>
      </c>
      <c r="Y408" s="5">
        <f t="shared" si="13"/>
        <v>1.215751733</v>
      </c>
      <c r="Z408" s="10">
        <f>MIN(1,MAX(0,(5.3914776420524+0.021102849201698*'Precinct Vote Data'!I1621*100+(-5.72594740176815)*1+0.927016741366831*(O408*100))/100))</f>
        <v>0.5716970959</v>
      </c>
      <c r="AA408" s="16">
        <f t="shared" si="14"/>
        <v>-1.208668786</v>
      </c>
      <c r="AB408" s="5" t="b">
        <f t="shared" si="15"/>
        <v>1</v>
      </c>
      <c r="AC408" s="5">
        <f t="shared" si="16"/>
        <v>1.208668786</v>
      </c>
    </row>
    <row r="409" ht="15.0" customHeight="1">
      <c r="A409" s="5" t="s">
        <v>327</v>
      </c>
      <c r="B409" s="5" t="s">
        <v>382</v>
      </c>
      <c r="C409" s="5" t="s">
        <v>268</v>
      </c>
      <c r="D409" s="10">
        <f t="shared" si="1"/>
        <v>0.5419274568</v>
      </c>
      <c r="E409" s="10">
        <f>'Precinct Vote Data'!H1625</f>
        <v>0.5498320269</v>
      </c>
      <c r="F409" s="16">
        <f t="shared" si="2"/>
        <v>-0.7904570086</v>
      </c>
      <c r="G409" s="10">
        <f t="shared" si="3"/>
        <v>0.5844370861</v>
      </c>
      <c r="H409" s="16">
        <f t="shared" si="4"/>
        <v>3.460505922</v>
      </c>
      <c r="I409" s="5" t="b">
        <f t="shared" si="5"/>
        <v>1</v>
      </c>
      <c r="J409" s="5" t="b">
        <f t="shared" si="6"/>
        <v>1</v>
      </c>
      <c r="K409" s="15">
        <f t="shared" si="7"/>
        <v>2.152917169</v>
      </c>
      <c r="L409" s="10">
        <f t="shared" si="8"/>
        <v>0.5431618754</v>
      </c>
      <c r="M409" s="10">
        <f>'Precinct Vote Data'!H1622</f>
        <v>0.6431226766</v>
      </c>
      <c r="N409" s="10">
        <f>'Precinct Vote Data'!H1623</f>
        <v>0.5742793792</v>
      </c>
      <c r="O409" s="10">
        <f>'Precinct Vote Data'!H1624</f>
        <v>0.5844370861</v>
      </c>
      <c r="U409" s="16">
        <f t="shared" si="9"/>
        <v>-0.6670151448</v>
      </c>
      <c r="V409" s="5" t="b">
        <f t="shared" si="10"/>
        <v>1</v>
      </c>
      <c r="W409" s="5">
        <f t="shared" si="11"/>
        <v>0.7904570086</v>
      </c>
      <c r="X409" s="5">
        <f t="shared" si="12"/>
        <v>3.460505922</v>
      </c>
      <c r="Y409" s="5">
        <f t="shared" si="13"/>
        <v>0.6670151448</v>
      </c>
      <c r="Z409" s="10">
        <f>MIN(1,MAX(0,(5.3914776420524+0.021102849201698*'Precinct Vote Data'!I1625*100+(-5.72594740176815)*1+0.927016741366831*(O409*100))/100))</f>
        <v>0.5416670014</v>
      </c>
      <c r="AA409" s="16">
        <f t="shared" si="14"/>
        <v>-0.8165025461</v>
      </c>
      <c r="AB409" s="5" t="b">
        <f t="shared" si="15"/>
        <v>1</v>
      </c>
      <c r="AC409" s="5">
        <f t="shared" si="16"/>
        <v>0.8165025461</v>
      </c>
    </row>
    <row r="410" ht="15.0" customHeight="1">
      <c r="A410" s="5" t="s">
        <v>327</v>
      </c>
      <c r="B410" s="5" t="s">
        <v>382</v>
      </c>
      <c r="C410" s="5" t="s">
        <v>270</v>
      </c>
      <c r="D410" s="10">
        <f t="shared" si="1"/>
        <v>0.5384545669</v>
      </c>
      <c r="E410" s="10">
        <f>'Precinct Vote Data'!H1629</f>
        <v>0.5293296089</v>
      </c>
      <c r="F410" s="16">
        <f t="shared" si="2"/>
        <v>0.9124957946</v>
      </c>
      <c r="G410" s="10">
        <f t="shared" si="3"/>
        <v>0.5602536998</v>
      </c>
      <c r="H410" s="16">
        <f t="shared" si="4"/>
        <v>3.092409085</v>
      </c>
      <c r="I410" s="5" t="b">
        <f t="shared" si="5"/>
        <v>1</v>
      </c>
      <c r="J410" s="5" t="b">
        <f t="shared" si="6"/>
        <v>1</v>
      </c>
      <c r="K410" s="15">
        <f t="shared" si="7"/>
        <v>1.382062913</v>
      </c>
      <c r="L410" s="10">
        <f t="shared" si="8"/>
        <v>0.5337571217</v>
      </c>
      <c r="M410" s="10">
        <f>'Precinct Vote Data'!H1626</f>
        <v>0.5712643678</v>
      </c>
      <c r="N410" s="10">
        <f>'Precinct Vote Data'!H1627</f>
        <v>0.5168776371</v>
      </c>
      <c r="O410" s="10">
        <f>'Precinct Vote Data'!H1628</f>
        <v>0.5602536998</v>
      </c>
      <c r="U410" s="16">
        <f t="shared" si="9"/>
        <v>0.4427512764</v>
      </c>
      <c r="V410" s="5" t="b">
        <f t="shared" si="10"/>
        <v>1</v>
      </c>
      <c r="W410" s="5">
        <f t="shared" si="11"/>
        <v>0.9124957946</v>
      </c>
      <c r="X410" s="5">
        <f t="shared" si="12"/>
        <v>3.092409085</v>
      </c>
      <c r="Y410" s="5">
        <f t="shared" si="13"/>
        <v>0.4427512764</v>
      </c>
      <c r="Z410" s="10">
        <f>MIN(1,MAX(0,(5.3914776420524+0.021102849201698*'Precinct Vote Data'!I1629*100+(-5.72594740176815)*1+0.927016741366831*(O410*100))/100))</f>
        <v>0.519689647</v>
      </c>
      <c r="AA410" s="16">
        <f t="shared" si="14"/>
        <v>-0.9639961943</v>
      </c>
      <c r="AB410" s="5" t="b">
        <f t="shared" si="15"/>
        <v>1</v>
      </c>
      <c r="AC410" s="5">
        <f t="shared" si="16"/>
        <v>0.9639961943</v>
      </c>
    </row>
    <row r="411" ht="15.0" customHeight="1">
      <c r="A411" s="5" t="s">
        <v>327</v>
      </c>
      <c r="B411" s="5" t="s">
        <v>383</v>
      </c>
      <c r="C411" s="5" t="s">
        <v>271</v>
      </c>
      <c r="D411" s="10">
        <f t="shared" si="1"/>
        <v>0.4298345327</v>
      </c>
      <c r="E411" s="10">
        <f>'Precinct Vote Data'!H1633</f>
        <v>0.4255033557</v>
      </c>
      <c r="F411" s="16">
        <f t="shared" si="2"/>
        <v>0.4331176996</v>
      </c>
      <c r="G411" s="10">
        <f t="shared" si="3"/>
        <v>0.4511415525</v>
      </c>
      <c r="H411" s="16">
        <f t="shared" si="4"/>
        <v>2.563819681</v>
      </c>
      <c r="I411" s="5" t="b">
        <f t="shared" si="5"/>
        <v>1</v>
      </c>
      <c r="J411" s="5" t="b">
        <f t="shared" si="6"/>
        <v>1</v>
      </c>
      <c r="K411" s="15">
        <f t="shared" si="7"/>
        <v>1.479617909</v>
      </c>
      <c r="L411" s="10">
        <f t="shared" si="8"/>
        <v>0.4227746735</v>
      </c>
      <c r="M411" s="10">
        <f>'Precinct Vote Data'!H1630</f>
        <v>0.4530663329</v>
      </c>
      <c r="N411" s="10">
        <f>'Precinct Vote Data'!H1631</f>
        <v>0.3910700539</v>
      </c>
      <c r="O411" s="10">
        <f>'Precinct Vote Data'!H1632</f>
        <v>0.4511415525</v>
      </c>
      <c r="U411" s="16">
        <f t="shared" si="9"/>
        <v>-0.2728682235</v>
      </c>
      <c r="V411" s="5" t="b">
        <f t="shared" si="10"/>
        <v>1</v>
      </c>
      <c r="W411" s="5">
        <f t="shared" si="11"/>
        <v>0.4331176996</v>
      </c>
      <c r="X411" s="5">
        <f t="shared" si="12"/>
        <v>2.563819681</v>
      </c>
      <c r="Y411" s="5">
        <f t="shared" si="13"/>
        <v>0.2728682235</v>
      </c>
      <c r="Z411" s="10">
        <f>MIN(1,MAX(0,(5.3914776420524+0.021102849201698*'Precinct Vote Data'!I1633*100+(-5.72594740176815)*1+0.927016741366831*(O411*100))/100))</f>
        <v>0.4132271624</v>
      </c>
      <c r="AA411" s="16">
        <f t="shared" si="14"/>
        <v>-1.227619335</v>
      </c>
      <c r="AB411" s="5" t="b">
        <f t="shared" si="15"/>
        <v>1</v>
      </c>
      <c r="AC411" s="5">
        <f t="shared" si="16"/>
        <v>1.227619335</v>
      </c>
    </row>
    <row r="412" ht="15.75" customHeight="1">
      <c r="M412" s="9"/>
      <c r="N412" s="9"/>
      <c r="O412" s="9"/>
      <c r="W412" s="9"/>
      <c r="X412" s="9"/>
      <c r="Y412" s="9"/>
    </row>
    <row r="413" ht="15.75" customHeight="1">
      <c r="M413" s="9"/>
      <c r="N413" s="9"/>
      <c r="O413" s="9"/>
      <c r="W413" s="9"/>
      <c r="X413" s="9"/>
      <c r="Y413" s="9"/>
    </row>
    <row r="414" ht="15.0" customHeight="1">
      <c r="A414" s="2" t="s">
        <v>426</v>
      </c>
      <c r="B414" s="29">
        <f>AVERAGE(X4:X411)</f>
        <v>2.731443111</v>
      </c>
      <c r="M414" s="9"/>
      <c r="N414" s="9"/>
      <c r="O414" s="9"/>
      <c r="W414" s="9"/>
      <c r="X414" s="9"/>
      <c r="Y414" s="9"/>
    </row>
    <row r="415" ht="15.0" customHeight="1">
      <c r="A415" s="2" t="s">
        <v>427</v>
      </c>
      <c r="B415" s="2" t="str">
        <f>COUNTIF(J4:J411,TRUE())&amp;" / 408"</f>
        <v>378 / 408</v>
      </c>
      <c r="M415" s="9"/>
      <c r="N415" s="9"/>
      <c r="O415" s="9"/>
      <c r="W415" s="9"/>
      <c r="X415" s="9"/>
      <c r="Y415" s="9"/>
    </row>
    <row r="416" ht="15.0" customHeight="1">
      <c r="A416" s="2" t="s">
        <v>428</v>
      </c>
      <c r="B416" s="29">
        <f>AVERAGE(W4:W411)</f>
        <v>2.238263591</v>
      </c>
      <c r="M416" s="9"/>
      <c r="N416" s="9"/>
      <c r="O416" s="9"/>
      <c r="W416" s="9"/>
      <c r="X416" s="9"/>
      <c r="Y416" s="9"/>
    </row>
    <row r="417" ht="15.0" customHeight="1">
      <c r="A417" s="2" t="s">
        <v>429</v>
      </c>
      <c r="B417" s="2" t="str">
        <f>COUNTIF(I4:I411,TRUE())&amp;" / 408"</f>
        <v>387 / 408</v>
      </c>
      <c r="M417" s="9"/>
      <c r="N417" s="9"/>
      <c r="O417" s="9"/>
      <c r="W417" s="9"/>
      <c r="X417" s="9"/>
      <c r="Y417" s="9"/>
    </row>
    <row r="418" ht="15.0" customHeight="1">
      <c r="A418" s="2" t="s">
        <v>430</v>
      </c>
      <c r="B418" s="29">
        <f>AVERAGE(Y4:Y411)</f>
        <v>2.086360529</v>
      </c>
      <c r="M418" s="9"/>
      <c r="N418" s="9"/>
      <c r="O418" s="9"/>
      <c r="W418" s="9"/>
      <c r="X418" s="9"/>
      <c r="Y418" s="9"/>
    </row>
    <row r="419" ht="15.0" customHeight="1">
      <c r="A419" s="2" t="s">
        <v>432</v>
      </c>
      <c r="B419" s="2" t="str">
        <f>COUNTIF(V4:V411,TRUE())&amp;" / 408"</f>
        <v>390 / 408</v>
      </c>
      <c r="M419" s="9"/>
      <c r="N419" s="9"/>
      <c r="O419" s="9"/>
      <c r="W419" s="9"/>
      <c r="X419" s="9"/>
      <c r="Y419" s="9"/>
    </row>
    <row r="420" ht="15.0" customHeight="1">
      <c r="A420" s="2" t="s">
        <v>436</v>
      </c>
      <c r="B420" s="29">
        <f>AVERAGE(AC4:AC411)</f>
        <v>2.46308549</v>
      </c>
      <c r="M420" s="9"/>
      <c r="N420" s="9"/>
      <c r="O420" s="9"/>
      <c r="W420" s="9"/>
      <c r="X420" s="9"/>
      <c r="Y420" s="9"/>
    </row>
    <row r="421" ht="15.0" customHeight="1">
      <c r="A421" s="2" t="s">
        <v>443</v>
      </c>
      <c r="B421" s="2" t="str">
        <f>COUNTIF(AB4:AB411,TRUE())&amp;" / 408"</f>
        <v>366 / 408</v>
      </c>
      <c r="M421" s="9"/>
      <c r="N421" s="9"/>
      <c r="O421" s="9"/>
      <c r="W421" s="9"/>
      <c r="X421" s="9"/>
      <c r="Y421" s="9"/>
    </row>
    <row r="422" ht="15.75" customHeight="1">
      <c r="M422" s="9"/>
      <c r="N422" s="9"/>
      <c r="O422" s="9"/>
      <c r="W422" s="9"/>
      <c r="X422" s="9"/>
      <c r="Y422" s="9"/>
    </row>
    <row r="423" ht="15.75" customHeight="1">
      <c r="M423" s="9"/>
      <c r="N423" s="9"/>
      <c r="O423" s="9"/>
      <c r="W423" s="9"/>
      <c r="X423" s="9"/>
      <c r="Y423" s="9"/>
    </row>
    <row r="424" ht="15.75" customHeight="1">
      <c r="M424" s="9"/>
      <c r="N424" s="9"/>
      <c r="O424" s="9"/>
      <c r="W424" s="9"/>
      <c r="X424" s="9"/>
      <c r="Y424" s="9"/>
    </row>
    <row r="425" ht="15.75" customHeight="1">
      <c r="M425" s="9"/>
      <c r="N425" s="9"/>
      <c r="O425" s="9"/>
      <c r="W425" s="9"/>
      <c r="X425" s="9"/>
      <c r="Y425" s="9"/>
    </row>
    <row r="426" ht="15.75" customHeight="1">
      <c r="M426" s="9"/>
      <c r="N426" s="9"/>
      <c r="O426" s="9"/>
      <c r="W426" s="9"/>
      <c r="X426" s="9"/>
      <c r="Y426" s="9"/>
    </row>
    <row r="427" ht="15.75" customHeight="1">
      <c r="M427" s="9"/>
      <c r="N427" s="9"/>
      <c r="O427" s="9"/>
      <c r="W427" s="9"/>
      <c r="X427" s="9"/>
      <c r="Y427" s="9"/>
    </row>
    <row r="428" ht="15.75" customHeight="1">
      <c r="M428" s="9"/>
      <c r="N428" s="9"/>
      <c r="O428" s="9"/>
      <c r="W428" s="9"/>
      <c r="X428" s="9"/>
      <c r="Y428" s="9"/>
    </row>
    <row r="429" ht="15.75" customHeight="1">
      <c r="M429" s="9"/>
      <c r="N429" s="9"/>
      <c r="O429" s="9"/>
      <c r="W429" s="9"/>
      <c r="X429" s="9"/>
      <c r="Y429" s="9"/>
    </row>
    <row r="430" ht="15.75" customHeight="1">
      <c r="M430" s="9"/>
      <c r="N430" s="9"/>
      <c r="O430" s="9"/>
      <c r="W430" s="9"/>
      <c r="X430" s="9"/>
      <c r="Y430" s="9"/>
    </row>
    <row r="431" ht="15.75" customHeight="1">
      <c r="M431" s="9"/>
      <c r="N431" s="9"/>
      <c r="O431" s="9"/>
      <c r="W431" s="9"/>
      <c r="X431" s="9"/>
      <c r="Y431" s="9"/>
    </row>
    <row r="432" ht="15.75" customHeight="1">
      <c r="M432" s="9"/>
      <c r="N432" s="9"/>
      <c r="O432" s="9"/>
      <c r="W432" s="9"/>
      <c r="X432" s="9"/>
      <c r="Y432" s="9"/>
    </row>
    <row r="433" ht="15.75" customHeight="1">
      <c r="M433" s="9"/>
      <c r="N433" s="9"/>
      <c r="O433" s="9"/>
      <c r="W433" s="9"/>
      <c r="X433" s="9"/>
      <c r="Y433" s="9"/>
    </row>
    <row r="434" ht="15.75" customHeight="1">
      <c r="M434" s="9"/>
      <c r="N434" s="9"/>
      <c r="O434" s="9"/>
      <c r="W434" s="9"/>
      <c r="X434" s="9"/>
      <c r="Y434" s="9"/>
    </row>
    <row r="435" ht="15.75" customHeight="1">
      <c r="M435" s="9"/>
      <c r="N435" s="9"/>
      <c r="O435" s="9"/>
      <c r="W435" s="9"/>
      <c r="X435" s="9"/>
      <c r="Y435" s="9"/>
    </row>
    <row r="436" ht="15.75" customHeight="1">
      <c r="M436" s="9"/>
      <c r="N436" s="9"/>
      <c r="O436" s="9"/>
      <c r="W436" s="9"/>
      <c r="X436" s="9"/>
      <c r="Y436" s="9"/>
    </row>
    <row r="437" ht="15.75" customHeight="1">
      <c r="M437" s="9"/>
      <c r="N437" s="9"/>
      <c r="O437" s="9"/>
      <c r="W437" s="9"/>
      <c r="X437" s="9"/>
      <c r="Y437" s="9"/>
    </row>
    <row r="438" ht="15.75" customHeight="1">
      <c r="M438" s="9"/>
      <c r="N438" s="9"/>
      <c r="O438" s="9"/>
      <c r="W438" s="9"/>
      <c r="X438" s="9"/>
      <c r="Y438" s="9"/>
    </row>
    <row r="439" ht="15.75" customHeight="1">
      <c r="M439" s="9"/>
      <c r="N439" s="9"/>
      <c r="O439" s="9"/>
      <c r="W439" s="9"/>
      <c r="X439" s="9"/>
      <c r="Y439" s="9"/>
    </row>
    <row r="440" ht="15.75" customHeight="1">
      <c r="M440" s="9"/>
      <c r="N440" s="9"/>
      <c r="O440" s="9"/>
      <c r="W440" s="9"/>
      <c r="X440" s="9"/>
      <c r="Y440" s="9"/>
    </row>
    <row r="441" ht="15.75" customHeight="1">
      <c r="M441" s="9"/>
      <c r="N441" s="9"/>
      <c r="O441" s="9"/>
      <c r="W441" s="9"/>
      <c r="X441" s="9"/>
      <c r="Y441" s="9"/>
    </row>
    <row r="442" ht="15.75" customHeight="1">
      <c r="M442" s="9"/>
      <c r="N442" s="9"/>
      <c r="O442" s="9"/>
      <c r="W442" s="9"/>
      <c r="X442" s="9"/>
      <c r="Y442" s="9"/>
    </row>
    <row r="443" ht="15.75" customHeight="1">
      <c r="M443" s="9"/>
      <c r="N443" s="9"/>
      <c r="O443" s="9"/>
      <c r="W443" s="9"/>
      <c r="X443" s="9"/>
      <c r="Y443" s="9"/>
    </row>
    <row r="444" ht="15.75" customHeight="1">
      <c r="M444" s="9"/>
      <c r="N444" s="9"/>
      <c r="O444" s="9"/>
      <c r="W444" s="9"/>
      <c r="X444" s="9"/>
      <c r="Y444" s="9"/>
    </row>
    <row r="445" ht="15.75" customHeight="1">
      <c r="M445" s="9"/>
      <c r="N445" s="9"/>
      <c r="O445" s="9"/>
      <c r="W445" s="9"/>
      <c r="X445" s="9"/>
      <c r="Y445" s="9"/>
    </row>
    <row r="446" ht="15.75" customHeight="1">
      <c r="M446" s="9"/>
      <c r="N446" s="9"/>
      <c r="O446" s="9"/>
      <c r="W446" s="9"/>
      <c r="X446" s="9"/>
      <c r="Y446" s="9"/>
    </row>
    <row r="447" ht="15.75" customHeight="1">
      <c r="M447" s="9"/>
      <c r="N447" s="9"/>
      <c r="O447" s="9"/>
      <c r="W447" s="9"/>
      <c r="X447" s="9"/>
      <c r="Y447" s="9"/>
    </row>
    <row r="448" ht="15.75" customHeight="1">
      <c r="M448" s="9"/>
      <c r="N448" s="9"/>
      <c r="O448" s="9"/>
      <c r="W448" s="9"/>
      <c r="X448" s="9"/>
      <c r="Y448" s="9"/>
    </row>
    <row r="449" ht="15.75" customHeight="1">
      <c r="M449" s="9"/>
      <c r="N449" s="9"/>
      <c r="O449" s="9"/>
      <c r="W449" s="9"/>
      <c r="X449" s="9"/>
      <c r="Y449" s="9"/>
    </row>
    <row r="450" ht="15.75" customHeight="1">
      <c r="M450" s="9"/>
      <c r="N450" s="9"/>
      <c r="O450" s="9"/>
      <c r="W450" s="9"/>
      <c r="X450" s="9"/>
      <c r="Y450" s="9"/>
    </row>
    <row r="451" ht="15.75" customHeight="1">
      <c r="M451" s="9"/>
      <c r="N451" s="9"/>
      <c r="O451" s="9"/>
      <c r="W451" s="9"/>
      <c r="X451" s="9"/>
      <c r="Y451" s="9"/>
    </row>
    <row r="452" ht="15.75" customHeight="1">
      <c r="M452" s="9"/>
      <c r="N452" s="9"/>
      <c r="O452" s="9"/>
      <c r="W452" s="9"/>
      <c r="X452" s="9"/>
      <c r="Y452" s="9"/>
    </row>
    <row r="453" ht="15.75" customHeight="1">
      <c r="M453" s="9"/>
      <c r="N453" s="9"/>
      <c r="O453" s="9"/>
      <c r="W453" s="9"/>
      <c r="X453" s="9"/>
      <c r="Y453" s="9"/>
    </row>
    <row r="454" ht="15.75" customHeight="1">
      <c r="M454" s="9"/>
      <c r="N454" s="9"/>
      <c r="O454" s="9"/>
      <c r="W454" s="9"/>
      <c r="X454" s="9"/>
      <c r="Y454" s="9"/>
    </row>
    <row r="455" ht="15.75" customHeight="1">
      <c r="M455" s="9"/>
      <c r="N455" s="9"/>
      <c r="O455" s="9"/>
      <c r="W455" s="9"/>
      <c r="X455" s="9"/>
      <c r="Y455" s="9"/>
    </row>
    <row r="456" ht="15.75" customHeight="1">
      <c r="M456" s="9"/>
      <c r="N456" s="9"/>
      <c r="O456" s="9"/>
      <c r="W456" s="9"/>
      <c r="X456" s="9"/>
      <c r="Y456" s="9"/>
    </row>
    <row r="457" ht="15.75" customHeight="1">
      <c r="M457" s="9"/>
      <c r="N457" s="9"/>
      <c r="O457" s="9"/>
      <c r="W457" s="9"/>
      <c r="X457" s="9"/>
      <c r="Y457" s="9"/>
    </row>
    <row r="458" ht="15.75" customHeight="1">
      <c r="M458" s="9"/>
      <c r="N458" s="9"/>
      <c r="O458" s="9"/>
      <c r="W458" s="9"/>
      <c r="X458" s="9"/>
      <c r="Y458" s="9"/>
    </row>
    <row r="459" ht="15.75" customHeight="1">
      <c r="M459" s="9"/>
      <c r="N459" s="9"/>
      <c r="O459" s="9"/>
      <c r="W459" s="9"/>
      <c r="X459" s="9"/>
      <c r="Y459" s="9"/>
    </row>
    <row r="460" ht="15.75" customHeight="1">
      <c r="M460" s="9"/>
      <c r="N460" s="9"/>
      <c r="O460" s="9"/>
      <c r="W460" s="9"/>
      <c r="X460" s="9"/>
      <c r="Y460" s="9"/>
    </row>
    <row r="461" ht="15.75" customHeight="1">
      <c r="M461" s="9"/>
      <c r="N461" s="9"/>
      <c r="O461" s="9"/>
      <c r="W461" s="9"/>
      <c r="X461" s="9"/>
      <c r="Y461" s="9"/>
    </row>
    <row r="462" ht="15.75" customHeight="1">
      <c r="M462" s="9"/>
      <c r="N462" s="9"/>
      <c r="O462" s="9"/>
      <c r="W462" s="9"/>
      <c r="X462" s="9"/>
      <c r="Y462" s="9"/>
    </row>
    <row r="463" ht="15.75" customHeight="1">
      <c r="M463" s="9"/>
      <c r="N463" s="9"/>
      <c r="O463" s="9"/>
      <c r="W463" s="9"/>
      <c r="X463" s="9"/>
      <c r="Y463" s="9"/>
    </row>
    <row r="464" ht="15.75" customHeight="1">
      <c r="M464" s="9"/>
      <c r="N464" s="9"/>
      <c r="O464" s="9"/>
      <c r="W464" s="9"/>
      <c r="X464" s="9"/>
      <c r="Y464" s="9"/>
    </row>
    <row r="465" ht="15.75" customHeight="1">
      <c r="M465" s="9"/>
      <c r="N465" s="9"/>
      <c r="O465" s="9"/>
      <c r="W465" s="9"/>
      <c r="X465" s="9"/>
      <c r="Y465" s="9"/>
    </row>
    <row r="466" ht="15.75" customHeight="1">
      <c r="M466" s="9"/>
      <c r="N466" s="9"/>
      <c r="O466" s="9"/>
      <c r="W466" s="9"/>
      <c r="X466" s="9"/>
      <c r="Y466" s="9"/>
    </row>
    <row r="467" ht="15.75" customHeight="1">
      <c r="M467" s="9"/>
      <c r="N467" s="9"/>
      <c r="O467" s="9"/>
      <c r="W467" s="9"/>
      <c r="X467" s="9"/>
      <c r="Y467" s="9"/>
    </row>
    <row r="468" ht="15.75" customHeight="1">
      <c r="M468" s="9"/>
      <c r="N468" s="9"/>
      <c r="O468" s="9"/>
      <c r="W468" s="9"/>
      <c r="X468" s="9"/>
      <c r="Y468" s="9"/>
    </row>
    <row r="469" ht="15.75" customHeight="1">
      <c r="M469" s="9"/>
      <c r="N469" s="9"/>
      <c r="O469" s="9"/>
      <c r="W469" s="9"/>
      <c r="X469" s="9"/>
      <c r="Y469" s="9"/>
    </row>
    <row r="470" ht="15.75" customHeight="1">
      <c r="M470" s="9"/>
      <c r="N470" s="9"/>
      <c r="O470" s="9"/>
      <c r="W470" s="9"/>
      <c r="X470" s="9"/>
      <c r="Y470" s="9"/>
    </row>
    <row r="471" ht="15.75" customHeight="1">
      <c r="M471" s="9"/>
      <c r="N471" s="9"/>
      <c r="O471" s="9"/>
      <c r="W471" s="9"/>
      <c r="X471" s="9"/>
      <c r="Y471" s="9"/>
    </row>
    <row r="472" ht="15.75" customHeight="1">
      <c r="M472" s="9"/>
      <c r="N472" s="9"/>
      <c r="O472" s="9"/>
      <c r="W472" s="9"/>
      <c r="X472" s="9"/>
      <c r="Y472" s="9"/>
    </row>
    <row r="473" ht="15.75" customHeight="1">
      <c r="M473" s="9"/>
      <c r="N473" s="9"/>
      <c r="O473" s="9"/>
      <c r="W473" s="9"/>
      <c r="X473" s="9"/>
      <c r="Y473" s="9"/>
    </row>
    <row r="474" ht="15.75" customHeight="1">
      <c r="M474" s="9"/>
      <c r="N474" s="9"/>
      <c r="O474" s="9"/>
      <c r="W474" s="9"/>
      <c r="X474" s="9"/>
      <c r="Y474" s="9"/>
    </row>
    <row r="475" ht="15.75" customHeight="1">
      <c r="M475" s="9"/>
      <c r="N475" s="9"/>
      <c r="O475" s="9"/>
      <c r="W475" s="9"/>
      <c r="X475" s="9"/>
      <c r="Y475" s="9"/>
    </row>
    <row r="476" ht="15.75" customHeight="1">
      <c r="M476" s="9"/>
      <c r="N476" s="9"/>
      <c r="O476" s="9"/>
      <c r="W476" s="9"/>
      <c r="X476" s="9"/>
      <c r="Y476" s="9"/>
    </row>
    <row r="477" ht="15.75" customHeight="1">
      <c r="M477" s="9"/>
      <c r="N477" s="9"/>
      <c r="O477" s="9"/>
      <c r="W477" s="9"/>
      <c r="X477" s="9"/>
      <c r="Y477" s="9"/>
    </row>
    <row r="478" ht="15.75" customHeight="1">
      <c r="M478" s="9"/>
      <c r="N478" s="9"/>
      <c r="O478" s="9"/>
      <c r="W478" s="9"/>
      <c r="X478" s="9"/>
      <c r="Y478" s="9"/>
    </row>
    <row r="479" ht="15.75" customHeight="1">
      <c r="M479" s="9"/>
      <c r="N479" s="9"/>
      <c r="O479" s="9"/>
      <c r="W479" s="9"/>
      <c r="X479" s="9"/>
      <c r="Y479" s="9"/>
    </row>
    <row r="480" ht="15.75" customHeight="1">
      <c r="M480" s="9"/>
      <c r="N480" s="9"/>
      <c r="O480" s="9"/>
      <c r="W480" s="9"/>
      <c r="X480" s="9"/>
      <c r="Y480" s="9"/>
    </row>
    <row r="481" ht="15.75" customHeight="1">
      <c r="M481" s="9"/>
      <c r="N481" s="9"/>
      <c r="O481" s="9"/>
      <c r="W481" s="9"/>
      <c r="X481" s="9"/>
      <c r="Y481" s="9"/>
    </row>
    <row r="482" ht="15.75" customHeight="1">
      <c r="M482" s="9"/>
      <c r="N482" s="9"/>
      <c r="O482" s="9"/>
      <c r="W482" s="9"/>
      <c r="X482" s="9"/>
      <c r="Y482" s="9"/>
    </row>
    <row r="483" ht="15.75" customHeight="1">
      <c r="M483" s="9"/>
      <c r="N483" s="9"/>
      <c r="O483" s="9"/>
      <c r="W483" s="9"/>
      <c r="X483" s="9"/>
      <c r="Y483" s="9"/>
    </row>
    <row r="484" ht="15.75" customHeight="1">
      <c r="M484" s="9"/>
      <c r="N484" s="9"/>
      <c r="O484" s="9"/>
      <c r="W484" s="9"/>
      <c r="X484" s="9"/>
      <c r="Y484" s="9"/>
    </row>
    <row r="485" ht="15.75" customHeight="1">
      <c r="M485" s="9"/>
      <c r="N485" s="9"/>
      <c r="O485" s="9"/>
      <c r="W485" s="9"/>
      <c r="X485" s="9"/>
      <c r="Y485" s="9"/>
    </row>
    <row r="486" ht="15.75" customHeight="1">
      <c r="M486" s="9"/>
      <c r="N486" s="9"/>
      <c r="O486" s="9"/>
      <c r="W486" s="9"/>
      <c r="X486" s="9"/>
      <c r="Y486" s="9"/>
    </row>
    <row r="487" ht="15.75" customHeight="1">
      <c r="M487" s="9"/>
      <c r="N487" s="9"/>
      <c r="O487" s="9"/>
      <c r="W487" s="9"/>
      <c r="X487" s="9"/>
      <c r="Y487" s="9"/>
    </row>
    <row r="488" ht="15.75" customHeight="1">
      <c r="M488" s="9"/>
      <c r="N488" s="9"/>
      <c r="O488" s="9"/>
      <c r="W488" s="9"/>
      <c r="X488" s="9"/>
      <c r="Y488" s="9"/>
    </row>
    <row r="489" ht="15.75" customHeight="1">
      <c r="M489" s="9"/>
      <c r="N489" s="9"/>
      <c r="O489" s="9"/>
      <c r="W489" s="9"/>
      <c r="X489" s="9"/>
      <c r="Y489" s="9"/>
    </row>
    <row r="490" ht="15.75" customHeight="1">
      <c r="M490" s="9"/>
      <c r="N490" s="9"/>
      <c r="O490" s="9"/>
      <c r="W490" s="9"/>
      <c r="X490" s="9"/>
      <c r="Y490" s="9"/>
    </row>
    <row r="491" ht="15.75" customHeight="1">
      <c r="M491" s="9"/>
      <c r="N491" s="9"/>
      <c r="O491" s="9"/>
      <c r="W491" s="9"/>
      <c r="X491" s="9"/>
      <c r="Y491" s="9"/>
    </row>
    <row r="492" ht="15.75" customHeight="1">
      <c r="M492" s="9"/>
      <c r="N492" s="9"/>
      <c r="O492" s="9"/>
      <c r="W492" s="9"/>
      <c r="X492" s="9"/>
      <c r="Y492" s="9"/>
    </row>
    <row r="493" ht="15.75" customHeight="1">
      <c r="M493" s="9"/>
      <c r="N493" s="9"/>
      <c r="O493" s="9"/>
      <c r="W493" s="9"/>
      <c r="X493" s="9"/>
      <c r="Y493" s="9"/>
    </row>
    <row r="494" ht="15.75" customHeight="1">
      <c r="M494" s="9"/>
      <c r="N494" s="9"/>
      <c r="O494" s="9"/>
      <c r="W494" s="9"/>
      <c r="X494" s="9"/>
      <c r="Y494" s="9"/>
    </row>
    <row r="495" ht="15.75" customHeight="1">
      <c r="M495" s="9"/>
      <c r="N495" s="9"/>
      <c r="O495" s="9"/>
      <c r="W495" s="9"/>
      <c r="X495" s="9"/>
      <c r="Y495" s="9"/>
    </row>
    <row r="496" ht="15.75" customHeight="1">
      <c r="M496" s="9"/>
      <c r="N496" s="9"/>
      <c r="O496" s="9"/>
      <c r="W496" s="9"/>
      <c r="X496" s="9"/>
      <c r="Y496" s="9"/>
    </row>
    <row r="497" ht="15.75" customHeight="1">
      <c r="M497" s="9"/>
      <c r="N497" s="9"/>
      <c r="O497" s="9"/>
      <c r="W497" s="9"/>
      <c r="X497" s="9"/>
      <c r="Y497" s="9"/>
    </row>
    <row r="498" ht="15.75" customHeight="1">
      <c r="M498" s="9"/>
      <c r="N498" s="9"/>
      <c r="O498" s="9"/>
      <c r="W498" s="9"/>
      <c r="X498" s="9"/>
      <c r="Y498" s="9"/>
    </row>
    <row r="499" ht="15.75" customHeight="1">
      <c r="M499" s="9"/>
      <c r="N499" s="9"/>
      <c r="O499" s="9"/>
      <c r="W499" s="9"/>
      <c r="X499" s="9"/>
      <c r="Y499" s="9"/>
    </row>
    <row r="500" ht="15.75" customHeight="1">
      <c r="M500" s="9"/>
      <c r="N500" s="9"/>
      <c r="O500" s="9"/>
      <c r="W500" s="9"/>
      <c r="X500" s="9"/>
      <c r="Y500" s="9"/>
    </row>
    <row r="501" ht="15.75" customHeight="1">
      <c r="M501" s="9"/>
      <c r="N501" s="9"/>
      <c r="O501" s="9"/>
      <c r="W501" s="9"/>
      <c r="X501" s="9"/>
      <c r="Y501" s="9"/>
    </row>
    <row r="502" ht="15.75" customHeight="1">
      <c r="M502" s="9"/>
      <c r="N502" s="9"/>
      <c r="O502" s="9"/>
      <c r="W502" s="9"/>
      <c r="X502" s="9"/>
      <c r="Y502" s="9"/>
    </row>
    <row r="503" ht="15.75" customHeight="1">
      <c r="M503" s="9"/>
      <c r="N503" s="9"/>
      <c r="O503" s="9"/>
      <c r="W503" s="9"/>
      <c r="X503" s="9"/>
      <c r="Y503" s="9"/>
    </row>
    <row r="504" ht="15.75" customHeight="1">
      <c r="M504" s="9"/>
      <c r="N504" s="9"/>
      <c r="O504" s="9"/>
      <c r="W504" s="9"/>
      <c r="X504" s="9"/>
      <c r="Y504" s="9"/>
    </row>
    <row r="505" ht="15.75" customHeight="1">
      <c r="M505" s="9"/>
      <c r="N505" s="9"/>
      <c r="O505" s="9"/>
      <c r="W505" s="9"/>
      <c r="X505" s="9"/>
      <c r="Y505" s="9"/>
    </row>
    <row r="506" ht="15.75" customHeight="1">
      <c r="M506" s="9"/>
      <c r="N506" s="9"/>
      <c r="O506" s="9"/>
      <c r="W506" s="9"/>
      <c r="X506" s="9"/>
      <c r="Y506" s="9"/>
    </row>
    <row r="507" ht="15.75" customHeight="1">
      <c r="M507" s="9"/>
      <c r="N507" s="9"/>
      <c r="O507" s="9"/>
      <c r="W507" s="9"/>
      <c r="X507" s="9"/>
      <c r="Y507" s="9"/>
    </row>
    <row r="508" ht="15.75" customHeight="1">
      <c r="M508" s="9"/>
      <c r="N508" s="9"/>
      <c r="O508" s="9"/>
      <c r="W508" s="9"/>
      <c r="X508" s="9"/>
      <c r="Y508" s="9"/>
    </row>
    <row r="509" ht="15.75" customHeight="1">
      <c r="M509" s="9"/>
      <c r="N509" s="9"/>
      <c r="O509" s="9"/>
      <c r="W509" s="9"/>
      <c r="X509" s="9"/>
      <c r="Y509" s="9"/>
    </row>
    <row r="510" ht="15.75" customHeight="1">
      <c r="M510" s="9"/>
      <c r="N510" s="9"/>
      <c r="O510" s="9"/>
      <c r="W510" s="9"/>
      <c r="X510" s="9"/>
      <c r="Y510" s="9"/>
    </row>
    <row r="511" ht="15.75" customHeight="1">
      <c r="M511" s="9"/>
      <c r="N511" s="9"/>
      <c r="O511" s="9"/>
      <c r="W511" s="9"/>
      <c r="X511" s="9"/>
      <c r="Y511" s="9"/>
    </row>
    <row r="512" ht="15.75" customHeight="1">
      <c r="M512" s="9"/>
      <c r="N512" s="9"/>
      <c r="O512" s="9"/>
      <c r="W512" s="9"/>
      <c r="X512" s="9"/>
      <c r="Y512" s="9"/>
    </row>
    <row r="513" ht="15.75" customHeight="1">
      <c r="M513" s="9"/>
      <c r="N513" s="9"/>
      <c r="O513" s="9"/>
      <c r="W513" s="9"/>
      <c r="X513" s="9"/>
      <c r="Y513" s="9"/>
    </row>
    <row r="514" ht="15.75" customHeight="1">
      <c r="M514" s="9"/>
      <c r="N514" s="9"/>
      <c r="O514" s="9"/>
      <c r="W514" s="9"/>
      <c r="X514" s="9"/>
      <c r="Y514" s="9"/>
    </row>
    <row r="515" ht="15.75" customHeight="1">
      <c r="M515" s="9"/>
      <c r="N515" s="9"/>
      <c r="O515" s="9"/>
      <c r="W515" s="9"/>
      <c r="X515" s="9"/>
      <c r="Y515" s="9"/>
    </row>
    <row r="516" ht="15.75" customHeight="1">
      <c r="M516" s="9"/>
      <c r="N516" s="9"/>
      <c r="O516" s="9"/>
      <c r="W516" s="9"/>
      <c r="X516" s="9"/>
      <c r="Y516" s="9"/>
    </row>
    <row r="517" ht="15.75" customHeight="1">
      <c r="M517" s="9"/>
      <c r="N517" s="9"/>
      <c r="O517" s="9"/>
      <c r="W517" s="9"/>
      <c r="X517" s="9"/>
      <c r="Y517" s="9"/>
    </row>
    <row r="518" ht="15.75" customHeight="1">
      <c r="M518" s="9"/>
      <c r="N518" s="9"/>
      <c r="O518" s="9"/>
      <c r="W518" s="9"/>
      <c r="X518" s="9"/>
      <c r="Y518" s="9"/>
    </row>
    <row r="519" ht="15.75" customHeight="1">
      <c r="M519" s="9"/>
      <c r="N519" s="9"/>
      <c r="O519" s="9"/>
      <c r="W519" s="9"/>
      <c r="X519" s="9"/>
      <c r="Y519" s="9"/>
    </row>
    <row r="520" ht="15.75" customHeight="1">
      <c r="M520" s="9"/>
      <c r="N520" s="9"/>
      <c r="O520" s="9"/>
      <c r="W520" s="9"/>
      <c r="X520" s="9"/>
      <c r="Y520" s="9"/>
    </row>
    <row r="521" ht="15.75" customHeight="1">
      <c r="M521" s="9"/>
      <c r="N521" s="9"/>
      <c r="O521" s="9"/>
      <c r="W521" s="9"/>
      <c r="X521" s="9"/>
      <c r="Y521" s="9"/>
    </row>
    <row r="522" ht="15.75" customHeight="1">
      <c r="M522" s="9"/>
      <c r="N522" s="9"/>
      <c r="O522" s="9"/>
      <c r="W522" s="9"/>
      <c r="X522" s="9"/>
      <c r="Y522" s="9"/>
    </row>
    <row r="523" ht="15.75" customHeight="1">
      <c r="M523" s="9"/>
      <c r="N523" s="9"/>
      <c r="O523" s="9"/>
      <c r="W523" s="9"/>
      <c r="X523" s="9"/>
      <c r="Y523" s="9"/>
    </row>
    <row r="524" ht="15.75" customHeight="1">
      <c r="M524" s="9"/>
      <c r="N524" s="9"/>
      <c r="O524" s="9"/>
      <c r="W524" s="9"/>
      <c r="X524" s="9"/>
      <c r="Y524" s="9"/>
    </row>
    <row r="525" ht="15.75" customHeight="1">
      <c r="M525" s="9"/>
      <c r="N525" s="9"/>
      <c r="O525" s="9"/>
      <c r="W525" s="9"/>
      <c r="X525" s="9"/>
      <c r="Y525" s="9"/>
    </row>
    <row r="526" ht="15.75" customHeight="1">
      <c r="M526" s="9"/>
      <c r="N526" s="9"/>
      <c r="O526" s="9"/>
      <c r="W526" s="9"/>
      <c r="X526" s="9"/>
      <c r="Y526" s="9"/>
    </row>
    <row r="527" ht="15.75" customHeight="1">
      <c r="M527" s="9"/>
      <c r="N527" s="9"/>
      <c r="O527" s="9"/>
      <c r="W527" s="9"/>
      <c r="X527" s="9"/>
      <c r="Y527" s="9"/>
    </row>
    <row r="528" ht="15.75" customHeight="1">
      <c r="M528" s="9"/>
      <c r="N528" s="9"/>
      <c r="O528" s="9"/>
      <c r="W528" s="9"/>
      <c r="X528" s="9"/>
      <c r="Y528" s="9"/>
    </row>
    <row r="529" ht="15.75" customHeight="1">
      <c r="M529" s="9"/>
      <c r="N529" s="9"/>
      <c r="O529" s="9"/>
      <c r="W529" s="9"/>
      <c r="X529" s="9"/>
      <c r="Y529" s="9"/>
    </row>
    <row r="530" ht="15.75" customHeight="1">
      <c r="M530" s="9"/>
      <c r="N530" s="9"/>
      <c r="O530" s="9"/>
      <c r="W530" s="9"/>
      <c r="X530" s="9"/>
      <c r="Y530" s="9"/>
    </row>
    <row r="531" ht="15.75" customHeight="1">
      <c r="M531" s="9"/>
      <c r="N531" s="9"/>
      <c r="O531" s="9"/>
      <c r="W531" s="9"/>
      <c r="X531" s="9"/>
      <c r="Y531" s="9"/>
    </row>
    <row r="532" ht="15.75" customHeight="1">
      <c r="M532" s="9"/>
      <c r="N532" s="9"/>
      <c r="O532" s="9"/>
      <c r="W532" s="9"/>
      <c r="X532" s="9"/>
      <c r="Y532" s="9"/>
    </row>
    <row r="533" ht="15.75" customHeight="1">
      <c r="M533" s="9"/>
      <c r="N533" s="9"/>
      <c r="O533" s="9"/>
      <c r="W533" s="9"/>
      <c r="X533" s="9"/>
      <c r="Y533" s="9"/>
    </row>
    <row r="534" ht="15.75" customHeight="1">
      <c r="M534" s="9"/>
      <c r="N534" s="9"/>
      <c r="O534" s="9"/>
      <c r="W534" s="9"/>
      <c r="X534" s="9"/>
      <c r="Y534" s="9"/>
    </row>
    <row r="535" ht="15.75" customHeight="1">
      <c r="M535" s="9"/>
      <c r="N535" s="9"/>
      <c r="O535" s="9"/>
      <c r="W535" s="9"/>
      <c r="X535" s="9"/>
      <c r="Y535" s="9"/>
    </row>
    <row r="536" ht="15.75" customHeight="1">
      <c r="M536" s="9"/>
      <c r="N536" s="9"/>
      <c r="O536" s="9"/>
      <c r="W536" s="9"/>
      <c r="X536" s="9"/>
      <c r="Y536" s="9"/>
    </row>
    <row r="537" ht="15.75" customHeight="1">
      <c r="M537" s="9"/>
      <c r="N537" s="9"/>
      <c r="O537" s="9"/>
      <c r="W537" s="9"/>
      <c r="X537" s="9"/>
      <c r="Y537" s="9"/>
    </row>
    <row r="538" ht="15.75" customHeight="1">
      <c r="M538" s="9"/>
      <c r="N538" s="9"/>
      <c r="O538" s="9"/>
      <c r="W538" s="9"/>
      <c r="X538" s="9"/>
      <c r="Y538" s="9"/>
    </row>
    <row r="539" ht="15.75" customHeight="1">
      <c r="M539" s="9"/>
      <c r="N539" s="9"/>
      <c r="O539" s="9"/>
      <c r="W539" s="9"/>
      <c r="X539" s="9"/>
      <c r="Y539" s="9"/>
    </row>
    <row r="540" ht="15.75" customHeight="1">
      <c r="M540" s="9"/>
      <c r="N540" s="9"/>
      <c r="O540" s="9"/>
      <c r="W540" s="9"/>
      <c r="X540" s="9"/>
      <c r="Y540" s="9"/>
    </row>
    <row r="541" ht="15.75" customHeight="1">
      <c r="M541" s="9"/>
      <c r="N541" s="9"/>
      <c r="O541" s="9"/>
      <c r="W541" s="9"/>
      <c r="X541" s="9"/>
      <c r="Y541" s="9"/>
    </row>
    <row r="542" ht="15.75" customHeight="1">
      <c r="M542" s="9"/>
      <c r="N542" s="9"/>
      <c r="O542" s="9"/>
      <c r="W542" s="9"/>
      <c r="X542" s="9"/>
      <c r="Y542" s="9"/>
    </row>
    <row r="543" ht="15.75" customHeight="1">
      <c r="M543" s="9"/>
      <c r="N543" s="9"/>
      <c r="O543" s="9"/>
      <c r="W543" s="9"/>
      <c r="X543" s="9"/>
      <c r="Y543" s="9"/>
    </row>
    <row r="544" ht="15.75" customHeight="1">
      <c r="M544" s="9"/>
      <c r="N544" s="9"/>
      <c r="O544" s="9"/>
      <c r="W544" s="9"/>
      <c r="X544" s="9"/>
      <c r="Y544" s="9"/>
    </row>
    <row r="545" ht="15.75" customHeight="1">
      <c r="M545" s="9"/>
      <c r="N545" s="9"/>
      <c r="O545" s="9"/>
      <c r="W545" s="9"/>
      <c r="X545" s="9"/>
      <c r="Y545" s="9"/>
    </row>
    <row r="546" ht="15.75" customHeight="1">
      <c r="M546" s="9"/>
      <c r="N546" s="9"/>
      <c r="O546" s="9"/>
      <c r="W546" s="9"/>
      <c r="X546" s="9"/>
      <c r="Y546" s="9"/>
    </row>
    <row r="547" ht="15.75" customHeight="1">
      <c r="M547" s="9"/>
      <c r="N547" s="9"/>
      <c r="O547" s="9"/>
      <c r="W547" s="9"/>
      <c r="X547" s="9"/>
      <c r="Y547" s="9"/>
    </row>
    <row r="548" ht="15.75" customHeight="1">
      <c r="M548" s="9"/>
      <c r="N548" s="9"/>
      <c r="O548" s="9"/>
      <c r="W548" s="9"/>
      <c r="X548" s="9"/>
      <c r="Y548" s="9"/>
    </row>
    <row r="549" ht="15.75" customHeight="1">
      <c r="M549" s="9"/>
      <c r="N549" s="9"/>
      <c r="O549" s="9"/>
      <c r="W549" s="9"/>
      <c r="X549" s="9"/>
      <c r="Y549" s="9"/>
    </row>
    <row r="550" ht="15.75" customHeight="1">
      <c r="M550" s="9"/>
      <c r="N550" s="9"/>
      <c r="O550" s="9"/>
      <c r="W550" s="9"/>
      <c r="X550" s="9"/>
      <c r="Y550" s="9"/>
    </row>
    <row r="551" ht="15.75" customHeight="1">
      <c r="M551" s="9"/>
      <c r="N551" s="9"/>
      <c r="O551" s="9"/>
      <c r="W551" s="9"/>
      <c r="X551" s="9"/>
      <c r="Y551" s="9"/>
    </row>
    <row r="552" ht="15.75" customHeight="1">
      <c r="M552" s="9"/>
      <c r="N552" s="9"/>
      <c r="O552" s="9"/>
      <c r="W552" s="9"/>
      <c r="X552" s="9"/>
      <c r="Y552" s="9"/>
    </row>
    <row r="553" ht="15.75" customHeight="1">
      <c r="M553" s="9"/>
      <c r="N553" s="9"/>
      <c r="O553" s="9"/>
      <c r="W553" s="9"/>
      <c r="X553" s="9"/>
      <c r="Y553" s="9"/>
    </row>
    <row r="554" ht="15.75" customHeight="1">
      <c r="M554" s="9"/>
      <c r="N554" s="9"/>
      <c r="O554" s="9"/>
      <c r="W554" s="9"/>
      <c r="X554" s="9"/>
      <c r="Y554" s="9"/>
    </row>
    <row r="555" ht="15.75" customHeight="1">
      <c r="M555" s="9"/>
      <c r="N555" s="9"/>
      <c r="O555" s="9"/>
      <c r="W555" s="9"/>
      <c r="X555" s="9"/>
      <c r="Y555" s="9"/>
    </row>
    <row r="556" ht="15.75" customHeight="1">
      <c r="M556" s="9"/>
      <c r="N556" s="9"/>
      <c r="O556" s="9"/>
      <c r="W556" s="9"/>
      <c r="X556" s="9"/>
      <c r="Y556" s="9"/>
    </row>
    <row r="557" ht="15.75" customHeight="1">
      <c r="M557" s="9"/>
      <c r="N557" s="9"/>
      <c r="O557" s="9"/>
      <c r="W557" s="9"/>
      <c r="X557" s="9"/>
      <c r="Y557" s="9"/>
    </row>
    <row r="558" ht="15.75" customHeight="1">
      <c r="M558" s="9"/>
      <c r="N558" s="9"/>
      <c r="O558" s="9"/>
      <c r="W558" s="9"/>
      <c r="X558" s="9"/>
      <c r="Y558" s="9"/>
    </row>
    <row r="559" ht="15.75" customHeight="1">
      <c r="M559" s="9"/>
      <c r="N559" s="9"/>
      <c r="O559" s="9"/>
      <c r="W559" s="9"/>
      <c r="X559" s="9"/>
      <c r="Y559" s="9"/>
    </row>
    <row r="560" ht="15.75" customHeight="1">
      <c r="M560" s="9"/>
      <c r="N560" s="9"/>
      <c r="O560" s="9"/>
      <c r="W560" s="9"/>
      <c r="X560" s="9"/>
      <c r="Y560" s="9"/>
    </row>
    <row r="561" ht="15.75" customHeight="1">
      <c r="M561" s="9"/>
      <c r="N561" s="9"/>
      <c r="O561" s="9"/>
      <c r="W561" s="9"/>
      <c r="X561" s="9"/>
      <c r="Y561" s="9"/>
    </row>
    <row r="562" ht="15.75" customHeight="1">
      <c r="M562" s="9"/>
      <c r="N562" s="9"/>
      <c r="O562" s="9"/>
      <c r="W562" s="9"/>
      <c r="X562" s="9"/>
      <c r="Y562" s="9"/>
    </row>
    <row r="563" ht="15.75" customHeight="1">
      <c r="M563" s="9"/>
      <c r="N563" s="9"/>
      <c r="O563" s="9"/>
      <c r="W563" s="9"/>
      <c r="X563" s="9"/>
      <c r="Y563" s="9"/>
    </row>
    <row r="564" ht="15.75" customHeight="1">
      <c r="M564" s="9"/>
      <c r="N564" s="9"/>
      <c r="O564" s="9"/>
      <c r="W564" s="9"/>
      <c r="X564" s="9"/>
      <c r="Y564" s="9"/>
    </row>
    <row r="565" ht="15.75" customHeight="1">
      <c r="M565" s="9"/>
      <c r="N565" s="9"/>
      <c r="O565" s="9"/>
      <c r="W565" s="9"/>
      <c r="X565" s="9"/>
      <c r="Y565" s="9"/>
    </row>
    <row r="566" ht="15.75" customHeight="1">
      <c r="M566" s="9"/>
      <c r="N566" s="9"/>
      <c r="O566" s="9"/>
      <c r="W566" s="9"/>
      <c r="X566" s="9"/>
      <c r="Y566" s="9"/>
    </row>
    <row r="567" ht="15.75" customHeight="1">
      <c r="M567" s="9"/>
      <c r="N567" s="9"/>
      <c r="O567" s="9"/>
      <c r="W567" s="9"/>
      <c r="X567" s="9"/>
      <c r="Y567" s="9"/>
    </row>
    <row r="568" ht="15.75" customHeight="1">
      <c r="M568" s="9"/>
      <c r="N568" s="9"/>
      <c r="O568" s="9"/>
      <c r="W568" s="9"/>
      <c r="X568" s="9"/>
      <c r="Y568" s="9"/>
    </row>
    <row r="569" ht="15.75" customHeight="1">
      <c r="M569" s="9"/>
      <c r="N569" s="9"/>
      <c r="O569" s="9"/>
      <c r="W569" s="9"/>
      <c r="X569" s="9"/>
      <c r="Y569" s="9"/>
    </row>
    <row r="570" ht="15.75" customHeight="1">
      <c r="M570" s="9"/>
      <c r="N570" s="9"/>
      <c r="O570" s="9"/>
      <c r="W570" s="9"/>
      <c r="X570" s="9"/>
      <c r="Y570" s="9"/>
    </row>
    <row r="571" ht="15.75" customHeight="1">
      <c r="M571" s="9"/>
      <c r="N571" s="9"/>
      <c r="O571" s="9"/>
      <c r="W571" s="9"/>
      <c r="X571" s="9"/>
      <c r="Y571" s="9"/>
    </row>
    <row r="572" ht="15.75" customHeight="1">
      <c r="M572" s="9"/>
      <c r="N572" s="9"/>
      <c r="O572" s="9"/>
      <c r="W572" s="9"/>
      <c r="X572" s="9"/>
      <c r="Y572" s="9"/>
    </row>
    <row r="573" ht="15.75" customHeight="1">
      <c r="M573" s="9"/>
      <c r="N573" s="9"/>
      <c r="O573" s="9"/>
      <c r="W573" s="9"/>
      <c r="X573" s="9"/>
      <c r="Y573" s="9"/>
    </row>
    <row r="574" ht="15.75" customHeight="1">
      <c r="M574" s="9"/>
      <c r="N574" s="9"/>
      <c r="O574" s="9"/>
      <c r="W574" s="9"/>
      <c r="X574" s="9"/>
      <c r="Y574" s="9"/>
    </row>
    <row r="575" ht="15.75" customHeight="1">
      <c r="M575" s="9"/>
      <c r="N575" s="9"/>
      <c r="O575" s="9"/>
      <c r="W575" s="9"/>
      <c r="X575" s="9"/>
      <c r="Y575" s="9"/>
    </row>
    <row r="576" ht="15.75" customHeight="1">
      <c r="M576" s="9"/>
      <c r="N576" s="9"/>
      <c r="O576" s="9"/>
      <c r="W576" s="9"/>
      <c r="X576" s="9"/>
      <c r="Y576" s="9"/>
    </row>
    <row r="577" ht="15.75" customHeight="1">
      <c r="M577" s="9"/>
      <c r="N577" s="9"/>
      <c r="O577" s="9"/>
      <c r="W577" s="9"/>
      <c r="X577" s="9"/>
      <c r="Y577" s="9"/>
    </row>
    <row r="578" ht="15.75" customHeight="1">
      <c r="M578" s="9"/>
      <c r="N578" s="9"/>
      <c r="O578" s="9"/>
      <c r="W578" s="9"/>
      <c r="X578" s="9"/>
      <c r="Y578" s="9"/>
    </row>
    <row r="579" ht="15.75" customHeight="1">
      <c r="M579" s="9"/>
      <c r="N579" s="9"/>
      <c r="O579" s="9"/>
      <c r="W579" s="9"/>
      <c r="X579" s="9"/>
      <c r="Y579" s="9"/>
    </row>
    <row r="580" ht="15.75" customHeight="1">
      <c r="M580" s="9"/>
      <c r="N580" s="9"/>
      <c r="O580" s="9"/>
      <c r="W580" s="9"/>
      <c r="X580" s="9"/>
      <c r="Y580" s="9"/>
    </row>
    <row r="581" ht="15.75" customHeight="1">
      <c r="M581" s="9"/>
      <c r="N581" s="9"/>
      <c r="O581" s="9"/>
      <c r="W581" s="9"/>
      <c r="X581" s="9"/>
      <c r="Y581" s="9"/>
    </row>
    <row r="582" ht="15.75" customHeight="1">
      <c r="M582" s="9"/>
      <c r="N582" s="9"/>
      <c r="O582" s="9"/>
      <c r="W582" s="9"/>
      <c r="X582" s="9"/>
      <c r="Y582" s="9"/>
    </row>
    <row r="583" ht="15.75" customHeight="1">
      <c r="M583" s="9"/>
      <c r="N583" s="9"/>
      <c r="O583" s="9"/>
      <c r="W583" s="9"/>
      <c r="X583" s="9"/>
      <c r="Y583" s="9"/>
    </row>
    <row r="584" ht="15.75" customHeight="1">
      <c r="M584" s="9"/>
      <c r="N584" s="9"/>
      <c r="O584" s="9"/>
      <c r="W584" s="9"/>
      <c r="X584" s="9"/>
      <c r="Y584" s="9"/>
    </row>
    <row r="585" ht="15.75" customHeight="1">
      <c r="M585" s="9"/>
      <c r="N585" s="9"/>
      <c r="O585" s="9"/>
      <c r="W585" s="9"/>
      <c r="X585" s="9"/>
      <c r="Y585" s="9"/>
    </row>
    <row r="586" ht="15.75" customHeight="1">
      <c r="M586" s="9"/>
      <c r="N586" s="9"/>
      <c r="O586" s="9"/>
      <c r="W586" s="9"/>
      <c r="X586" s="9"/>
      <c r="Y586" s="9"/>
    </row>
    <row r="587" ht="15.75" customHeight="1">
      <c r="M587" s="9"/>
      <c r="N587" s="9"/>
      <c r="O587" s="9"/>
      <c r="W587" s="9"/>
      <c r="X587" s="9"/>
      <c r="Y587" s="9"/>
    </row>
    <row r="588" ht="15.75" customHeight="1">
      <c r="M588" s="9"/>
      <c r="N588" s="9"/>
      <c r="O588" s="9"/>
      <c r="W588" s="9"/>
      <c r="X588" s="9"/>
      <c r="Y588" s="9"/>
    </row>
    <row r="589" ht="15.75" customHeight="1">
      <c r="M589" s="9"/>
      <c r="N589" s="9"/>
      <c r="O589" s="9"/>
      <c r="W589" s="9"/>
      <c r="X589" s="9"/>
      <c r="Y589" s="9"/>
    </row>
    <row r="590" ht="15.75" customHeight="1">
      <c r="M590" s="9"/>
      <c r="N590" s="9"/>
      <c r="O590" s="9"/>
      <c r="W590" s="9"/>
      <c r="X590" s="9"/>
      <c r="Y590" s="9"/>
    </row>
    <row r="591" ht="15.75" customHeight="1">
      <c r="M591" s="9"/>
      <c r="N591" s="9"/>
      <c r="O591" s="9"/>
      <c r="W591" s="9"/>
      <c r="X591" s="9"/>
      <c r="Y591" s="9"/>
    </row>
    <row r="592" ht="15.75" customHeight="1">
      <c r="M592" s="9"/>
      <c r="N592" s="9"/>
      <c r="O592" s="9"/>
      <c r="W592" s="9"/>
      <c r="X592" s="9"/>
      <c r="Y592" s="9"/>
    </row>
    <row r="593" ht="15.75" customHeight="1">
      <c r="M593" s="9"/>
      <c r="N593" s="9"/>
      <c r="O593" s="9"/>
      <c r="W593" s="9"/>
      <c r="X593" s="9"/>
      <c r="Y593" s="9"/>
    </row>
    <row r="594" ht="15.75" customHeight="1">
      <c r="M594" s="9"/>
      <c r="N594" s="9"/>
      <c r="O594" s="9"/>
      <c r="W594" s="9"/>
      <c r="X594" s="9"/>
      <c r="Y594" s="9"/>
    </row>
    <row r="595" ht="15.75" customHeight="1">
      <c r="M595" s="9"/>
      <c r="N595" s="9"/>
      <c r="O595" s="9"/>
      <c r="W595" s="9"/>
      <c r="X595" s="9"/>
      <c r="Y595" s="9"/>
    </row>
    <row r="596" ht="15.75" customHeight="1">
      <c r="M596" s="9"/>
      <c r="N596" s="9"/>
      <c r="O596" s="9"/>
      <c r="W596" s="9"/>
      <c r="X596" s="9"/>
      <c r="Y596" s="9"/>
    </row>
    <row r="597" ht="15.75" customHeight="1">
      <c r="M597" s="9"/>
      <c r="N597" s="9"/>
      <c r="O597" s="9"/>
      <c r="W597" s="9"/>
      <c r="X597" s="9"/>
      <c r="Y597" s="9"/>
    </row>
    <row r="598" ht="15.75" customHeight="1">
      <c r="M598" s="9"/>
      <c r="N598" s="9"/>
      <c r="O598" s="9"/>
      <c r="W598" s="9"/>
      <c r="X598" s="9"/>
      <c r="Y598" s="9"/>
    </row>
    <row r="599" ht="15.75" customHeight="1">
      <c r="M599" s="9"/>
      <c r="N599" s="9"/>
      <c r="O599" s="9"/>
      <c r="W599" s="9"/>
      <c r="X599" s="9"/>
      <c r="Y599" s="9"/>
    </row>
    <row r="600" ht="15.75" customHeight="1">
      <c r="M600" s="9"/>
      <c r="N600" s="9"/>
      <c r="O600" s="9"/>
      <c r="W600" s="9"/>
      <c r="X600" s="9"/>
      <c r="Y600" s="9"/>
    </row>
    <row r="601" ht="15.75" customHeight="1">
      <c r="M601" s="9"/>
      <c r="N601" s="9"/>
      <c r="O601" s="9"/>
      <c r="W601" s="9"/>
      <c r="X601" s="9"/>
      <c r="Y601" s="9"/>
    </row>
    <row r="602" ht="15.75" customHeight="1">
      <c r="M602" s="9"/>
      <c r="N602" s="9"/>
      <c r="O602" s="9"/>
      <c r="W602" s="9"/>
      <c r="X602" s="9"/>
      <c r="Y602" s="9"/>
    </row>
    <row r="603" ht="15.75" customHeight="1">
      <c r="M603" s="9"/>
      <c r="N603" s="9"/>
      <c r="O603" s="9"/>
      <c r="W603" s="9"/>
      <c r="X603" s="9"/>
      <c r="Y603" s="9"/>
    </row>
    <row r="604" ht="15.75" customHeight="1">
      <c r="M604" s="9"/>
      <c r="N604" s="9"/>
      <c r="O604" s="9"/>
      <c r="W604" s="9"/>
      <c r="X604" s="9"/>
      <c r="Y604" s="9"/>
    </row>
    <row r="605" ht="15.75" customHeight="1">
      <c r="M605" s="9"/>
      <c r="N605" s="9"/>
      <c r="O605" s="9"/>
      <c r="W605" s="9"/>
      <c r="X605" s="9"/>
      <c r="Y605" s="9"/>
    </row>
    <row r="606" ht="15.75" customHeight="1">
      <c r="M606" s="9"/>
      <c r="N606" s="9"/>
      <c r="O606" s="9"/>
      <c r="W606" s="9"/>
      <c r="X606" s="9"/>
      <c r="Y606" s="9"/>
    </row>
    <row r="607" ht="15.75" customHeight="1">
      <c r="M607" s="9"/>
      <c r="N607" s="9"/>
      <c r="O607" s="9"/>
      <c r="W607" s="9"/>
      <c r="X607" s="9"/>
      <c r="Y607" s="9"/>
    </row>
    <row r="608" ht="15.75" customHeight="1">
      <c r="M608" s="9"/>
      <c r="N608" s="9"/>
      <c r="O608" s="9"/>
      <c r="W608" s="9"/>
      <c r="X608" s="9"/>
      <c r="Y608" s="9"/>
    </row>
    <row r="609" ht="15.75" customHeight="1">
      <c r="M609" s="9"/>
      <c r="N609" s="9"/>
      <c r="O609" s="9"/>
      <c r="W609" s="9"/>
      <c r="X609" s="9"/>
      <c r="Y609" s="9"/>
    </row>
    <row r="610" ht="15.75" customHeight="1">
      <c r="M610" s="9"/>
      <c r="N610" s="9"/>
      <c r="O610" s="9"/>
      <c r="W610" s="9"/>
      <c r="X610" s="9"/>
      <c r="Y610" s="9"/>
    </row>
    <row r="611" ht="15.75" customHeight="1">
      <c r="M611" s="9"/>
      <c r="N611" s="9"/>
      <c r="O611" s="9"/>
      <c r="W611" s="9"/>
      <c r="X611" s="9"/>
      <c r="Y611" s="9"/>
    </row>
    <row r="612" ht="15.75" customHeight="1">
      <c r="M612" s="9"/>
      <c r="N612" s="9"/>
      <c r="O612" s="9"/>
      <c r="W612" s="9"/>
      <c r="X612" s="9"/>
      <c r="Y612" s="9"/>
    </row>
    <row r="613" ht="15.75" customHeight="1">
      <c r="M613" s="9"/>
      <c r="N613" s="9"/>
      <c r="O613" s="9"/>
      <c r="W613" s="9"/>
      <c r="X613" s="9"/>
      <c r="Y613" s="9"/>
    </row>
    <row r="614" ht="15.75" customHeight="1">
      <c r="M614" s="9"/>
      <c r="N614" s="9"/>
      <c r="O614" s="9"/>
      <c r="W614" s="9"/>
      <c r="X614" s="9"/>
      <c r="Y614" s="9"/>
    </row>
    <row r="615" ht="15.75" customHeight="1">
      <c r="M615" s="9"/>
      <c r="N615" s="9"/>
      <c r="O615" s="9"/>
      <c r="W615" s="9"/>
      <c r="X615" s="9"/>
      <c r="Y615" s="9"/>
    </row>
    <row r="616" ht="15.75" customHeight="1">
      <c r="M616" s="9"/>
      <c r="N616" s="9"/>
      <c r="O616" s="9"/>
      <c r="W616" s="9"/>
      <c r="X616" s="9"/>
      <c r="Y616" s="9"/>
    </row>
    <row r="617" ht="15.75" customHeight="1">
      <c r="M617" s="9"/>
      <c r="N617" s="9"/>
      <c r="O617" s="9"/>
      <c r="W617" s="9"/>
      <c r="X617" s="9"/>
      <c r="Y617" s="9"/>
    </row>
    <row r="618" ht="15.75" customHeight="1">
      <c r="M618" s="9"/>
      <c r="N618" s="9"/>
      <c r="O618" s="9"/>
      <c r="W618" s="9"/>
      <c r="X618" s="9"/>
      <c r="Y618" s="9"/>
    </row>
    <row r="619" ht="15.75" customHeight="1">
      <c r="M619" s="9"/>
      <c r="N619" s="9"/>
      <c r="O619" s="9"/>
      <c r="W619" s="9"/>
      <c r="X619" s="9"/>
      <c r="Y619" s="9"/>
    </row>
    <row r="620" ht="15.75" customHeight="1">
      <c r="M620" s="9"/>
      <c r="N620" s="9"/>
      <c r="O620" s="9"/>
      <c r="W620" s="9"/>
      <c r="X620" s="9"/>
      <c r="Y620" s="9"/>
    </row>
    <row r="621" ht="15.75" customHeight="1">
      <c r="M621" s="9"/>
      <c r="N621" s="9"/>
      <c r="O621" s="9"/>
      <c r="W621" s="9"/>
      <c r="X621" s="9"/>
      <c r="Y621" s="9"/>
    </row>
    <row r="622" ht="15.75" customHeight="1">
      <c r="M622" s="9"/>
      <c r="N622" s="9"/>
      <c r="O622" s="9"/>
      <c r="W622" s="9"/>
      <c r="X622" s="9"/>
      <c r="Y622" s="9"/>
    </row>
    <row r="623" ht="15.75" customHeight="1">
      <c r="M623" s="9"/>
      <c r="N623" s="9"/>
      <c r="O623" s="9"/>
      <c r="W623" s="9"/>
      <c r="X623" s="9"/>
      <c r="Y623" s="9"/>
    </row>
    <row r="624" ht="15.75" customHeight="1">
      <c r="M624" s="9"/>
      <c r="N624" s="9"/>
      <c r="O624" s="9"/>
      <c r="W624" s="9"/>
      <c r="X624" s="9"/>
      <c r="Y624" s="9"/>
    </row>
    <row r="625" ht="15.75" customHeight="1">
      <c r="M625" s="9"/>
      <c r="N625" s="9"/>
      <c r="O625" s="9"/>
      <c r="W625" s="9"/>
      <c r="X625" s="9"/>
      <c r="Y625" s="9"/>
    </row>
    <row r="626" ht="15.75" customHeight="1">
      <c r="M626" s="9"/>
      <c r="N626" s="9"/>
      <c r="O626" s="9"/>
      <c r="W626" s="9"/>
      <c r="X626" s="9"/>
      <c r="Y626" s="9"/>
    </row>
    <row r="627" ht="15.75" customHeight="1">
      <c r="M627" s="9"/>
      <c r="N627" s="9"/>
      <c r="O627" s="9"/>
      <c r="W627" s="9"/>
      <c r="X627" s="9"/>
      <c r="Y627" s="9"/>
    </row>
    <row r="628" ht="15.75" customHeight="1">
      <c r="M628" s="9"/>
      <c r="N628" s="9"/>
      <c r="O628" s="9"/>
      <c r="W628" s="9"/>
      <c r="X628" s="9"/>
      <c r="Y628" s="9"/>
    </row>
    <row r="629" ht="15.75" customHeight="1">
      <c r="M629" s="9"/>
      <c r="N629" s="9"/>
      <c r="O629" s="9"/>
      <c r="W629" s="9"/>
      <c r="X629" s="9"/>
      <c r="Y629" s="9"/>
    </row>
    <row r="630" ht="15.75" customHeight="1">
      <c r="M630" s="9"/>
      <c r="N630" s="9"/>
      <c r="O630" s="9"/>
      <c r="W630" s="9"/>
      <c r="X630" s="9"/>
      <c r="Y630" s="9"/>
    </row>
    <row r="631" ht="15.75" customHeight="1">
      <c r="M631" s="9"/>
      <c r="N631" s="9"/>
      <c r="O631" s="9"/>
      <c r="W631" s="9"/>
      <c r="X631" s="9"/>
      <c r="Y631" s="9"/>
    </row>
    <row r="632" ht="15.75" customHeight="1">
      <c r="M632" s="9"/>
      <c r="N632" s="9"/>
      <c r="O632" s="9"/>
      <c r="W632" s="9"/>
      <c r="X632" s="9"/>
      <c r="Y632" s="9"/>
    </row>
    <row r="633" ht="15.75" customHeight="1">
      <c r="M633" s="9"/>
      <c r="N633" s="9"/>
      <c r="O633" s="9"/>
      <c r="W633" s="9"/>
      <c r="X633" s="9"/>
      <c r="Y633" s="9"/>
    </row>
    <row r="634" ht="15.75" customHeight="1">
      <c r="M634" s="9"/>
      <c r="N634" s="9"/>
      <c r="O634" s="9"/>
      <c r="W634" s="9"/>
      <c r="X634" s="9"/>
      <c r="Y634" s="9"/>
    </row>
    <row r="635" ht="15.75" customHeight="1">
      <c r="M635" s="9"/>
      <c r="N635" s="9"/>
      <c r="O635" s="9"/>
      <c r="W635" s="9"/>
      <c r="X635" s="9"/>
      <c r="Y635" s="9"/>
    </row>
    <row r="636" ht="15.75" customHeight="1">
      <c r="M636" s="9"/>
      <c r="N636" s="9"/>
      <c r="O636" s="9"/>
      <c r="W636" s="9"/>
      <c r="X636" s="9"/>
      <c r="Y636" s="9"/>
    </row>
    <row r="637" ht="15.75" customHeight="1">
      <c r="M637" s="9"/>
      <c r="N637" s="9"/>
      <c r="O637" s="9"/>
      <c r="W637" s="9"/>
      <c r="X637" s="9"/>
      <c r="Y637" s="9"/>
    </row>
    <row r="638" ht="15.75" customHeight="1">
      <c r="M638" s="9"/>
      <c r="N638" s="9"/>
      <c r="O638" s="9"/>
      <c r="W638" s="9"/>
      <c r="X638" s="9"/>
      <c r="Y638" s="9"/>
    </row>
    <row r="639" ht="15.75" customHeight="1">
      <c r="M639" s="9"/>
      <c r="N639" s="9"/>
      <c r="O639" s="9"/>
      <c r="W639" s="9"/>
      <c r="X639" s="9"/>
      <c r="Y639" s="9"/>
    </row>
    <row r="640" ht="15.75" customHeight="1">
      <c r="M640" s="9"/>
      <c r="N640" s="9"/>
      <c r="O640" s="9"/>
      <c r="W640" s="9"/>
      <c r="X640" s="9"/>
      <c r="Y640" s="9"/>
    </row>
    <row r="641" ht="15.75" customHeight="1">
      <c r="M641" s="9"/>
      <c r="N641" s="9"/>
      <c r="O641" s="9"/>
      <c r="W641" s="9"/>
      <c r="X641" s="9"/>
      <c r="Y641" s="9"/>
    </row>
    <row r="642" ht="15.75" customHeight="1">
      <c r="M642" s="9"/>
      <c r="N642" s="9"/>
      <c r="O642" s="9"/>
      <c r="W642" s="9"/>
      <c r="X642" s="9"/>
      <c r="Y642" s="9"/>
    </row>
    <row r="643" ht="15.75" customHeight="1">
      <c r="M643" s="9"/>
      <c r="N643" s="9"/>
      <c r="O643" s="9"/>
      <c r="W643" s="9"/>
      <c r="X643" s="9"/>
      <c r="Y643" s="9"/>
    </row>
    <row r="644" ht="15.75" customHeight="1">
      <c r="M644" s="9"/>
      <c r="N644" s="9"/>
      <c r="O644" s="9"/>
      <c r="W644" s="9"/>
      <c r="X644" s="9"/>
      <c r="Y644" s="9"/>
    </row>
    <row r="645" ht="15.75" customHeight="1">
      <c r="M645" s="9"/>
      <c r="N645" s="9"/>
      <c r="O645" s="9"/>
      <c r="W645" s="9"/>
      <c r="X645" s="9"/>
      <c r="Y645" s="9"/>
    </row>
    <row r="646" ht="15.75" customHeight="1">
      <c r="M646" s="9"/>
      <c r="N646" s="9"/>
      <c r="O646" s="9"/>
      <c r="W646" s="9"/>
      <c r="X646" s="9"/>
      <c r="Y646" s="9"/>
    </row>
    <row r="647" ht="15.75" customHeight="1">
      <c r="M647" s="9"/>
      <c r="N647" s="9"/>
      <c r="O647" s="9"/>
      <c r="W647" s="9"/>
      <c r="X647" s="9"/>
      <c r="Y647" s="9"/>
    </row>
    <row r="648" ht="15.75" customHeight="1">
      <c r="M648" s="9"/>
      <c r="N648" s="9"/>
      <c r="O648" s="9"/>
      <c r="W648" s="9"/>
      <c r="X648" s="9"/>
      <c r="Y648" s="9"/>
    </row>
    <row r="649" ht="15.75" customHeight="1">
      <c r="M649" s="9"/>
      <c r="N649" s="9"/>
      <c r="O649" s="9"/>
      <c r="W649" s="9"/>
      <c r="X649" s="9"/>
      <c r="Y649" s="9"/>
    </row>
    <row r="650" ht="15.75" customHeight="1">
      <c r="M650" s="9"/>
      <c r="N650" s="9"/>
      <c r="O650" s="9"/>
      <c r="W650" s="9"/>
      <c r="X650" s="9"/>
      <c r="Y650" s="9"/>
    </row>
    <row r="651" ht="15.75" customHeight="1">
      <c r="M651" s="9"/>
      <c r="N651" s="9"/>
      <c r="O651" s="9"/>
      <c r="W651" s="9"/>
      <c r="X651" s="9"/>
      <c r="Y651" s="9"/>
    </row>
    <row r="652" ht="15.75" customHeight="1">
      <c r="M652" s="9"/>
      <c r="N652" s="9"/>
      <c r="O652" s="9"/>
      <c r="W652" s="9"/>
      <c r="X652" s="9"/>
      <c r="Y652" s="9"/>
    </row>
    <row r="653" ht="15.75" customHeight="1">
      <c r="M653" s="9"/>
      <c r="N653" s="9"/>
      <c r="O653" s="9"/>
      <c r="W653" s="9"/>
      <c r="X653" s="9"/>
      <c r="Y653" s="9"/>
    </row>
    <row r="654" ht="15.75" customHeight="1">
      <c r="M654" s="9"/>
      <c r="N654" s="9"/>
      <c r="O654" s="9"/>
      <c r="W654" s="9"/>
      <c r="X654" s="9"/>
      <c r="Y654" s="9"/>
    </row>
    <row r="655" ht="15.75" customHeight="1">
      <c r="M655" s="9"/>
      <c r="N655" s="9"/>
      <c r="O655" s="9"/>
      <c r="W655" s="9"/>
      <c r="X655" s="9"/>
      <c r="Y655" s="9"/>
    </row>
    <row r="656" ht="15.75" customHeight="1">
      <c r="M656" s="9"/>
      <c r="N656" s="9"/>
      <c r="O656" s="9"/>
      <c r="W656" s="9"/>
      <c r="X656" s="9"/>
      <c r="Y656" s="9"/>
    </row>
    <row r="657" ht="15.75" customHeight="1">
      <c r="M657" s="9"/>
      <c r="N657" s="9"/>
      <c r="O657" s="9"/>
      <c r="W657" s="9"/>
      <c r="X657" s="9"/>
      <c r="Y657" s="9"/>
    </row>
    <row r="658" ht="15.75" customHeight="1">
      <c r="M658" s="9"/>
      <c r="N658" s="9"/>
      <c r="O658" s="9"/>
      <c r="W658" s="9"/>
      <c r="X658" s="9"/>
      <c r="Y658" s="9"/>
    </row>
    <row r="659" ht="15.75" customHeight="1">
      <c r="M659" s="9"/>
      <c r="N659" s="9"/>
      <c r="O659" s="9"/>
      <c r="W659" s="9"/>
      <c r="X659" s="9"/>
      <c r="Y659" s="9"/>
    </row>
    <row r="660" ht="15.75" customHeight="1">
      <c r="M660" s="9"/>
      <c r="N660" s="9"/>
      <c r="O660" s="9"/>
      <c r="W660" s="9"/>
      <c r="X660" s="9"/>
      <c r="Y660" s="9"/>
    </row>
    <row r="661" ht="15.75" customHeight="1">
      <c r="M661" s="9"/>
      <c r="N661" s="9"/>
      <c r="O661" s="9"/>
      <c r="W661" s="9"/>
      <c r="X661" s="9"/>
      <c r="Y661" s="9"/>
    </row>
    <row r="662" ht="15.75" customHeight="1">
      <c r="M662" s="9"/>
      <c r="N662" s="9"/>
      <c r="O662" s="9"/>
      <c r="W662" s="9"/>
      <c r="X662" s="9"/>
      <c r="Y662" s="9"/>
    </row>
    <row r="663" ht="15.75" customHeight="1">
      <c r="M663" s="9"/>
      <c r="N663" s="9"/>
      <c r="O663" s="9"/>
      <c r="W663" s="9"/>
      <c r="X663" s="9"/>
      <c r="Y663" s="9"/>
    </row>
    <row r="664" ht="15.75" customHeight="1">
      <c r="M664" s="9"/>
      <c r="N664" s="9"/>
      <c r="O664" s="9"/>
      <c r="W664" s="9"/>
      <c r="X664" s="9"/>
      <c r="Y664" s="9"/>
    </row>
    <row r="665" ht="15.75" customHeight="1">
      <c r="M665" s="9"/>
      <c r="N665" s="9"/>
      <c r="O665" s="9"/>
      <c r="W665" s="9"/>
      <c r="X665" s="9"/>
      <c r="Y665" s="9"/>
    </row>
    <row r="666" ht="15.75" customHeight="1">
      <c r="M666" s="9"/>
      <c r="N666" s="9"/>
      <c r="O666" s="9"/>
      <c r="W666" s="9"/>
      <c r="X666" s="9"/>
      <c r="Y666" s="9"/>
    </row>
    <row r="667" ht="15.75" customHeight="1">
      <c r="M667" s="9"/>
      <c r="N667" s="9"/>
      <c r="O667" s="9"/>
      <c r="W667" s="9"/>
      <c r="X667" s="9"/>
      <c r="Y667" s="9"/>
    </row>
    <row r="668" ht="15.75" customHeight="1">
      <c r="M668" s="9"/>
      <c r="N668" s="9"/>
      <c r="O668" s="9"/>
      <c r="W668" s="9"/>
      <c r="X668" s="9"/>
      <c r="Y668" s="9"/>
    </row>
    <row r="669" ht="15.75" customHeight="1">
      <c r="M669" s="9"/>
      <c r="N669" s="9"/>
      <c r="O669" s="9"/>
      <c r="W669" s="9"/>
      <c r="X669" s="9"/>
      <c r="Y669" s="9"/>
    </row>
    <row r="670" ht="15.75" customHeight="1">
      <c r="M670" s="9"/>
      <c r="N670" s="9"/>
      <c r="O670" s="9"/>
      <c r="W670" s="9"/>
      <c r="X670" s="9"/>
      <c r="Y670" s="9"/>
    </row>
    <row r="671" ht="15.75" customHeight="1">
      <c r="M671" s="9"/>
      <c r="N671" s="9"/>
      <c r="O671" s="9"/>
      <c r="W671" s="9"/>
      <c r="X671" s="9"/>
      <c r="Y671" s="9"/>
    </row>
    <row r="672" ht="15.75" customHeight="1">
      <c r="M672" s="9"/>
      <c r="N672" s="9"/>
      <c r="O672" s="9"/>
      <c r="W672" s="9"/>
      <c r="X672" s="9"/>
      <c r="Y672" s="9"/>
    </row>
    <row r="673" ht="15.75" customHeight="1">
      <c r="M673" s="9"/>
      <c r="N673" s="9"/>
      <c r="O673" s="9"/>
      <c r="W673" s="9"/>
      <c r="X673" s="9"/>
      <c r="Y673" s="9"/>
    </row>
    <row r="674" ht="15.75" customHeight="1">
      <c r="M674" s="9"/>
      <c r="N674" s="9"/>
      <c r="O674" s="9"/>
      <c r="W674" s="9"/>
      <c r="X674" s="9"/>
      <c r="Y674" s="9"/>
    </row>
    <row r="675" ht="15.75" customHeight="1">
      <c r="M675" s="9"/>
      <c r="N675" s="9"/>
      <c r="O675" s="9"/>
      <c r="W675" s="9"/>
      <c r="X675" s="9"/>
      <c r="Y675" s="9"/>
    </row>
    <row r="676" ht="15.75" customHeight="1">
      <c r="M676" s="9"/>
      <c r="N676" s="9"/>
      <c r="O676" s="9"/>
      <c r="W676" s="9"/>
      <c r="X676" s="9"/>
      <c r="Y676" s="9"/>
    </row>
    <row r="677" ht="15.75" customHeight="1">
      <c r="M677" s="9"/>
      <c r="N677" s="9"/>
      <c r="O677" s="9"/>
      <c r="W677" s="9"/>
      <c r="X677" s="9"/>
      <c r="Y677" s="9"/>
    </row>
    <row r="678" ht="15.75" customHeight="1">
      <c r="M678" s="9"/>
      <c r="N678" s="9"/>
      <c r="O678" s="9"/>
      <c r="W678" s="9"/>
      <c r="X678" s="9"/>
      <c r="Y678" s="9"/>
    </row>
    <row r="679" ht="15.75" customHeight="1">
      <c r="M679" s="9"/>
      <c r="N679" s="9"/>
      <c r="O679" s="9"/>
      <c r="W679" s="9"/>
      <c r="X679" s="9"/>
      <c r="Y679" s="9"/>
    </row>
    <row r="680" ht="15.75" customHeight="1">
      <c r="M680" s="9"/>
      <c r="N680" s="9"/>
      <c r="O680" s="9"/>
      <c r="W680" s="9"/>
      <c r="X680" s="9"/>
      <c r="Y680" s="9"/>
    </row>
    <row r="681" ht="15.75" customHeight="1">
      <c r="M681" s="9"/>
      <c r="N681" s="9"/>
      <c r="O681" s="9"/>
      <c r="W681" s="9"/>
      <c r="X681" s="9"/>
      <c r="Y681" s="9"/>
    </row>
    <row r="682" ht="15.75" customHeight="1">
      <c r="M682" s="9"/>
      <c r="N682" s="9"/>
      <c r="O682" s="9"/>
      <c r="W682" s="9"/>
      <c r="X682" s="9"/>
      <c r="Y682" s="9"/>
    </row>
    <row r="683" ht="15.75" customHeight="1">
      <c r="M683" s="9"/>
      <c r="N683" s="9"/>
      <c r="O683" s="9"/>
      <c r="W683" s="9"/>
      <c r="X683" s="9"/>
      <c r="Y683" s="9"/>
    </row>
    <row r="684" ht="15.75" customHeight="1">
      <c r="M684" s="9"/>
      <c r="N684" s="9"/>
      <c r="O684" s="9"/>
      <c r="W684" s="9"/>
      <c r="X684" s="9"/>
      <c r="Y684" s="9"/>
    </row>
    <row r="685" ht="15.75" customHeight="1">
      <c r="M685" s="9"/>
      <c r="N685" s="9"/>
      <c r="O685" s="9"/>
      <c r="W685" s="9"/>
      <c r="X685" s="9"/>
      <c r="Y685" s="9"/>
    </row>
    <row r="686" ht="15.75" customHeight="1">
      <c r="M686" s="9"/>
      <c r="N686" s="9"/>
      <c r="O686" s="9"/>
      <c r="W686" s="9"/>
      <c r="X686" s="9"/>
      <c r="Y686" s="9"/>
    </row>
    <row r="687" ht="15.75" customHeight="1">
      <c r="M687" s="9"/>
      <c r="N687" s="9"/>
      <c r="O687" s="9"/>
      <c r="W687" s="9"/>
      <c r="X687" s="9"/>
      <c r="Y687" s="9"/>
    </row>
    <row r="688" ht="15.75" customHeight="1">
      <c r="M688" s="9"/>
      <c r="N688" s="9"/>
      <c r="O688" s="9"/>
      <c r="W688" s="9"/>
      <c r="X688" s="9"/>
      <c r="Y688" s="9"/>
    </row>
    <row r="689" ht="15.75" customHeight="1">
      <c r="M689" s="9"/>
      <c r="N689" s="9"/>
      <c r="O689" s="9"/>
      <c r="W689" s="9"/>
      <c r="X689" s="9"/>
      <c r="Y689" s="9"/>
    </row>
    <row r="690" ht="15.75" customHeight="1">
      <c r="M690" s="9"/>
      <c r="N690" s="9"/>
      <c r="O690" s="9"/>
      <c r="W690" s="9"/>
      <c r="X690" s="9"/>
      <c r="Y690" s="9"/>
    </row>
    <row r="691" ht="15.75" customHeight="1">
      <c r="M691" s="9"/>
      <c r="N691" s="9"/>
      <c r="O691" s="9"/>
      <c r="W691" s="9"/>
      <c r="X691" s="9"/>
      <c r="Y691" s="9"/>
    </row>
    <row r="692" ht="15.75" customHeight="1">
      <c r="M692" s="9"/>
      <c r="N692" s="9"/>
      <c r="O692" s="9"/>
      <c r="W692" s="9"/>
      <c r="X692" s="9"/>
      <c r="Y692" s="9"/>
    </row>
    <row r="693" ht="15.75" customHeight="1">
      <c r="M693" s="9"/>
      <c r="N693" s="9"/>
      <c r="O693" s="9"/>
      <c r="W693" s="9"/>
      <c r="X693" s="9"/>
      <c r="Y693" s="9"/>
    </row>
    <row r="694" ht="15.75" customHeight="1">
      <c r="M694" s="9"/>
      <c r="N694" s="9"/>
      <c r="O694" s="9"/>
      <c r="W694" s="9"/>
      <c r="X694" s="9"/>
      <c r="Y694" s="9"/>
    </row>
    <row r="695" ht="15.75" customHeight="1">
      <c r="M695" s="9"/>
      <c r="N695" s="9"/>
      <c r="O695" s="9"/>
      <c r="W695" s="9"/>
      <c r="X695" s="9"/>
      <c r="Y695" s="9"/>
    </row>
    <row r="696" ht="15.75" customHeight="1">
      <c r="M696" s="9"/>
      <c r="N696" s="9"/>
      <c r="O696" s="9"/>
      <c r="W696" s="9"/>
      <c r="X696" s="9"/>
      <c r="Y696" s="9"/>
    </row>
    <row r="697" ht="15.75" customHeight="1">
      <c r="M697" s="9"/>
      <c r="N697" s="9"/>
      <c r="O697" s="9"/>
      <c r="W697" s="9"/>
      <c r="X697" s="9"/>
      <c r="Y697" s="9"/>
    </row>
    <row r="698" ht="15.75" customHeight="1">
      <c r="M698" s="9"/>
      <c r="N698" s="9"/>
      <c r="O698" s="9"/>
      <c r="W698" s="9"/>
      <c r="X698" s="9"/>
      <c r="Y698" s="9"/>
    </row>
    <row r="699" ht="15.75" customHeight="1">
      <c r="M699" s="9"/>
      <c r="N699" s="9"/>
      <c r="O699" s="9"/>
      <c r="W699" s="9"/>
      <c r="X699" s="9"/>
      <c r="Y699" s="9"/>
    </row>
    <row r="700" ht="15.75" customHeight="1">
      <c r="M700" s="9"/>
      <c r="N700" s="9"/>
      <c r="O700" s="9"/>
      <c r="W700" s="9"/>
      <c r="X700" s="9"/>
      <c r="Y700" s="9"/>
    </row>
    <row r="701" ht="15.75" customHeight="1">
      <c r="M701" s="9"/>
      <c r="N701" s="9"/>
      <c r="O701" s="9"/>
      <c r="W701" s="9"/>
      <c r="X701" s="9"/>
      <c r="Y701" s="9"/>
    </row>
    <row r="702" ht="15.75" customHeight="1">
      <c r="M702" s="9"/>
      <c r="N702" s="9"/>
      <c r="O702" s="9"/>
      <c r="W702" s="9"/>
      <c r="X702" s="9"/>
      <c r="Y702" s="9"/>
    </row>
    <row r="703" ht="15.75" customHeight="1">
      <c r="M703" s="9"/>
      <c r="N703" s="9"/>
      <c r="O703" s="9"/>
      <c r="W703" s="9"/>
      <c r="X703" s="9"/>
      <c r="Y703" s="9"/>
    </row>
    <row r="704" ht="15.75" customHeight="1">
      <c r="M704" s="9"/>
      <c r="N704" s="9"/>
      <c r="O704" s="9"/>
      <c r="W704" s="9"/>
      <c r="X704" s="9"/>
      <c r="Y704" s="9"/>
    </row>
    <row r="705" ht="15.75" customHeight="1">
      <c r="M705" s="9"/>
      <c r="N705" s="9"/>
      <c r="O705" s="9"/>
      <c r="W705" s="9"/>
      <c r="X705" s="9"/>
      <c r="Y705" s="9"/>
    </row>
    <row r="706" ht="15.75" customHeight="1">
      <c r="M706" s="9"/>
      <c r="N706" s="9"/>
      <c r="O706" s="9"/>
      <c r="W706" s="9"/>
      <c r="X706" s="9"/>
      <c r="Y706" s="9"/>
    </row>
    <row r="707" ht="15.75" customHeight="1">
      <c r="M707" s="9"/>
      <c r="N707" s="9"/>
      <c r="O707" s="9"/>
      <c r="W707" s="9"/>
      <c r="X707" s="9"/>
      <c r="Y707" s="9"/>
    </row>
    <row r="708" ht="15.75" customHeight="1">
      <c r="M708" s="9"/>
      <c r="N708" s="9"/>
      <c r="O708" s="9"/>
      <c r="W708" s="9"/>
      <c r="X708" s="9"/>
      <c r="Y708" s="9"/>
    </row>
    <row r="709" ht="15.75" customHeight="1">
      <c r="M709" s="9"/>
      <c r="N709" s="9"/>
      <c r="O709" s="9"/>
      <c r="W709" s="9"/>
      <c r="X709" s="9"/>
      <c r="Y709" s="9"/>
    </row>
    <row r="710" ht="15.75" customHeight="1">
      <c r="M710" s="9"/>
      <c r="N710" s="9"/>
      <c r="O710" s="9"/>
      <c r="W710" s="9"/>
      <c r="X710" s="9"/>
      <c r="Y710" s="9"/>
    </row>
    <row r="711" ht="15.75" customHeight="1">
      <c r="M711" s="9"/>
      <c r="N711" s="9"/>
      <c r="O711" s="9"/>
      <c r="W711" s="9"/>
      <c r="X711" s="9"/>
      <c r="Y711" s="9"/>
    </row>
    <row r="712" ht="15.75" customHeight="1">
      <c r="M712" s="9"/>
      <c r="N712" s="9"/>
      <c r="O712" s="9"/>
      <c r="W712" s="9"/>
      <c r="X712" s="9"/>
      <c r="Y712" s="9"/>
    </row>
    <row r="713" ht="15.75" customHeight="1">
      <c r="M713" s="9"/>
      <c r="N713" s="9"/>
      <c r="O713" s="9"/>
      <c r="W713" s="9"/>
      <c r="X713" s="9"/>
      <c r="Y713" s="9"/>
    </row>
    <row r="714" ht="15.75" customHeight="1">
      <c r="M714" s="9"/>
      <c r="N714" s="9"/>
      <c r="O714" s="9"/>
      <c r="W714" s="9"/>
      <c r="X714" s="9"/>
      <c r="Y714" s="9"/>
    </row>
    <row r="715" ht="15.75" customHeight="1">
      <c r="M715" s="9"/>
      <c r="N715" s="9"/>
      <c r="O715" s="9"/>
      <c r="W715" s="9"/>
      <c r="X715" s="9"/>
      <c r="Y715" s="9"/>
    </row>
    <row r="716" ht="15.75" customHeight="1">
      <c r="M716" s="9"/>
      <c r="N716" s="9"/>
      <c r="O716" s="9"/>
      <c r="W716" s="9"/>
      <c r="X716" s="9"/>
      <c r="Y716" s="9"/>
    </row>
    <row r="717" ht="15.75" customHeight="1">
      <c r="M717" s="9"/>
      <c r="N717" s="9"/>
      <c r="O717" s="9"/>
      <c r="W717" s="9"/>
      <c r="X717" s="9"/>
      <c r="Y717" s="9"/>
    </row>
    <row r="718" ht="15.75" customHeight="1">
      <c r="M718" s="9"/>
      <c r="N718" s="9"/>
      <c r="O718" s="9"/>
      <c r="W718" s="9"/>
      <c r="X718" s="9"/>
      <c r="Y718" s="9"/>
    </row>
    <row r="719" ht="15.75" customHeight="1">
      <c r="M719" s="9"/>
      <c r="N719" s="9"/>
      <c r="O719" s="9"/>
      <c r="W719" s="9"/>
      <c r="X719" s="9"/>
      <c r="Y719" s="9"/>
    </row>
    <row r="720" ht="15.75" customHeight="1">
      <c r="M720" s="9"/>
      <c r="N720" s="9"/>
      <c r="O720" s="9"/>
      <c r="W720" s="9"/>
      <c r="X720" s="9"/>
      <c r="Y720" s="9"/>
    </row>
    <row r="721" ht="15.75" customHeight="1">
      <c r="M721" s="9"/>
      <c r="N721" s="9"/>
      <c r="O721" s="9"/>
      <c r="W721" s="9"/>
      <c r="X721" s="9"/>
      <c r="Y721" s="9"/>
    </row>
    <row r="722" ht="15.75" customHeight="1">
      <c r="M722" s="9"/>
      <c r="N722" s="9"/>
      <c r="O722" s="9"/>
      <c r="W722" s="9"/>
      <c r="X722" s="9"/>
      <c r="Y722" s="9"/>
    </row>
    <row r="723" ht="15.75" customHeight="1">
      <c r="M723" s="9"/>
      <c r="N723" s="9"/>
      <c r="O723" s="9"/>
      <c r="W723" s="9"/>
      <c r="X723" s="9"/>
      <c r="Y723" s="9"/>
    </row>
    <row r="724" ht="15.75" customHeight="1">
      <c r="M724" s="9"/>
      <c r="N724" s="9"/>
      <c r="O724" s="9"/>
      <c r="W724" s="9"/>
      <c r="X724" s="9"/>
      <c r="Y724" s="9"/>
    </row>
    <row r="725" ht="15.75" customHeight="1">
      <c r="M725" s="9"/>
      <c r="N725" s="9"/>
      <c r="O725" s="9"/>
      <c r="W725" s="9"/>
      <c r="X725" s="9"/>
      <c r="Y725" s="9"/>
    </row>
    <row r="726" ht="15.75" customHeight="1">
      <c r="M726" s="9"/>
      <c r="N726" s="9"/>
      <c r="O726" s="9"/>
      <c r="W726" s="9"/>
      <c r="X726" s="9"/>
      <c r="Y726" s="9"/>
    </row>
    <row r="727" ht="15.75" customHeight="1">
      <c r="M727" s="9"/>
      <c r="N727" s="9"/>
      <c r="O727" s="9"/>
      <c r="W727" s="9"/>
      <c r="X727" s="9"/>
      <c r="Y727" s="9"/>
    </row>
    <row r="728" ht="15.75" customHeight="1">
      <c r="M728" s="9"/>
      <c r="N728" s="9"/>
      <c r="O728" s="9"/>
      <c r="W728" s="9"/>
      <c r="X728" s="9"/>
      <c r="Y728" s="9"/>
    </row>
    <row r="729" ht="15.75" customHeight="1">
      <c r="M729" s="9"/>
      <c r="N729" s="9"/>
      <c r="O729" s="9"/>
      <c r="W729" s="9"/>
      <c r="X729" s="9"/>
      <c r="Y729" s="9"/>
    </row>
    <row r="730" ht="15.75" customHeight="1">
      <c r="M730" s="9"/>
      <c r="N730" s="9"/>
      <c r="O730" s="9"/>
      <c r="W730" s="9"/>
      <c r="X730" s="9"/>
      <c r="Y730" s="9"/>
    </row>
    <row r="731" ht="15.75" customHeight="1">
      <c r="M731" s="9"/>
      <c r="N731" s="9"/>
      <c r="O731" s="9"/>
      <c r="W731" s="9"/>
      <c r="X731" s="9"/>
      <c r="Y731" s="9"/>
    </row>
    <row r="732" ht="15.75" customHeight="1">
      <c r="M732" s="9"/>
      <c r="N732" s="9"/>
      <c r="O732" s="9"/>
      <c r="W732" s="9"/>
      <c r="X732" s="9"/>
      <c r="Y732" s="9"/>
    </row>
    <row r="733" ht="15.75" customHeight="1">
      <c r="M733" s="9"/>
      <c r="N733" s="9"/>
      <c r="O733" s="9"/>
      <c r="W733" s="9"/>
      <c r="X733" s="9"/>
      <c r="Y733" s="9"/>
    </row>
    <row r="734" ht="15.75" customHeight="1">
      <c r="M734" s="9"/>
      <c r="N734" s="9"/>
      <c r="O734" s="9"/>
      <c r="W734" s="9"/>
      <c r="X734" s="9"/>
      <c r="Y734" s="9"/>
    </row>
    <row r="735" ht="15.75" customHeight="1">
      <c r="M735" s="9"/>
      <c r="N735" s="9"/>
      <c r="O735" s="9"/>
      <c r="W735" s="9"/>
      <c r="X735" s="9"/>
      <c r="Y735" s="9"/>
    </row>
    <row r="736" ht="15.75" customHeight="1">
      <c r="M736" s="9"/>
      <c r="N736" s="9"/>
      <c r="O736" s="9"/>
      <c r="W736" s="9"/>
      <c r="X736" s="9"/>
      <c r="Y736" s="9"/>
    </row>
    <row r="737" ht="15.75" customHeight="1">
      <c r="M737" s="9"/>
      <c r="N737" s="9"/>
      <c r="O737" s="9"/>
      <c r="W737" s="9"/>
      <c r="X737" s="9"/>
      <c r="Y737" s="9"/>
    </row>
    <row r="738" ht="15.75" customHeight="1">
      <c r="M738" s="9"/>
      <c r="N738" s="9"/>
      <c r="O738" s="9"/>
      <c r="W738" s="9"/>
      <c r="X738" s="9"/>
      <c r="Y738" s="9"/>
    </row>
    <row r="739" ht="15.75" customHeight="1">
      <c r="M739" s="9"/>
      <c r="N739" s="9"/>
      <c r="O739" s="9"/>
      <c r="W739" s="9"/>
      <c r="X739" s="9"/>
      <c r="Y739" s="9"/>
    </row>
    <row r="740" ht="15.75" customHeight="1">
      <c r="M740" s="9"/>
      <c r="N740" s="9"/>
      <c r="O740" s="9"/>
      <c r="W740" s="9"/>
      <c r="X740" s="9"/>
      <c r="Y740" s="9"/>
    </row>
    <row r="741" ht="15.75" customHeight="1">
      <c r="M741" s="9"/>
      <c r="N741" s="9"/>
      <c r="O741" s="9"/>
      <c r="W741" s="9"/>
      <c r="X741" s="9"/>
      <c r="Y741" s="9"/>
    </row>
    <row r="742" ht="15.75" customHeight="1">
      <c r="M742" s="9"/>
      <c r="N742" s="9"/>
      <c r="O742" s="9"/>
      <c r="W742" s="9"/>
      <c r="X742" s="9"/>
      <c r="Y742" s="9"/>
    </row>
    <row r="743" ht="15.75" customHeight="1">
      <c r="M743" s="9"/>
      <c r="N743" s="9"/>
      <c r="O743" s="9"/>
      <c r="W743" s="9"/>
      <c r="X743" s="9"/>
      <c r="Y743" s="9"/>
    </row>
    <row r="744" ht="15.75" customHeight="1">
      <c r="M744" s="9"/>
      <c r="N744" s="9"/>
      <c r="O744" s="9"/>
      <c r="W744" s="9"/>
      <c r="X744" s="9"/>
      <c r="Y744" s="9"/>
    </row>
    <row r="745" ht="15.75" customHeight="1">
      <c r="M745" s="9"/>
      <c r="N745" s="9"/>
      <c r="O745" s="9"/>
      <c r="W745" s="9"/>
      <c r="X745" s="9"/>
      <c r="Y745" s="9"/>
    </row>
    <row r="746" ht="15.75" customHeight="1">
      <c r="M746" s="9"/>
      <c r="N746" s="9"/>
      <c r="O746" s="9"/>
      <c r="W746" s="9"/>
      <c r="X746" s="9"/>
      <c r="Y746" s="9"/>
    </row>
    <row r="747" ht="15.75" customHeight="1">
      <c r="M747" s="9"/>
      <c r="N747" s="9"/>
      <c r="O747" s="9"/>
      <c r="W747" s="9"/>
      <c r="X747" s="9"/>
      <c r="Y747" s="9"/>
    </row>
    <row r="748" ht="15.75" customHeight="1">
      <c r="M748" s="9"/>
      <c r="N748" s="9"/>
      <c r="O748" s="9"/>
      <c r="W748" s="9"/>
      <c r="X748" s="9"/>
      <c r="Y748" s="9"/>
    </row>
    <row r="749" ht="15.75" customHeight="1">
      <c r="M749" s="9"/>
      <c r="N749" s="9"/>
      <c r="O749" s="9"/>
      <c r="W749" s="9"/>
      <c r="X749" s="9"/>
      <c r="Y749" s="9"/>
    </row>
    <row r="750" ht="15.75" customHeight="1">
      <c r="M750" s="9"/>
      <c r="N750" s="9"/>
      <c r="O750" s="9"/>
      <c r="W750" s="9"/>
      <c r="X750" s="9"/>
      <c r="Y750" s="9"/>
    </row>
    <row r="751" ht="15.75" customHeight="1">
      <c r="M751" s="9"/>
      <c r="N751" s="9"/>
      <c r="O751" s="9"/>
      <c r="W751" s="9"/>
      <c r="X751" s="9"/>
      <c r="Y751" s="9"/>
    </row>
    <row r="752" ht="15.75" customHeight="1">
      <c r="M752" s="9"/>
      <c r="N752" s="9"/>
      <c r="O752" s="9"/>
      <c r="W752" s="9"/>
      <c r="X752" s="9"/>
      <c r="Y752" s="9"/>
    </row>
    <row r="753" ht="15.75" customHeight="1">
      <c r="M753" s="9"/>
      <c r="N753" s="9"/>
      <c r="O753" s="9"/>
      <c r="W753" s="9"/>
      <c r="X753" s="9"/>
      <c r="Y753" s="9"/>
    </row>
    <row r="754" ht="15.75" customHeight="1">
      <c r="M754" s="9"/>
      <c r="N754" s="9"/>
      <c r="O754" s="9"/>
      <c r="W754" s="9"/>
      <c r="X754" s="9"/>
      <c r="Y754" s="9"/>
    </row>
    <row r="755" ht="15.75" customHeight="1">
      <c r="M755" s="9"/>
      <c r="N755" s="9"/>
      <c r="O755" s="9"/>
      <c r="W755" s="9"/>
      <c r="X755" s="9"/>
      <c r="Y755" s="9"/>
    </row>
    <row r="756" ht="15.75" customHeight="1">
      <c r="M756" s="9"/>
      <c r="N756" s="9"/>
      <c r="O756" s="9"/>
      <c r="W756" s="9"/>
      <c r="X756" s="9"/>
      <c r="Y756" s="9"/>
    </row>
    <row r="757" ht="15.75" customHeight="1">
      <c r="M757" s="9"/>
      <c r="N757" s="9"/>
      <c r="O757" s="9"/>
      <c r="W757" s="9"/>
      <c r="X757" s="9"/>
      <c r="Y757" s="9"/>
    </row>
    <row r="758" ht="15.75" customHeight="1">
      <c r="M758" s="9"/>
      <c r="N758" s="9"/>
      <c r="O758" s="9"/>
      <c r="W758" s="9"/>
      <c r="X758" s="9"/>
      <c r="Y758" s="9"/>
    </row>
    <row r="759" ht="15.75" customHeight="1">
      <c r="M759" s="9"/>
      <c r="N759" s="9"/>
      <c r="O759" s="9"/>
      <c r="W759" s="9"/>
      <c r="X759" s="9"/>
      <c r="Y759" s="9"/>
    </row>
    <row r="760" ht="15.75" customHeight="1">
      <c r="M760" s="9"/>
      <c r="N760" s="9"/>
      <c r="O760" s="9"/>
      <c r="W760" s="9"/>
      <c r="X760" s="9"/>
      <c r="Y760" s="9"/>
    </row>
    <row r="761" ht="15.75" customHeight="1">
      <c r="M761" s="9"/>
      <c r="N761" s="9"/>
      <c r="O761" s="9"/>
      <c r="W761" s="9"/>
      <c r="X761" s="9"/>
      <c r="Y761" s="9"/>
    </row>
    <row r="762" ht="15.75" customHeight="1">
      <c r="M762" s="9"/>
      <c r="N762" s="9"/>
      <c r="O762" s="9"/>
      <c r="W762" s="9"/>
      <c r="X762" s="9"/>
      <c r="Y762" s="9"/>
    </row>
    <row r="763" ht="15.75" customHeight="1">
      <c r="M763" s="9"/>
      <c r="N763" s="9"/>
      <c r="O763" s="9"/>
      <c r="W763" s="9"/>
      <c r="X763" s="9"/>
      <c r="Y763" s="9"/>
    </row>
    <row r="764" ht="15.75" customHeight="1">
      <c r="M764" s="9"/>
      <c r="N764" s="9"/>
      <c r="O764" s="9"/>
      <c r="W764" s="9"/>
      <c r="X764" s="9"/>
      <c r="Y764" s="9"/>
    </row>
    <row r="765" ht="15.75" customHeight="1">
      <c r="M765" s="9"/>
      <c r="N765" s="9"/>
      <c r="O765" s="9"/>
      <c r="W765" s="9"/>
      <c r="X765" s="9"/>
      <c r="Y765" s="9"/>
    </row>
    <row r="766" ht="15.75" customHeight="1">
      <c r="M766" s="9"/>
      <c r="N766" s="9"/>
      <c r="O766" s="9"/>
      <c r="W766" s="9"/>
      <c r="X766" s="9"/>
      <c r="Y766" s="9"/>
    </row>
    <row r="767" ht="15.75" customHeight="1">
      <c r="M767" s="9"/>
      <c r="N767" s="9"/>
      <c r="O767" s="9"/>
      <c r="W767" s="9"/>
      <c r="X767" s="9"/>
      <c r="Y767" s="9"/>
    </row>
    <row r="768" ht="15.75" customHeight="1">
      <c r="M768" s="9"/>
      <c r="N768" s="9"/>
      <c r="O768" s="9"/>
      <c r="W768" s="9"/>
      <c r="X768" s="9"/>
      <c r="Y768" s="9"/>
    </row>
    <row r="769" ht="15.75" customHeight="1">
      <c r="M769" s="9"/>
      <c r="N769" s="9"/>
      <c r="O769" s="9"/>
      <c r="W769" s="9"/>
      <c r="X769" s="9"/>
      <c r="Y769" s="9"/>
    </row>
    <row r="770" ht="15.75" customHeight="1">
      <c r="M770" s="9"/>
      <c r="N770" s="9"/>
      <c r="O770" s="9"/>
      <c r="W770" s="9"/>
      <c r="X770" s="9"/>
      <c r="Y770" s="9"/>
    </row>
    <row r="771" ht="15.75" customHeight="1">
      <c r="M771" s="9"/>
      <c r="N771" s="9"/>
      <c r="O771" s="9"/>
      <c r="W771" s="9"/>
      <c r="X771" s="9"/>
      <c r="Y771" s="9"/>
    </row>
    <row r="772" ht="15.75" customHeight="1">
      <c r="M772" s="9"/>
      <c r="N772" s="9"/>
      <c r="O772" s="9"/>
      <c r="W772" s="9"/>
      <c r="X772" s="9"/>
      <c r="Y772" s="9"/>
    </row>
    <row r="773" ht="15.75" customHeight="1">
      <c r="M773" s="9"/>
      <c r="N773" s="9"/>
      <c r="O773" s="9"/>
      <c r="W773" s="9"/>
      <c r="X773" s="9"/>
      <c r="Y773" s="9"/>
    </row>
    <row r="774" ht="15.75" customHeight="1">
      <c r="M774" s="9"/>
      <c r="N774" s="9"/>
      <c r="O774" s="9"/>
      <c r="W774" s="9"/>
      <c r="X774" s="9"/>
      <c r="Y774" s="9"/>
    </row>
    <row r="775" ht="15.75" customHeight="1">
      <c r="M775" s="9"/>
      <c r="N775" s="9"/>
      <c r="O775" s="9"/>
      <c r="W775" s="9"/>
      <c r="X775" s="9"/>
      <c r="Y775" s="9"/>
    </row>
    <row r="776" ht="15.75" customHeight="1">
      <c r="M776" s="9"/>
      <c r="N776" s="9"/>
      <c r="O776" s="9"/>
      <c r="W776" s="9"/>
      <c r="X776" s="9"/>
      <c r="Y776" s="9"/>
    </row>
    <row r="777" ht="15.75" customHeight="1">
      <c r="M777" s="9"/>
      <c r="N777" s="9"/>
      <c r="O777" s="9"/>
      <c r="W777" s="9"/>
      <c r="X777" s="9"/>
      <c r="Y777" s="9"/>
    </row>
    <row r="778" ht="15.75" customHeight="1">
      <c r="M778" s="9"/>
      <c r="N778" s="9"/>
      <c r="O778" s="9"/>
      <c r="W778" s="9"/>
      <c r="X778" s="9"/>
      <c r="Y778" s="9"/>
    </row>
    <row r="779" ht="15.75" customHeight="1">
      <c r="M779" s="9"/>
      <c r="N779" s="9"/>
      <c r="O779" s="9"/>
      <c r="W779" s="9"/>
      <c r="X779" s="9"/>
      <c r="Y779" s="9"/>
    </row>
    <row r="780" ht="15.75" customHeight="1">
      <c r="M780" s="9"/>
      <c r="N780" s="9"/>
      <c r="O780" s="9"/>
      <c r="W780" s="9"/>
      <c r="X780" s="9"/>
      <c r="Y780" s="9"/>
    </row>
    <row r="781" ht="15.75" customHeight="1">
      <c r="M781" s="9"/>
      <c r="N781" s="9"/>
      <c r="O781" s="9"/>
      <c r="W781" s="9"/>
      <c r="X781" s="9"/>
      <c r="Y781" s="9"/>
    </row>
    <row r="782" ht="15.75" customHeight="1">
      <c r="M782" s="9"/>
      <c r="N782" s="9"/>
      <c r="O782" s="9"/>
      <c r="W782" s="9"/>
      <c r="X782" s="9"/>
      <c r="Y782" s="9"/>
    </row>
    <row r="783" ht="15.75" customHeight="1">
      <c r="M783" s="9"/>
      <c r="N783" s="9"/>
      <c r="O783" s="9"/>
      <c r="W783" s="9"/>
      <c r="X783" s="9"/>
      <c r="Y783" s="9"/>
    </row>
    <row r="784" ht="15.75" customHeight="1">
      <c r="M784" s="9"/>
      <c r="N784" s="9"/>
      <c r="O784" s="9"/>
      <c r="W784" s="9"/>
      <c r="X784" s="9"/>
      <c r="Y784" s="9"/>
    </row>
    <row r="785" ht="15.75" customHeight="1">
      <c r="M785" s="9"/>
      <c r="N785" s="9"/>
      <c r="O785" s="9"/>
      <c r="W785" s="9"/>
      <c r="X785" s="9"/>
      <c r="Y785" s="9"/>
    </row>
    <row r="786" ht="15.75" customHeight="1">
      <c r="M786" s="9"/>
      <c r="N786" s="9"/>
      <c r="O786" s="9"/>
      <c r="W786" s="9"/>
      <c r="X786" s="9"/>
      <c r="Y786" s="9"/>
    </row>
    <row r="787" ht="15.75" customHeight="1">
      <c r="M787" s="9"/>
      <c r="N787" s="9"/>
      <c r="O787" s="9"/>
      <c r="W787" s="9"/>
      <c r="X787" s="9"/>
      <c r="Y787" s="9"/>
    </row>
    <row r="788" ht="15.75" customHeight="1">
      <c r="M788" s="9"/>
      <c r="N788" s="9"/>
      <c r="O788" s="9"/>
      <c r="W788" s="9"/>
      <c r="X788" s="9"/>
      <c r="Y788" s="9"/>
    </row>
    <row r="789" ht="15.75" customHeight="1">
      <c r="M789" s="9"/>
      <c r="N789" s="9"/>
      <c r="O789" s="9"/>
      <c r="W789" s="9"/>
      <c r="X789" s="9"/>
      <c r="Y789" s="9"/>
    </row>
    <row r="790" ht="15.75" customHeight="1">
      <c r="M790" s="9"/>
      <c r="N790" s="9"/>
      <c r="O790" s="9"/>
      <c r="W790" s="9"/>
      <c r="X790" s="9"/>
      <c r="Y790" s="9"/>
    </row>
    <row r="791" ht="15.75" customHeight="1">
      <c r="M791" s="9"/>
      <c r="N791" s="9"/>
      <c r="O791" s="9"/>
      <c r="W791" s="9"/>
      <c r="X791" s="9"/>
      <c r="Y791" s="9"/>
    </row>
    <row r="792" ht="15.75" customHeight="1">
      <c r="M792" s="9"/>
      <c r="N792" s="9"/>
      <c r="O792" s="9"/>
      <c r="W792" s="9"/>
      <c r="X792" s="9"/>
      <c r="Y792" s="9"/>
    </row>
    <row r="793" ht="15.75" customHeight="1">
      <c r="M793" s="9"/>
      <c r="N793" s="9"/>
      <c r="O793" s="9"/>
      <c r="W793" s="9"/>
      <c r="X793" s="9"/>
      <c r="Y793" s="9"/>
    </row>
    <row r="794" ht="15.75" customHeight="1">
      <c r="M794" s="9"/>
      <c r="N794" s="9"/>
      <c r="O794" s="9"/>
      <c r="W794" s="9"/>
      <c r="X794" s="9"/>
      <c r="Y794" s="9"/>
    </row>
    <row r="795" ht="15.75" customHeight="1">
      <c r="M795" s="9"/>
      <c r="N795" s="9"/>
      <c r="O795" s="9"/>
      <c r="W795" s="9"/>
      <c r="X795" s="9"/>
      <c r="Y795" s="9"/>
    </row>
    <row r="796" ht="15.75" customHeight="1">
      <c r="M796" s="9"/>
      <c r="N796" s="9"/>
      <c r="O796" s="9"/>
      <c r="W796" s="9"/>
      <c r="X796" s="9"/>
      <c r="Y796" s="9"/>
    </row>
    <row r="797" ht="15.75" customHeight="1">
      <c r="M797" s="9"/>
      <c r="N797" s="9"/>
      <c r="O797" s="9"/>
      <c r="W797" s="9"/>
      <c r="X797" s="9"/>
      <c r="Y797" s="9"/>
    </row>
    <row r="798" ht="15.75" customHeight="1">
      <c r="M798" s="9"/>
      <c r="N798" s="9"/>
      <c r="O798" s="9"/>
      <c r="W798" s="9"/>
      <c r="X798" s="9"/>
      <c r="Y798" s="9"/>
    </row>
    <row r="799" ht="15.75" customHeight="1">
      <c r="M799" s="9"/>
      <c r="N799" s="9"/>
      <c r="O799" s="9"/>
      <c r="W799" s="9"/>
      <c r="X799" s="9"/>
      <c r="Y799" s="9"/>
    </row>
    <row r="800" ht="15.75" customHeight="1">
      <c r="M800" s="9"/>
      <c r="N800" s="9"/>
      <c r="O800" s="9"/>
      <c r="W800" s="9"/>
      <c r="X800" s="9"/>
      <c r="Y800" s="9"/>
    </row>
    <row r="801" ht="15.75" customHeight="1">
      <c r="M801" s="9"/>
      <c r="N801" s="9"/>
      <c r="O801" s="9"/>
      <c r="W801" s="9"/>
      <c r="X801" s="9"/>
      <c r="Y801" s="9"/>
    </row>
    <row r="802" ht="15.75" customHeight="1">
      <c r="M802" s="9"/>
      <c r="N802" s="9"/>
      <c r="O802" s="9"/>
      <c r="W802" s="9"/>
      <c r="X802" s="9"/>
      <c r="Y802" s="9"/>
    </row>
    <row r="803" ht="15.75" customHeight="1">
      <c r="M803" s="9"/>
      <c r="N803" s="9"/>
      <c r="O803" s="9"/>
      <c r="W803" s="9"/>
      <c r="X803" s="9"/>
      <c r="Y803" s="9"/>
    </row>
    <row r="804" ht="15.75" customHeight="1">
      <c r="M804" s="9"/>
      <c r="N804" s="9"/>
      <c r="O804" s="9"/>
      <c r="W804" s="9"/>
      <c r="X804" s="9"/>
      <c r="Y804" s="9"/>
    </row>
    <row r="805" ht="15.75" customHeight="1">
      <c r="M805" s="9"/>
      <c r="N805" s="9"/>
      <c r="O805" s="9"/>
      <c r="W805" s="9"/>
      <c r="X805" s="9"/>
      <c r="Y805" s="9"/>
    </row>
    <row r="806" ht="15.75" customHeight="1">
      <c r="M806" s="9"/>
      <c r="N806" s="9"/>
      <c r="O806" s="9"/>
      <c r="W806" s="9"/>
      <c r="X806" s="9"/>
      <c r="Y806" s="9"/>
    </row>
    <row r="807" ht="15.75" customHeight="1">
      <c r="M807" s="9"/>
      <c r="N807" s="9"/>
      <c r="O807" s="9"/>
      <c r="W807" s="9"/>
      <c r="X807" s="9"/>
      <c r="Y807" s="9"/>
    </row>
    <row r="808" ht="15.75" customHeight="1">
      <c r="M808" s="9"/>
      <c r="N808" s="9"/>
      <c r="O808" s="9"/>
      <c r="W808" s="9"/>
      <c r="X808" s="9"/>
      <c r="Y808" s="9"/>
    </row>
    <row r="809" ht="15.75" customHeight="1">
      <c r="M809" s="9"/>
      <c r="N809" s="9"/>
      <c r="O809" s="9"/>
      <c r="W809" s="9"/>
      <c r="X809" s="9"/>
      <c r="Y809" s="9"/>
    </row>
    <row r="810" ht="15.75" customHeight="1">
      <c r="M810" s="9"/>
      <c r="N810" s="9"/>
      <c r="O810" s="9"/>
      <c r="W810" s="9"/>
      <c r="X810" s="9"/>
      <c r="Y810" s="9"/>
    </row>
    <row r="811" ht="15.75" customHeight="1">
      <c r="M811" s="9"/>
      <c r="N811" s="9"/>
      <c r="O811" s="9"/>
      <c r="W811" s="9"/>
      <c r="X811" s="9"/>
      <c r="Y811" s="9"/>
    </row>
    <row r="812" ht="15.75" customHeight="1">
      <c r="M812" s="9"/>
      <c r="N812" s="9"/>
      <c r="O812" s="9"/>
      <c r="W812" s="9"/>
      <c r="X812" s="9"/>
      <c r="Y812" s="9"/>
    </row>
    <row r="813" ht="15.75" customHeight="1">
      <c r="M813" s="9"/>
      <c r="N813" s="9"/>
      <c r="O813" s="9"/>
      <c r="W813" s="9"/>
      <c r="X813" s="9"/>
      <c r="Y813" s="9"/>
    </row>
    <row r="814" ht="15.75" customHeight="1">
      <c r="M814" s="9"/>
      <c r="N814" s="9"/>
      <c r="O814" s="9"/>
      <c r="W814" s="9"/>
      <c r="X814" s="9"/>
      <c r="Y814" s="9"/>
    </row>
    <row r="815" ht="15.75" customHeight="1">
      <c r="M815" s="9"/>
      <c r="N815" s="9"/>
      <c r="O815" s="9"/>
      <c r="W815" s="9"/>
      <c r="X815" s="9"/>
      <c r="Y815" s="9"/>
    </row>
    <row r="816" ht="15.75" customHeight="1">
      <c r="M816" s="9"/>
      <c r="N816" s="9"/>
      <c r="O816" s="9"/>
      <c r="W816" s="9"/>
      <c r="X816" s="9"/>
      <c r="Y816" s="9"/>
    </row>
    <row r="817" ht="15.75" customHeight="1">
      <c r="M817" s="9"/>
      <c r="N817" s="9"/>
      <c r="O817" s="9"/>
      <c r="W817" s="9"/>
      <c r="X817" s="9"/>
      <c r="Y817" s="9"/>
    </row>
    <row r="818" ht="15.75" customHeight="1">
      <c r="M818" s="9"/>
      <c r="N818" s="9"/>
      <c r="O818" s="9"/>
      <c r="W818" s="9"/>
      <c r="X818" s="9"/>
      <c r="Y818" s="9"/>
    </row>
    <row r="819" ht="15.75" customHeight="1">
      <c r="M819" s="9"/>
      <c r="N819" s="9"/>
      <c r="O819" s="9"/>
      <c r="W819" s="9"/>
      <c r="X819" s="9"/>
      <c r="Y819" s="9"/>
    </row>
    <row r="820" ht="15.75" customHeight="1">
      <c r="M820" s="9"/>
      <c r="N820" s="9"/>
      <c r="O820" s="9"/>
      <c r="W820" s="9"/>
      <c r="X820" s="9"/>
      <c r="Y820" s="9"/>
    </row>
    <row r="821" ht="15.75" customHeight="1">
      <c r="M821" s="9"/>
      <c r="N821" s="9"/>
      <c r="O821" s="9"/>
      <c r="W821" s="9"/>
      <c r="X821" s="9"/>
      <c r="Y821" s="9"/>
    </row>
    <row r="822" ht="15.75" customHeight="1">
      <c r="M822" s="9"/>
      <c r="N822" s="9"/>
      <c r="O822" s="9"/>
      <c r="W822" s="9"/>
      <c r="X822" s="9"/>
      <c r="Y822" s="9"/>
    </row>
    <row r="823" ht="15.75" customHeight="1">
      <c r="M823" s="9"/>
      <c r="N823" s="9"/>
      <c r="O823" s="9"/>
      <c r="W823" s="9"/>
      <c r="X823" s="9"/>
      <c r="Y823" s="9"/>
    </row>
    <row r="824" ht="15.75" customHeight="1">
      <c r="M824" s="9"/>
      <c r="N824" s="9"/>
      <c r="O824" s="9"/>
      <c r="W824" s="9"/>
      <c r="X824" s="9"/>
      <c r="Y824" s="9"/>
    </row>
    <row r="825" ht="15.75" customHeight="1">
      <c r="M825" s="9"/>
      <c r="N825" s="9"/>
      <c r="O825" s="9"/>
      <c r="W825" s="9"/>
      <c r="X825" s="9"/>
      <c r="Y825" s="9"/>
    </row>
    <row r="826" ht="15.75" customHeight="1">
      <c r="M826" s="9"/>
      <c r="N826" s="9"/>
      <c r="O826" s="9"/>
      <c r="W826" s="9"/>
      <c r="X826" s="9"/>
      <c r="Y826" s="9"/>
    </row>
    <row r="827" ht="15.75" customHeight="1">
      <c r="M827" s="9"/>
      <c r="N827" s="9"/>
      <c r="O827" s="9"/>
      <c r="W827" s="9"/>
      <c r="X827" s="9"/>
      <c r="Y827" s="9"/>
    </row>
    <row r="828" ht="15.75" customHeight="1">
      <c r="M828" s="9"/>
      <c r="N828" s="9"/>
      <c r="O828" s="9"/>
      <c r="W828" s="9"/>
      <c r="X828" s="9"/>
      <c r="Y828" s="9"/>
    </row>
    <row r="829" ht="15.75" customHeight="1">
      <c r="M829" s="9"/>
      <c r="N829" s="9"/>
      <c r="O829" s="9"/>
      <c r="W829" s="9"/>
      <c r="X829" s="9"/>
      <c r="Y829" s="9"/>
    </row>
    <row r="830" ht="15.75" customHeight="1">
      <c r="M830" s="9"/>
      <c r="N830" s="9"/>
      <c r="O830" s="9"/>
      <c r="W830" s="9"/>
      <c r="X830" s="9"/>
      <c r="Y830" s="9"/>
    </row>
    <row r="831" ht="15.75" customHeight="1">
      <c r="M831" s="9"/>
      <c r="N831" s="9"/>
      <c r="O831" s="9"/>
      <c r="W831" s="9"/>
      <c r="X831" s="9"/>
      <c r="Y831" s="9"/>
    </row>
    <row r="832" ht="15.75" customHeight="1">
      <c r="M832" s="9"/>
      <c r="N832" s="9"/>
      <c r="O832" s="9"/>
      <c r="W832" s="9"/>
      <c r="X832" s="9"/>
      <c r="Y832" s="9"/>
    </row>
    <row r="833" ht="15.75" customHeight="1">
      <c r="M833" s="9"/>
      <c r="N833" s="9"/>
      <c r="O833" s="9"/>
      <c r="W833" s="9"/>
      <c r="X833" s="9"/>
      <c r="Y833" s="9"/>
    </row>
    <row r="834" ht="15.75" customHeight="1">
      <c r="M834" s="9"/>
      <c r="N834" s="9"/>
      <c r="O834" s="9"/>
      <c r="W834" s="9"/>
      <c r="X834" s="9"/>
      <c r="Y834" s="9"/>
    </row>
    <row r="835" ht="15.75" customHeight="1">
      <c r="M835" s="9"/>
      <c r="N835" s="9"/>
      <c r="O835" s="9"/>
      <c r="W835" s="9"/>
      <c r="X835" s="9"/>
      <c r="Y835" s="9"/>
    </row>
    <row r="836" ht="15.75" customHeight="1">
      <c r="M836" s="9"/>
      <c r="N836" s="9"/>
      <c r="O836" s="9"/>
      <c r="W836" s="9"/>
      <c r="X836" s="9"/>
      <c r="Y836" s="9"/>
    </row>
    <row r="837" ht="15.75" customHeight="1">
      <c r="M837" s="9"/>
      <c r="N837" s="9"/>
      <c r="O837" s="9"/>
      <c r="W837" s="9"/>
      <c r="X837" s="9"/>
      <c r="Y837" s="9"/>
    </row>
    <row r="838" ht="15.75" customHeight="1">
      <c r="M838" s="9"/>
      <c r="N838" s="9"/>
      <c r="O838" s="9"/>
      <c r="W838" s="9"/>
      <c r="X838" s="9"/>
      <c r="Y838" s="9"/>
    </row>
    <row r="839" ht="15.75" customHeight="1">
      <c r="M839" s="9"/>
      <c r="N839" s="9"/>
      <c r="O839" s="9"/>
      <c r="W839" s="9"/>
      <c r="X839" s="9"/>
      <c r="Y839" s="9"/>
    </row>
    <row r="840" ht="15.75" customHeight="1">
      <c r="M840" s="9"/>
      <c r="N840" s="9"/>
      <c r="O840" s="9"/>
      <c r="W840" s="9"/>
      <c r="X840" s="9"/>
      <c r="Y840" s="9"/>
    </row>
    <row r="841" ht="15.75" customHeight="1">
      <c r="M841" s="9"/>
      <c r="N841" s="9"/>
      <c r="O841" s="9"/>
      <c r="W841" s="9"/>
      <c r="X841" s="9"/>
      <c r="Y841" s="9"/>
    </row>
    <row r="842" ht="15.75" customHeight="1">
      <c r="M842" s="9"/>
      <c r="N842" s="9"/>
      <c r="O842" s="9"/>
      <c r="W842" s="9"/>
      <c r="X842" s="9"/>
      <c r="Y842" s="9"/>
    </row>
    <row r="843" ht="15.75" customHeight="1">
      <c r="M843" s="9"/>
      <c r="N843" s="9"/>
      <c r="O843" s="9"/>
      <c r="W843" s="9"/>
      <c r="X843" s="9"/>
      <c r="Y843" s="9"/>
    </row>
    <row r="844" ht="15.75" customHeight="1">
      <c r="M844" s="9"/>
      <c r="N844" s="9"/>
      <c r="O844" s="9"/>
      <c r="W844" s="9"/>
      <c r="X844" s="9"/>
      <c r="Y844" s="9"/>
    </row>
    <row r="845" ht="15.75" customHeight="1">
      <c r="M845" s="9"/>
      <c r="N845" s="9"/>
      <c r="O845" s="9"/>
      <c r="W845" s="9"/>
      <c r="X845" s="9"/>
      <c r="Y845" s="9"/>
    </row>
    <row r="846" ht="15.75" customHeight="1">
      <c r="M846" s="9"/>
      <c r="N846" s="9"/>
      <c r="O846" s="9"/>
      <c r="W846" s="9"/>
      <c r="X846" s="9"/>
      <c r="Y846" s="9"/>
    </row>
    <row r="847" ht="15.75" customHeight="1">
      <c r="M847" s="9"/>
      <c r="N847" s="9"/>
      <c r="O847" s="9"/>
      <c r="W847" s="9"/>
      <c r="X847" s="9"/>
      <c r="Y847" s="9"/>
    </row>
    <row r="848" ht="15.75" customHeight="1">
      <c r="M848" s="9"/>
      <c r="N848" s="9"/>
      <c r="O848" s="9"/>
      <c r="W848" s="9"/>
      <c r="X848" s="9"/>
      <c r="Y848" s="9"/>
    </row>
    <row r="849" ht="15.75" customHeight="1">
      <c r="M849" s="9"/>
      <c r="N849" s="9"/>
      <c r="O849" s="9"/>
      <c r="W849" s="9"/>
      <c r="X849" s="9"/>
      <c r="Y849" s="9"/>
    </row>
    <row r="850" ht="15.75" customHeight="1">
      <c r="M850" s="9"/>
      <c r="N850" s="9"/>
      <c r="O850" s="9"/>
      <c r="W850" s="9"/>
      <c r="X850" s="9"/>
      <c r="Y850" s="9"/>
    </row>
    <row r="851" ht="15.75" customHeight="1">
      <c r="M851" s="9"/>
      <c r="N851" s="9"/>
      <c r="O851" s="9"/>
      <c r="W851" s="9"/>
      <c r="X851" s="9"/>
      <c r="Y851" s="9"/>
    </row>
    <row r="852" ht="15.75" customHeight="1">
      <c r="M852" s="9"/>
      <c r="N852" s="9"/>
      <c r="O852" s="9"/>
      <c r="W852" s="9"/>
      <c r="X852" s="9"/>
      <c r="Y852" s="9"/>
    </row>
    <row r="853" ht="15.75" customHeight="1">
      <c r="M853" s="9"/>
      <c r="N853" s="9"/>
      <c r="O853" s="9"/>
      <c r="W853" s="9"/>
      <c r="X853" s="9"/>
      <c r="Y853" s="9"/>
    </row>
    <row r="854" ht="15.75" customHeight="1">
      <c r="M854" s="9"/>
      <c r="N854" s="9"/>
      <c r="O854" s="9"/>
      <c r="W854" s="9"/>
      <c r="X854" s="9"/>
      <c r="Y854" s="9"/>
    </row>
    <row r="855" ht="15.75" customHeight="1">
      <c r="M855" s="9"/>
      <c r="N855" s="9"/>
      <c r="O855" s="9"/>
      <c r="W855" s="9"/>
      <c r="X855" s="9"/>
      <c r="Y855" s="9"/>
    </row>
    <row r="856" ht="15.75" customHeight="1">
      <c r="M856" s="9"/>
      <c r="N856" s="9"/>
      <c r="O856" s="9"/>
      <c r="W856" s="9"/>
      <c r="X856" s="9"/>
      <c r="Y856" s="9"/>
    </row>
    <row r="857" ht="15.75" customHeight="1">
      <c r="M857" s="9"/>
      <c r="N857" s="9"/>
      <c r="O857" s="9"/>
      <c r="W857" s="9"/>
      <c r="X857" s="9"/>
      <c r="Y857" s="9"/>
    </row>
    <row r="858" ht="15.75" customHeight="1">
      <c r="M858" s="9"/>
      <c r="N858" s="9"/>
      <c r="O858" s="9"/>
      <c r="W858" s="9"/>
      <c r="X858" s="9"/>
      <c r="Y858" s="9"/>
    </row>
    <row r="859" ht="15.75" customHeight="1">
      <c r="M859" s="9"/>
      <c r="N859" s="9"/>
      <c r="O859" s="9"/>
      <c r="W859" s="9"/>
      <c r="X859" s="9"/>
      <c r="Y859" s="9"/>
    </row>
    <row r="860" ht="15.75" customHeight="1">
      <c r="M860" s="9"/>
      <c r="N860" s="9"/>
      <c r="O860" s="9"/>
      <c r="W860" s="9"/>
      <c r="X860" s="9"/>
      <c r="Y860" s="9"/>
    </row>
    <row r="861" ht="15.75" customHeight="1">
      <c r="M861" s="9"/>
      <c r="N861" s="9"/>
      <c r="O861" s="9"/>
      <c r="W861" s="9"/>
      <c r="X861" s="9"/>
      <c r="Y861" s="9"/>
    </row>
    <row r="862" ht="15.75" customHeight="1">
      <c r="M862" s="9"/>
      <c r="N862" s="9"/>
      <c r="O862" s="9"/>
      <c r="W862" s="9"/>
      <c r="X862" s="9"/>
      <c r="Y862" s="9"/>
    </row>
    <row r="863" ht="15.75" customHeight="1">
      <c r="M863" s="9"/>
      <c r="N863" s="9"/>
      <c r="O863" s="9"/>
      <c r="W863" s="9"/>
      <c r="X863" s="9"/>
      <c r="Y863" s="9"/>
    </row>
    <row r="864" ht="15.75" customHeight="1">
      <c r="M864" s="9"/>
      <c r="N864" s="9"/>
      <c r="O864" s="9"/>
      <c r="W864" s="9"/>
      <c r="X864" s="9"/>
      <c r="Y864" s="9"/>
    </row>
    <row r="865" ht="15.75" customHeight="1">
      <c r="M865" s="9"/>
      <c r="N865" s="9"/>
      <c r="O865" s="9"/>
      <c r="W865" s="9"/>
      <c r="X865" s="9"/>
      <c r="Y865" s="9"/>
    </row>
    <row r="866" ht="15.75" customHeight="1">
      <c r="M866" s="9"/>
      <c r="N866" s="9"/>
      <c r="O866" s="9"/>
      <c r="W866" s="9"/>
      <c r="X866" s="9"/>
      <c r="Y866" s="9"/>
    </row>
    <row r="867" ht="15.75" customHeight="1">
      <c r="M867" s="9"/>
      <c r="N867" s="9"/>
      <c r="O867" s="9"/>
      <c r="W867" s="9"/>
      <c r="X867" s="9"/>
      <c r="Y867" s="9"/>
    </row>
    <row r="868" ht="15.75" customHeight="1">
      <c r="M868" s="9"/>
      <c r="N868" s="9"/>
      <c r="O868" s="9"/>
      <c r="W868" s="9"/>
      <c r="X868" s="9"/>
      <c r="Y868" s="9"/>
    </row>
    <row r="869" ht="15.75" customHeight="1">
      <c r="M869" s="9"/>
      <c r="N869" s="9"/>
      <c r="O869" s="9"/>
      <c r="W869" s="9"/>
      <c r="X869" s="9"/>
      <c r="Y869" s="9"/>
    </row>
    <row r="870" ht="15.75" customHeight="1">
      <c r="M870" s="9"/>
      <c r="N870" s="9"/>
      <c r="O870" s="9"/>
      <c r="W870" s="9"/>
      <c r="X870" s="9"/>
      <c r="Y870" s="9"/>
    </row>
    <row r="871" ht="15.75" customHeight="1">
      <c r="M871" s="9"/>
      <c r="N871" s="9"/>
      <c r="O871" s="9"/>
      <c r="W871" s="9"/>
      <c r="X871" s="9"/>
      <c r="Y871" s="9"/>
    </row>
    <row r="872" ht="15.75" customHeight="1">
      <c r="M872" s="9"/>
      <c r="N872" s="9"/>
      <c r="O872" s="9"/>
      <c r="W872" s="9"/>
      <c r="X872" s="9"/>
      <c r="Y872" s="9"/>
    </row>
    <row r="873" ht="15.75" customHeight="1">
      <c r="M873" s="9"/>
      <c r="N873" s="9"/>
      <c r="O873" s="9"/>
      <c r="W873" s="9"/>
      <c r="X873" s="9"/>
      <c r="Y873" s="9"/>
    </row>
    <row r="874" ht="15.75" customHeight="1">
      <c r="M874" s="9"/>
      <c r="N874" s="9"/>
      <c r="O874" s="9"/>
      <c r="W874" s="9"/>
      <c r="X874" s="9"/>
      <c r="Y874" s="9"/>
    </row>
    <row r="875" ht="15.75" customHeight="1">
      <c r="M875" s="9"/>
      <c r="N875" s="9"/>
      <c r="O875" s="9"/>
      <c r="W875" s="9"/>
      <c r="X875" s="9"/>
      <c r="Y875" s="9"/>
    </row>
    <row r="876" ht="15.75" customHeight="1">
      <c r="M876" s="9"/>
      <c r="N876" s="9"/>
      <c r="O876" s="9"/>
      <c r="W876" s="9"/>
      <c r="X876" s="9"/>
      <c r="Y876" s="9"/>
    </row>
    <row r="877" ht="15.75" customHeight="1">
      <c r="M877" s="9"/>
      <c r="N877" s="9"/>
      <c r="O877" s="9"/>
      <c r="W877" s="9"/>
      <c r="X877" s="9"/>
      <c r="Y877" s="9"/>
    </row>
    <row r="878" ht="15.75" customHeight="1">
      <c r="M878" s="9"/>
      <c r="N878" s="9"/>
      <c r="O878" s="9"/>
      <c r="W878" s="9"/>
      <c r="X878" s="9"/>
      <c r="Y878" s="9"/>
    </row>
    <row r="879" ht="15.75" customHeight="1">
      <c r="M879" s="9"/>
      <c r="N879" s="9"/>
      <c r="O879" s="9"/>
      <c r="W879" s="9"/>
      <c r="X879" s="9"/>
      <c r="Y879" s="9"/>
    </row>
    <row r="880" ht="15.75" customHeight="1">
      <c r="M880" s="9"/>
      <c r="N880" s="9"/>
      <c r="O880" s="9"/>
      <c r="W880" s="9"/>
      <c r="X880" s="9"/>
      <c r="Y880" s="9"/>
    </row>
    <row r="881" ht="15.75" customHeight="1">
      <c r="M881" s="9"/>
      <c r="N881" s="9"/>
      <c r="O881" s="9"/>
      <c r="W881" s="9"/>
      <c r="X881" s="9"/>
      <c r="Y881" s="9"/>
    </row>
    <row r="882" ht="15.75" customHeight="1">
      <c r="M882" s="9"/>
      <c r="N882" s="9"/>
      <c r="O882" s="9"/>
      <c r="W882" s="9"/>
      <c r="X882" s="9"/>
      <c r="Y882" s="9"/>
    </row>
    <row r="883" ht="15.75" customHeight="1">
      <c r="M883" s="9"/>
      <c r="N883" s="9"/>
      <c r="O883" s="9"/>
      <c r="W883" s="9"/>
      <c r="X883" s="9"/>
      <c r="Y883" s="9"/>
    </row>
    <row r="884" ht="15.75" customHeight="1">
      <c r="M884" s="9"/>
      <c r="N884" s="9"/>
      <c r="O884" s="9"/>
      <c r="W884" s="9"/>
      <c r="X884" s="9"/>
      <c r="Y884" s="9"/>
    </row>
    <row r="885" ht="15.75" customHeight="1">
      <c r="M885" s="9"/>
      <c r="N885" s="9"/>
      <c r="O885" s="9"/>
      <c r="W885" s="9"/>
      <c r="X885" s="9"/>
      <c r="Y885" s="9"/>
    </row>
    <row r="886" ht="15.75" customHeight="1">
      <c r="M886" s="9"/>
      <c r="N886" s="9"/>
      <c r="O886" s="9"/>
      <c r="W886" s="9"/>
      <c r="X886" s="9"/>
      <c r="Y886" s="9"/>
    </row>
    <row r="887" ht="15.75" customHeight="1">
      <c r="M887" s="9"/>
      <c r="N887" s="9"/>
      <c r="O887" s="9"/>
      <c r="W887" s="9"/>
      <c r="X887" s="9"/>
      <c r="Y887" s="9"/>
    </row>
    <row r="888" ht="15.75" customHeight="1">
      <c r="M888" s="9"/>
      <c r="N888" s="9"/>
      <c r="O888" s="9"/>
      <c r="W888" s="9"/>
      <c r="X888" s="9"/>
      <c r="Y888" s="9"/>
    </row>
    <row r="889" ht="15.75" customHeight="1">
      <c r="M889" s="9"/>
      <c r="N889" s="9"/>
      <c r="O889" s="9"/>
      <c r="W889" s="9"/>
      <c r="X889" s="9"/>
      <c r="Y889" s="9"/>
    </row>
    <row r="890" ht="15.75" customHeight="1">
      <c r="M890" s="9"/>
      <c r="N890" s="9"/>
      <c r="O890" s="9"/>
      <c r="W890" s="9"/>
      <c r="X890" s="9"/>
      <c r="Y890" s="9"/>
    </row>
    <row r="891" ht="15.75" customHeight="1">
      <c r="M891" s="9"/>
      <c r="N891" s="9"/>
      <c r="O891" s="9"/>
      <c r="W891" s="9"/>
      <c r="X891" s="9"/>
      <c r="Y891" s="9"/>
    </row>
    <row r="892" ht="15.75" customHeight="1">
      <c r="M892" s="9"/>
      <c r="N892" s="9"/>
      <c r="O892" s="9"/>
      <c r="W892" s="9"/>
      <c r="X892" s="9"/>
      <c r="Y892" s="9"/>
    </row>
    <row r="893" ht="15.75" customHeight="1">
      <c r="M893" s="9"/>
      <c r="N893" s="9"/>
      <c r="O893" s="9"/>
      <c r="W893" s="9"/>
      <c r="X893" s="9"/>
      <c r="Y893" s="9"/>
    </row>
    <row r="894" ht="15.75" customHeight="1">
      <c r="M894" s="9"/>
      <c r="N894" s="9"/>
      <c r="O894" s="9"/>
      <c r="W894" s="9"/>
      <c r="X894" s="9"/>
      <c r="Y894" s="9"/>
    </row>
    <row r="895" ht="15.75" customHeight="1">
      <c r="M895" s="9"/>
      <c r="N895" s="9"/>
      <c r="O895" s="9"/>
      <c r="W895" s="9"/>
      <c r="X895" s="9"/>
      <c r="Y895" s="9"/>
    </row>
    <row r="896" ht="15.75" customHeight="1">
      <c r="M896" s="9"/>
      <c r="N896" s="9"/>
      <c r="O896" s="9"/>
      <c r="W896" s="9"/>
      <c r="X896" s="9"/>
      <c r="Y896" s="9"/>
    </row>
    <row r="897" ht="15.75" customHeight="1">
      <c r="M897" s="9"/>
      <c r="N897" s="9"/>
      <c r="O897" s="9"/>
      <c r="W897" s="9"/>
      <c r="X897" s="9"/>
      <c r="Y897" s="9"/>
    </row>
    <row r="898" ht="15.75" customHeight="1">
      <c r="M898" s="9"/>
      <c r="N898" s="9"/>
      <c r="O898" s="9"/>
      <c r="W898" s="9"/>
      <c r="X898" s="9"/>
      <c r="Y898" s="9"/>
    </row>
    <row r="899" ht="15.75" customHeight="1">
      <c r="M899" s="9"/>
      <c r="N899" s="9"/>
      <c r="O899" s="9"/>
      <c r="W899" s="9"/>
      <c r="X899" s="9"/>
      <c r="Y899" s="9"/>
    </row>
    <row r="900" ht="15.75" customHeight="1">
      <c r="M900" s="9"/>
      <c r="N900" s="9"/>
      <c r="O900" s="9"/>
      <c r="W900" s="9"/>
      <c r="X900" s="9"/>
      <c r="Y900" s="9"/>
    </row>
    <row r="901" ht="15.75" customHeight="1">
      <c r="M901" s="9"/>
      <c r="N901" s="9"/>
      <c r="O901" s="9"/>
      <c r="W901" s="9"/>
      <c r="X901" s="9"/>
      <c r="Y901" s="9"/>
    </row>
    <row r="902" ht="15.75" customHeight="1">
      <c r="M902" s="9"/>
      <c r="N902" s="9"/>
      <c r="O902" s="9"/>
      <c r="W902" s="9"/>
      <c r="X902" s="9"/>
      <c r="Y902" s="9"/>
    </row>
    <row r="903" ht="15.75" customHeight="1">
      <c r="M903" s="9"/>
      <c r="N903" s="9"/>
      <c r="O903" s="9"/>
      <c r="W903" s="9"/>
      <c r="X903" s="9"/>
      <c r="Y903" s="9"/>
    </row>
    <row r="904" ht="15.75" customHeight="1">
      <c r="M904" s="9"/>
      <c r="N904" s="9"/>
      <c r="O904" s="9"/>
      <c r="W904" s="9"/>
      <c r="X904" s="9"/>
      <c r="Y904" s="9"/>
    </row>
    <row r="905" ht="15.75" customHeight="1">
      <c r="M905" s="9"/>
      <c r="N905" s="9"/>
      <c r="O905" s="9"/>
      <c r="W905" s="9"/>
      <c r="X905" s="9"/>
      <c r="Y905" s="9"/>
    </row>
    <row r="906" ht="15.75" customHeight="1">
      <c r="M906" s="9"/>
      <c r="N906" s="9"/>
      <c r="O906" s="9"/>
      <c r="W906" s="9"/>
      <c r="X906" s="9"/>
      <c r="Y906" s="9"/>
    </row>
    <row r="907" ht="15.75" customHeight="1">
      <c r="M907" s="9"/>
      <c r="N907" s="9"/>
      <c r="O907" s="9"/>
      <c r="W907" s="9"/>
      <c r="X907" s="9"/>
      <c r="Y907" s="9"/>
    </row>
    <row r="908" ht="15.75" customHeight="1">
      <c r="M908" s="9"/>
      <c r="N908" s="9"/>
      <c r="O908" s="9"/>
      <c r="W908" s="9"/>
      <c r="X908" s="9"/>
      <c r="Y908" s="9"/>
    </row>
    <row r="909" ht="15.75" customHeight="1">
      <c r="M909" s="9"/>
      <c r="N909" s="9"/>
      <c r="O909" s="9"/>
      <c r="W909" s="9"/>
      <c r="X909" s="9"/>
      <c r="Y909" s="9"/>
    </row>
    <row r="910" ht="15.75" customHeight="1">
      <c r="M910" s="9"/>
      <c r="N910" s="9"/>
      <c r="O910" s="9"/>
      <c r="W910" s="9"/>
      <c r="X910" s="9"/>
      <c r="Y910" s="9"/>
    </row>
    <row r="911" ht="15.75" customHeight="1">
      <c r="M911" s="9"/>
      <c r="N911" s="9"/>
      <c r="O911" s="9"/>
      <c r="W911" s="9"/>
      <c r="X911" s="9"/>
      <c r="Y911" s="9"/>
    </row>
    <row r="912" ht="15.75" customHeight="1">
      <c r="M912" s="9"/>
      <c r="N912" s="9"/>
      <c r="O912" s="9"/>
      <c r="W912" s="9"/>
      <c r="X912" s="9"/>
      <c r="Y912" s="9"/>
    </row>
    <row r="913" ht="15.75" customHeight="1">
      <c r="M913" s="9"/>
      <c r="N913" s="9"/>
      <c r="O913" s="9"/>
      <c r="W913" s="9"/>
      <c r="X913" s="9"/>
      <c r="Y913" s="9"/>
    </row>
    <row r="914" ht="15.75" customHeight="1">
      <c r="M914" s="9"/>
      <c r="N914" s="9"/>
      <c r="O914" s="9"/>
      <c r="W914" s="9"/>
      <c r="X914" s="9"/>
      <c r="Y914" s="9"/>
    </row>
    <row r="915" ht="15.75" customHeight="1">
      <c r="M915" s="9"/>
      <c r="N915" s="9"/>
      <c r="O915" s="9"/>
      <c r="W915" s="9"/>
      <c r="X915" s="9"/>
      <c r="Y915" s="9"/>
    </row>
    <row r="916" ht="15.75" customHeight="1">
      <c r="M916" s="9"/>
      <c r="N916" s="9"/>
      <c r="O916" s="9"/>
      <c r="W916" s="9"/>
      <c r="X916" s="9"/>
      <c r="Y916" s="9"/>
    </row>
    <row r="917" ht="15.75" customHeight="1">
      <c r="M917" s="9"/>
      <c r="N917" s="9"/>
      <c r="O917" s="9"/>
      <c r="W917" s="9"/>
      <c r="X917" s="9"/>
      <c r="Y917" s="9"/>
    </row>
    <row r="918" ht="15.75" customHeight="1">
      <c r="M918" s="9"/>
      <c r="N918" s="9"/>
      <c r="O918" s="9"/>
      <c r="W918" s="9"/>
      <c r="X918" s="9"/>
      <c r="Y918" s="9"/>
    </row>
    <row r="919" ht="15.75" customHeight="1">
      <c r="M919" s="9"/>
      <c r="N919" s="9"/>
      <c r="O919" s="9"/>
      <c r="W919" s="9"/>
      <c r="X919" s="9"/>
      <c r="Y919" s="9"/>
    </row>
    <row r="920" ht="15.75" customHeight="1">
      <c r="M920" s="9"/>
      <c r="N920" s="9"/>
      <c r="O920" s="9"/>
      <c r="W920" s="9"/>
      <c r="X920" s="9"/>
      <c r="Y920" s="9"/>
    </row>
    <row r="921" ht="15.75" customHeight="1">
      <c r="M921" s="9"/>
      <c r="N921" s="9"/>
      <c r="O921" s="9"/>
      <c r="W921" s="9"/>
      <c r="X921" s="9"/>
      <c r="Y921" s="9"/>
    </row>
    <row r="922" ht="15.75" customHeight="1">
      <c r="M922" s="9"/>
      <c r="N922" s="9"/>
      <c r="O922" s="9"/>
      <c r="W922" s="9"/>
      <c r="X922" s="9"/>
      <c r="Y922" s="9"/>
    </row>
    <row r="923" ht="15.75" customHeight="1">
      <c r="M923" s="9"/>
      <c r="N923" s="9"/>
      <c r="O923" s="9"/>
      <c r="W923" s="9"/>
      <c r="X923" s="9"/>
      <c r="Y923" s="9"/>
    </row>
    <row r="924" ht="15.75" customHeight="1">
      <c r="M924" s="9"/>
      <c r="N924" s="9"/>
      <c r="O924" s="9"/>
      <c r="W924" s="9"/>
      <c r="X924" s="9"/>
      <c r="Y924" s="9"/>
    </row>
    <row r="925" ht="15.75" customHeight="1">
      <c r="M925" s="9"/>
      <c r="N925" s="9"/>
      <c r="O925" s="9"/>
      <c r="W925" s="9"/>
      <c r="X925" s="9"/>
      <c r="Y925" s="9"/>
    </row>
    <row r="926" ht="15.75" customHeight="1">
      <c r="M926" s="9"/>
      <c r="N926" s="9"/>
      <c r="O926" s="9"/>
      <c r="W926" s="9"/>
      <c r="X926" s="9"/>
      <c r="Y926" s="9"/>
    </row>
    <row r="927" ht="15.75" customHeight="1">
      <c r="M927" s="9"/>
      <c r="N927" s="9"/>
      <c r="O927" s="9"/>
      <c r="W927" s="9"/>
      <c r="X927" s="9"/>
      <c r="Y927" s="9"/>
    </row>
    <row r="928" ht="15.75" customHeight="1">
      <c r="M928" s="9"/>
      <c r="N928" s="9"/>
      <c r="O928" s="9"/>
      <c r="W928" s="9"/>
      <c r="X928" s="9"/>
      <c r="Y928" s="9"/>
    </row>
    <row r="929" ht="15.75" customHeight="1">
      <c r="M929" s="9"/>
      <c r="N929" s="9"/>
      <c r="O929" s="9"/>
      <c r="W929" s="9"/>
      <c r="X929" s="9"/>
      <c r="Y929" s="9"/>
    </row>
    <row r="930" ht="15.75" customHeight="1">
      <c r="M930" s="9"/>
      <c r="N930" s="9"/>
      <c r="O930" s="9"/>
      <c r="W930" s="9"/>
      <c r="X930" s="9"/>
      <c r="Y930" s="9"/>
    </row>
    <row r="931" ht="15.75" customHeight="1">
      <c r="M931" s="9"/>
      <c r="N931" s="9"/>
      <c r="O931" s="9"/>
      <c r="W931" s="9"/>
      <c r="X931" s="9"/>
      <c r="Y931" s="9"/>
    </row>
    <row r="932" ht="15.75" customHeight="1">
      <c r="M932" s="9"/>
      <c r="N932" s="9"/>
      <c r="O932" s="9"/>
      <c r="W932" s="9"/>
      <c r="X932" s="9"/>
      <c r="Y932" s="9"/>
    </row>
    <row r="933" ht="15.75" customHeight="1">
      <c r="M933" s="9"/>
      <c r="N933" s="9"/>
      <c r="O933" s="9"/>
      <c r="W933" s="9"/>
      <c r="X933" s="9"/>
      <c r="Y933" s="9"/>
    </row>
    <row r="934" ht="15.75" customHeight="1">
      <c r="M934" s="9"/>
      <c r="N934" s="9"/>
      <c r="O934" s="9"/>
      <c r="W934" s="9"/>
      <c r="X934" s="9"/>
      <c r="Y934" s="9"/>
    </row>
    <row r="935" ht="15.75" customHeight="1">
      <c r="M935" s="9"/>
      <c r="N935" s="9"/>
      <c r="O935" s="9"/>
      <c r="W935" s="9"/>
      <c r="X935" s="9"/>
      <c r="Y935" s="9"/>
    </row>
    <row r="936" ht="15.75" customHeight="1">
      <c r="M936" s="9"/>
      <c r="N936" s="9"/>
      <c r="O936" s="9"/>
      <c r="W936" s="9"/>
      <c r="X936" s="9"/>
      <c r="Y936" s="9"/>
    </row>
    <row r="937" ht="15.75" customHeight="1">
      <c r="M937" s="9"/>
      <c r="N937" s="9"/>
      <c r="O937" s="9"/>
      <c r="W937" s="9"/>
      <c r="X937" s="9"/>
      <c r="Y937" s="9"/>
    </row>
    <row r="938" ht="15.75" customHeight="1">
      <c r="M938" s="9"/>
      <c r="N938" s="9"/>
      <c r="O938" s="9"/>
      <c r="W938" s="9"/>
      <c r="X938" s="9"/>
      <c r="Y938" s="9"/>
    </row>
    <row r="939" ht="15.75" customHeight="1">
      <c r="M939" s="9"/>
      <c r="N939" s="9"/>
      <c r="O939" s="9"/>
      <c r="W939" s="9"/>
      <c r="X939" s="9"/>
      <c r="Y939" s="9"/>
    </row>
    <row r="940" ht="15.75" customHeight="1">
      <c r="M940" s="9"/>
      <c r="N940" s="9"/>
      <c r="O940" s="9"/>
      <c r="W940" s="9"/>
      <c r="X940" s="9"/>
      <c r="Y940" s="9"/>
    </row>
    <row r="941" ht="15.75" customHeight="1">
      <c r="M941" s="9"/>
      <c r="N941" s="9"/>
      <c r="O941" s="9"/>
      <c r="W941" s="9"/>
      <c r="X941" s="9"/>
      <c r="Y941" s="9"/>
    </row>
    <row r="942" ht="15.75" customHeight="1">
      <c r="M942" s="9"/>
      <c r="N942" s="9"/>
      <c r="O942" s="9"/>
      <c r="W942" s="9"/>
      <c r="X942" s="9"/>
      <c r="Y942" s="9"/>
    </row>
    <row r="943" ht="15.75" customHeight="1">
      <c r="M943" s="9"/>
      <c r="N943" s="9"/>
      <c r="O943" s="9"/>
      <c r="W943" s="9"/>
      <c r="X943" s="9"/>
      <c r="Y943" s="9"/>
    </row>
    <row r="944" ht="15.75" customHeight="1">
      <c r="M944" s="9"/>
      <c r="N944" s="9"/>
      <c r="O944" s="9"/>
      <c r="W944" s="9"/>
      <c r="X944" s="9"/>
      <c r="Y944" s="9"/>
    </row>
    <row r="945" ht="15.75" customHeight="1">
      <c r="M945" s="9"/>
      <c r="N945" s="9"/>
      <c r="O945" s="9"/>
      <c r="W945" s="9"/>
      <c r="X945" s="9"/>
      <c r="Y945" s="9"/>
    </row>
    <row r="946" ht="15.75" customHeight="1">
      <c r="M946" s="9"/>
      <c r="N946" s="9"/>
      <c r="O946" s="9"/>
      <c r="W946" s="9"/>
      <c r="X946" s="9"/>
      <c r="Y946" s="9"/>
    </row>
    <row r="947" ht="15.75" customHeight="1">
      <c r="M947" s="9"/>
      <c r="N947" s="9"/>
      <c r="O947" s="9"/>
      <c r="W947" s="9"/>
      <c r="X947" s="9"/>
      <c r="Y947" s="9"/>
    </row>
    <row r="948" ht="15.75" customHeight="1">
      <c r="M948" s="9"/>
      <c r="N948" s="9"/>
      <c r="O948" s="9"/>
      <c r="W948" s="9"/>
      <c r="X948" s="9"/>
      <c r="Y948" s="9"/>
    </row>
    <row r="949" ht="15.75" customHeight="1">
      <c r="M949" s="9"/>
      <c r="N949" s="9"/>
      <c r="O949" s="9"/>
      <c r="W949" s="9"/>
      <c r="X949" s="9"/>
      <c r="Y949" s="9"/>
    </row>
    <row r="950" ht="15.75" customHeight="1">
      <c r="M950" s="9"/>
      <c r="N950" s="9"/>
      <c r="O950" s="9"/>
      <c r="W950" s="9"/>
      <c r="X950" s="9"/>
      <c r="Y950" s="9"/>
    </row>
    <row r="951" ht="15.75" customHeight="1">
      <c r="M951" s="9"/>
      <c r="N951" s="9"/>
      <c r="O951" s="9"/>
      <c r="W951" s="9"/>
      <c r="X951" s="9"/>
      <c r="Y951" s="9"/>
    </row>
    <row r="952" ht="15.75" customHeight="1">
      <c r="M952" s="9"/>
      <c r="N952" s="9"/>
      <c r="O952" s="9"/>
      <c r="W952" s="9"/>
      <c r="X952" s="9"/>
      <c r="Y952" s="9"/>
    </row>
    <row r="953" ht="15.75" customHeight="1">
      <c r="M953" s="9"/>
      <c r="N953" s="9"/>
      <c r="O953" s="9"/>
      <c r="W953" s="9"/>
      <c r="X953" s="9"/>
      <c r="Y953" s="9"/>
    </row>
    <row r="954" ht="15.75" customHeight="1">
      <c r="M954" s="9"/>
      <c r="N954" s="9"/>
      <c r="O954" s="9"/>
      <c r="W954" s="9"/>
      <c r="X954" s="9"/>
      <c r="Y954" s="9"/>
    </row>
    <row r="955" ht="15.75" customHeight="1">
      <c r="M955" s="9"/>
      <c r="N955" s="9"/>
      <c r="O955" s="9"/>
      <c r="W955" s="9"/>
      <c r="X955" s="9"/>
      <c r="Y955" s="9"/>
    </row>
    <row r="956" ht="15.75" customHeight="1">
      <c r="M956" s="9"/>
      <c r="N956" s="9"/>
      <c r="O956" s="9"/>
      <c r="W956" s="9"/>
      <c r="X956" s="9"/>
      <c r="Y956" s="9"/>
    </row>
    <row r="957" ht="15.75" customHeight="1">
      <c r="M957" s="9"/>
      <c r="N957" s="9"/>
      <c r="O957" s="9"/>
      <c r="W957" s="9"/>
      <c r="X957" s="9"/>
      <c r="Y957" s="9"/>
    </row>
    <row r="958" ht="15.75" customHeight="1">
      <c r="M958" s="9"/>
      <c r="N958" s="9"/>
      <c r="O958" s="9"/>
      <c r="W958" s="9"/>
      <c r="X958" s="9"/>
      <c r="Y958" s="9"/>
    </row>
    <row r="959" ht="15.75" customHeight="1">
      <c r="M959" s="9"/>
      <c r="N959" s="9"/>
      <c r="O959" s="9"/>
      <c r="W959" s="9"/>
      <c r="X959" s="9"/>
      <c r="Y959" s="9"/>
    </row>
    <row r="960" ht="15.75" customHeight="1">
      <c r="M960" s="9"/>
      <c r="N960" s="9"/>
      <c r="O960" s="9"/>
      <c r="W960" s="9"/>
      <c r="X960" s="9"/>
      <c r="Y960" s="9"/>
    </row>
    <row r="961" ht="15.75" customHeight="1">
      <c r="M961" s="9"/>
      <c r="N961" s="9"/>
      <c r="O961" s="9"/>
      <c r="W961" s="9"/>
      <c r="X961" s="9"/>
      <c r="Y961" s="9"/>
    </row>
    <row r="962" ht="15.75" customHeight="1">
      <c r="M962" s="9"/>
      <c r="N962" s="9"/>
      <c r="O962" s="9"/>
      <c r="W962" s="9"/>
      <c r="X962" s="9"/>
      <c r="Y962" s="9"/>
    </row>
    <row r="963" ht="15.75" customHeight="1">
      <c r="M963" s="9"/>
      <c r="N963" s="9"/>
      <c r="O963" s="9"/>
      <c r="W963" s="9"/>
      <c r="X963" s="9"/>
      <c r="Y963" s="9"/>
    </row>
    <row r="964" ht="15.75" customHeight="1">
      <c r="M964" s="9"/>
      <c r="N964" s="9"/>
      <c r="O964" s="9"/>
      <c r="W964" s="9"/>
      <c r="X964" s="9"/>
      <c r="Y964" s="9"/>
    </row>
    <row r="965" ht="15.75" customHeight="1">
      <c r="M965" s="9"/>
      <c r="N965" s="9"/>
      <c r="O965" s="9"/>
      <c r="W965" s="9"/>
      <c r="X965" s="9"/>
      <c r="Y965" s="9"/>
    </row>
    <row r="966" ht="15.75" customHeight="1">
      <c r="M966" s="9"/>
      <c r="N966" s="9"/>
      <c r="O966" s="9"/>
      <c r="W966" s="9"/>
      <c r="X966" s="9"/>
      <c r="Y966" s="9"/>
    </row>
    <row r="967" ht="15.75" customHeight="1">
      <c r="M967" s="9"/>
      <c r="N967" s="9"/>
      <c r="O967" s="9"/>
      <c r="W967" s="9"/>
      <c r="X967" s="9"/>
      <c r="Y967" s="9"/>
    </row>
    <row r="968" ht="15.75" customHeight="1">
      <c r="M968" s="9"/>
      <c r="N968" s="9"/>
      <c r="O968" s="9"/>
      <c r="W968" s="9"/>
      <c r="X968" s="9"/>
      <c r="Y968" s="9"/>
    </row>
    <row r="969" ht="15.75" customHeight="1">
      <c r="M969" s="9"/>
      <c r="N969" s="9"/>
      <c r="O969" s="9"/>
      <c r="W969" s="9"/>
      <c r="X969" s="9"/>
      <c r="Y969" s="9"/>
    </row>
    <row r="970" ht="15.75" customHeight="1">
      <c r="M970" s="9"/>
      <c r="N970" s="9"/>
      <c r="O970" s="9"/>
      <c r="W970" s="9"/>
      <c r="X970" s="9"/>
      <c r="Y970" s="9"/>
    </row>
    <row r="971" ht="15.75" customHeight="1">
      <c r="M971" s="9"/>
      <c r="N971" s="9"/>
      <c r="O971" s="9"/>
      <c r="W971" s="9"/>
      <c r="X971" s="9"/>
      <c r="Y971" s="9"/>
    </row>
    <row r="972" ht="15.75" customHeight="1">
      <c r="M972" s="9"/>
      <c r="N972" s="9"/>
      <c r="O972" s="9"/>
      <c r="W972" s="9"/>
      <c r="X972" s="9"/>
      <c r="Y972" s="9"/>
    </row>
    <row r="973" ht="15.75" customHeight="1">
      <c r="M973" s="9"/>
      <c r="N973" s="9"/>
      <c r="O973" s="9"/>
      <c r="W973" s="9"/>
      <c r="X973" s="9"/>
      <c r="Y973" s="9"/>
    </row>
    <row r="974" ht="15.75" customHeight="1">
      <c r="M974" s="9"/>
      <c r="N974" s="9"/>
      <c r="O974" s="9"/>
      <c r="W974" s="9"/>
      <c r="X974" s="9"/>
      <c r="Y974" s="9"/>
    </row>
    <row r="975" ht="15.75" customHeight="1">
      <c r="M975" s="9"/>
      <c r="N975" s="9"/>
      <c r="O975" s="9"/>
      <c r="W975" s="9"/>
      <c r="X975" s="9"/>
      <c r="Y975" s="9"/>
    </row>
    <row r="976" ht="15.75" customHeight="1">
      <c r="M976" s="9"/>
      <c r="N976" s="9"/>
      <c r="O976" s="9"/>
      <c r="W976" s="9"/>
      <c r="X976" s="9"/>
      <c r="Y976" s="9"/>
    </row>
    <row r="977" ht="15.75" customHeight="1">
      <c r="M977" s="9"/>
      <c r="N977" s="9"/>
      <c r="O977" s="9"/>
      <c r="W977" s="9"/>
      <c r="X977" s="9"/>
      <c r="Y977" s="9"/>
    </row>
    <row r="978" ht="15.75" customHeight="1">
      <c r="M978" s="9"/>
      <c r="N978" s="9"/>
      <c r="O978" s="9"/>
      <c r="W978" s="9"/>
      <c r="X978" s="9"/>
      <c r="Y978" s="9"/>
    </row>
    <row r="979" ht="15.75" customHeight="1">
      <c r="M979" s="9"/>
      <c r="N979" s="9"/>
      <c r="O979" s="9"/>
      <c r="W979" s="9"/>
      <c r="X979" s="9"/>
      <c r="Y979" s="9"/>
    </row>
    <row r="980" ht="15.75" customHeight="1">
      <c r="M980" s="9"/>
      <c r="N980" s="9"/>
      <c r="O980" s="9"/>
      <c r="W980" s="9"/>
      <c r="X980" s="9"/>
      <c r="Y980" s="9"/>
    </row>
    <row r="981" ht="15.75" customHeight="1">
      <c r="M981" s="9"/>
      <c r="N981" s="9"/>
      <c r="O981" s="9"/>
      <c r="W981" s="9"/>
      <c r="X981" s="9"/>
      <c r="Y981" s="9"/>
    </row>
    <row r="982" ht="15.75" customHeight="1">
      <c r="M982" s="9"/>
      <c r="N982" s="9"/>
      <c r="O982" s="9"/>
      <c r="W982" s="9"/>
      <c r="X982" s="9"/>
      <c r="Y982" s="9"/>
    </row>
    <row r="983" ht="15.75" customHeight="1">
      <c r="M983" s="9"/>
      <c r="N983" s="9"/>
      <c r="O983" s="9"/>
      <c r="W983" s="9"/>
      <c r="X983" s="9"/>
      <c r="Y983" s="9"/>
    </row>
    <row r="984" ht="15.75" customHeight="1">
      <c r="M984" s="9"/>
      <c r="N984" s="9"/>
      <c r="O984" s="9"/>
      <c r="W984" s="9"/>
      <c r="X984" s="9"/>
      <c r="Y984" s="9"/>
    </row>
    <row r="985" ht="15.75" customHeight="1">
      <c r="M985" s="9"/>
      <c r="N985" s="9"/>
      <c r="O985" s="9"/>
      <c r="W985" s="9"/>
      <c r="X985" s="9"/>
      <c r="Y985" s="9"/>
    </row>
    <row r="986" ht="15.75" customHeight="1">
      <c r="M986" s="9"/>
      <c r="N986" s="9"/>
      <c r="O986" s="9"/>
      <c r="W986" s="9"/>
      <c r="X986" s="9"/>
      <c r="Y986" s="9"/>
    </row>
    <row r="987" ht="15.75" customHeight="1">
      <c r="M987" s="9"/>
      <c r="N987" s="9"/>
      <c r="O987" s="9"/>
      <c r="W987" s="9"/>
      <c r="X987" s="9"/>
      <c r="Y987" s="9"/>
    </row>
    <row r="988" ht="15.75" customHeight="1">
      <c r="M988" s="9"/>
      <c r="N988" s="9"/>
      <c r="O988" s="9"/>
      <c r="W988" s="9"/>
      <c r="X988" s="9"/>
      <c r="Y988" s="9"/>
    </row>
    <row r="989" ht="15.75" customHeight="1">
      <c r="M989" s="9"/>
      <c r="N989" s="9"/>
      <c r="O989" s="9"/>
      <c r="W989" s="9"/>
      <c r="X989" s="9"/>
      <c r="Y989" s="9"/>
    </row>
    <row r="990" ht="15.75" customHeight="1">
      <c r="M990" s="9"/>
      <c r="N990" s="9"/>
      <c r="O990" s="9"/>
      <c r="W990" s="9"/>
      <c r="X990" s="9"/>
      <c r="Y990" s="9"/>
    </row>
    <row r="991" ht="15.75" customHeight="1">
      <c r="M991" s="9"/>
      <c r="N991" s="9"/>
      <c r="O991" s="9"/>
      <c r="W991" s="9"/>
      <c r="X991" s="9"/>
      <c r="Y991" s="9"/>
    </row>
    <row r="992" ht="15.75" customHeight="1">
      <c r="M992" s="9"/>
      <c r="N992" s="9"/>
      <c r="O992" s="9"/>
      <c r="W992" s="9"/>
      <c r="X992" s="9"/>
      <c r="Y992" s="9"/>
    </row>
    <row r="993" ht="15.75" customHeight="1">
      <c r="M993" s="9"/>
      <c r="N993" s="9"/>
      <c r="O993" s="9"/>
      <c r="W993" s="9"/>
      <c r="X993" s="9"/>
      <c r="Y993" s="9"/>
    </row>
    <row r="994" ht="15.75" customHeight="1">
      <c r="M994" s="9"/>
      <c r="N994" s="9"/>
      <c r="O994" s="9"/>
      <c r="W994" s="9"/>
      <c r="X994" s="9"/>
      <c r="Y994" s="9"/>
    </row>
    <row r="995" ht="15.75" customHeight="1">
      <c r="M995" s="9"/>
      <c r="N995" s="9"/>
      <c r="O995" s="9"/>
      <c r="W995" s="9"/>
      <c r="X995" s="9"/>
      <c r="Y995" s="9"/>
    </row>
    <row r="996" ht="15.75" customHeight="1">
      <c r="M996" s="9"/>
      <c r="N996" s="9"/>
      <c r="O996" s="9"/>
      <c r="W996" s="9"/>
      <c r="X996" s="9"/>
      <c r="Y996" s="9"/>
    </row>
    <row r="997" ht="15.75" customHeight="1">
      <c r="M997" s="9"/>
      <c r="N997" s="9"/>
      <c r="O997" s="9"/>
      <c r="W997" s="9"/>
      <c r="X997" s="9"/>
      <c r="Y997" s="9"/>
    </row>
    <row r="998" ht="15.75" customHeight="1">
      <c r="M998" s="9"/>
      <c r="N998" s="9"/>
      <c r="O998" s="9"/>
      <c r="W998" s="9"/>
      <c r="X998" s="9"/>
      <c r="Y998" s="9"/>
    </row>
    <row r="999" ht="15.75" customHeight="1">
      <c r="M999" s="9"/>
      <c r="N999" s="9"/>
      <c r="O999" s="9"/>
      <c r="W999" s="9"/>
      <c r="X999" s="9"/>
      <c r="Y999" s="9"/>
    </row>
    <row r="1000" ht="15.75" customHeight="1">
      <c r="M1000" s="9"/>
      <c r="N1000" s="9"/>
      <c r="O1000" s="9"/>
      <c r="W1000" s="9"/>
      <c r="X1000" s="9"/>
      <c r="Y1000" s="9"/>
    </row>
  </sheetData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5.71"/>
    <col customWidth="1" min="3" max="3" width="9.43"/>
    <col customWidth="1" min="4" max="4" width="22.29"/>
    <col customWidth="1" min="5" max="5" width="22.14"/>
    <col customWidth="1" min="6" max="6" width="22.0"/>
    <col customWidth="1" min="7" max="7" width="21.29"/>
    <col customWidth="1" min="8" max="8" width="18.29"/>
    <col customWidth="1" hidden="1" min="9" max="12" width="13.0"/>
    <col customWidth="1" min="13" max="26" width="8.71"/>
  </cols>
  <sheetData>
    <row r="1" ht="15.75" customHeight="1">
      <c r="A1" s="8" t="s">
        <v>403</v>
      </c>
      <c r="I1" s="9"/>
      <c r="J1" s="9"/>
      <c r="K1" s="9"/>
      <c r="L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ht="15.0" customHeight="1">
      <c r="A3" s="2" t="s">
        <v>3</v>
      </c>
      <c r="B3" s="2" t="s">
        <v>4</v>
      </c>
      <c r="C3" s="2" t="s">
        <v>385</v>
      </c>
      <c r="D3" s="2" t="s">
        <v>404</v>
      </c>
      <c r="E3" s="2" t="s">
        <v>405</v>
      </c>
      <c r="F3" s="2" t="s">
        <v>406</v>
      </c>
      <c r="G3" s="2" t="s">
        <v>407</v>
      </c>
      <c r="H3" s="2" t="s">
        <v>408</v>
      </c>
      <c r="I3" s="9"/>
      <c r="J3" s="9"/>
      <c r="K3" s="9"/>
      <c r="L3" s="9"/>
    </row>
    <row r="4" ht="15.0" customHeight="1">
      <c r="A4" s="5" t="s">
        <v>16</v>
      </c>
      <c r="B4" s="5" t="s">
        <v>17</v>
      </c>
      <c r="C4" s="5" t="s">
        <v>18</v>
      </c>
      <c r="D4" s="11">
        <f>MAX(0, 2*'Precinct Vote Data'!G4 - 'Precinct Vote Data'!G2)</f>
        <v>391</v>
      </c>
      <c r="E4" s="10">
        <f t="shared" ref="E4:E411" si="1">MIN(1,MAX(0, SLOPE(I4:L4,{2018,2020,2022,2024})*2026 + INTERCEPT(I4:L4,{2018,2020,2022,2024})))</f>
        <v>0.3558994038</v>
      </c>
      <c r="F4" s="11">
        <f t="shared" ref="F4:F411" si="2">ROUND(D4*E4,0)</f>
        <v>139</v>
      </c>
      <c r="G4" s="11">
        <f t="shared" ref="G4:G411" si="3">ROUND(D4*(1-E4),0)</f>
        <v>252</v>
      </c>
      <c r="H4" s="5" t="str">
        <f t="shared" ref="H4:H411" si="4">IF(E4&gt;0.5,"Democrat","Republican")</f>
        <v>Republican</v>
      </c>
      <c r="I4" s="10">
        <f>'Precinct Vote Data'!H2</f>
        <v>0.4199475066</v>
      </c>
      <c r="J4" s="10">
        <f>'Precinct Vote Data'!H3</f>
        <v>0.3399602386</v>
      </c>
      <c r="K4" s="10">
        <f>'Precinct Vote Data'!H4</f>
        <v>0.3549222798</v>
      </c>
      <c r="L4" s="10">
        <f>'Precinct Vote Data'!H5</f>
        <v>0.3884120172</v>
      </c>
    </row>
    <row r="5" ht="15.0" customHeight="1">
      <c r="A5" s="5" t="s">
        <v>16</v>
      </c>
      <c r="B5" s="5" t="s">
        <v>54</v>
      </c>
      <c r="C5" s="5" t="s">
        <v>55</v>
      </c>
      <c r="D5" s="11">
        <f>MAX(0, 2*'Precinct Vote Data'!G8 - 'Precinct Vote Data'!G6)</f>
        <v>341</v>
      </c>
      <c r="E5" s="10">
        <f t="shared" si="1"/>
        <v>0.250549386</v>
      </c>
      <c r="F5" s="11">
        <f t="shared" si="2"/>
        <v>85</v>
      </c>
      <c r="G5" s="11">
        <f t="shared" si="3"/>
        <v>256</v>
      </c>
      <c r="H5" s="5" t="str">
        <f t="shared" si="4"/>
        <v>Republican</v>
      </c>
      <c r="I5" s="10">
        <f>'Precinct Vote Data'!H6</f>
        <v>0.331010453</v>
      </c>
      <c r="J5" s="10">
        <f>'Precinct Vote Data'!H7</f>
        <v>0.2481389578</v>
      </c>
      <c r="K5" s="10">
        <f>'Precinct Vote Data'!H8</f>
        <v>0.2675159236</v>
      </c>
      <c r="L5" s="10">
        <f>'Precinct Vote Data'!H9</f>
        <v>0.2822966507</v>
      </c>
    </row>
    <row r="6" ht="15.0" customHeight="1">
      <c r="A6" s="5" t="s">
        <v>16</v>
      </c>
      <c r="B6" s="5" t="s">
        <v>56</v>
      </c>
      <c r="C6" s="5" t="s">
        <v>57</v>
      </c>
      <c r="D6" s="11">
        <f>MAX(0, 2*'Precinct Vote Data'!G12 - 'Precinct Vote Data'!G10)</f>
        <v>411</v>
      </c>
      <c r="E6" s="10">
        <f t="shared" si="1"/>
        <v>0.3037958617</v>
      </c>
      <c r="F6" s="11">
        <f t="shared" si="2"/>
        <v>125</v>
      </c>
      <c r="G6" s="11">
        <f t="shared" si="3"/>
        <v>286</v>
      </c>
      <c r="H6" s="5" t="str">
        <f t="shared" si="4"/>
        <v>Republican</v>
      </c>
      <c r="I6" s="10">
        <f>'Precinct Vote Data'!H10</f>
        <v>0.3859649123</v>
      </c>
      <c r="J6" s="10">
        <f>'Precinct Vote Data'!H11</f>
        <v>0.2593457944</v>
      </c>
      <c r="K6" s="10">
        <f>'Precinct Vote Data'!H12</f>
        <v>0.3591954023</v>
      </c>
      <c r="L6" s="10">
        <f>'Precinct Vote Data'!H13</f>
        <v>0.3171806167</v>
      </c>
    </row>
    <row r="7" ht="15.0" customHeight="1">
      <c r="A7" s="5" t="s">
        <v>16</v>
      </c>
      <c r="B7" s="5" t="s">
        <v>58</v>
      </c>
      <c r="C7" s="5" t="s">
        <v>59</v>
      </c>
      <c r="D7" s="11">
        <f>MAX(0, 2*'Precinct Vote Data'!G16 - 'Precinct Vote Data'!G14)</f>
        <v>786</v>
      </c>
      <c r="E7" s="10">
        <f t="shared" si="1"/>
        <v>0.2157807744</v>
      </c>
      <c r="F7" s="11">
        <f t="shared" si="2"/>
        <v>170</v>
      </c>
      <c r="G7" s="11">
        <f t="shared" si="3"/>
        <v>616</v>
      </c>
      <c r="H7" s="5" t="str">
        <f t="shared" si="4"/>
        <v>Republican</v>
      </c>
      <c r="I7" s="10">
        <f>'Precinct Vote Data'!H14</f>
        <v>0.3295081967</v>
      </c>
      <c r="J7" s="10">
        <f>'Precinct Vote Data'!H15</f>
        <v>0.2503192848</v>
      </c>
      <c r="K7" s="10">
        <f>'Precinct Vote Data'!H16</f>
        <v>0.2793696275</v>
      </c>
      <c r="L7" s="10">
        <f>'Precinct Vote Data'!H17</f>
        <v>0.240850059</v>
      </c>
    </row>
    <row r="8" ht="15.0" customHeight="1">
      <c r="A8" s="5" t="s">
        <v>16</v>
      </c>
      <c r="B8" s="5" t="s">
        <v>58</v>
      </c>
      <c r="C8" s="5" t="s">
        <v>60</v>
      </c>
      <c r="D8" s="11">
        <f>MAX(0, 2*'Precinct Vote Data'!G20 - 'Precinct Vote Data'!G18)</f>
        <v>697</v>
      </c>
      <c r="E8" s="10">
        <f t="shared" si="1"/>
        <v>0.2573327579</v>
      </c>
      <c r="F8" s="11">
        <f t="shared" si="2"/>
        <v>179</v>
      </c>
      <c r="G8" s="11">
        <f t="shared" si="3"/>
        <v>518</v>
      </c>
      <c r="H8" s="5" t="str">
        <f t="shared" si="4"/>
        <v>Republican</v>
      </c>
      <c r="I8" s="10">
        <f>'Precinct Vote Data'!H18</f>
        <v>0.3353293413</v>
      </c>
      <c r="J8" s="10">
        <f>'Precinct Vote Data'!H19</f>
        <v>0.2465057179</v>
      </c>
      <c r="K8" s="10">
        <f>'Precinct Vote Data'!H20</f>
        <v>0.2954924875</v>
      </c>
      <c r="L8" s="10">
        <f>'Precinct Vote Data'!H21</f>
        <v>0.2772511848</v>
      </c>
    </row>
    <row r="9" ht="15.0" customHeight="1">
      <c r="A9" s="5" t="s">
        <v>16</v>
      </c>
      <c r="B9" s="5" t="s">
        <v>62</v>
      </c>
      <c r="C9" s="5" t="s">
        <v>63</v>
      </c>
      <c r="D9" s="11">
        <f>MAX(0, 2*'Precinct Vote Data'!G24 - 'Precinct Vote Data'!G22)</f>
        <v>111</v>
      </c>
      <c r="E9" s="10">
        <f t="shared" si="1"/>
        <v>0.282338901</v>
      </c>
      <c r="F9" s="11">
        <f t="shared" si="2"/>
        <v>31</v>
      </c>
      <c r="G9" s="11">
        <f t="shared" si="3"/>
        <v>80</v>
      </c>
      <c r="H9" s="5" t="str">
        <f t="shared" si="4"/>
        <v>Republican</v>
      </c>
      <c r="I9" s="10">
        <f>'Precinct Vote Data'!H22</f>
        <v>0.4415584416</v>
      </c>
      <c r="J9" s="10">
        <f>'Precinct Vote Data'!H23</f>
        <v>0.3884297521</v>
      </c>
      <c r="K9" s="10">
        <f>'Precinct Vote Data'!H24</f>
        <v>0.3510638298</v>
      </c>
      <c r="L9" s="10">
        <f>'Precinct Vote Data'!H25</f>
        <v>0.3275862069</v>
      </c>
    </row>
    <row r="10" ht="15.0" customHeight="1">
      <c r="A10" s="5" t="s">
        <v>16</v>
      </c>
      <c r="B10" s="5" t="s">
        <v>72</v>
      </c>
      <c r="C10" s="5" t="s">
        <v>73</v>
      </c>
      <c r="D10" s="11">
        <f>MAX(0, 2*'Precinct Vote Data'!G28 - 'Precinct Vote Data'!G26)</f>
        <v>522</v>
      </c>
      <c r="E10" s="10">
        <f t="shared" si="1"/>
        <v>0.2421579816</v>
      </c>
      <c r="F10" s="11">
        <f t="shared" si="2"/>
        <v>126</v>
      </c>
      <c r="G10" s="11">
        <f t="shared" si="3"/>
        <v>396</v>
      </c>
      <c r="H10" s="5" t="str">
        <f t="shared" si="4"/>
        <v>Republican</v>
      </c>
      <c r="I10" s="10">
        <f>'Precinct Vote Data'!H26</f>
        <v>0.3419689119</v>
      </c>
      <c r="J10" s="10">
        <f>'Precinct Vote Data'!H27</f>
        <v>0.2689768977</v>
      </c>
      <c r="K10" s="10">
        <f>'Precinct Vote Data'!H28</f>
        <v>0.2929515419</v>
      </c>
      <c r="L10" s="10">
        <f>'Precinct Vote Data'!H29</f>
        <v>0.2666666667</v>
      </c>
    </row>
    <row r="11" ht="15.0" customHeight="1">
      <c r="A11" s="5" t="s">
        <v>16</v>
      </c>
      <c r="B11" s="5" t="s">
        <v>72</v>
      </c>
      <c r="C11" s="5" t="s">
        <v>74</v>
      </c>
      <c r="D11" s="11">
        <f>MAX(0, 2*'Precinct Vote Data'!G32 - 'Precinct Vote Data'!G30)</f>
        <v>960</v>
      </c>
      <c r="E11" s="10">
        <f t="shared" si="1"/>
        <v>0.266083573</v>
      </c>
      <c r="F11" s="11">
        <f t="shared" si="2"/>
        <v>255</v>
      </c>
      <c r="G11" s="11">
        <f t="shared" si="3"/>
        <v>705</v>
      </c>
      <c r="H11" s="5" t="str">
        <f t="shared" si="4"/>
        <v>Republican</v>
      </c>
      <c r="I11" s="10">
        <f>'Precinct Vote Data'!H30</f>
        <v>0.3412256267</v>
      </c>
      <c r="J11" s="10">
        <f>'Precinct Vote Data'!H31</f>
        <v>0.2624877571</v>
      </c>
      <c r="K11" s="10">
        <f>'Precinct Vote Data'!H32</f>
        <v>0.2979737783</v>
      </c>
      <c r="L11" s="10">
        <f>'Precinct Vote Data'!H33</f>
        <v>0.2877094972</v>
      </c>
    </row>
    <row r="12" ht="15.0" customHeight="1">
      <c r="A12" s="5" t="s">
        <v>16</v>
      </c>
      <c r="B12" s="5" t="s">
        <v>72</v>
      </c>
      <c r="C12" s="5" t="s">
        <v>76</v>
      </c>
      <c r="D12" s="11">
        <f>MAX(0, 2*'Precinct Vote Data'!G36 - 'Precinct Vote Data'!G34)</f>
        <v>776</v>
      </c>
      <c r="E12" s="10">
        <f t="shared" si="1"/>
        <v>0.2612572023</v>
      </c>
      <c r="F12" s="11">
        <f t="shared" si="2"/>
        <v>203</v>
      </c>
      <c r="G12" s="11">
        <f t="shared" si="3"/>
        <v>573</v>
      </c>
      <c r="H12" s="5" t="str">
        <f t="shared" si="4"/>
        <v>Republican</v>
      </c>
      <c r="I12" s="10">
        <f>'Precinct Vote Data'!H34</f>
        <v>0.2870036101</v>
      </c>
      <c r="J12" s="10">
        <f>'Precinct Vote Data'!H35</f>
        <v>0.2403846154</v>
      </c>
      <c r="K12" s="10">
        <f>'Precinct Vote Data'!H36</f>
        <v>0.2661654135</v>
      </c>
      <c r="L12" s="10">
        <f>'Precinct Vote Data'!H37</f>
        <v>0.2716763006</v>
      </c>
    </row>
    <row r="13" ht="15.0" customHeight="1">
      <c r="A13" s="5" t="s">
        <v>16</v>
      </c>
      <c r="B13" s="5" t="s">
        <v>77</v>
      </c>
      <c r="C13" s="5" t="s">
        <v>78</v>
      </c>
      <c r="D13" s="11">
        <f>MAX(0, 2*'Precinct Vote Data'!G40 - 'Precinct Vote Data'!G38)</f>
        <v>480</v>
      </c>
      <c r="E13" s="10">
        <f t="shared" si="1"/>
        <v>0.3946223513</v>
      </c>
      <c r="F13" s="11">
        <f t="shared" si="2"/>
        <v>189</v>
      </c>
      <c r="G13" s="11">
        <f t="shared" si="3"/>
        <v>291</v>
      </c>
      <c r="H13" s="5" t="str">
        <f t="shared" si="4"/>
        <v>Republican</v>
      </c>
      <c r="I13" s="10">
        <f>'Precinct Vote Data'!H38</f>
        <v>0.545</v>
      </c>
      <c r="J13" s="10">
        <f>'Precinct Vote Data'!H39</f>
        <v>0.4246323529</v>
      </c>
      <c r="K13" s="10">
        <f>'Precinct Vote Data'!H40</f>
        <v>0.4545454545</v>
      </c>
      <c r="L13" s="10">
        <f>'Precinct Vote Data'!H41</f>
        <v>0.4398496241</v>
      </c>
    </row>
    <row r="14" ht="15.0" customHeight="1">
      <c r="A14" s="5" t="s">
        <v>16</v>
      </c>
      <c r="B14" s="5" t="s">
        <v>77</v>
      </c>
      <c r="C14" s="5" t="s">
        <v>79</v>
      </c>
      <c r="D14" s="11">
        <f>MAX(0, 2*'Precinct Vote Data'!G44 - 'Precinct Vote Data'!G42)</f>
        <v>338</v>
      </c>
      <c r="E14" s="10">
        <f t="shared" si="1"/>
        <v>0.4335498191</v>
      </c>
      <c r="F14" s="11">
        <f t="shared" si="2"/>
        <v>147</v>
      </c>
      <c r="G14" s="11">
        <f t="shared" si="3"/>
        <v>191</v>
      </c>
      <c r="H14" s="5" t="str">
        <f t="shared" si="4"/>
        <v>Republican</v>
      </c>
      <c r="I14" s="10">
        <f>'Precinct Vote Data'!H42</f>
        <v>0.4296875</v>
      </c>
      <c r="J14" s="10">
        <f>'Precinct Vote Data'!H43</f>
        <v>0.3769230769</v>
      </c>
      <c r="K14" s="10">
        <f>'Precinct Vote Data'!H44</f>
        <v>0.4579124579</v>
      </c>
      <c r="L14" s="10">
        <f>'Precinct Vote Data'!H45</f>
        <v>0.4194373402</v>
      </c>
    </row>
    <row r="15" ht="15.0" customHeight="1">
      <c r="A15" s="5" t="s">
        <v>16</v>
      </c>
      <c r="B15" s="5" t="s">
        <v>77</v>
      </c>
      <c r="C15" s="5" t="s">
        <v>87</v>
      </c>
      <c r="D15" s="11">
        <f>MAX(0, 2*'Precinct Vote Data'!G48 - 'Precinct Vote Data'!G46)</f>
        <v>690</v>
      </c>
      <c r="E15" s="10">
        <f t="shared" si="1"/>
        <v>0.3476243141</v>
      </c>
      <c r="F15" s="11">
        <f t="shared" si="2"/>
        <v>240</v>
      </c>
      <c r="G15" s="11">
        <f t="shared" si="3"/>
        <v>450</v>
      </c>
      <c r="H15" s="5" t="str">
        <f t="shared" si="4"/>
        <v>Republican</v>
      </c>
      <c r="I15" s="10">
        <f>'Precinct Vote Data'!H46</f>
        <v>0.4607142857</v>
      </c>
      <c r="J15" s="10">
        <f>'Precinct Vote Data'!H47</f>
        <v>0.3796423659</v>
      </c>
      <c r="K15" s="10">
        <f>'Precinct Vote Data'!H48</f>
        <v>0.3904</v>
      </c>
      <c r="L15" s="10">
        <f>'Precinct Vote Data'!H49</f>
        <v>0.382781457</v>
      </c>
    </row>
    <row r="16" ht="15.0" customHeight="1">
      <c r="A16" s="5" t="s">
        <v>16</v>
      </c>
      <c r="B16" s="5" t="s">
        <v>77</v>
      </c>
      <c r="C16" s="5" t="s">
        <v>88</v>
      </c>
      <c r="D16" s="11">
        <f>MAX(0, 2*'Precinct Vote Data'!G52 - 'Precinct Vote Data'!G50)</f>
        <v>271</v>
      </c>
      <c r="E16" s="10">
        <f t="shared" si="1"/>
        <v>0.4974802583</v>
      </c>
      <c r="F16" s="11">
        <f t="shared" si="2"/>
        <v>135</v>
      </c>
      <c r="G16" s="11">
        <f t="shared" si="3"/>
        <v>136</v>
      </c>
      <c r="H16" s="5" t="str">
        <f t="shared" si="4"/>
        <v>Republican</v>
      </c>
      <c r="I16" s="10">
        <f>'Precinct Vote Data'!H50</f>
        <v>0.5859030837</v>
      </c>
      <c r="J16" s="10">
        <f>'Precinct Vote Data'!H51</f>
        <v>0.5266666667</v>
      </c>
      <c r="K16" s="10">
        <f>'Precinct Vote Data'!H52</f>
        <v>0.5662650602</v>
      </c>
      <c r="L16" s="10">
        <f>'Precinct Vote Data'!H53</f>
        <v>0.5072992701</v>
      </c>
    </row>
    <row r="17" ht="15.0" customHeight="1">
      <c r="A17" s="5" t="s">
        <v>16</v>
      </c>
      <c r="B17" s="5" t="s">
        <v>77</v>
      </c>
      <c r="C17" s="5" t="s">
        <v>89</v>
      </c>
      <c r="D17" s="11">
        <f>MAX(0, 2*'Precinct Vote Data'!G56 - 'Precinct Vote Data'!G54)</f>
        <v>632</v>
      </c>
      <c r="E17" s="10">
        <f t="shared" si="1"/>
        <v>0.4540315567</v>
      </c>
      <c r="F17" s="11">
        <f t="shared" si="2"/>
        <v>287</v>
      </c>
      <c r="G17" s="11">
        <f t="shared" si="3"/>
        <v>345</v>
      </c>
      <c r="H17" s="5" t="str">
        <f t="shared" si="4"/>
        <v>Republican</v>
      </c>
      <c r="I17" s="10">
        <f>'Precinct Vote Data'!H54</f>
        <v>0.461722488</v>
      </c>
      <c r="J17" s="10">
        <f>'Precinct Vote Data'!H55</f>
        <v>0.4025974026</v>
      </c>
      <c r="K17" s="10">
        <f>'Precinct Vote Data'!H56</f>
        <v>0.4914285714</v>
      </c>
      <c r="L17" s="10">
        <f>'Precinct Vote Data'!H57</f>
        <v>0.439178515</v>
      </c>
    </row>
    <row r="18" ht="15.0" customHeight="1">
      <c r="A18" s="5" t="s">
        <v>16</v>
      </c>
      <c r="B18" s="5" t="s">
        <v>90</v>
      </c>
      <c r="C18" s="5" t="s">
        <v>91</v>
      </c>
      <c r="D18" s="11">
        <f>MAX(0, 2*'Precinct Vote Data'!G60 - 'Precinct Vote Data'!G58)</f>
        <v>287</v>
      </c>
      <c r="E18" s="10">
        <f t="shared" si="1"/>
        <v>0.3578194294</v>
      </c>
      <c r="F18" s="11">
        <f t="shared" si="2"/>
        <v>103</v>
      </c>
      <c r="G18" s="11">
        <f t="shared" si="3"/>
        <v>184</v>
      </c>
      <c r="H18" s="5" t="str">
        <f t="shared" si="4"/>
        <v>Republican</v>
      </c>
      <c r="I18" s="10">
        <f>'Precinct Vote Data'!H58</f>
        <v>0.3849765258</v>
      </c>
      <c r="J18" s="10">
        <f>'Precinct Vote Data'!H59</f>
        <v>0.3202614379</v>
      </c>
      <c r="K18" s="10">
        <f>'Precinct Vote Data'!H60</f>
        <v>0.356</v>
      </c>
      <c r="L18" s="10">
        <f>'Precinct Vote Data'!H61</f>
        <v>0.3723076923</v>
      </c>
    </row>
    <row r="19" ht="15.0" customHeight="1">
      <c r="A19" s="5" t="s">
        <v>16</v>
      </c>
      <c r="B19" s="5" t="s">
        <v>90</v>
      </c>
      <c r="C19" s="5" t="s">
        <v>92</v>
      </c>
      <c r="D19" s="11">
        <f>MAX(0, 2*'Precinct Vote Data'!G64 - 'Precinct Vote Data'!G62)</f>
        <v>625</v>
      </c>
      <c r="E19" s="10">
        <f t="shared" si="1"/>
        <v>0.3097670747</v>
      </c>
      <c r="F19" s="11">
        <f t="shared" si="2"/>
        <v>194</v>
      </c>
      <c r="G19" s="11">
        <f t="shared" si="3"/>
        <v>431</v>
      </c>
      <c r="H19" s="5" t="str">
        <f t="shared" si="4"/>
        <v>Republican</v>
      </c>
      <c r="I19" s="10">
        <f>'Precinct Vote Data'!H62</f>
        <v>0.3369763206</v>
      </c>
      <c r="J19" s="10">
        <f>'Precinct Vote Data'!H63</f>
        <v>0.2981132075</v>
      </c>
      <c r="K19" s="10">
        <f>'Precinct Vote Data'!H64</f>
        <v>0.3202725724</v>
      </c>
      <c r="L19" s="10">
        <f>'Precinct Vote Data'!H65</f>
        <v>0.3181189488</v>
      </c>
    </row>
    <row r="20" ht="15.0" customHeight="1">
      <c r="A20" s="5" t="s">
        <v>16</v>
      </c>
      <c r="B20" s="5" t="s">
        <v>93</v>
      </c>
      <c r="C20" s="5" t="s">
        <v>94</v>
      </c>
      <c r="D20" s="11">
        <f>MAX(0, 2*'Precinct Vote Data'!G68 - 'Precinct Vote Data'!G66)</f>
        <v>546</v>
      </c>
      <c r="E20" s="10">
        <f t="shared" si="1"/>
        <v>0.3360766046</v>
      </c>
      <c r="F20" s="11">
        <f t="shared" si="2"/>
        <v>183</v>
      </c>
      <c r="G20" s="11">
        <f t="shared" si="3"/>
        <v>363</v>
      </c>
      <c r="H20" s="5" t="str">
        <f t="shared" si="4"/>
        <v>Republican</v>
      </c>
      <c r="I20" s="10">
        <f>'Precinct Vote Data'!H66</f>
        <v>0.4976190476</v>
      </c>
      <c r="J20" s="10">
        <f>'Precinct Vote Data'!H67</f>
        <v>0.4230769231</v>
      </c>
      <c r="K20" s="10">
        <f>'Precinct Vote Data'!H68</f>
        <v>0.3933747412</v>
      </c>
      <c r="L20" s="10">
        <f>'Precinct Vote Data'!H69</f>
        <v>0.3881987578</v>
      </c>
    </row>
    <row r="21" ht="15.0" customHeight="1">
      <c r="A21" s="5" t="s">
        <v>16</v>
      </c>
      <c r="B21" s="5" t="s">
        <v>93</v>
      </c>
      <c r="C21" s="5" t="s">
        <v>95</v>
      </c>
      <c r="D21" s="11">
        <f>MAX(0, 2*'Precinct Vote Data'!G72 - 'Precinct Vote Data'!G70)</f>
        <v>295</v>
      </c>
      <c r="E21" s="10">
        <f t="shared" si="1"/>
        <v>0.3671824582</v>
      </c>
      <c r="F21" s="11">
        <f t="shared" si="2"/>
        <v>108</v>
      </c>
      <c r="G21" s="11">
        <f t="shared" si="3"/>
        <v>187</v>
      </c>
      <c r="H21" s="5" t="str">
        <f t="shared" si="4"/>
        <v>Republican</v>
      </c>
      <c r="I21" s="10">
        <f>'Precinct Vote Data'!H70</f>
        <v>0.4731182796</v>
      </c>
      <c r="J21" s="10">
        <f>'Precinct Vote Data'!H71</f>
        <v>0.4096385542</v>
      </c>
      <c r="K21" s="10">
        <f>'Precinct Vote Data'!H72</f>
        <v>0.425087108</v>
      </c>
      <c r="L21" s="10">
        <f>'Precinct Vote Data'!H73</f>
        <v>0.391198044</v>
      </c>
    </row>
    <row r="22" ht="15.0" customHeight="1">
      <c r="A22" s="5" t="s">
        <v>16</v>
      </c>
      <c r="B22" s="5" t="s">
        <v>93</v>
      </c>
      <c r="C22" s="5" t="s">
        <v>96</v>
      </c>
      <c r="D22" s="11">
        <f>MAX(0, 2*'Precinct Vote Data'!G76 - 'Precinct Vote Data'!G74)</f>
        <v>237</v>
      </c>
      <c r="E22" s="10">
        <f t="shared" si="1"/>
        <v>0.3896249887</v>
      </c>
      <c r="F22" s="11">
        <f t="shared" si="2"/>
        <v>92</v>
      </c>
      <c r="G22" s="11">
        <f t="shared" si="3"/>
        <v>145</v>
      </c>
      <c r="H22" s="5" t="str">
        <f t="shared" si="4"/>
        <v>Republican</v>
      </c>
      <c r="I22" s="10">
        <f>'Precinct Vote Data'!H74</f>
        <v>0.5112107623</v>
      </c>
      <c r="J22" s="10">
        <f>'Precinct Vote Data'!H75</f>
        <v>0.4281842818</v>
      </c>
      <c r="K22" s="10">
        <f>'Precinct Vote Data'!H76</f>
        <v>0.4695652174</v>
      </c>
      <c r="L22" s="10">
        <f>'Precinct Vote Data'!H77</f>
        <v>0.4104477612</v>
      </c>
    </row>
    <row r="23" ht="15.0" customHeight="1">
      <c r="A23" s="5" t="s">
        <v>16</v>
      </c>
      <c r="B23" s="5" t="s">
        <v>97</v>
      </c>
      <c r="C23" s="5" t="s">
        <v>98</v>
      </c>
      <c r="D23" s="11">
        <f>MAX(0, 2*'Precinct Vote Data'!G80 - 'Precinct Vote Data'!G78)</f>
        <v>142</v>
      </c>
      <c r="E23" s="10">
        <f t="shared" si="1"/>
        <v>0.2538179774</v>
      </c>
      <c r="F23" s="11">
        <f t="shared" si="2"/>
        <v>36</v>
      </c>
      <c r="G23" s="11">
        <f t="shared" si="3"/>
        <v>106</v>
      </c>
      <c r="H23" s="5" t="str">
        <f t="shared" si="4"/>
        <v>Republican</v>
      </c>
      <c r="I23" s="10">
        <f>'Precinct Vote Data'!H78</f>
        <v>0.3295454545</v>
      </c>
      <c r="J23" s="10">
        <f>'Precinct Vote Data'!H79</f>
        <v>0.2978723404</v>
      </c>
      <c r="K23" s="10">
        <f>'Precinct Vote Data'!H80</f>
        <v>0.3130434783</v>
      </c>
      <c r="L23" s="10">
        <f>'Precinct Vote Data'!H81</f>
        <v>0.2620689655</v>
      </c>
    </row>
    <row r="24" ht="15.0" customHeight="1">
      <c r="A24" s="5" t="s">
        <v>16</v>
      </c>
      <c r="B24" s="5" t="s">
        <v>99</v>
      </c>
      <c r="C24" s="5" t="s">
        <v>100</v>
      </c>
      <c r="D24" s="11">
        <f>MAX(0, 2*'Precinct Vote Data'!G84 - 'Precinct Vote Data'!G82)</f>
        <v>278</v>
      </c>
      <c r="E24" s="10">
        <f t="shared" si="1"/>
        <v>0.2190724535</v>
      </c>
      <c r="F24" s="11">
        <f t="shared" si="2"/>
        <v>61</v>
      </c>
      <c r="G24" s="11">
        <f t="shared" si="3"/>
        <v>217</v>
      </c>
      <c r="H24" s="5" t="str">
        <f t="shared" si="4"/>
        <v>Republican</v>
      </c>
      <c r="I24" s="10">
        <f>'Precinct Vote Data'!H82</f>
        <v>0.2009803922</v>
      </c>
      <c r="J24" s="10">
        <f>'Precinct Vote Data'!H83</f>
        <v>0.1861313869</v>
      </c>
      <c r="K24" s="10">
        <f>'Precinct Vote Data'!H84</f>
        <v>0.2157676349</v>
      </c>
      <c r="L24" s="10">
        <f>'Precinct Vote Data'!H85</f>
        <v>0.2116788321</v>
      </c>
    </row>
    <row r="25" ht="15.0" customHeight="1">
      <c r="A25" s="5" t="s">
        <v>16</v>
      </c>
      <c r="B25" s="5" t="s">
        <v>101</v>
      </c>
      <c r="C25" s="5" t="s">
        <v>102</v>
      </c>
      <c r="D25" s="11">
        <f>MAX(0, 2*'Precinct Vote Data'!G88 - 'Precinct Vote Data'!G86)</f>
        <v>634</v>
      </c>
      <c r="E25" s="10">
        <f t="shared" si="1"/>
        <v>0.3745801767</v>
      </c>
      <c r="F25" s="11">
        <f t="shared" si="2"/>
        <v>237</v>
      </c>
      <c r="G25" s="11">
        <f t="shared" si="3"/>
        <v>397</v>
      </c>
      <c r="H25" s="5" t="str">
        <f t="shared" si="4"/>
        <v>Republican</v>
      </c>
      <c r="I25" s="10">
        <f>'Precinct Vote Data'!H86</f>
        <v>0.453815261</v>
      </c>
      <c r="J25" s="10">
        <f>'Precinct Vote Data'!H87</f>
        <v>0.3693467337</v>
      </c>
      <c r="K25" s="10">
        <f>'Precinct Vote Data'!H88</f>
        <v>0.4116607774</v>
      </c>
      <c r="L25" s="10">
        <f>'Precinct Vote Data'!H89</f>
        <v>0.3956574186</v>
      </c>
    </row>
    <row r="26" ht="15.0" customHeight="1">
      <c r="A26" s="5" t="s">
        <v>16</v>
      </c>
      <c r="B26" s="5" t="s">
        <v>101</v>
      </c>
      <c r="C26" s="5" t="s">
        <v>103</v>
      </c>
      <c r="D26" s="11">
        <f>MAX(0, 2*'Precinct Vote Data'!G92 - 'Precinct Vote Data'!G90)</f>
        <v>597</v>
      </c>
      <c r="E26" s="10">
        <f t="shared" si="1"/>
        <v>0.3986012684</v>
      </c>
      <c r="F26" s="11">
        <f t="shared" si="2"/>
        <v>238</v>
      </c>
      <c r="G26" s="11">
        <f t="shared" si="3"/>
        <v>359</v>
      </c>
      <c r="H26" s="5" t="str">
        <f t="shared" si="4"/>
        <v>Republican</v>
      </c>
      <c r="I26" s="10">
        <f>'Precinct Vote Data'!H90</f>
        <v>0.4485776805</v>
      </c>
      <c r="J26" s="10">
        <f>'Precinct Vote Data'!H91</f>
        <v>0.390070922</v>
      </c>
      <c r="K26" s="10">
        <f>'Precinct Vote Data'!H92</f>
        <v>0.4592030361</v>
      </c>
      <c r="L26" s="10">
        <f>'Precinct Vote Data'!H93</f>
        <v>0.3932885906</v>
      </c>
    </row>
    <row r="27" ht="15.0" customHeight="1">
      <c r="A27" s="5" t="s">
        <v>16</v>
      </c>
      <c r="B27" s="5" t="s">
        <v>101</v>
      </c>
      <c r="C27" s="5" t="s">
        <v>104</v>
      </c>
      <c r="D27" s="11">
        <f>MAX(0, 2*'Precinct Vote Data'!G96 - 'Precinct Vote Data'!G94)</f>
        <v>669</v>
      </c>
      <c r="E27" s="10">
        <f t="shared" si="1"/>
        <v>0.3424896059</v>
      </c>
      <c r="F27" s="11">
        <f t="shared" si="2"/>
        <v>229</v>
      </c>
      <c r="G27" s="11">
        <f t="shared" si="3"/>
        <v>440</v>
      </c>
      <c r="H27" s="5" t="str">
        <f t="shared" si="4"/>
        <v>Republican</v>
      </c>
      <c r="I27" s="10">
        <f>'Precinct Vote Data'!H94</f>
        <v>0.4947807933</v>
      </c>
      <c r="J27" s="10">
        <f>'Precinct Vote Data'!H95</f>
        <v>0.3626666667</v>
      </c>
      <c r="K27" s="10">
        <f>'Precinct Vote Data'!H96</f>
        <v>0.425087108</v>
      </c>
      <c r="L27" s="10">
        <f>'Precinct Vote Data'!H97</f>
        <v>0.3773364486</v>
      </c>
    </row>
    <row r="28" ht="15.0" customHeight="1">
      <c r="A28" s="5" t="s">
        <v>16</v>
      </c>
      <c r="B28" s="5" t="s">
        <v>105</v>
      </c>
      <c r="C28" s="5" t="s">
        <v>106</v>
      </c>
      <c r="D28" s="11">
        <f>MAX(0, 2*'Precinct Vote Data'!G100 - 'Precinct Vote Data'!G98)</f>
        <v>957</v>
      </c>
      <c r="E28" s="10">
        <f t="shared" si="1"/>
        <v>0.2482171029</v>
      </c>
      <c r="F28" s="11">
        <f t="shared" si="2"/>
        <v>238</v>
      </c>
      <c r="G28" s="11">
        <f t="shared" si="3"/>
        <v>719</v>
      </c>
      <c r="H28" s="5" t="str">
        <f t="shared" si="4"/>
        <v>Republican</v>
      </c>
      <c r="I28" s="10">
        <f>'Precinct Vote Data'!H98</f>
        <v>0.3556942278</v>
      </c>
      <c r="J28" s="10">
        <f>'Precinct Vote Data'!H99</f>
        <v>0.2838515547</v>
      </c>
      <c r="K28" s="10">
        <f>'Precinct Vote Data'!H100</f>
        <v>0.3078848561</v>
      </c>
      <c r="L28" s="10">
        <f>'Precinct Vote Data'!H101</f>
        <v>0.2721217888</v>
      </c>
    </row>
    <row r="29" ht="15.0" customHeight="1">
      <c r="A29" s="5" t="s">
        <v>16</v>
      </c>
      <c r="B29" s="5" t="s">
        <v>105</v>
      </c>
      <c r="C29" s="5" t="s">
        <v>107</v>
      </c>
      <c r="D29" s="11">
        <f>MAX(0, 2*'Precinct Vote Data'!G104 - 'Precinct Vote Data'!G102)</f>
        <v>647</v>
      </c>
      <c r="E29" s="10">
        <f t="shared" si="1"/>
        <v>0.276069163</v>
      </c>
      <c r="F29" s="11">
        <f t="shared" si="2"/>
        <v>179</v>
      </c>
      <c r="G29" s="11">
        <f t="shared" si="3"/>
        <v>468</v>
      </c>
      <c r="H29" s="5" t="str">
        <f t="shared" si="4"/>
        <v>Republican</v>
      </c>
      <c r="I29" s="10">
        <f>'Precinct Vote Data'!H102</f>
        <v>0.389261745</v>
      </c>
      <c r="J29" s="10">
        <f>'Precinct Vote Data'!H103</f>
        <v>0.3140243902</v>
      </c>
      <c r="K29" s="10">
        <f>'Precinct Vote Data'!H104</f>
        <v>0.3363802559</v>
      </c>
      <c r="L29" s="10">
        <f>'Precinct Vote Data'!H105</f>
        <v>0.3025099075</v>
      </c>
    </row>
    <row r="30" ht="15.0" customHeight="1">
      <c r="A30" s="5" t="s">
        <v>16</v>
      </c>
      <c r="B30" s="5" t="s">
        <v>108</v>
      </c>
      <c r="C30" s="5" t="s">
        <v>109</v>
      </c>
      <c r="D30" s="11">
        <f>MAX(0, 2*'Precinct Vote Data'!G108 - 'Precinct Vote Data'!G106)</f>
        <v>1242</v>
      </c>
      <c r="E30" s="10">
        <f t="shared" si="1"/>
        <v>0.2856321322</v>
      </c>
      <c r="F30" s="11">
        <f t="shared" si="2"/>
        <v>355</v>
      </c>
      <c r="G30" s="11">
        <f t="shared" si="3"/>
        <v>887</v>
      </c>
      <c r="H30" s="5" t="str">
        <f t="shared" si="4"/>
        <v>Republican</v>
      </c>
      <c r="I30" s="10">
        <f>'Precinct Vote Data'!H106</f>
        <v>0.3577680525</v>
      </c>
      <c r="J30" s="10">
        <f>'Precinct Vote Data'!H107</f>
        <v>0.2753968254</v>
      </c>
      <c r="K30" s="10">
        <f>'Precinct Vote Data'!H108</f>
        <v>0.3246753247</v>
      </c>
      <c r="L30" s="10">
        <f>'Precinct Vote Data'!H109</f>
        <v>0.3021784961</v>
      </c>
    </row>
    <row r="31" ht="15.0" customHeight="1">
      <c r="A31" s="5" t="s">
        <v>16</v>
      </c>
      <c r="B31" s="5" t="s">
        <v>108</v>
      </c>
      <c r="C31" s="5" t="s">
        <v>110</v>
      </c>
      <c r="D31" s="11">
        <f>MAX(0, 2*'Precinct Vote Data'!G112 - 'Precinct Vote Data'!G110)</f>
        <v>458</v>
      </c>
      <c r="E31" s="10">
        <f t="shared" si="1"/>
        <v>0.2392675236</v>
      </c>
      <c r="F31" s="11">
        <f t="shared" si="2"/>
        <v>110</v>
      </c>
      <c r="G31" s="11">
        <f t="shared" si="3"/>
        <v>348</v>
      </c>
      <c r="H31" s="5" t="str">
        <f t="shared" si="4"/>
        <v>Republican</v>
      </c>
      <c r="I31" s="10">
        <f>'Precinct Vote Data'!H110</f>
        <v>0.296875</v>
      </c>
      <c r="J31" s="10">
        <f>'Precinct Vote Data'!H111</f>
        <v>0.2217659138</v>
      </c>
      <c r="K31" s="10">
        <f>'Precinct Vote Data'!H112</f>
        <v>0.2596401028</v>
      </c>
      <c r="L31" s="10">
        <f>'Precinct Vote Data'!H113</f>
        <v>0.2578849722</v>
      </c>
    </row>
    <row r="32" ht="15.0" customHeight="1">
      <c r="A32" s="5" t="s">
        <v>16</v>
      </c>
      <c r="B32" s="5" t="s">
        <v>108</v>
      </c>
      <c r="C32" s="5" t="s">
        <v>111</v>
      </c>
      <c r="D32" s="11">
        <f>MAX(0, 2*'Precinct Vote Data'!G116 - 'Precinct Vote Data'!G114)</f>
        <v>376</v>
      </c>
      <c r="E32" s="10">
        <f t="shared" si="1"/>
        <v>0.261528127</v>
      </c>
      <c r="F32" s="11">
        <f t="shared" si="2"/>
        <v>98</v>
      </c>
      <c r="G32" s="11">
        <f t="shared" si="3"/>
        <v>278</v>
      </c>
      <c r="H32" s="5" t="str">
        <f t="shared" si="4"/>
        <v>Republican</v>
      </c>
      <c r="I32" s="10">
        <f>'Precinct Vote Data'!H114</f>
        <v>0.3728813559</v>
      </c>
      <c r="J32" s="10">
        <f>'Precinct Vote Data'!H115</f>
        <v>0.288</v>
      </c>
      <c r="K32" s="10">
        <f>'Precinct Vote Data'!H116</f>
        <v>0.3104575163</v>
      </c>
      <c r="L32" s="10">
        <f>'Precinct Vote Data'!H117</f>
        <v>0.2927400468</v>
      </c>
    </row>
    <row r="33" ht="15.0" customHeight="1">
      <c r="A33" s="5" t="s">
        <v>16</v>
      </c>
      <c r="B33" s="5" t="s">
        <v>112</v>
      </c>
      <c r="C33" s="5" t="s">
        <v>113</v>
      </c>
      <c r="D33" s="11">
        <f>MAX(0, 2*'Precinct Vote Data'!G120 - 'Precinct Vote Data'!G118)</f>
        <v>625</v>
      </c>
      <c r="E33" s="10">
        <f t="shared" si="1"/>
        <v>0.3649541099</v>
      </c>
      <c r="F33" s="11">
        <f t="shared" si="2"/>
        <v>228</v>
      </c>
      <c r="G33" s="11">
        <f t="shared" si="3"/>
        <v>397</v>
      </c>
      <c r="H33" s="5" t="str">
        <f t="shared" si="4"/>
        <v>Republican</v>
      </c>
      <c r="I33" s="10">
        <f>'Precinct Vote Data'!H118</f>
        <v>0.4769539078</v>
      </c>
      <c r="J33" s="10">
        <f>'Precinct Vote Data'!H119</f>
        <v>0.3803596127</v>
      </c>
      <c r="K33" s="10">
        <f>'Precinct Vote Data'!H120</f>
        <v>0.4359430605</v>
      </c>
      <c r="L33" s="10">
        <f>'Precinct Vote Data'!H121</f>
        <v>0.3854595336</v>
      </c>
    </row>
    <row r="34" ht="15.0" customHeight="1">
      <c r="A34" s="5" t="s">
        <v>16</v>
      </c>
      <c r="B34" s="5" t="s">
        <v>112</v>
      </c>
      <c r="C34" s="5" t="s">
        <v>114</v>
      </c>
      <c r="D34" s="11">
        <f>MAX(0, 2*'Precinct Vote Data'!G124 - 'Precinct Vote Data'!G122)</f>
        <v>717</v>
      </c>
      <c r="E34" s="10">
        <f t="shared" si="1"/>
        <v>0.3396994681</v>
      </c>
      <c r="F34" s="11">
        <f t="shared" si="2"/>
        <v>244</v>
      </c>
      <c r="G34" s="11">
        <f t="shared" si="3"/>
        <v>473</v>
      </c>
      <c r="H34" s="5" t="str">
        <f t="shared" si="4"/>
        <v>Republican</v>
      </c>
      <c r="I34" s="10">
        <f>'Precinct Vote Data'!H122</f>
        <v>0.478976234</v>
      </c>
      <c r="J34" s="10">
        <f>'Precinct Vote Data'!H123</f>
        <v>0.3673218673</v>
      </c>
      <c r="K34" s="10">
        <f>'Precinct Vote Data'!H124</f>
        <v>0.3844936709</v>
      </c>
      <c r="L34" s="10">
        <f>'Precinct Vote Data'!H125</f>
        <v>0.3869407497</v>
      </c>
    </row>
    <row r="35" ht="15.0" customHeight="1">
      <c r="A35" s="5" t="s">
        <v>16</v>
      </c>
      <c r="B35" s="5" t="s">
        <v>115</v>
      </c>
      <c r="C35" s="5" t="s">
        <v>116</v>
      </c>
      <c r="D35" s="11">
        <f>MAX(0, 2*'Precinct Vote Data'!G128 - 'Precinct Vote Data'!G126)</f>
        <v>597</v>
      </c>
      <c r="E35" s="10">
        <f t="shared" si="1"/>
        <v>0.183684717</v>
      </c>
      <c r="F35" s="11">
        <f t="shared" si="2"/>
        <v>110</v>
      </c>
      <c r="G35" s="11">
        <f t="shared" si="3"/>
        <v>487</v>
      </c>
      <c r="H35" s="5" t="str">
        <f t="shared" si="4"/>
        <v>Republican</v>
      </c>
      <c r="I35" s="10">
        <f>'Precinct Vote Data'!H126</f>
        <v>0.2298136646</v>
      </c>
      <c r="J35" s="10">
        <f>'Precinct Vote Data'!H127</f>
        <v>0.1703125</v>
      </c>
      <c r="K35" s="10">
        <f>'Precinct Vote Data'!H128</f>
        <v>0.1777777778</v>
      </c>
      <c r="L35" s="10">
        <f>'Precinct Vote Data'!H129</f>
        <v>0.2097026604</v>
      </c>
    </row>
    <row r="36" ht="15.0" customHeight="1">
      <c r="A36" s="5" t="s">
        <v>16</v>
      </c>
      <c r="B36" s="5" t="s">
        <v>117</v>
      </c>
      <c r="C36" s="5" t="s">
        <v>118</v>
      </c>
      <c r="D36" s="11">
        <f>MAX(0, 2*'Precinct Vote Data'!G132 - 'Precinct Vote Data'!G130)</f>
        <v>758</v>
      </c>
      <c r="E36" s="10">
        <f t="shared" si="1"/>
        <v>0.3219829921</v>
      </c>
      <c r="F36" s="11">
        <f t="shared" si="2"/>
        <v>244</v>
      </c>
      <c r="G36" s="11">
        <f t="shared" si="3"/>
        <v>514</v>
      </c>
      <c r="H36" s="5" t="str">
        <f t="shared" si="4"/>
        <v>Republican</v>
      </c>
      <c r="I36" s="10">
        <f>'Precinct Vote Data'!H130</f>
        <v>0.3733333333</v>
      </c>
      <c r="J36" s="10">
        <f>'Precinct Vote Data'!H131</f>
        <v>0.3232908459</v>
      </c>
      <c r="K36" s="10">
        <f>'Precinct Vote Data'!H132</f>
        <v>0.3549337261</v>
      </c>
      <c r="L36" s="10">
        <f>'Precinct Vote Data'!H133</f>
        <v>0.3311827957</v>
      </c>
    </row>
    <row r="37" ht="15.0" customHeight="1">
      <c r="A37" s="5" t="s">
        <v>16</v>
      </c>
      <c r="B37" s="5" t="s">
        <v>117</v>
      </c>
      <c r="C37" s="5" t="s">
        <v>119</v>
      </c>
      <c r="D37" s="11">
        <f>MAX(0, 2*'Precinct Vote Data'!G136 - 'Precinct Vote Data'!G134)</f>
        <v>1053</v>
      </c>
      <c r="E37" s="10">
        <f t="shared" si="1"/>
        <v>0.3724207937</v>
      </c>
      <c r="F37" s="11">
        <f t="shared" si="2"/>
        <v>392</v>
      </c>
      <c r="G37" s="11">
        <f t="shared" si="3"/>
        <v>661</v>
      </c>
      <c r="H37" s="5" t="str">
        <f t="shared" si="4"/>
        <v>Republican</v>
      </c>
      <c r="I37" s="10">
        <f>'Precinct Vote Data'!H134</f>
        <v>0.4481074481</v>
      </c>
      <c r="J37" s="10">
        <f>'Precinct Vote Data'!H135</f>
        <v>0.3614173228</v>
      </c>
      <c r="K37" s="10">
        <f>'Precinct Vote Data'!H136</f>
        <v>0.4188034188</v>
      </c>
      <c r="L37" s="10">
        <f>'Precinct Vote Data'!H137</f>
        <v>0.3870728083</v>
      </c>
    </row>
    <row r="38" ht="15.0" customHeight="1">
      <c r="A38" s="5" t="s">
        <v>16</v>
      </c>
      <c r="B38" s="5" t="s">
        <v>117</v>
      </c>
      <c r="C38" s="5" t="s">
        <v>120</v>
      </c>
      <c r="D38" s="11">
        <f>MAX(0, 2*'Precinct Vote Data'!G140 - 'Precinct Vote Data'!G138)</f>
        <v>342</v>
      </c>
      <c r="E38" s="10">
        <f t="shared" si="1"/>
        <v>0.3233218308</v>
      </c>
      <c r="F38" s="11">
        <f t="shared" si="2"/>
        <v>111</v>
      </c>
      <c r="G38" s="11">
        <f t="shared" si="3"/>
        <v>231</v>
      </c>
      <c r="H38" s="5" t="str">
        <f t="shared" si="4"/>
        <v>Republican</v>
      </c>
      <c r="I38" s="10">
        <f>'Precinct Vote Data'!H138</f>
        <v>0.3902439024</v>
      </c>
      <c r="J38" s="10">
        <f>'Precinct Vote Data'!H139</f>
        <v>0.3078817734</v>
      </c>
      <c r="K38" s="10">
        <f>'Precinct Vote Data'!H140</f>
        <v>0.3537414966</v>
      </c>
      <c r="L38" s="10">
        <f>'Precinct Vote Data'!H141</f>
        <v>0.3415730337</v>
      </c>
    </row>
    <row r="39" ht="15.0" customHeight="1">
      <c r="A39" s="5" t="s">
        <v>16</v>
      </c>
      <c r="B39" s="5" t="s">
        <v>121</v>
      </c>
      <c r="C39" s="5" t="s">
        <v>122</v>
      </c>
      <c r="D39" s="11">
        <f>MAX(0, 2*'Precinct Vote Data'!G144 - 'Precinct Vote Data'!G142)</f>
        <v>209</v>
      </c>
      <c r="E39" s="10">
        <f t="shared" si="1"/>
        <v>0.2893168978</v>
      </c>
      <c r="F39" s="11">
        <f t="shared" si="2"/>
        <v>60</v>
      </c>
      <c r="G39" s="11">
        <f t="shared" si="3"/>
        <v>149</v>
      </c>
      <c r="H39" s="5" t="str">
        <f t="shared" si="4"/>
        <v>Republican</v>
      </c>
      <c r="I39" s="10">
        <f>'Precinct Vote Data'!H142</f>
        <v>0.3212121212</v>
      </c>
      <c r="J39" s="10">
        <f>'Precinct Vote Data'!H143</f>
        <v>0.2374429224</v>
      </c>
      <c r="K39" s="10">
        <f>'Precinct Vote Data'!H144</f>
        <v>0.2727272727</v>
      </c>
      <c r="L39" s="10">
        <f>'Precinct Vote Data'!H145</f>
        <v>0.313559322</v>
      </c>
    </row>
    <row r="40" ht="15.0" customHeight="1">
      <c r="A40" s="5" t="s">
        <v>16</v>
      </c>
      <c r="B40" s="5" t="s">
        <v>123</v>
      </c>
      <c r="C40" s="5" t="s">
        <v>124</v>
      </c>
      <c r="D40" s="11">
        <f>MAX(0, 2*'Precinct Vote Data'!G148 - 'Precinct Vote Data'!G146)</f>
        <v>1050</v>
      </c>
      <c r="E40" s="10">
        <f t="shared" si="1"/>
        <v>0.3460701098</v>
      </c>
      <c r="F40" s="11">
        <f t="shared" si="2"/>
        <v>363</v>
      </c>
      <c r="G40" s="11">
        <f t="shared" si="3"/>
        <v>687</v>
      </c>
      <c r="H40" s="5" t="str">
        <f t="shared" si="4"/>
        <v>Republican</v>
      </c>
      <c r="I40" s="10">
        <f>'Precinct Vote Data'!H146</f>
        <v>0.3881401617</v>
      </c>
      <c r="J40" s="10">
        <f>'Precinct Vote Data'!H147</f>
        <v>0.3417366947</v>
      </c>
      <c r="K40" s="10">
        <f>'Precinct Vote Data'!H148</f>
        <v>0.3526785714</v>
      </c>
      <c r="L40" s="10">
        <f>'Precinct Vote Data'!H149</f>
        <v>0.363800905</v>
      </c>
    </row>
    <row r="41" ht="15.0" customHeight="1">
      <c r="A41" s="5" t="s">
        <v>16</v>
      </c>
      <c r="B41" s="5" t="s">
        <v>123</v>
      </c>
      <c r="C41" s="5" t="s">
        <v>125</v>
      </c>
      <c r="D41" s="11">
        <f>MAX(0, 2*'Precinct Vote Data'!G152 - 'Precinct Vote Data'!G150)</f>
        <v>1267</v>
      </c>
      <c r="E41" s="10">
        <f t="shared" si="1"/>
        <v>0.2793883258</v>
      </c>
      <c r="F41" s="11">
        <f t="shared" si="2"/>
        <v>354</v>
      </c>
      <c r="G41" s="11">
        <f t="shared" si="3"/>
        <v>913</v>
      </c>
      <c r="H41" s="5" t="str">
        <f t="shared" si="4"/>
        <v>Republican</v>
      </c>
      <c r="I41" s="10">
        <f>'Precinct Vote Data'!H150</f>
        <v>0.3864491844</v>
      </c>
      <c r="J41" s="10">
        <f>'Precinct Vote Data'!H151</f>
        <v>0.3161397671</v>
      </c>
      <c r="K41" s="10">
        <f>'Precinct Vote Data'!H152</f>
        <v>0.3120155039</v>
      </c>
      <c r="L41" s="10">
        <f>'Precinct Vote Data'!H153</f>
        <v>0.3166051661</v>
      </c>
    </row>
    <row r="42" ht="15.0" customHeight="1">
      <c r="A42" s="5" t="s">
        <v>16</v>
      </c>
      <c r="B42" s="5" t="s">
        <v>123</v>
      </c>
      <c r="C42" s="5" t="s">
        <v>126</v>
      </c>
      <c r="D42" s="11">
        <f>MAX(0, 2*'Precinct Vote Data'!G156 - 'Precinct Vote Data'!G154)</f>
        <v>977</v>
      </c>
      <c r="E42" s="10">
        <f t="shared" si="1"/>
        <v>0.3530859566</v>
      </c>
      <c r="F42" s="11">
        <f t="shared" si="2"/>
        <v>345</v>
      </c>
      <c r="G42" s="11">
        <f t="shared" si="3"/>
        <v>632</v>
      </c>
      <c r="H42" s="5" t="str">
        <f t="shared" si="4"/>
        <v>Republican</v>
      </c>
      <c r="I42" s="10">
        <f>'Precinct Vote Data'!H154</f>
        <v>0.442962963</v>
      </c>
      <c r="J42" s="10">
        <f>'Precinct Vote Data'!H155</f>
        <v>0.4079646018</v>
      </c>
      <c r="K42" s="10">
        <f>'Precinct Vote Data'!H156</f>
        <v>0.3886198547</v>
      </c>
      <c r="L42" s="10">
        <f>'Precinct Vote Data'!H157</f>
        <v>0.3802575107</v>
      </c>
    </row>
    <row r="43" ht="15.0" customHeight="1">
      <c r="A43" s="5" t="s">
        <v>16</v>
      </c>
      <c r="B43" s="5" t="s">
        <v>123</v>
      </c>
      <c r="C43" s="5" t="s">
        <v>127</v>
      </c>
      <c r="D43" s="11">
        <f>MAX(0, 2*'Precinct Vote Data'!G160 - 'Precinct Vote Data'!G158)</f>
        <v>729</v>
      </c>
      <c r="E43" s="10">
        <f t="shared" si="1"/>
        <v>0.3483550679</v>
      </c>
      <c r="F43" s="11">
        <f t="shared" si="2"/>
        <v>254</v>
      </c>
      <c r="G43" s="11">
        <f t="shared" si="3"/>
        <v>475</v>
      </c>
      <c r="H43" s="5" t="str">
        <f t="shared" si="4"/>
        <v>Republican</v>
      </c>
      <c r="I43" s="10">
        <f>'Precinct Vote Data'!H158</f>
        <v>0.4063116371</v>
      </c>
      <c r="J43" s="10">
        <f>'Precinct Vote Data'!H159</f>
        <v>0.3791008505</v>
      </c>
      <c r="K43" s="10">
        <f>'Precinct Vote Data'!H160</f>
        <v>0.3834951456</v>
      </c>
      <c r="L43" s="10">
        <f>'Precinct Vote Data'!H161</f>
        <v>0.3597633136</v>
      </c>
    </row>
    <row r="44" ht="15.0" customHeight="1">
      <c r="A44" s="5" t="s">
        <v>16</v>
      </c>
      <c r="B44" s="5" t="s">
        <v>123</v>
      </c>
      <c r="C44" s="5" t="s">
        <v>128</v>
      </c>
      <c r="D44" s="11">
        <f>MAX(0, 2*'Precinct Vote Data'!G164 - 'Precinct Vote Data'!G162)</f>
        <v>1092</v>
      </c>
      <c r="E44" s="10">
        <f t="shared" si="1"/>
        <v>0.348473372</v>
      </c>
      <c r="F44" s="11">
        <f t="shared" si="2"/>
        <v>381</v>
      </c>
      <c r="G44" s="11">
        <f t="shared" si="3"/>
        <v>711</v>
      </c>
      <c r="H44" s="5" t="str">
        <f t="shared" si="4"/>
        <v>Republican</v>
      </c>
      <c r="I44" s="10">
        <f>'Precinct Vote Data'!H162</f>
        <v>0.4334975369</v>
      </c>
      <c r="J44" s="10">
        <f>'Precinct Vote Data'!H163</f>
        <v>0.383935743</v>
      </c>
      <c r="K44" s="10">
        <f>'Precinct Vote Data'!H164</f>
        <v>0.3970588235</v>
      </c>
      <c r="L44" s="10">
        <f>'Precinct Vote Data'!H165</f>
        <v>0.3666927287</v>
      </c>
    </row>
    <row r="45" ht="15.0" customHeight="1">
      <c r="A45" s="5" t="s">
        <v>16</v>
      </c>
      <c r="B45" s="5" t="s">
        <v>129</v>
      </c>
      <c r="C45" s="5" t="s">
        <v>130</v>
      </c>
      <c r="D45" s="11">
        <f>MAX(0, 2*'Precinct Vote Data'!G168 - 'Precinct Vote Data'!G166)</f>
        <v>295</v>
      </c>
      <c r="E45" s="10">
        <f t="shared" si="1"/>
        <v>0.4053028474</v>
      </c>
      <c r="F45" s="11">
        <f t="shared" si="2"/>
        <v>120</v>
      </c>
      <c r="G45" s="11">
        <f t="shared" si="3"/>
        <v>175</v>
      </c>
      <c r="H45" s="5" t="str">
        <f t="shared" si="4"/>
        <v>Republican</v>
      </c>
      <c r="I45" s="10">
        <f>'Precinct Vote Data'!H166</f>
        <v>0.5729537367</v>
      </c>
      <c r="J45" s="10">
        <f>'Precinct Vote Data'!H167</f>
        <v>0.4569190601</v>
      </c>
      <c r="K45" s="10">
        <f>'Precinct Vote Data'!H168</f>
        <v>0.4791666667</v>
      </c>
      <c r="L45" s="10">
        <f>'Precinct Vote Data'!H169</f>
        <v>0.4521963824</v>
      </c>
    </row>
    <row r="46" ht="15.0" customHeight="1">
      <c r="A46" s="5" t="s">
        <v>16</v>
      </c>
      <c r="B46" s="5" t="s">
        <v>129</v>
      </c>
      <c r="C46" s="5" t="s">
        <v>131</v>
      </c>
      <c r="D46" s="11">
        <f>MAX(0, 2*'Precinct Vote Data'!G172 - 'Precinct Vote Data'!G170)</f>
        <v>323</v>
      </c>
      <c r="E46" s="10">
        <f t="shared" si="1"/>
        <v>0.4499172332</v>
      </c>
      <c r="F46" s="11">
        <f t="shared" si="2"/>
        <v>145</v>
      </c>
      <c r="G46" s="11">
        <f t="shared" si="3"/>
        <v>178</v>
      </c>
      <c r="H46" s="5" t="str">
        <f t="shared" si="4"/>
        <v>Republican</v>
      </c>
      <c r="I46" s="10">
        <f>'Precinct Vote Data'!H170</f>
        <v>0.561461794</v>
      </c>
      <c r="J46" s="10">
        <f>'Precinct Vote Data'!H171</f>
        <v>0.4689119171</v>
      </c>
      <c r="K46" s="10">
        <f>'Precinct Vote Data'!H172</f>
        <v>0.5192307692</v>
      </c>
      <c r="L46" s="10">
        <f>'Precinct Vote Data'!H173</f>
        <v>0.4710327456</v>
      </c>
    </row>
    <row r="47" ht="15.0" customHeight="1">
      <c r="A47" s="5" t="s">
        <v>16</v>
      </c>
      <c r="B47" s="5" t="s">
        <v>129</v>
      </c>
      <c r="C47" s="5" t="s">
        <v>132</v>
      </c>
      <c r="D47" s="11">
        <f>MAX(0, 2*'Precinct Vote Data'!G176 - 'Precinct Vote Data'!G174)</f>
        <v>446</v>
      </c>
      <c r="E47" s="10">
        <f t="shared" si="1"/>
        <v>0.3556743654</v>
      </c>
      <c r="F47" s="11">
        <f t="shared" si="2"/>
        <v>159</v>
      </c>
      <c r="G47" s="11">
        <f t="shared" si="3"/>
        <v>287</v>
      </c>
      <c r="H47" s="5" t="str">
        <f t="shared" si="4"/>
        <v>Republican</v>
      </c>
      <c r="I47" s="10">
        <f>'Precinct Vote Data'!H174</f>
        <v>0.4937888199</v>
      </c>
      <c r="J47" s="10">
        <f>'Precinct Vote Data'!H175</f>
        <v>0.3632478632</v>
      </c>
      <c r="K47" s="10">
        <f>'Precinct Vote Data'!H176</f>
        <v>0.4140625</v>
      </c>
      <c r="L47" s="10">
        <f>'Precinct Vote Data'!H177</f>
        <v>0.3955375254</v>
      </c>
    </row>
    <row r="48" ht="15.0" customHeight="1">
      <c r="A48" s="5" t="s">
        <v>16</v>
      </c>
      <c r="B48" s="5" t="s">
        <v>129</v>
      </c>
      <c r="C48" s="5" t="s">
        <v>133</v>
      </c>
      <c r="D48" s="11">
        <f>MAX(0, 2*'Precinct Vote Data'!G180 - 'Precinct Vote Data'!G178)</f>
        <v>270</v>
      </c>
      <c r="E48" s="10">
        <f t="shared" si="1"/>
        <v>0.3600024413</v>
      </c>
      <c r="F48" s="11">
        <f t="shared" si="2"/>
        <v>97</v>
      </c>
      <c r="G48" s="11">
        <f t="shared" si="3"/>
        <v>173</v>
      </c>
      <c r="H48" s="5" t="str">
        <f t="shared" si="4"/>
        <v>Republican</v>
      </c>
      <c r="I48" s="10">
        <f>'Precinct Vote Data'!H178</f>
        <v>0.3663793103</v>
      </c>
      <c r="J48" s="10">
        <f>'Precinct Vote Data'!H179</f>
        <v>0.3133333333</v>
      </c>
      <c r="K48" s="10">
        <f>'Precinct Vote Data'!H180</f>
        <v>0.390438247</v>
      </c>
      <c r="L48" s="10">
        <f>'Precinct Vote Data'!H181</f>
        <v>0.347972973</v>
      </c>
    </row>
    <row r="49" ht="15.0" customHeight="1">
      <c r="A49" s="5" t="s">
        <v>16</v>
      </c>
      <c r="B49" s="5" t="s">
        <v>134</v>
      </c>
      <c r="C49" s="5" t="s">
        <v>135</v>
      </c>
      <c r="D49" s="11">
        <f>MAX(0, 2*'Precinct Vote Data'!G184 - 'Precinct Vote Data'!G182)</f>
        <v>842</v>
      </c>
      <c r="E49" s="10">
        <f t="shared" si="1"/>
        <v>0.2941461637</v>
      </c>
      <c r="F49" s="11">
        <f t="shared" si="2"/>
        <v>248</v>
      </c>
      <c r="G49" s="11">
        <f t="shared" si="3"/>
        <v>594</v>
      </c>
      <c r="H49" s="5" t="str">
        <f t="shared" si="4"/>
        <v>Republican</v>
      </c>
      <c r="I49" s="10">
        <f>'Precinct Vote Data'!H182</f>
        <v>0.3461538462</v>
      </c>
      <c r="J49" s="10">
        <f>'Precinct Vote Data'!H183</f>
        <v>0.2944572748</v>
      </c>
      <c r="K49" s="10">
        <f>'Precinct Vote Data'!H184</f>
        <v>0.2956152758</v>
      </c>
      <c r="L49" s="10">
        <f>'Precinct Vote Data'!H185</f>
        <v>0.3194154489</v>
      </c>
    </row>
    <row r="50" ht="15.0" customHeight="1">
      <c r="A50" s="5" t="s">
        <v>16</v>
      </c>
      <c r="B50" s="5" t="s">
        <v>134</v>
      </c>
      <c r="C50" s="5" t="s">
        <v>136</v>
      </c>
      <c r="D50" s="11">
        <f>MAX(0, 2*'Precinct Vote Data'!G188 - 'Precinct Vote Data'!G186)</f>
        <v>882</v>
      </c>
      <c r="E50" s="10">
        <f t="shared" si="1"/>
        <v>0.2252274968</v>
      </c>
      <c r="F50" s="11">
        <f t="shared" si="2"/>
        <v>199</v>
      </c>
      <c r="G50" s="11">
        <f t="shared" si="3"/>
        <v>683</v>
      </c>
      <c r="H50" s="5" t="str">
        <f t="shared" si="4"/>
        <v>Republican</v>
      </c>
      <c r="I50" s="10">
        <f>'Precinct Vote Data'!H186</f>
        <v>0.3557377049</v>
      </c>
      <c r="J50" s="10">
        <f>'Precinct Vote Data'!H187</f>
        <v>0.2522026432</v>
      </c>
      <c r="K50" s="10">
        <f>'Precinct Vote Data'!H188</f>
        <v>0.2815013405</v>
      </c>
      <c r="L50" s="10">
        <f>'Precinct Vote Data'!H189</f>
        <v>0.262345679</v>
      </c>
    </row>
    <row r="51" ht="15.0" customHeight="1">
      <c r="A51" s="5" t="s">
        <v>16</v>
      </c>
      <c r="B51" s="5" t="s">
        <v>134</v>
      </c>
      <c r="C51" s="5" t="s">
        <v>137</v>
      </c>
      <c r="D51" s="11">
        <f>MAX(0, 2*'Precinct Vote Data'!G192 - 'Precinct Vote Data'!G190)</f>
        <v>789</v>
      </c>
      <c r="E51" s="10">
        <f t="shared" si="1"/>
        <v>0.2687289816</v>
      </c>
      <c r="F51" s="11">
        <f t="shared" si="2"/>
        <v>212</v>
      </c>
      <c r="G51" s="11">
        <f t="shared" si="3"/>
        <v>577</v>
      </c>
      <c r="H51" s="5" t="str">
        <f t="shared" si="4"/>
        <v>Republican</v>
      </c>
      <c r="I51" s="10">
        <f>'Precinct Vote Data'!H190</f>
        <v>0.3492063492</v>
      </c>
      <c r="J51" s="10">
        <f>'Precinct Vote Data'!H191</f>
        <v>0.2841854935</v>
      </c>
      <c r="K51" s="10">
        <f>'Precinct Vote Data'!H192</f>
        <v>0.3038348083</v>
      </c>
      <c r="L51" s="10">
        <f>'Precinct Vote Data'!H193</f>
        <v>0.2914147521</v>
      </c>
    </row>
    <row r="52" ht="15.0" customHeight="1">
      <c r="A52" s="5" t="s">
        <v>16</v>
      </c>
      <c r="B52" s="5" t="s">
        <v>138</v>
      </c>
      <c r="C52" s="5" t="s">
        <v>139</v>
      </c>
      <c r="D52" s="11">
        <f>MAX(0, 2*'Precinct Vote Data'!G196 - 'Precinct Vote Data'!G194)</f>
        <v>644</v>
      </c>
      <c r="E52" s="10">
        <f t="shared" si="1"/>
        <v>0.2820288255</v>
      </c>
      <c r="F52" s="11">
        <f t="shared" si="2"/>
        <v>182</v>
      </c>
      <c r="G52" s="11">
        <f t="shared" si="3"/>
        <v>462</v>
      </c>
      <c r="H52" s="5" t="str">
        <f t="shared" si="4"/>
        <v>Republican</v>
      </c>
      <c r="I52" s="10">
        <f>'Precinct Vote Data'!H194</f>
        <v>0.3267857143</v>
      </c>
      <c r="J52" s="10">
        <f>'Precinct Vote Data'!H195</f>
        <v>0.2677070828</v>
      </c>
      <c r="K52" s="10">
        <f>'Precinct Vote Data'!H196</f>
        <v>0.2774086379</v>
      </c>
      <c r="L52" s="10">
        <f>'Precinct Vote Data'!H197</f>
        <v>0.3067173638</v>
      </c>
    </row>
    <row r="53" ht="15.0" customHeight="1">
      <c r="A53" s="5" t="s">
        <v>16</v>
      </c>
      <c r="B53" s="5" t="s">
        <v>138</v>
      </c>
      <c r="C53" s="5" t="s">
        <v>140</v>
      </c>
      <c r="D53" s="11">
        <f>MAX(0, 2*'Precinct Vote Data'!G200 - 'Precinct Vote Data'!G198)</f>
        <v>311</v>
      </c>
      <c r="E53" s="10">
        <f t="shared" si="1"/>
        <v>0.2388471702</v>
      </c>
      <c r="F53" s="11">
        <f t="shared" si="2"/>
        <v>74</v>
      </c>
      <c r="G53" s="11">
        <f t="shared" si="3"/>
        <v>237</v>
      </c>
      <c r="H53" s="5" t="str">
        <f t="shared" si="4"/>
        <v>Republican</v>
      </c>
      <c r="I53" s="10">
        <f>'Precinct Vote Data'!H198</f>
        <v>0.3135888502</v>
      </c>
      <c r="J53" s="10">
        <f>'Precinct Vote Data'!H199</f>
        <v>0.2577319588</v>
      </c>
      <c r="K53" s="10">
        <f>'Precinct Vote Data'!H200</f>
        <v>0.2608695652</v>
      </c>
      <c r="L53" s="10">
        <f>'Precinct Vote Data'!H201</f>
        <v>0.2652068127</v>
      </c>
    </row>
    <row r="54" ht="15.0" customHeight="1">
      <c r="A54" s="5" t="s">
        <v>16</v>
      </c>
      <c r="B54" s="5" t="s">
        <v>141</v>
      </c>
      <c r="C54" s="5" t="s">
        <v>142</v>
      </c>
      <c r="D54" s="11">
        <f>MAX(0, 2*'Precinct Vote Data'!G204 - 'Precinct Vote Data'!G202)</f>
        <v>102</v>
      </c>
      <c r="E54" s="10">
        <f t="shared" si="1"/>
        <v>0.33072618</v>
      </c>
      <c r="F54" s="11">
        <f t="shared" si="2"/>
        <v>34</v>
      </c>
      <c r="G54" s="11">
        <f t="shared" si="3"/>
        <v>68</v>
      </c>
      <c r="H54" s="5" t="str">
        <f t="shared" si="4"/>
        <v>Republican</v>
      </c>
      <c r="I54" s="10">
        <f>'Precinct Vote Data'!H202</f>
        <v>0.5102040816</v>
      </c>
      <c r="J54" s="10">
        <f>'Precinct Vote Data'!H203</f>
        <v>0.4052287582</v>
      </c>
      <c r="K54" s="10">
        <f>'Precinct Vote Data'!H204</f>
        <v>0.46</v>
      </c>
      <c r="L54" s="10">
        <f>'Precinct Vote Data'!H205</f>
        <v>0.3558282209</v>
      </c>
    </row>
    <row r="55" ht="15.0" customHeight="1">
      <c r="A55" s="5" t="s">
        <v>143</v>
      </c>
      <c r="B55" s="5" t="s">
        <v>144</v>
      </c>
      <c r="C55" s="5" t="s">
        <v>18</v>
      </c>
      <c r="D55" s="11">
        <f>MAX(0, 2*'Precinct Vote Data'!G208 - 'Precinct Vote Data'!G206)</f>
        <v>1166</v>
      </c>
      <c r="E55" s="10">
        <f t="shared" si="1"/>
        <v>0.4195255851</v>
      </c>
      <c r="F55" s="11">
        <f t="shared" si="2"/>
        <v>489</v>
      </c>
      <c r="G55" s="11">
        <f t="shared" si="3"/>
        <v>677</v>
      </c>
      <c r="H55" s="5" t="str">
        <f t="shared" si="4"/>
        <v>Republican</v>
      </c>
      <c r="I55" s="10">
        <f>'Precinct Vote Data'!H206</f>
        <v>0.5279069767</v>
      </c>
      <c r="J55" s="10">
        <f>'Precinct Vote Data'!H207</f>
        <v>0.4670050761</v>
      </c>
      <c r="K55" s="10">
        <f>'Precinct Vote Data'!H208</f>
        <v>0.4876604146</v>
      </c>
      <c r="L55" s="10">
        <f>'Precinct Vote Data'!H209</f>
        <v>0.4396488661</v>
      </c>
    </row>
    <row r="56" ht="15.0" customHeight="1">
      <c r="A56" s="5" t="s">
        <v>143</v>
      </c>
      <c r="B56" s="5" t="s">
        <v>145</v>
      </c>
      <c r="C56" s="5" t="s">
        <v>146</v>
      </c>
      <c r="D56" s="11">
        <f>MAX(0, 2*'Precinct Vote Data'!G212 - 'Precinct Vote Data'!G210)</f>
        <v>216</v>
      </c>
      <c r="E56" s="10">
        <f t="shared" si="1"/>
        <v>0.6566363818</v>
      </c>
      <c r="F56" s="11">
        <f t="shared" si="2"/>
        <v>142</v>
      </c>
      <c r="G56" s="11">
        <f t="shared" si="3"/>
        <v>74</v>
      </c>
      <c r="H56" s="5" t="str">
        <f t="shared" si="4"/>
        <v>Democrat</v>
      </c>
      <c r="I56" s="10">
        <f>'Precinct Vote Data'!H210</f>
        <v>0.9153846154</v>
      </c>
      <c r="J56" s="10">
        <f>'Precinct Vote Data'!H211</f>
        <v>0.8027314112</v>
      </c>
      <c r="K56" s="10">
        <f>'Precinct Vote Data'!H212</f>
        <v>0.7920792079</v>
      </c>
      <c r="L56" s="10">
        <f>'Precinct Vote Data'!H213</f>
        <v>0.7182890855</v>
      </c>
    </row>
    <row r="57" ht="15.0" customHeight="1">
      <c r="A57" s="5" t="s">
        <v>143</v>
      </c>
      <c r="B57" s="5" t="s">
        <v>145</v>
      </c>
      <c r="C57" s="5" t="s">
        <v>147</v>
      </c>
      <c r="D57" s="11">
        <f>MAX(0, 2*'Precinct Vote Data'!G216 - 'Precinct Vote Data'!G214)</f>
        <v>317</v>
      </c>
      <c r="E57" s="10">
        <f t="shared" si="1"/>
        <v>0.6547161333</v>
      </c>
      <c r="F57" s="11">
        <f t="shared" si="2"/>
        <v>208</v>
      </c>
      <c r="G57" s="11">
        <f t="shared" si="3"/>
        <v>109</v>
      </c>
      <c r="H57" s="5" t="str">
        <f t="shared" si="4"/>
        <v>Democrat</v>
      </c>
      <c r="I57" s="10">
        <f>'Precinct Vote Data'!H214</f>
        <v>0.8625429553</v>
      </c>
      <c r="J57" s="10">
        <f>'Precinct Vote Data'!H215</f>
        <v>0.7651006711</v>
      </c>
      <c r="K57" s="10">
        <f>'Precinct Vote Data'!H216</f>
        <v>0.7763157895</v>
      </c>
      <c r="L57" s="10">
        <f>'Precinct Vote Data'!H217</f>
        <v>0.6978297162</v>
      </c>
    </row>
    <row r="58" ht="15.0" customHeight="1">
      <c r="A58" s="5" t="s">
        <v>143</v>
      </c>
      <c r="B58" s="5" t="s">
        <v>145</v>
      </c>
      <c r="C58" s="5" t="s">
        <v>55</v>
      </c>
      <c r="D58" s="11">
        <f>MAX(0, 2*'Precinct Vote Data'!G220 - 'Precinct Vote Data'!G218)</f>
        <v>492</v>
      </c>
      <c r="E58" s="10">
        <f t="shared" si="1"/>
        <v>0.7012036593</v>
      </c>
      <c r="F58" s="11">
        <f t="shared" si="2"/>
        <v>345</v>
      </c>
      <c r="G58" s="11">
        <f t="shared" si="3"/>
        <v>147</v>
      </c>
      <c r="H58" s="5" t="str">
        <f t="shared" si="4"/>
        <v>Democrat</v>
      </c>
      <c r="I58" s="10">
        <f>'Precinct Vote Data'!H218</f>
        <v>0.8717277487</v>
      </c>
      <c r="J58" s="10">
        <f>'Precinct Vote Data'!H219</f>
        <v>0.7662337662</v>
      </c>
      <c r="K58" s="10">
        <f>'Precinct Vote Data'!H220</f>
        <v>0.8352402746</v>
      </c>
      <c r="L58" s="10">
        <f>'Precinct Vote Data'!H221</f>
        <v>0.7194473964</v>
      </c>
    </row>
    <row r="59" ht="15.0" customHeight="1">
      <c r="A59" s="5" t="s">
        <v>143</v>
      </c>
      <c r="B59" s="5" t="s">
        <v>145</v>
      </c>
      <c r="C59" s="5" t="s">
        <v>57</v>
      </c>
      <c r="D59" s="11">
        <f>MAX(0, 2*'Precinct Vote Data'!G224 - 'Precinct Vote Data'!G222)</f>
        <v>195</v>
      </c>
      <c r="E59" s="10">
        <f t="shared" si="1"/>
        <v>0.6342731846</v>
      </c>
      <c r="F59" s="11">
        <f t="shared" si="2"/>
        <v>124</v>
      </c>
      <c r="G59" s="11">
        <f t="shared" si="3"/>
        <v>71</v>
      </c>
      <c r="H59" s="5" t="str">
        <f t="shared" si="4"/>
        <v>Democrat</v>
      </c>
      <c r="I59" s="10">
        <f>'Precinct Vote Data'!H222</f>
        <v>0.8215613383</v>
      </c>
      <c r="J59" s="10">
        <f>'Precinct Vote Data'!H223</f>
        <v>0.7649880096</v>
      </c>
      <c r="K59" s="10">
        <f>'Precinct Vote Data'!H224</f>
        <v>0.7456896552</v>
      </c>
      <c r="L59" s="10">
        <f>'Precinct Vote Data'!H225</f>
        <v>0.6722090261</v>
      </c>
    </row>
    <row r="60" ht="15.0" customHeight="1">
      <c r="A60" s="5" t="s">
        <v>143</v>
      </c>
      <c r="B60" s="5" t="s">
        <v>145</v>
      </c>
      <c r="C60" s="5" t="s">
        <v>59</v>
      </c>
      <c r="D60" s="11">
        <f>MAX(0, 2*'Precinct Vote Data'!G228 - 'Precinct Vote Data'!G226)</f>
        <v>231</v>
      </c>
      <c r="E60" s="10">
        <f t="shared" si="1"/>
        <v>0.7173278049</v>
      </c>
      <c r="F60" s="11">
        <f t="shared" si="2"/>
        <v>166</v>
      </c>
      <c r="G60" s="11">
        <f t="shared" si="3"/>
        <v>65</v>
      </c>
      <c r="H60" s="5" t="str">
        <f t="shared" si="4"/>
        <v>Democrat</v>
      </c>
      <c r="I60" s="10">
        <f>'Precinct Vote Data'!H226</f>
        <v>0.8549848943</v>
      </c>
      <c r="J60" s="10">
        <f>'Precinct Vote Data'!H227</f>
        <v>0.8055555556</v>
      </c>
      <c r="K60" s="10">
        <f>'Precinct Vote Data'!H228</f>
        <v>0.7971530249</v>
      </c>
      <c r="L60" s="10">
        <f>'Precinct Vote Data'!H229</f>
        <v>0.7462437396</v>
      </c>
    </row>
    <row r="61" ht="15.0" customHeight="1">
      <c r="A61" s="5" t="s">
        <v>143</v>
      </c>
      <c r="B61" s="5" t="s">
        <v>145</v>
      </c>
      <c r="C61" s="5" t="s">
        <v>63</v>
      </c>
      <c r="D61" s="11">
        <f>MAX(0, 2*'Precinct Vote Data'!G232 - 'Precinct Vote Data'!G230)</f>
        <v>44</v>
      </c>
      <c r="E61" s="10">
        <f t="shared" si="1"/>
        <v>0.5798027188</v>
      </c>
      <c r="F61" s="11">
        <f t="shared" si="2"/>
        <v>26</v>
      </c>
      <c r="G61" s="11">
        <f t="shared" si="3"/>
        <v>18</v>
      </c>
      <c r="H61" s="5" t="str">
        <f t="shared" si="4"/>
        <v>Democrat</v>
      </c>
      <c r="I61" s="10">
        <f>'Precinct Vote Data'!H230</f>
        <v>0.8267326733</v>
      </c>
      <c r="J61" s="10">
        <f>'Precinct Vote Data'!H231</f>
        <v>0.7666666667</v>
      </c>
      <c r="K61" s="10">
        <f>'Precinct Vote Data'!H232</f>
        <v>0.756097561</v>
      </c>
      <c r="L61" s="10">
        <f>'Precinct Vote Data'!H233</f>
        <v>0.6151202749</v>
      </c>
    </row>
    <row r="62" ht="15.0" customHeight="1">
      <c r="A62" s="5" t="s">
        <v>143</v>
      </c>
      <c r="B62" s="5" t="s">
        <v>145</v>
      </c>
      <c r="C62" s="5" t="s">
        <v>73</v>
      </c>
      <c r="D62" s="11">
        <f>MAX(0, 2*'Precinct Vote Data'!G236 - 'Precinct Vote Data'!G234)</f>
        <v>269</v>
      </c>
      <c r="E62" s="10">
        <f t="shared" si="1"/>
        <v>0.5827223856</v>
      </c>
      <c r="F62" s="11">
        <f t="shared" si="2"/>
        <v>157</v>
      </c>
      <c r="G62" s="11">
        <f t="shared" si="3"/>
        <v>112</v>
      </c>
      <c r="H62" s="5" t="str">
        <f t="shared" si="4"/>
        <v>Democrat</v>
      </c>
      <c r="I62" s="10">
        <f>'Precinct Vote Data'!H234</f>
        <v>0.7717041801</v>
      </c>
      <c r="J62" s="10">
        <f>'Precinct Vote Data'!H235</f>
        <v>0.7259528131</v>
      </c>
      <c r="K62" s="10">
        <f>'Precinct Vote Data'!H236</f>
        <v>0.7103448276</v>
      </c>
      <c r="L62" s="10">
        <f>'Precinct Vote Data'!H237</f>
        <v>0.6134020619</v>
      </c>
    </row>
    <row r="63" ht="15.0" customHeight="1">
      <c r="A63" s="5" t="s">
        <v>143</v>
      </c>
      <c r="B63" s="5" t="s">
        <v>145</v>
      </c>
      <c r="C63" s="5" t="s">
        <v>74</v>
      </c>
      <c r="D63" s="11">
        <f>MAX(0, 2*'Precinct Vote Data'!G240 - 'Precinct Vote Data'!G238)</f>
        <v>331</v>
      </c>
      <c r="E63" s="10">
        <f t="shared" si="1"/>
        <v>0.6853940798</v>
      </c>
      <c r="F63" s="11">
        <f t="shared" si="2"/>
        <v>227</v>
      </c>
      <c r="G63" s="11">
        <f t="shared" si="3"/>
        <v>104</v>
      </c>
      <c r="H63" s="5" t="str">
        <f t="shared" si="4"/>
        <v>Democrat</v>
      </c>
      <c r="I63" s="10">
        <f>'Precinct Vote Data'!H238</f>
        <v>0.852248394</v>
      </c>
      <c r="J63" s="10">
        <f>'Precinct Vote Data'!H239</f>
        <v>0.7770935961</v>
      </c>
      <c r="K63" s="10">
        <f>'Precinct Vote Data'!H240</f>
        <v>0.7644110276</v>
      </c>
      <c r="L63" s="10">
        <f>'Precinct Vote Data'!H241</f>
        <v>0.729312763</v>
      </c>
    </row>
    <row r="64" ht="15.0" customHeight="1">
      <c r="A64" s="5" t="s">
        <v>143</v>
      </c>
      <c r="B64" s="5" t="s">
        <v>145</v>
      </c>
      <c r="C64" s="5" t="s">
        <v>78</v>
      </c>
      <c r="D64" s="11">
        <f>MAX(0, 2*'Precinct Vote Data'!G244 - 'Precinct Vote Data'!G242)</f>
        <v>93</v>
      </c>
      <c r="E64" s="10">
        <f t="shared" si="1"/>
        <v>0.7051723576</v>
      </c>
      <c r="F64" s="11">
        <f t="shared" si="2"/>
        <v>66</v>
      </c>
      <c r="G64" s="11">
        <f t="shared" si="3"/>
        <v>27</v>
      </c>
      <c r="H64" s="5" t="str">
        <f t="shared" si="4"/>
        <v>Democrat</v>
      </c>
      <c r="I64" s="10">
        <f>'Precinct Vote Data'!H242</f>
        <v>0.8465608466</v>
      </c>
      <c r="J64" s="10">
        <f>'Precinct Vote Data'!H243</f>
        <v>0.737704918</v>
      </c>
      <c r="K64" s="10">
        <f>'Precinct Vote Data'!H244</f>
        <v>0.8226950355</v>
      </c>
      <c r="L64" s="10">
        <f>'Precinct Vote Data'!H245</f>
        <v>0.7171052632</v>
      </c>
    </row>
    <row r="65" ht="15.0" customHeight="1">
      <c r="A65" s="5" t="s">
        <v>143</v>
      </c>
      <c r="B65" s="5" t="s">
        <v>145</v>
      </c>
      <c r="C65" s="5" t="s">
        <v>79</v>
      </c>
      <c r="D65" s="11">
        <f>MAX(0, 2*'Precinct Vote Data'!G248 - 'Precinct Vote Data'!G246)</f>
        <v>90</v>
      </c>
      <c r="E65" s="10">
        <f t="shared" si="1"/>
        <v>0.6974612022</v>
      </c>
      <c r="F65" s="11">
        <f t="shared" si="2"/>
        <v>63</v>
      </c>
      <c r="G65" s="11">
        <f t="shared" si="3"/>
        <v>27</v>
      </c>
      <c r="H65" s="5" t="str">
        <f t="shared" si="4"/>
        <v>Democrat</v>
      </c>
      <c r="I65" s="10">
        <f>'Precinct Vote Data'!H246</f>
        <v>0.8671875</v>
      </c>
      <c r="J65" s="10">
        <f>'Precinct Vote Data'!H247</f>
        <v>0.7860962567</v>
      </c>
      <c r="K65" s="10">
        <f>'Precinct Vote Data'!H248</f>
        <v>0.8497109827</v>
      </c>
      <c r="L65" s="10">
        <f>'Precinct Vote Data'!H249</f>
        <v>0.7061994609</v>
      </c>
    </row>
    <row r="66" ht="15.0" customHeight="1">
      <c r="A66" s="5" t="s">
        <v>143</v>
      </c>
      <c r="B66" s="5" t="s">
        <v>145</v>
      </c>
      <c r="C66" s="5" t="s">
        <v>87</v>
      </c>
      <c r="D66" s="11">
        <f>MAX(0, 2*'Precinct Vote Data'!G252 - 'Precinct Vote Data'!G250)</f>
        <v>218</v>
      </c>
      <c r="E66" s="10">
        <f t="shared" si="1"/>
        <v>0.7006443164</v>
      </c>
      <c r="F66" s="11">
        <f t="shared" si="2"/>
        <v>153</v>
      </c>
      <c r="G66" s="11">
        <f t="shared" si="3"/>
        <v>65</v>
      </c>
      <c r="H66" s="5" t="str">
        <f t="shared" si="4"/>
        <v>Democrat</v>
      </c>
      <c r="I66" s="10">
        <f>'Precinct Vote Data'!H250</f>
        <v>0.8734939759</v>
      </c>
      <c r="J66" s="10">
        <f>'Precinct Vote Data'!H251</f>
        <v>0.7774193548</v>
      </c>
      <c r="K66" s="10">
        <f>'Precinct Vote Data'!H252</f>
        <v>0.8</v>
      </c>
      <c r="L66" s="10">
        <f>'Precinct Vote Data'!H253</f>
        <v>0.7373913043</v>
      </c>
    </row>
    <row r="67" ht="15.0" customHeight="1">
      <c r="A67" s="5" t="s">
        <v>143</v>
      </c>
      <c r="B67" s="5" t="s">
        <v>145</v>
      </c>
      <c r="C67" s="5" t="s">
        <v>88</v>
      </c>
      <c r="D67" s="11">
        <f>MAX(0, 2*'Precinct Vote Data'!G256 - 'Precinct Vote Data'!G254)</f>
        <v>441</v>
      </c>
      <c r="E67" s="10">
        <f t="shared" si="1"/>
        <v>0.6258898289</v>
      </c>
      <c r="F67" s="11">
        <f t="shared" si="2"/>
        <v>276</v>
      </c>
      <c r="G67" s="11">
        <f t="shared" si="3"/>
        <v>165</v>
      </c>
      <c r="H67" s="5" t="str">
        <f t="shared" si="4"/>
        <v>Democrat</v>
      </c>
      <c r="I67" s="10">
        <f>'Precinct Vote Data'!H254</f>
        <v>0.7703435805</v>
      </c>
      <c r="J67" s="10">
        <f>'Precinct Vote Data'!H255</f>
        <v>0.7040690506</v>
      </c>
      <c r="K67" s="10">
        <f>'Precinct Vote Data'!H256</f>
        <v>0.6800804829</v>
      </c>
      <c r="L67" s="10">
        <f>'Precinct Vote Data'!H257</f>
        <v>0.6710213777</v>
      </c>
    </row>
    <row r="68" ht="15.0" customHeight="1">
      <c r="A68" s="5" t="s">
        <v>143</v>
      </c>
      <c r="B68" s="5" t="s">
        <v>145</v>
      </c>
      <c r="C68" s="5" t="s">
        <v>89</v>
      </c>
      <c r="D68" s="11">
        <f>MAX(0, 2*'Precinct Vote Data'!G260 - 'Precinct Vote Data'!G258)</f>
        <v>171</v>
      </c>
      <c r="E68" s="10">
        <f t="shared" si="1"/>
        <v>0.6410264344</v>
      </c>
      <c r="F68" s="11">
        <f t="shared" si="2"/>
        <v>110</v>
      </c>
      <c r="G68" s="11">
        <f t="shared" si="3"/>
        <v>61</v>
      </c>
      <c r="H68" s="5" t="str">
        <f t="shared" si="4"/>
        <v>Democrat</v>
      </c>
      <c r="I68" s="10">
        <f>'Precinct Vote Data'!H258</f>
        <v>0.8075471698</v>
      </c>
      <c r="J68" s="10">
        <f>'Precinct Vote Data'!H259</f>
        <v>0.7556818182</v>
      </c>
      <c r="K68" s="10">
        <f>'Precinct Vote Data'!H260</f>
        <v>0.7247706422</v>
      </c>
      <c r="L68" s="10">
        <f>'Precinct Vote Data'!H261</f>
        <v>0.6824146982</v>
      </c>
    </row>
    <row r="69" ht="15.0" customHeight="1">
      <c r="A69" s="5" t="s">
        <v>143</v>
      </c>
      <c r="B69" s="5" t="s">
        <v>145</v>
      </c>
      <c r="C69" s="5" t="s">
        <v>91</v>
      </c>
      <c r="D69" s="11">
        <f>MAX(0, 2*'Precinct Vote Data'!G264 - 'Precinct Vote Data'!G262)</f>
        <v>135</v>
      </c>
      <c r="E69" s="10">
        <f t="shared" si="1"/>
        <v>0.6200398486</v>
      </c>
      <c r="F69" s="11">
        <f t="shared" si="2"/>
        <v>84</v>
      </c>
      <c r="G69" s="11">
        <f t="shared" si="3"/>
        <v>51</v>
      </c>
      <c r="H69" s="5" t="str">
        <f t="shared" si="4"/>
        <v>Democrat</v>
      </c>
      <c r="I69" s="10">
        <f>'Precinct Vote Data'!H262</f>
        <v>0.8680351906</v>
      </c>
      <c r="J69" s="10">
        <f>'Precinct Vote Data'!H263</f>
        <v>0.7757575758</v>
      </c>
      <c r="K69" s="10">
        <f>'Precinct Vote Data'!H264</f>
        <v>0.756302521</v>
      </c>
      <c r="L69" s="10">
        <f>'Precinct Vote Data'!H265</f>
        <v>0.6759061834</v>
      </c>
    </row>
    <row r="70" ht="15.0" customHeight="1">
      <c r="A70" s="5" t="s">
        <v>143</v>
      </c>
      <c r="B70" s="5" t="s">
        <v>145</v>
      </c>
      <c r="C70" s="5" t="s">
        <v>92</v>
      </c>
      <c r="D70" s="11">
        <f>MAX(0, 2*'Precinct Vote Data'!G268 - 'Precinct Vote Data'!G266)</f>
        <v>331</v>
      </c>
      <c r="E70" s="10">
        <f t="shared" si="1"/>
        <v>0.6214456856</v>
      </c>
      <c r="F70" s="11">
        <f t="shared" si="2"/>
        <v>206</v>
      </c>
      <c r="G70" s="11">
        <f t="shared" si="3"/>
        <v>125</v>
      </c>
      <c r="H70" s="5" t="str">
        <f t="shared" si="4"/>
        <v>Democrat</v>
      </c>
      <c r="I70" s="10">
        <f>'Precinct Vote Data'!H266</f>
        <v>0.6413255361</v>
      </c>
      <c r="J70" s="10">
        <f>'Precinct Vote Data'!H267</f>
        <v>0.6129943503</v>
      </c>
      <c r="K70" s="10">
        <f>'Precinct Vote Data'!H268</f>
        <v>0.6516587678</v>
      </c>
      <c r="L70" s="10">
        <f>'Precinct Vote Data'!H269</f>
        <v>0.6162790698</v>
      </c>
    </row>
    <row r="71" ht="15.0" customHeight="1">
      <c r="A71" s="5" t="s">
        <v>143</v>
      </c>
      <c r="B71" s="5" t="s">
        <v>145</v>
      </c>
      <c r="C71" s="5" t="s">
        <v>94</v>
      </c>
      <c r="D71" s="11">
        <f>MAX(0, 2*'Precinct Vote Data'!G272 - 'Precinct Vote Data'!G270)</f>
        <v>247</v>
      </c>
      <c r="E71" s="10">
        <f t="shared" si="1"/>
        <v>0.6547661462</v>
      </c>
      <c r="F71" s="11">
        <f t="shared" si="2"/>
        <v>162</v>
      </c>
      <c r="G71" s="11">
        <f t="shared" si="3"/>
        <v>85</v>
      </c>
      <c r="H71" s="5" t="str">
        <f t="shared" si="4"/>
        <v>Democrat</v>
      </c>
      <c r="I71" s="10">
        <f>'Precinct Vote Data'!H270</f>
        <v>0.8591549296</v>
      </c>
      <c r="J71" s="10">
        <f>'Precinct Vote Data'!H271</f>
        <v>0.7557377049</v>
      </c>
      <c r="K71" s="10">
        <f>'Precinct Vote Data'!H272</f>
        <v>0.7973421927</v>
      </c>
      <c r="L71" s="10">
        <f>'Precinct Vote Data'!H273</f>
        <v>0.6856725146</v>
      </c>
    </row>
    <row r="72" ht="15.0" customHeight="1">
      <c r="A72" s="5" t="s">
        <v>143</v>
      </c>
      <c r="B72" s="5" t="s">
        <v>145</v>
      </c>
      <c r="C72" s="5" t="s">
        <v>95</v>
      </c>
      <c r="D72" s="11">
        <f>MAX(0, 2*'Precinct Vote Data'!G276 - 'Precinct Vote Data'!G274)</f>
        <v>279</v>
      </c>
      <c r="E72" s="10">
        <f t="shared" si="1"/>
        <v>0.6730831399</v>
      </c>
      <c r="F72" s="11">
        <f t="shared" si="2"/>
        <v>188</v>
      </c>
      <c r="G72" s="11">
        <f t="shared" si="3"/>
        <v>91</v>
      </c>
      <c r="H72" s="5" t="str">
        <f t="shared" si="4"/>
        <v>Democrat</v>
      </c>
      <c r="I72" s="10">
        <f>'Precinct Vote Data'!H274</f>
        <v>0.8746803069</v>
      </c>
      <c r="J72" s="10">
        <f>'Precinct Vote Data'!H275</f>
        <v>0.787202381</v>
      </c>
      <c r="K72" s="10">
        <f>'Precinct Vote Data'!H276</f>
        <v>0.7880597015</v>
      </c>
      <c r="L72" s="10">
        <f>'Precinct Vote Data'!H277</f>
        <v>0.7163934426</v>
      </c>
    </row>
    <row r="73" ht="15.0" customHeight="1">
      <c r="A73" s="5" t="s">
        <v>143</v>
      </c>
      <c r="B73" s="5" t="s">
        <v>145</v>
      </c>
      <c r="C73" s="5" t="s">
        <v>96</v>
      </c>
      <c r="D73" s="11">
        <f>MAX(0, 2*'Precinct Vote Data'!G280 - 'Precinct Vote Data'!G278)</f>
        <v>99</v>
      </c>
      <c r="E73" s="10">
        <f t="shared" si="1"/>
        <v>0.6233426564</v>
      </c>
      <c r="F73" s="11">
        <f t="shared" si="2"/>
        <v>62</v>
      </c>
      <c r="G73" s="11">
        <f t="shared" si="3"/>
        <v>37</v>
      </c>
      <c r="H73" s="5" t="str">
        <f t="shared" si="4"/>
        <v>Democrat</v>
      </c>
      <c r="I73" s="10">
        <f>'Precinct Vote Data'!H278</f>
        <v>0.789968652</v>
      </c>
      <c r="J73" s="10">
        <f>'Precinct Vote Data'!H279</f>
        <v>0.7263779528</v>
      </c>
      <c r="K73" s="10">
        <f>'Precinct Vote Data'!H280</f>
        <v>0.7272727273</v>
      </c>
      <c r="L73" s="10">
        <f>'Precinct Vote Data'!H281</f>
        <v>0.6546906188</v>
      </c>
    </row>
    <row r="74" ht="15.0" customHeight="1">
      <c r="A74" s="5" t="s">
        <v>143</v>
      </c>
      <c r="B74" s="5" t="s">
        <v>145</v>
      </c>
      <c r="C74" s="5" t="s">
        <v>98</v>
      </c>
      <c r="D74" s="11">
        <f>MAX(0, 2*'Precinct Vote Data'!G284 - 'Precinct Vote Data'!G282)</f>
        <v>163</v>
      </c>
      <c r="E74" s="10">
        <f t="shared" si="1"/>
        <v>0.6782012159</v>
      </c>
      <c r="F74" s="11">
        <f t="shared" si="2"/>
        <v>111</v>
      </c>
      <c r="G74" s="11">
        <f t="shared" si="3"/>
        <v>52</v>
      </c>
      <c r="H74" s="5" t="str">
        <f t="shared" si="4"/>
        <v>Democrat</v>
      </c>
      <c r="I74" s="10">
        <f>'Precinct Vote Data'!H282</f>
        <v>0.8476190476</v>
      </c>
      <c r="J74" s="10">
        <f>'Precinct Vote Data'!H283</f>
        <v>0.7736943907</v>
      </c>
      <c r="K74" s="10">
        <f>'Precinct Vote Data'!H284</f>
        <v>0.7991631799</v>
      </c>
      <c r="L74" s="10">
        <f>'Precinct Vote Data'!H285</f>
        <v>0.7024291498</v>
      </c>
    </row>
    <row r="75" ht="15.0" customHeight="1">
      <c r="A75" s="5" t="s">
        <v>143</v>
      </c>
      <c r="B75" s="5" t="s">
        <v>145</v>
      </c>
      <c r="C75" s="5" t="s">
        <v>100</v>
      </c>
      <c r="D75" s="11">
        <f>MAX(0, 2*'Precinct Vote Data'!G288 - 'Precinct Vote Data'!G286)</f>
        <v>173</v>
      </c>
      <c r="E75" s="10">
        <f t="shared" si="1"/>
        <v>0.6744000725</v>
      </c>
      <c r="F75" s="11">
        <f t="shared" si="2"/>
        <v>117</v>
      </c>
      <c r="G75" s="11">
        <f t="shared" si="3"/>
        <v>56</v>
      </c>
      <c r="H75" s="5" t="str">
        <f t="shared" si="4"/>
        <v>Democrat</v>
      </c>
      <c r="I75" s="10">
        <f>'Precinct Vote Data'!H286</f>
        <v>0.7722772277</v>
      </c>
      <c r="J75" s="10">
        <f>'Precinct Vote Data'!H287</f>
        <v>0.7270788913</v>
      </c>
      <c r="K75" s="10">
        <f>'Precinct Vote Data'!H288</f>
        <v>0.7647058824</v>
      </c>
      <c r="L75" s="10">
        <f>'Precinct Vote Data'!H289</f>
        <v>0.6781857451</v>
      </c>
    </row>
    <row r="76" ht="15.0" customHeight="1">
      <c r="A76" s="5" t="s">
        <v>143</v>
      </c>
      <c r="B76" s="5" t="s">
        <v>145</v>
      </c>
      <c r="C76" s="5" t="s">
        <v>102</v>
      </c>
      <c r="D76" s="11">
        <f>MAX(0, 2*'Precinct Vote Data'!G292 - 'Precinct Vote Data'!G290)</f>
        <v>109</v>
      </c>
      <c r="E76" s="10">
        <f t="shared" si="1"/>
        <v>0.7004784263</v>
      </c>
      <c r="F76" s="11">
        <f t="shared" si="2"/>
        <v>76</v>
      </c>
      <c r="G76" s="11">
        <f t="shared" si="3"/>
        <v>33</v>
      </c>
      <c r="H76" s="5" t="str">
        <f t="shared" si="4"/>
        <v>Democrat</v>
      </c>
      <c r="I76" s="10">
        <f>'Precinct Vote Data'!H290</f>
        <v>0.8366197183</v>
      </c>
      <c r="J76" s="10">
        <f>'Precinct Vote Data'!H291</f>
        <v>0.7700729927</v>
      </c>
      <c r="K76" s="10">
        <f>'Precinct Vote Data'!H292</f>
        <v>0.7844827586</v>
      </c>
      <c r="L76" s="10">
        <f>'Precinct Vote Data'!H293</f>
        <v>0.7265469062</v>
      </c>
    </row>
    <row r="77" ht="15.0" customHeight="1">
      <c r="A77" s="5" t="s">
        <v>143</v>
      </c>
      <c r="B77" s="5" t="s">
        <v>145</v>
      </c>
      <c r="C77" s="5" t="s">
        <v>103</v>
      </c>
      <c r="D77" s="11">
        <f>MAX(0, 2*'Precinct Vote Data'!G296 - 'Precinct Vote Data'!G294)</f>
        <v>258</v>
      </c>
      <c r="E77" s="10">
        <f t="shared" si="1"/>
        <v>0.6618635798</v>
      </c>
      <c r="F77" s="11">
        <f t="shared" si="2"/>
        <v>171</v>
      </c>
      <c r="G77" s="11">
        <f t="shared" si="3"/>
        <v>87</v>
      </c>
      <c r="H77" s="5" t="str">
        <f t="shared" si="4"/>
        <v>Democrat</v>
      </c>
      <c r="I77" s="10">
        <f>'Precinct Vote Data'!H294</f>
        <v>0.7969432314</v>
      </c>
      <c r="J77" s="10">
        <f>'Precinct Vote Data'!H295</f>
        <v>0.7248840804</v>
      </c>
      <c r="K77" s="10">
        <f>'Precinct Vote Data'!H296</f>
        <v>0.7206703911</v>
      </c>
      <c r="L77" s="10">
        <f>'Precinct Vote Data'!H297</f>
        <v>0.7</v>
      </c>
    </row>
    <row r="78" ht="15.0" customHeight="1">
      <c r="A78" s="5" t="s">
        <v>143</v>
      </c>
      <c r="B78" s="5" t="s">
        <v>145</v>
      </c>
      <c r="C78" s="5" t="s">
        <v>104</v>
      </c>
      <c r="D78" s="11">
        <f>MAX(0, 2*'Precinct Vote Data'!G300 - 'Precinct Vote Data'!G298)</f>
        <v>606</v>
      </c>
      <c r="E78" s="10">
        <f t="shared" si="1"/>
        <v>0.7747238393</v>
      </c>
      <c r="F78" s="11">
        <f t="shared" si="2"/>
        <v>469</v>
      </c>
      <c r="G78" s="11">
        <f t="shared" si="3"/>
        <v>137</v>
      </c>
      <c r="H78" s="5" t="str">
        <f t="shared" si="4"/>
        <v>Democrat</v>
      </c>
      <c r="I78" s="10">
        <f>'Precinct Vote Data'!H298</f>
        <v>0.8170995671</v>
      </c>
      <c r="J78" s="10">
        <f>'Precinct Vote Data'!H299</f>
        <v>0.7607655502</v>
      </c>
      <c r="K78" s="10">
        <f>'Precinct Vote Data'!H300</f>
        <v>0.7986928105</v>
      </c>
      <c r="L78" s="10">
        <f>'Precinct Vote Data'!H301</f>
        <v>0.7839272176</v>
      </c>
    </row>
    <row r="79" ht="15.0" customHeight="1">
      <c r="A79" s="5" t="s">
        <v>143</v>
      </c>
      <c r="B79" s="5" t="s">
        <v>145</v>
      </c>
      <c r="C79" s="5" t="s">
        <v>106</v>
      </c>
      <c r="D79" s="11">
        <f>MAX(0, 2*'Precinct Vote Data'!G304 - 'Precinct Vote Data'!G302)</f>
        <v>369</v>
      </c>
      <c r="E79" s="10">
        <f t="shared" si="1"/>
        <v>0.6649643404</v>
      </c>
      <c r="F79" s="11">
        <f t="shared" si="2"/>
        <v>245</v>
      </c>
      <c r="G79" s="11">
        <f t="shared" si="3"/>
        <v>124</v>
      </c>
      <c r="H79" s="5" t="str">
        <f t="shared" si="4"/>
        <v>Democrat</v>
      </c>
      <c r="I79" s="10">
        <f>'Precinct Vote Data'!H302</f>
        <v>0.7016317016</v>
      </c>
      <c r="J79" s="10">
        <f>'Precinct Vote Data'!H303</f>
        <v>0.6422628952</v>
      </c>
      <c r="K79" s="10">
        <f>'Precinct Vote Data'!H304</f>
        <v>0.701754386</v>
      </c>
      <c r="L79" s="10">
        <f>'Precinct Vote Data'!H305</f>
        <v>0.6649029982</v>
      </c>
    </row>
    <row r="80" ht="15.0" customHeight="1">
      <c r="A80" s="5" t="s">
        <v>143</v>
      </c>
      <c r="B80" s="5" t="s">
        <v>145</v>
      </c>
      <c r="C80" s="5" t="s">
        <v>109</v>
      </c>
      <c r="D80" s="11">
        <f>MAX(0, 2*'Precinct Vote Data'!G308 - 'Precinct Vote Data'!G306)</f>
        <v>643</v>
      </c>
      <c r="E80" s="10">
        <f t="shared" si="1"/>
        <v>0.5866245889</v>
      </c>
      <c r="F80" s="11">
        <f t="shared" si="2"/>
        <v>377</v>
      </c>
      <c r="G80" s="11">
        <f t="shared" si="3"/>
        <v>266</v>
      </c>
      <c r="H80" s="5" t="str">
        <f t="shared" si="4"/>
        <v>Democrat</v>
      </c>
      <c r="I80" s="10">
        <f>'Precinct Vote Data'!H306</f>
        <v>0.6585034014</v>
      </c>
      <c r="J80" s="10">
        <f>'Precinct Vote Data'!H307</f>
        <v>0.627254509</v>
      </c>
      <c r="K80" s="10">
        <f>'Precinct Vote Data'!H308</f>
        <v>0.6168359942</v>
      </c>
      <c r="L80" s="10">
        <f>'Precinct Vote Data'!H309</f>
        <v>0.6074582924</v>
      </c>
    </row>
    <row r="81" ht="15.0" customHeight="1">
      <c r="A81" s="5" t="s">
        <v>143</v>
      </c>
      <c r="B81" s="5" t="s">
        <v>145</v>
      </c>
      <c r="C81" s="5" t="s">
        <v>110</v>
      </c>
      <c r="D81" s="11">
        <f>MAX(0, 2*'Precinct Vote Data'!G312 - 'Precinct Vote Data'!G310)</f>
        <v>543</v>
      </c>
      <c r="E81" s="10">
        <f t="shared" si="1"/>
        <v>0.6143002695</v>
      </c>
      <c r="F81" s="11">
        <f t="shared" si="2"/>
        <v>334</v>
      </c>
      <c r="G81" s="11">
        <f t="shared" si="3"/>
        <v>209</v>
      </c>
      <c r="H81" s="5" t="str">
        <f t="shared" si="4"/>
        <v>Democrat</v>
      </c>
      <c r="I81" s="10">
        <f>'Precinct Vote Data'!H310</f>
        <v>0.6513761468</v>
      </c>
      <c r="J81" s="10">
        <f>'Precinct Vote Data'!H311</f>
        <v>0.6300984529</v>
      </c>
      <c r="K81" s="10">
        <f>'Precinct Vote Data'!H312</f>
        <v>0.6231617647</v>
      </c>
      <c r="L81" s="10">
        <f>'Precinct Vote Data'!H313</f>
        <v>0.6284074605</v>
      </c>
    </row>
    <row r="82" ht="15.0" customHeight="1">
      <c r="A82" s="5" t="s">
        <v>143</v>
      </c>
      <c r="B82" s="5" t="s">
        <v>145</v>
      </c>
      <c r="C82" s="5" t="s">
        <v>111</v>
      </c>
      <c r="D82" s="11">
        <f>MAX(0, 2*'Precinct Vote Data'!G316 - 'Precinct Vote Data'!G314)</f>
        <v>297</v>
      </c>
      <c r="E82" s="10">
        <f t="shared" si="1"/>
        <v>0.6764075642</v>
      </c>
      <c r="F82" s="11">
        <f t="shared" si="2"/>
        <v>201</v>
      </c>
      <c r="G82" s="11">
        <f t="shared" si="3"/>
        <v>96</v>
      </c>
      <c r="H82" s="5" t="str">
        <f t="shared" si="4"/>
        <v>Democrat</v>
      </c>
      <c r="I82" s="10">
        <f>'Precinct Vote Data'!H314</f>
        <v>0.7685774947</v>
      </c>
      <c r="J82" s="10">
        <f>'Precinct Vote Data'!H315</f>
        <v>0.7106446777</v>
      </c>
      <c r="K82" s="10">
        <f>'Precinct Vote Data'!H316</f>
        <v>0.7473958333</v>
      </c>
      <c r="L82" s="10">
        <f>'Precinct Vote Data'!H317</f>
        <v>0.6869983949</v>
      </c>
    </row>
    <row r="83" ht="15.0" customHeight="1">
      <c r="A83" s="5" t="s">
        <v>143</v>
      </c>
      <c r="B83" s="5" t="s">
        <v>145</v>
      </c>
      <c r="C83" s="5" t="s">
        <v>113</v>
      </c>
      <c r="D83" s="11">
        <f>MAX(0, 2*'Precinct Vote Data'!G320 - 'Precinct Vote Data'!G318)</f>
        <v>375</v>
      </c>
      <c r="E83" s="10">
        <f t="shared" si="1"/>
        <v>0.596531044</v>
      </c>
      <c r="F83" s="11">
        <f t="shared" si="2"/>
        <v>224</v>
      </c>
      <c r="G83" s="11">
        <f t="shared" si="3"/>
        <v>151</v>
      </c>
      <c r="H83" s="5" t="str">
        <f t="shared" si="4"/>
        <v>Democrat</v>
      </c>
      <c r="I83" s="10">
        <f>'Precinct Vote Data'!H318</f>
        <v>0.7520938023</v>
      </c>
      <c r="J83" s="10">
        <f>'Precinct Vote Data'!H319</f>
        <v>0.6887640449</v>
      </c>
      <c r="K83" s="10">
        <f>'Precinct Vote Data'!H320</f>
        <v>0.6728395062</v>
      </c>
      <c r="L83" s="10">
        <f>'Precinct Vote Data'!H321</f>
        <v>0.6361581921</v>
      </c>
    </row>
    <row r="84" ht="15.0" customHeight="1">
      <c r="A84" s="5" t="s">
        <v>143</v>
      </c>
      <c r="B84" s="5" t="s">
        <v>145</v>
      </c>
      <c r="C84" s="5" t="s">
        <v>114</v>
      </c>
      <c r="D84" s="11">
        <f>MAX(0, 2*'Precinct Vote Data'!G324 - 'Precinct Vote Data'!G322)</f>
        <v>491</v>
      </c>
      <c r="E84" s="10">
        <f t="shared" si="1"/>
        <v>0.6206976851</v>
      </c>
      <c r="F84" s="11">
        <f t="shared" si="2"/>
        <v>305</v>
      </c>
      <c r="G84" s="11">
        <f t="shared" si="3"/>
        <v>186</v>
      </c>
      <c r="H84" s="5" t="str">
        <f t="shared" si="4"/>
        <v>Democrat</v>
      </c>
      <c r="I84" s="10">
        <f>'Precinct Vote Data'!H322</f>
        <v>0.6487025948</v>
      </c>
      <c r="J84" s="10">
        <f>'Precinct Vote Data'!H323</f>
        <v>0.6279761905</v>
      </c>
      <c r="K84" s="10">
        <f>'Precinct Vote Data'!H324</f>
        <v>0.622983871</v>
      </c>
      <c r="L84" s="10">
        <f>'Precinct Vote Data'!H325</f>
        <v>0.633557047</v>
      </c>
    </row>
    <row r="85" ht="15.0" customHeight="1">
      <c r="A85" s="5" t="s">
        <v>143</v>
      </c>
      <c r="B85" s="5" t="s">
        <v>145</v>
      </c>
      <c r="C85" s="5" t="s">
        <v>116</v>
      </c>
      <c r="D85" s="11">
        <f>MAX(0, 2*'Precinct Vote Data'!G328 - 'Precinct Vote Data'!G326)</f>
        <v>632</v>
      </c>
      <c r="E85" s="10">
        <f t="shared" si="1"/>
        <v>0.5508006918</v>
      </c>
      <c r="F85" s="11">
        <f t="shared" si="2"/>
        <v>348</v>
      </c>
      <c r="G85" s="11">
        <f t="shared" si="3"/>
        <v>284</v>
      </c>
      <c r="H85" s="5" t="str">
        <f t="shared" si="4"/>
        <v>Democrat</v>
      </c>
      <c r="I85" s="10">
        <f>'Precinct Vote Data'!H326</f>
        <v>0.614</v>
      </c>
      <c r="J85" s="10">
        <f>'Precinct Vote Data'!H327</f>
        <v>0.5718120805</v>
      </c>
      <c r="K85" s="10">
        <f>'Precinct Vote Data'!H328</f>
        <v>0.5901060071</v>
      </c>
      <c r="L85" s="10">
        <f>'Precinct Vote Data'!H329</f>
        <v>0.5627476882</v>
      </c>
    </row>
    <row r="86" ht="15.0" customHeight="1">
      <c r="A86" s="5" t="s">
        <v>143</v>
      </c>
      <c r="B86" s="5" t="s">
        <v>145</v>
      </c>
      <c r="C86" s="5" t="s">
        <v>118</v>
      </c>
      <c r="D86" s="11">
        <f>MAX(0, 2*'Precinct Vote Data'!G332 - 'Precinct Vote Data'!G330)</f>
        <v>354</v>
      </c>
      <c r="E86" s="10">
        <f t="shared" si="1"/>
        <v>0.55761962</v>
      </c>
      <c r="F86" s="11">
        <f t="shared" si="2"/>
        <v>197</v>
      </c>
      <c r="G86" s="11">
        <f t="shared" si="3"/>
        <v>157</v>
      </c>
      <c r="H86" s="5" t="str">
        <f t="shared" si="4"/>
        <v>Democrat</v>
      </c>
      <c r="I86" s="10">
        <f>'Precinct Vote Data'!H330</f>
        <v>0.7103004292</v>
      </c>
      <c r="J86" s="10">
        <f>'Precinct Vote Data'!H331</f>
        <v>0.6414835165</v>
      </c>
      <c r="K86" s="10">
        <f>'Precinct Vote Data'!H332</f>
        <v>0.6243902439</v>
      </c>
      <c r="L86" s="10">
        <f>'Precinct Vote Data'!H333</f>
        <v>0.6005747126</v>
      </c>
    </row>
    <row r="87" ht="15.0" customHeight="1">
      <c r="A87" s="5" t="s">
        <v>143</v>
      </c>
      <c r="B87" s="5" t="s">
        <v>145</v>
      </c>
      <c r="C87" s="5" t="s">
        <v>119</v>
      </c>
      <c r="D87" s="11">
        <f>MAX(0, 2*'Precinct Vote Data'!G336 - 'Precinct Vote Data'!G334)</f>
        <v>263</v>
      </c>
      <c r="E87" s="10">
        <f t="shared" si="1"/>
        <v>0.6673200272</v>
      </c>
      <c r="F87" s="11">
        <f t="shared" si="2"/>
        <v>176</v>
      </c>
      <c r="G87" s="11">
        <f t="shared" si="3"/>
        <v>87</v>
      </c>
      <c r="H87" s="5" t="str">
        <f t="shared" si="4"/>
        <v>Democrat</v>
      </c>
      <c r="I87" s="10">
        <f>'Precinct Vote Data'!H334</f>
        <v>0.8383371824</v>
      </c>
      <c r="J87" s="10">
        <f>'Precinct Vote Data'!H335</f>
        <v>0.7725856698</v>
      </c>
      <c r="K87" s="10">
        <f>'Precinct Vote Data'!H336</f>
        <v>0.7873563218</v>
      </c>
      <c r="L87" s="10">
        <f>'Precinct Vote Data'!H337</f>
        <v>0.6928104575</v>
      </c>
    </row>
    <row r="88" ht="15.0" customHeight="1">
      <c r="A88" s="5" t="s">
        <v>143</v>
      </c>
      <c r="B88" s="5" t="s">
        <v>145</v>
      </c>
      <c r="C88" s="5" t="s">
        <v>120</v>
      </c>
      <c r="D88" s="11">
        <f>MAX(0, 2*'Precinct Vote Data'!G340 - 'Precinct Vote Data'!G338)</f>
        <v>204</v>
      </c>
      <c r="E88" s="10">
        <f t="shared" si="1"/>
        <v>0.620227466</v>
      </c>
      <c r="F88" s="11">
        <f t="shared" si="2"/>
        <v>127</v>
      </c>
      <c r="G88" s="11">
        <f t="shared" si="3"/>
        <v>77</v>
      </c>
      <c r="H88" s="5" t="str">
        <f t="shared" si="4"/>
        <v>Democrat</v>
      </c>
      <c r="I88" s="10">
        <f>'Precinct Vote Data'!H338</f>
        <v>0.734375</v>
      </c>
      <c r="J88" s="10">
        <f>'Precinct Vote Data'!H339</f>
        <v>0.6754221388</v>
      </c>
      <c r="K88" s="10">
        <f>'Precinct Vote Data'!H340</f>
        <v>0.7176870748</v>
      </c>
      <c r="L88" s="10">
        <f>'Precinct Vote Data'!H341</f>
        <v>0.6285714286</v>
      </c>
    </row>
    <row r="89" ht="15.0" customHeight="1">
      <c r="A89" s="5" t="s">
        <v>143</v>
      </c>
      <c r="B89" s="5" t="s">
        <v>145</v>
      </c>
      <c r="C89" s="5" t="s">
        <v>122</v>
      </c>
      <c r="D89" s="11">
        <f>MAX(0, 2*'Precinct Vote Data'!G344 - 'Precinct Vote Data'!G342)</f>
        <v>297</v>
      </c>
      <c r="E89" s="10">
        <f t="shared" si="1"/>
        <v>0.6209884057</v>
      </c>
      <c r="F89" s="11">
        <f t="shared" si="2"/>
        <v>184</v>
      </c>
      <c r="G89" s="11">
        <f t="shared" si="3"/>
        <v>113</v>
      </c>
      <c r="H89" s="5" t="str">
        <f t="shared" si="4"/>
        <v>Democrat</v>
      </c>
      <c r="I89" s="10">
        <f>'Precinct Vote Data'!H342</f>
        <v>0.7440347072</v>
      </c>
      <c r="J89" s="10">
        <f>'Precinct Vote Data'!H343</f>
        <v>0.6914893617</v>
      </c>
      <c r="K89" s="10">
        <f>'Precinct Vote Data'!H344</f>
        <v>0.6754617414</v>
      </c>
      <c r="L89" s="10">
        <f>'Precinct Vote Data'!H345</f>
        <v>0.6552748886</v>
      </c>
    </row>
    <row r="90" ht="15.0" customHeight="1">
      <c r="A90" s="5" t="s">
        <v>143</v>
      </c>
      <c r="B90" s="5" t="s">
        <v>145</v>
      </c>
      <c r="C90" s="5" t="s">
        <v>124</v>
      </c>
      <c r="D90" s="11">
        <f>MAX(0, 2*'Precinct Vote Data'!G348 - 'Precinct Vote Data'!G346)</f>
        <v>245</v>
      </c>
      <c r="E90" s="10">
        <f t="shared" si="1"/>
        <v>0.674794221</v>
      </c>
      <c r="F90" s="11">
        <f t="shared" si="2"/>
        <v>165</v>
      </c>
      <c r="G90" s="11">
        <f t="shared" si="3"/>
        <v>80</v>
      </c>
      <c r="H90" s="5" t="str">
        <f t="shared" si="4"/>
        <v>Democrat</v>
      </c>
      <c r="I90" s="10">
        <f>'Precinct Vote Data'!H346</f>
        <v>0.706231454</v>
      </c>
      <c r="J90" s="10">
        <f>'Precinct Vote Data'!H347</f>
        <v>0.7037037037</v>
      </c>
      <c r="K90" s="10">
        <f>'Precinct Vote Data'!H348</f>
        <v>0.7182130584</v>
      </c>
      <c r="L90" s="10">
        <f>'Precinct Vote Data'!H349</f>
        <v>0.6688034188</v>
      </c>
    </row>
    <row r="91" ht="15.0" customHeight="1">
      <c r="A91" s="5" t="s">
        <v>143</v>
      </c>
      <c r="B91" s="5" t="s">
        <v>145</v>
      </c>
      <c r="C91" s="5" t="s">
        <v>130</v>
      </c>
      <c r="D91" s="11">
        <f>MAX(0, 2*'Precinct Vote Data'!G352 - 'Precinct Vote Data'!G350)</f>
        <v>493</v>
      </c>
      <c r="E91" s="10">
        <f t="shared" si="1"/>
        <v>0.5903615896</v>
      </c>
      <c r="F91" s="11">
        <f t="shared" si="2"/>
        <v>291</v>
      </c>
      <c r="G91" s="11">
        <f t="shared" si="3"/>
        <v>202</v>
      </c>
      <c r="H91" s="5" t="str">
        <f t="shared" si="4"/>
        <v>Democrat</v>
      </c>
      <c r="I91" s="10">
        <f>'Precinct Vote Data'!H350</f>
        <v>0.734351145</v>
      </c>
      <c r="J91" s="10">
        <f>'Precinct Vote Data'!H351</f>
        <v>0.6714285714</v>
      </c>
      <c r="K91" s="10">
        <f>'Precinct Vote Data'!H352</f>
        <v>0.6411149826</v>
      </c>
      <c r="L91" s="10">
        <f>'Precinct Vote Data'!H353</f>
        <v>0.6369796709</v>
      </c>
    </row>
    <row r="92" ht="15.0" customHeight="1">
      <c r="A92" s="5" t="s">
        <v>143</v>
      </c>
      <c r="B92" s="5" t="s">
        <v>145</v>
      </c>
      <c r="C92" s="5" t="s">
        <v>131</v>
      </c>
      <c r="D92" s="11">
        <f>MAX(0, 2*'Precinct Vote Data'!G356 - 'Precinct Vote Data'!G354)</f>
        <v>485</v>
      </c>
      <c r="E92" s="10">
        <f t="shared" si="1"/>
        <v>0.5884208267</v>
      </c>
      <c r="F92" s="11">
        <f t="shared" si="2"/>
        <v>285</v>
      </c>
      <c r="G92" s="11">
        <f t="shared" si="3"/>
        <v>200</v>
      </c>
      <c r="H92" s="5" t="str">
        <f t="shared" si="4"/>
        <v>Democrat</v>
      </c>
      <c r="I92" s="10">
        <f>'Precinct Vote Data'!H354</f>
        <v>0.8003220612</v>
      </c>
      <c r="J92" s="10">
        <f>'Precinct Vote Data'!H355</f>
        <v>0.714673913</v>
      </c>
      <c r="K92" s="10">
        <f>'Precinct Vote Data'!H356</f>
        <v>0.6962025316</v>
      </c>
      <c r="L92" s="10">
        <f>'Precinct Vote Data'!H357</f>
        <v>0.6404805915</v>
      </c>
    </row>
    <row r="93" ht="15.0" customHeight="1">
      <c r="A93" s="5" t="s">
        <v>143</v>
      </c>
      <c r="B93" s="5" t="s">
        <v>145</v>
      </c>
      <c r="C93" s="5" t="s">
        <v>132</v>
      </c>
      <c r="D93" s="11">
        <f>MAX(0, 2*'Precinct Vote Data'!G360 - 'Precinct Vote Data'!G358)</f>
        <v>529</v>
      </c>
      <c r="E93" s="10">
        <f t="shared" si="1"/>
        <v>0.49654535</v>
      </c>
      <c r="F93" s="11">
        <f t="shared" si="2"/>
        <v>263</v>
      </c>
      <c r="G93" s="11">
        <f t="shared" si="3"/>
        <v>266</v>
      </c>
      <c r="H93" s="5" t="str">
        <f t="shared" si="4"/>
        <v>Republican</v>
      </c>
      <c r="I93" s="10">
        <f>'Precinct Vote Data'!H358</f>
        <v>0.6731141199</v>
      </c>
      <c r="J93" s="10">
        <f>'Precinct Vote Data'!H359</f>
        <v>0.6233128834</v>
      </c>
      <c r="K93" s="10">
        <f>'Precinct Vote Data'!H360</f>
        <v>0.5889101338</v>
      </c>
      <c r="L93" s="10">
        <f>'Precinct Vote Data'!H361</f>
        <v>0.538647343</v>
      </c>
    </row>
    <row r="94" ht="15.0" customHeight="1">
      <c r="A94" s="5" t="s">
        <v>143</v>
      </c>
      <c r="B94" s="5" t="s">
        <v>145</v>
      </c>
      <c r="C94" s="5" t="s">
        <v>133</v>
      </c>
      <c r="D94" s="11">
        <f>MAX(0, 2*'Precinct Vote Data'!G364 - 'Precinct Vote Data'!G362)</f>
        <v>611</v>
      </c>
      <c r="E94" s="10">
        <f t="shared" si="1"/>
        <v>0.6034007437</v>
      </c>
      <c r="F94" s="11">
        <f t="shared" si="2"/>
        <v>369</v>
      </c>
      <c r="G94" s="11">
        <f t="shared" si="3"/>
        <v>242</v>
      </c>
      <c r="H94" s="5" t="str">
        <f t="shared" si="4"/>
        <v>Democrat</v>
      </c>
      <c r="I94" s="10">
        <f>'Precinct Vote Data'!H362</f>
        <v>0.6791171477</v>
      </c>
      <c r="J94" s="10">
        <f>'Precinct Vote Data'!H363</f>
        <v>0.6425742574</v>
      </c>
      <c r="K94" s="10">
        <f>'Precinct Vote Data'!H364</f>
        <v>0.6516666667</v>
      </c>
      <c r="L94" s="10">
        <f>'Precinct Vote Data'!H365</f>
        <v>0.6171259843</v>
      </c>
    </row>
    <row r="95" ht="15.0" customHeight="1">
      <c r="A95" s="5" t="s">
        <v>143</v>
      </c>
      <c r="B95" s="5" t="s">
        <v>145</v>
      </c>
      <c r="C95" s="5" t="s">
        <v>135</v>
      </c>
      <c r="D95" s="11">
        <f>MAX(0, 2*'Precinct Vote Data'!G368 - 'Precinct Vote Data'!G366)</f>
        <v>612</v>
      </c>
      <c r="E95" s="10">
        <f t="shared" si="1"/>
        <v>0.5898181633</v>
      </c>
      <c r="F95" s="11">
        <f t="shared" si="2"/>
        <v>361</v>
      </c>
      <c r="G95" s="11">
        <f t="shared" si="3"/>
        <v>251</v>
      </c>
      <c r="H95" s="5" t="str">
        <f t="shared" si="4"/>
        <v>Democrat</v>
      </c>
      <c r="I95" s="10">
        <f>'Precinct Vote Data'!H366</f>
        <v>0.6721763085</v>
      </c>
      <c r="J95" s="10">
        <f>'Precinct Vote Data'!H367</f>
        <v>0.654028436</v>
      </c>
      <c r="K95" s="10">
        <f>'Precinct Vote Data'!H368</f>
        <v>0.6382660688</v>
      </c>
      <c r="L95" s="10">
        <f>'Precinct Vote Data'!H369</f>
        <v>0.6067732832</v>
      </c>
    </row>
    <row r="96" ht="15.0" customHeight="1">
      <c r="A96" s="5" t="s">
        <v>143</v>
      </c>
      <c r="B96" s="5" t="s">
        <v>145</v>
      </c>
      <c r="C96" s="5" t="s">
        <v>136</v>
      </c>
      <c r="D96" s="11">
        <f>MAX(0, 2*'Precinct Vote Data'!G372 - 'Precinct Vote Data'!G370)</f>
        <v>451</v>
      </c>
      <c r="E96" s="10">
        <f t="shared" si="1"/>
        <v>0.5249863053</v>
      </c>
      <c r="F96" s="11">
        <f t="shared" si="2"/>
        <v>237</v>
      </c>
      <c r="G96" s="11">
        <f t="shared" si="3"/>
        <v>214</v>
      </c>
      <c r="H96" s="5" t="str">
        <f t="shared" si="4"/>
        <v>Democrat</v>
      </c>
      <c r="I96" s="10">
        <f>'Precinct Vote Data'!H370</f>
        <v>0.7106918239</v>
      </c>
      <c r="J96" s="10">
        <f>'Precinct Vote Data'!H371</f>
        <v>0.6697986577</v>
      </c>
      <c r="K96" s="10">
        <f>'Precinct Vote Data'!H372</f>
        <v>0.6206896552</v>
      </c>
      <c r="L96" s="10">
        <f>'Precinct Vote Data'!H373</f>
        <v>0.5699873897</v>
      </c>
    </row>
    <row r="97" ht="15.0" customHeight="1">
      <c r="A97" s="5" t="s">
        <v>143</v>
      </c>
      <c r="B97" s="5" t="s">
        <v>145</v>
      </c>
      <c r="C97" s="5" t="s">
        <v>139</v>
      </c>
      <c r="D97" s="11">
        <f>MAX(0, 2*'Precinct Vote Data'!G376 - 'Precinct Vote Data'!G374)</f>
        <v>341</v>
      </c>
      <c r="E97" s="10">
        <f t="shared" si="1"/>
        <v>0.5879020147</v>
      </c>
      <c r="F97" s="11">
        <f t="shared" si="2"/>
        <v>200</v>
      </c>
      <c r="G97" s="11">
        <f t="shared" si="3"/>
        <v>141</v>
      </c>
      <c r="H97" s="5" t="str">
        <f t="shared" si="4"/>
        <v>Democrat</v>
      </c>
      <c r="I97" s="10">
        <f>'Precinct Vote Data'!H374</f>
        <v>0.7153419593</v>
      </c>
      <c r="J97" s="10">
        <f>'Precinct Vote Data'!H375</f>
        <v>0.6784492588</v>
      </c>
      <c r="K97" s="10">
        <f>'Precinct Vote Data'!H376</f>
        <v>0.641723356</v>
      </c>
      <c r="L97" s="10">
        <f>'Precinct Vote Data'!H377</f>
        <v>0.6247113164</v>
      </c>
    </row>
    <row r="98" ht="15.0" customHeight="1">
      <c r="A98" s="5" t="s">
        <v>143</v>
      </c>
      <c r="B98" s="5" t="s">
        <v>145</v>
      </c>
      <c r="C98" s="5" t="s">
        <v>140</v>
      </c>
      <c r="D98" s="11">
        <f>MAX(0, 2*'Precinct Vote Data'!G380 - 'Precinct Vote Data'!G378)</f>
        <v>734</v>
      </c>
      <c r="E98" s="10">
        <f t="shared" si="1"/>
        <v>0.5449915909</v>
      </c>
      <c r="F98" s="11">
        <f t="shared" si="2"/>
        <v>400</v>
      </c>
      <c r="G98" s="11">
        <f t="shared" si="3"/>
        <v>334</v>
      </c>
      <c r="H98" s="5" t="str">
        <f t="shared" si="4"/>
        <v>Democrat</v>
      </c>
      <c r="I98" s="10">
        <f>'Precinct Vote Data'!H378</f>
        <v>0.6867321867</v>
      </c>
      <c r="J98" s="10">
        <f>'Precinct Vote Data'!H379</f>
        <v>0.6182380216</v>
      </c>
      <c r="K98" s="10">
        <f>'Precinct Vote Data'!H380</f>
        <v>0.6124031008</v>
      </c>
      <c r="L98" s="10">
        <f>'Precinct Vote Data'!H381</f>
        <v>0.5821561338</v>
      </c>
    </row>
    <row r="99" ht="15.0" customHeight="1">
      <c r="A99" s="5" t="s">
        <v>143</v>
      </c>
      <c r="B99" s="5" t="s">
        <v>145</v>
      </c>
      <c r="C99" s="5" t="s">
        <v>142</v>
      </c>
      <c r="D99" s="11">
        <f>MAX(0, 2*'Precinct Vote Data'!G384 - 'Precinct Vote Data'!G382)</f>
        <v>486</v>
      </c>
      <c r="E99" s="10">
        <f t="shared" si="1"/>
        <v>0.6888678407</v>
      </c>
      <c r="F99" s="11">
        <f t="shared" si="2"/>
        <v>335</v>
      </c>
      <c r="G99" s="11">
        <f t="shared" si="3"/>
        <v>151</v>
      </c>
      <c r="H99" s="5" t="str">
        <f t="shared" si="4"/>
        <v>Democrat</v>
      </c>
      <c r="I99" s="10">
        <f>'Precinct Vote Data'!H382</f>
        <v>0.6767068273</v>
      </c>
      <c r="J99" s="10">
        <f>'Precinct Vote Data'!H383</f>
        <v>0.6593567251</v>
      </c>
      <c r="K99" s="10">
        <f>'Precinct Vote Data'!H384</f>
        <v>0.7032520325</v>
      </c>
      <c r="L99" s="10">
        <f>'Precinct Vote Data'!H385</f>
        <v>0.6755952381</v>
      </c>
    </row>
    <row r="100" ht="15.0" customHeight="1">
      <c r="A100" s="5" t="s">
        <v>143</v>
      </c>
      <c r="B100" s="5" t="s">
        <v>145</v>
      </c>
      <c r="C100" s="5" t="s">
        <v>148</v>
      </c>
      <c r="D100" s="11">
        <f>MAX(0, 2*'Precinct Vote Data'!G388 - 'Precinct Vote Data'!G386)</f>
        <v>657</v>
      </c>
      <c r="E100" s="10">
        <f t="shared" si="1"/>
        <v>0.6511059051</v>
      </c>
      <c r="F100" s="11">
        <f t="shared" si="2"/>
        <v>428</v>
      </c>
      <c r="G100" s="11">
        <f t="shared" si="3"/>
        <v>229</v>
      </c>
      <c r="H100" s="5" t="str">
        <f t="shared" si="4"/>
        <v>Democrat</v>
      </c>
      <c r="I100" s="10">
        <f>'Precinct Vote Data'!H386</f>
        <v>0.6507666099</v>
      </c>
      <c r="J100" s="10">
        <f>'Precinct Vote Data'!H387</f>
        <v>0.6166883963</v>
      </c>
      <c r="K100" s="10">
        <f>'Precinct Vote Data'!H388</f>
        <v>0.6591639871</v>
      </c>
      <c r="L100" s="10">
        <f>'Precinct Vote Data'!H389</f>
        <v>0.6469072165</v>
      </c>
    </row>
    <row r="101" ht="15.0" customHeight="1">
      <c r="A101" s="5" t="s">
        <v>143</v>
      </c>
      <c r="B101" s="5" t="s">
        <v>145</v>
      </c>
      <c r="C101" s="5" t="s">
        <v>149</v>
      </c>
      <c r="D101" s="11">
        <f>MAX(0, 2*'Precinct Vote Data'!G392 - 'Precinct Vote Data'!G390)</f>
        <v>720</v>
      </c>
      <c r="E101" s="10">
        <f t="shared" si="1"/>
        <v>0.6458071219</v>
      </c>
      <c r="F101" s="11">
        <f t="shared" si="2"/>
        <v>465</v>
      </c>
      <c r="G101" s="11">
        <f t="shared" si="3"/>
        <v>255</v>
      </c>
      <c r="H101" s="5" t="str">
        <f t="shared" si="4"/>
        <v>Democrat</v>
      </c>
      <c r="I101" s="10">
        <f>'Precinct Vote Data'!H390</f>
        <v>0.6384615385</v>
      </c>
      <c r="J101" s="10">
        <f>'Precinct Vote Data'!H391</f>
        <v>0.6223067174</v>
      </c>
      <c r="K101" s="10">
        <f>'Precinct Vote Data'!H392</f>
        <v>0.6510948905</v>
      </c>
      <c r="L101" s="10">
        <f>'Precinct Vote Data'!H393</f>
        <v>0.6394904459</v>
      </c>
    </row>
    <row r="102" ht="15.0" customHeight="1">
      <c r="A102" s="5" t="s">
        <v>143</v>
      </c>
      <c r="B102" s="5" t="s">
        <v>145</v>
      </c>
      <c r="C102" s="5" t="s">
        <v>150</v>
      </c>
      <c r="D102" s="11">
        <f>MAX(0, 2*'Precinct Vote Data'!G396 - 'Precinct Vote Data'!G394)</f>
        <v>585</v>
      </c>
      <c r="E102" s="10">
        <f t="shared" si="1"/>
        <v>0.6637688092</v>
      </c>
      <c r="F102" s="11">
        <f t="shared" si="2"/>
        <v>388</v>
      </c>
      <c r="G102" s="11">
        <f t="shared" si="3"/>
        <v>197</v>
      </c>
      <c r="H102" s="5" t="str">
        <f t="shared" si="4"/>
        <v>Democrat</v>
      </c>
      <c r="I102" s="10">
        <f>'Precinct Vote Data'!H394</f>
        <v>0.7044247788</v>
      </c>
      <c r="J102" s="10">
        <f>'Precinct Vote Data'!H395</f>
        <v>0.6768617021</v>
      </c>
      <c r="K102" s="10">
        <f>'Precinct Vote Data'!H396</f>
        <v>0.7130434783</v>
      </c>
      <c r="L102" s="10">
        <f>'Precinct Vote Data'!H397</f>
        <v>0.6594594595</v>
      </c>
    </row>
    <row r="103" ht="15.0" customHeight="1">
      <c r="A103" s="5" t="s">
        <v>143</v>
      </c>
      <c r="B103" s="5" t="s">
        <v>145</v>
      </c>
      <c r="C103" s="5" t="s">
        <v>151</v>
      </c>
      <c r="D103" s="11">
        <f>MAX(0, 2*'Precinct Vote Data'!G400 - 'Precinct Vote Data'!G398)</f>
        <v>353</v>
      </c>
      <c r="E103" s="10">
        <f t="shared" si="1"/>
        <v>0.4963086528</v>
      </c>
      <c r="F103" s="11">
        <f t="shared" si="2"/>
        <v>175</v>
      </c>
      <c r="G103" s="11">
        <f t="shared" si="3"/>
        <v>178</v>
      </c>
      <c r="H103" s="5" t="str">
        <f t="shared" si="4"/>
        <v>Republican</v>
      </c>
      <c r="I103" s="10">
        <f>'Precinct Vote Data'!H398</f>
        <v>0.6850393701</v>
      </c>
      <c r="J103" s="10">
        <f>'Precinct Vote Data'!H399</f>
        <v>0.6230636833</v>
      </c>
      <c r="K103" s="10">
        <f>'Precinct Vote Data'!H400</f>
        <v>0.5776566757</v>
      </c>
      <c r="L103" s="10">
        <f>'Precinct Vote Data'!H401</f>
        <v>0.55</v>
      </c>
    </row>
    <row r="104" ht="15.0" customHeight="1">
      <c r="A104" s="5" t="s">
        <v>143</v>
      </c>
      <c r="B104" s="5" t="s">
        <v>145</v>
      </c>
      <c r="C104" s="5" t="s">
        <v>152</v>
      </c>
      <c r="D104" s="11">
        <f>MAX(0, 2*'Precinct Vote Data'!G404 - 'Precinct Vote Data'!G402)</f>
        <v>443</v>
      </c>
      <c r="E104" s="10">
        <f t="shared" si="1"/>
        <v>0.61503311</v>
      </c>
      <c r="F104" s="11">
        <f t="shared" si="2"/>
        <v>272</v>
      </c>
      <c r="G104" s="11">
        <f t="shared" si="3"/>
        <v>171</v>
      </c>
      <c r="H104" s="5" t="str">
        <f t="shared" si="4"/>
        <v>Democrat</v>
      </c>
      <c r="I104" s="10">
        <f>'Precinct Vote Data'!H402</f>
        <v>0.7473363775</v>
      </c>
      <c r="J104" s="10">
        <f>'Precinct Vote Data'!H403</f>
        <v>0.7119170984</v>
      </c>
      <c r="K104" s="10">
        <f>'Precinct Vote Data'!H404</f>
        <v>0.6981818182</v>
      </c>
      <c r="L104" s="10">
        <f>'Precinct Vote Data'!H405</f>
        <v>0.6396103896</v>
      </c>
    </row>
    <row r="105" ht="15.0" customHeight="1">
      <c r="A105" s="5" t="s">
        <v>143</v>
      </c>
      <c r="B105" s="5" t="s">
        <v>145</v>
      </c>
      <c r="C105" s="5" t="s">
        <v>153</v>
      </c>
      <c r="D105" s="11">
        <f>MAX(0, 2*'Precinct Vote Data'!G408 - 'Precinct Vote Data'!G406)</f>
        <v>418</v>
      </c>
      <c r="E105" s="10">
        <f t="shared" si="1"/>
        <v>0.5761190558</v>
      </c>
      <c r="F105" s="11">
        <f t="shared" si="2"/>
        <v>241</v>
      </c>
      <c r="G105" s="11">
        <f t="shared" si="3"/>
        <v>177</v>
      </c>
      <c r="H105" s="5" t="str">
        <f t="shared" si="4"/>
        <v>Democrat</v>
      </c>
      <c r="I105" s="10">
        <f>'Precinct Vote Data'!H406</f>
        <v>0.6273584906</v>
      </c>
      <c r="J105" s="10">
        <f>'Precinct Vote Data'!H407</f>
        <v>0.5847457627</v>
      </c>
      <c r="K105" s="10">
        <f>'Precinct Vote Data'!H408</f>
        <v>0.6033254157</v>
      </c>
      <c r="L105" s="10">
        <f>'Precinct Vote Data'!H409</f>
        <v>0.5881355932</v>
      </c>
    </row>
    <row r="106" ht="15.0" customHeight="1">
      <c r="A106" s="5" t="s">
        <v>143</v>
      </c>
      <c r="B106" s="5" t="s">
        <v>145</v>
      </c>
      <c r="C106" s="5" t="s">
        <v>154</v>
      </c>
      <c r="D106" s="11">
        <f>MAX(0, 2*'Precinct Vote Data'!G412 - 'Precinct Vote Data'!G410)</f>
        <v>361</v>
      </c>
      <c r="E106" s="10">
        <f t="shared" si="1"/>
        <v>0.6126375975</v>
      </c>
      <c r="F106" s="11">
        <f t="shared" si="2"/>
        <v>221</v>
      </c>
      <c r="G106" s="11">
        <f t="shared" si="3"/>
        <v>140</v>
      </c>
      <c r="H106" s="5" t="str">
        <f t="shared" si="4"/>
        <v>Democrat</v>
      </c>
      <c r="I106" s="10">
        <f>'Precinct Vote Data'!H410</f>
        <v>0.7201946472</v>
      </c>
      <c r="J106" s="10">
        <f>'Precinct Vote Data'!H411</f>
        <v>0.6895640687</v>
      </c>
      <c r="K106" s="10">
        <f>'Precinct Vote Data'!H412</f>
        <v>0.6865284974</v>
      </c>
      <c r="L106" s="10">
        <f>'Precinct Vote Data'!H413</f>
        <v>0.6294706724</v>
      </c>
    </row>
    <row r="107" ht="15.0" customHeight="1">
      <c r="A107" s="5" t="s">
        <v>143</v>
      </c>
      <c r="B107" s="5" t="s">
        <v>145</v>
      </c>
      <c r="C107" s="5" t="s">
        <v>155</v>
      </c>
      <c r="D107" s="11">
        <f>MAX(0, 2*'Precinct Vote Data'!G416 - 'Precinct Vote Data'!G414)</f>
        <v>595</v>
      </c>
      <c r="E107" s="10">
        <f t="shared" si="1"/>
        <v>0.592302399</v>
      </c>
      <c r="F107" s="11">
        <f t="shared" si="2"/>
        <v>352</v>
      </c>
      <c r="G107" s="11">
        <f t="shared" si="3"/>
        <v>243</v>
      </c>
      <c r="H107" s="5" t="str">
        <f t="shared" si="4"/>
        <v>Democrat</v>
      </c>
      <c r="I107" s="10">
        <f>'Precinct Vote Data'!H414</f>
        <v>0.5986949429</v>
      </c>
      <c r="J107" s="10">
        <f>'Precinct Vote Data'!H415</f>
        <v>0.5746753247</v>
      </c>
      <c r="K107" s="10">
        <f>'Precinct Vote Data'!H416</f>
        <v>0.5811258278</v>
      </c>
      <c r="L107" s="10">
        <f>'Precinct Vote Data'!H417</f>
        <v>0.6010869565</v>
      </c>
    </row>
    <row r="108" ht="15.0" customHeight="1">
      <c r="A108" s="5" t="s">
        <v>143</v>
      </c>
      <c r="B108" s="5" t="s">
        <v>145</v>
      </c>
      <c r="C108" s="5" t="s">
        <v>156</v>
      </c>
      <c r="D108" s="11">
        <f>MAX(0, 2*'Precinct Vote Data'!G420 - 'Precinct Vote Data'!G418)</f>
        <v>698</v>
      </c>
      <c r="E108" s="10">
        <f t="shared" si="1"/>
        <v>0.5816765021</v>
      </c>
      <c r="F108" s="11">
        <f t="shared" si="2"/>
        <v>406</v>
      </c>
      <c r="G108" s="11">
        <f t="shared" si="3"/>
        <v>292</v>
      </c>
      <c r="H108" s="5" t="str">
        <f t="shared" si="4"/>
        <v>Democrat</v>
      </c>
      <c r="I108" s="10">
        <f>'Precinct Vote Data'!H418</f>
        <v>0.716152019</v>
      </c>
      <c r="J108" s="10">
        <f>'Precinct Vote Data'!H419</f>
        <v>0.6793002915</v>
      </c>
      <c r="K108" s="10">
        <f>'Precinct Vote Data'!H420</f>
        <v>0.6402597403</v>
      </c>
      <c r="L108" s="10">
        <f>'Precinct Vote Data'!H421</f>
        <v>0.6196226415</v>
      </c>
    </row>
    <row r="109" ht="15.0" customHeight="1">
      <c r="A109" s="5" t="s">
        <v>143</v>
      </c>
      <c r="B109" s="5" t="s">
        <v>157</v>
      </c>
      <c r="C109" s="5" t="s">
        <v>158</v>
      </c>
      <c r="D109" s="11">
        <f>MAX(0, 2*'Precinct Vote Data'!G424 - 'Precinct Vote Data'!G422)</f>
        <v>700</v>
      </c>
      <c r="E109" s="10">
        <f t="shared" si="1"/>
        <v>0.6993473746</v>
      </c>
      <c r="F109" s="11">
        <f t="shared" si="2"/>
        <v>490</v>
      </c>
      <c r="G109" s="11">
        <f t="shared" si="3"/>
        <v>210</v>
      </c>
      <c r="H109" s="5" t="str">
        <f t="shared" si="4"/>
        <v>Democrat</v>
      </c>
      <c r="I109" s="10">
        <f>'Precinct Vote Data'!H422</f>
        <v>0.7535460993</v>
      </c>
      <c r="J109" s="10">
        <f>'Precinct Vote Data'!H423</f>
        <v>0.7205346294</v>
      </c>
      <c r="K109" s="10">
        <f>'Precinct Vote Data'!H424</f>
        <v>0.746835443</v>
      </c>
      <c r="L109" s="10">
        <f>'Precinct Vote Data'!H425</f>
        <v>0.7027027027</v>
      </c>
    </row>
    <row r="110" ht="15.0" customHeight="1">
      <c r="A110" s="5" t="s">
        <v>143</v>
      </c>
      <c r="B110" s="5" t="s">
        <v>157</v>
      </c>
      <c r="C110" s="5" t="s">
        <v>159</v>
      </c>
      <c r="D110" s="11">
        <f>MAX(0, 2*'Precinct Vote Data'!G428 - 'Precinct Vote Data'!G426)</f>
        <v>493</v>
      </c>
      <c r="E110" s="10">
        <f t="shared" si="1"/>
        <v>0.6360797561</v>
      </c>
      <c r="F110" s="11">
        <f t="shared" si="2"/>
        <v>314</v>
      </c>
      <c r="G110" s="11">
        <f t="shared" si="3"/>
        <v>179</v>
      </c>
      <c r="H110" s="5" t="str">
        <f t="shared" si="4"/>
        <v>Democrat</v>
      </c>
      <c r="I110" s="10">
        <f>'Precinct Vote Data'!H426</f>
        <v>0.7540603248</v>
      </c>
      <c r="J110" s="10">
        <f>'Precinct Vote Data'!H427</f>
        <v>0.6571428571</v>
      </c>
      <c r="K110" s="10">
        <f>'Precinct Vote Data'!H428</f>
        <v>0.7012987013</v>
      </c>
      <c r="L110" s="10">
        <f>'Precinct Vote Data'!H429</f>
        <v>0.6624605678</v>
      </c>
    </row>
    <row r="111" ht="15.0" customHeight="1">
      <c r="A111" s="5" t="s">
        <v>143</v>
      </c>
      <c r="B111" s="5" t="s">
        <v>157</v>
      </c>
      <c r="C111" s="5" t="s">
        <v>160</v>
      </c>
      <c r="D111" s="11">
        <f>MAX(0, 2*'Precinct Vote Data'!G432 - 'Precinct Vote Data'!G430)</f>
        <v>543</v>
      </c>
      <c r="E111" s="10">
        <f t="shared" si="1"/>
        <v>0.7115383954</v>
      </c>
      <c r="F111" s="11">
        <f t="shared" si="2"/>
        <v>386</v>
      </c>
      <c r="G111" s="11">
        <f t="shared" si="3"/>
        <v>157</v>
      </c>
      <c r="H111" s="5" t="str">
        <f t="shared" si="4"/>
        <v>Democrat</v>
      </c>
      <c r="I111" s="10">
        <f>'Precinct Vote Data'!H430</f>
        <v>0.7505720824</v>
      </c>
      <c r="J111" s="10">
        <f>'Precinct Vote Data'!H431</f>
        <v>0.7030995106</v>
      </c>
      <c r="K111" s="10">
        <f>'Precinct Vote Data'!H432</f>
        <v>0.7469387755</v>
      </c>
      <c r="L111" s="10">
        <f>'Precinct Vote Data'!H433</f>
        <v>0.7133550489</v>
      </c>
    </row>
    <row r="112" ht="15.0" customHeight="1">
      <c r="A112" s="5" t="s">
        <v>143</v>
      </c>
      <c r="B112" s="5" t="s">
        <v>157</v>
      </c>
      <c r="C112" s="5" t="s">
        <v>161</v>
      </c>
      <c r="D112" s="11">
        <f>MAX(0, 2*'Precinct Vote Data'!G436 - 'Precinct Vote Data'!G434)</f>
        <v>674</v>
      </c>
      <c r="E112" s="10">
        <f t="shared" si="1"/>
        <v>0.669225209</v>
      </c>
      <c r="F112" s="11">
        <f t="shared" si="2"/>
        <v>451</v>
      </c>
      <c r="G112" s="11">
        <f t="shared" si="3"/>
        <v>223</v>
      </c>
      <c r="H112" s="5" t="str">
        <f t="shared" si="4"/>
        <v>Democrat</v>
      </c>
      <c r="I112" s="10">
        <f>'Precinct Vote Data'!H434</f>
        <v>0.7336065574</v>
      </c>
      <c r="J112" s="10">
        <f>'Precinct Vote Data'!H435</f>
        <v>0.6857562408</v>
      </c>
      <c r="K112" s="10">
        <f>'Precinct Vote Data'!H436</f>
        <v>0.7142857143</v>
      </c>
      <c r="L112" s="10">
        <f>'Precinct Vote Data'!H437</f>
        <v>0.6788856305</v>
      </c>
    </row>
    <row r="113" ht="15.0" customHeight="1">
      <c r="A113" s="5" t="s">
        <v>143</v>
      </c>
      <c r="B113" s="5" t="s">
        <v>157</v>
      </c>
      <c r="C113" s="5" t="s">
        <v>162</v>
      </c>
      <c r="D113" s="11">
        <f>MAX(0, 2*'Precinct Vote Data'!G440 - 'Precinct Vote Data'!G438)</f>
        <v>932</v>
      </c>
      <c r="E113" s="10">
        <f t="shared" si="1"/>
        <v>0.6455778998</v>
      </c>
      <c r="F113" s="11">
        <f t="shared" si="2"/>
        <v>602</v>
      </c>
      <c r="G113" s="11">
        <f t="shared" si="3"/>
        <v>330</v>
      </c>
      <c r="H113" s="5" t="str">
        <f t="shared" si="4"/>
        <v>Democrat</v>
      </c>
      <c r="I113" s="10">
        <f>'Precinct Vote Data'!H438</f>
        <v>0.6884422111</v>
      </c>
      <c r="J113" s="10">
        <f>'Precinct Vote Data'!H439</f>
        <v>0.6598860862</v>
      </c>
      <c r="K113" s="10">
        <f>'Precinct Vote Data'!H440</f>
        <v>0.6608796296</v>
      </c>
      <c r="L113" s="10">
        <f>'Precinct Vote Data'!H441</f>
        <v>0.6593591906</v>
      </c>
    </row>
    <row r="114" ht="15.0" customHeight="1">
      <c r="A114" s="5" t="s">
        <v>143</v>
      </c>
      <c r="B114" s="5" t="s">
        <v>157</v>
      </c>
      <c r="C114" s="5" t="s">
        <v>163</v>
      </c>
      <c r="D114" s="11">
        <f>MAX(0, 2*'Precinct Vote Data'!G444 - 'Precinct Vote Data'!G442)</f>
        <v>681</v>
      </c>
      <c r="E114" s="10">
        <f t="shared" si="1"/>
        <v>0.6043000022</v>
      </c>
      <c r="F114" s="11">
        <f t="shared" si="2"/>
        <v>412</v>
      </c>
      <c r="G114" s="11">
        <f t="shared" si="3"/>
        <v>269</v>
      </c>
      <c r="H114" s="5" t="str">
        <f t="shared" si="4"/>
        <v>Democrat</v>
      </c>
      <c r="I114" s="10">
        <f>'Precinct Vote Data'!H442</f>
        <v>0.6618962433</v>
      </c>
      <c r="J114" s="10">
        <f>'Precinct Vote Data'!H443</f>
        <v>0.617866005</v>
      </c>
      <c r="K114" s="10">
        <f>'Precinct Vote Data'!H444</f>
        <v>0.6451612903</v>
      </c>
      <c r="L114" s="10">
        <f>'Precinct Vote Data'!H445</f>
        <v>0.6126674787</v>
      </c>
    </row>
    <row r="115" ht="15.0" customHeight="1">
      <c r="A115" s="5" t="s">
        <v>143</v>
      </c>
      <c r="B115" s="5" t="s">
        <v>157</v>
      </c>
      <c r="C115" s="5" t="s">
        <v>164</v>
      </c>
      <c r="D115" s="11">
        <f>MAX(0, 2*'Precinct Vote Data'!G448 - 'Precinct Vote Data'!G446)</f>
        <v>810</v>
      </c>
      <c r="E115" s="10">
        <f t="shared" si="1"/>
        <v>0.613203517</v>
      </c>
      <c r="F115" s="11">
        <f t="shared" si="2"/>
        <v>497</v>
      </c>
      <c r="G115" s="11">
        <f t="shared" si="3"/>
        <v>313</v>
      </c>
      <c r="H115" s="5" t="str">
        <f t="shared" si="4"/>
        <v>Democrat</v>
      </c>
      <c r="I115" s="10">
        <f>'Precinct Vote Data'!H446</f>
        <v>0.5976676385</v>
      </c>
      <c r="J115" s="10">
        <f>'Precinct Vote Data'!H447</f>
        <v>0.5780795344</v>
      </c>
      <c r="K115" s="10">
        <f>'Precinct Vote Data'!H448</f>
        <v>0.621657754</v>
      </c>
      <c r="L115" s="10">
        <f>'Precinct Vote Data'!H449</f>
        <v>0.6012084592</v>
      </c>
    </row>
    <row r="116" ht="15.0" customHeight="1">
      <c r="A116" s="5" t="s">
        <v>143</v>
      </c>
      <c r="B116" s="5" t="s">
        <v>157</v>
      </c>
      <c r="C116" s="5" t="s">
        <v>165</v>
      </c>
      <c r="D116" s="11">
        <f>MAX(0, 2*'Precinct Vote Data'!G452 - 'Precinct Vote Data'!G450)</f>
        <v>1034</v>
      </c>
      <c r="E116" s="10">
        <f t="shared" si="1"/>
        <v>0.6044785477</v>
      </c>
      <c r="F116" s="11">
        <f t="shared" si="2"/>
        <v>625</v>
      </c>
      <c r="G116" s="11">
        <f t="shared" si="3"/>
        <v>409</v>
      </c>
      <c r="H116" s="5" t="str">
        <f t="shared" si="4"/>
        <v>Democrat</v>
      </c>
      <c r="I116" s="10">
        <f>'Precinct Vote Data'!H450</f>
        <v>0.6271820449</v>
      </c>
      <c r="J116" s="10">
        <f>'Precinct Vote Data'!H451</f>
        <v>0.5872146119</v>
      </c>
      <c r="K116" s="10">
        <f>'Precinct Vote Data'!H452</f>
        <v>0.6350762527</v>
      </c>
      <c r="L116" s="10">
        <f>'Precinct Vote Data'!H453</f>
        <v>0.6005314438</v>
      </c>
    </row>
    <row r="117" ht="15.0" customHeight="1">
      <c r="A117" s="5" t="s">
        <v>143</v>
      </c>
      <c r="B117" s="5" t="s">
        <v>157</v>
      </c>
      <c r="C117" s="5" t="s">
        <v>166</v>
      </c>
      <c r="D117" s="11">
        <f>MAX(0, 2*'Precinct Vote Data'!G456 - 'Precinct Vote Data'!G454)</f>
        <v>696</v>
      </c>
      <c r="E117" s="10">
        <f t="shared" si="1"/>
        <v>0.5917070677</v>
      </c>
      <c r="F117" s="11">
        <f t="shared" si="2"/>
        <v>412</v>
      </c>
      <c r="G117" s="11">
        <f t="shared" si="3"/>
        <v>284</v>
      </c>
      <c r="H117" s="5" t="str">
        <f t="shared" si="4"/>
        <v>Democrat</v>
      </c>
      <c r="I117" s="10">
        <f>'Precinct Vote Data'!H454</f>
        <v>0.6836065574</v>
      </c>
      <c r="J117" s="10">
        <f>'Precinct Vote Data'!H455</f>
        <v>0.6297169811</v>
      </c>
      <c r="K117" s="10">
        <f>'Precinct Vote Data'!H456</f>
        <v>0.6355283308</v>
      </c>
      <c r="L117" s="10">
        <f>'Precinct Vote Data'!H457</f>
        <v>0.615746181</v>
      </c>
    </row>
    <row r="118" ht="15.0" customHeight="1">
      <c r="A118" s="5" t="s">
        <v>143</v>
      </c>
      <c r="B118" s="5" t="s">
        <v>157</v>
      </c>
      <c r="C118" s="5" t="s">
        <v>167</v>
      </c>
      <c r="D118" s="11">
        <f>MAX(0, 2*'Precinct Vote Data'!G460 - 'Precinct Vote Data'!G458)</f>
        <v>684</v>
      </c>
      <c r="E118" s="10">
        <f t="shared" si="1"/>
        <v>0.5433533278</v>
      </c>
      <c r="F118" s="11">
        <f t="shared" si="2"/>
        <v>372</v>
      </c>
      <c r="G118" s="11">
        <f t="shared" si="3"/>
        <v>312</v>
      </c>
      <c r="H118" s="5" t="str">
        <f t="shared" si="4"/>
        <v>Democrat</v>
      </c>
      <c r="I118" s="10">
        <f>'Precinct Vote Data'!H458</f>
        <v>0.5979591837</v>
      </c>
      <c r="J118" s="10">
        <f>'Precinct Vote Data'!H459</f>
        <v>0.552742616</v>
      </c>
      <c r="K118" s="10">
        <f>'Precinct Vote Data'!H460</f>
        <v>0.5655877342</v>
      </c>
      <c r="L118" s="10">
        <f>'Precinct Vote Data'!H461</f>
        <v>0.5595390525</v>
      </c>
    </row>
    <row r="119" ht="15.0" customHeight="1">
      <c r="A119" s="5" t="s">
        <v>143</v>
      </c>
      <c r="B119" s="5" t="s">
        <v>157</v>
      </c>
      <c r="C119" s="5" t="s">
        <v>168</v>
      </c>
      <c r="D119" s="11">
        <f>MAX(0, 2*'Precinct Vote Data'!G464 - 'Precinct Vote Data'!G462)</f>
        <v>715</v>
      </c>
      <c r="E119" s="10">
        <f t="shared" si="1"/>
        <v>0.6250581711</v>
      </c>
      <c r="F119" s="11">
        <f t="shared" si="2"/>
        <v>447</v>
      </c>
      <c r="G119" s="11">
        <f t="shared" si="3"/>
        <v>268</v>
      </c>
      <c r="H119" s="5" t="str">
        <f t="shared" si="4"/>
        <v>Democrat</v>
      </c>
      <c r="I119" s="10">
        <f>'Precinct Vote Data'!H462</f>
        <v>0.6619469027</v>
      </c>
      <c r="J119" s="10">
        <f>'Precinct Vote Data'!H463</f>
        <v>0.6360544218</v>
      </c>
      <c r="K119" s="10">
        <f>'Precinct Vote Data'!H464</f>
        <v>0.653125</v>
      </c>
      <c r="L119" s="10">
        <f>'Precinct Vote Data'!H465</f>
        <v>0.6294691224</v>
      </c>
    </row>
    <row r="120" ht="15.0" customHeight="1">
      <c r="A120" s="5" t="s">
        <v>143</v>
      </c>
      <c r="B120" s="5" t="s">
        <v>157</v>
      </c>
      <c r="C120" s="5" t="s">
        <v>169</v>
      </c>
      <c r="D120" s="11">
        <f>MAX(0, 2*'Precinct Vote Data'!G468 - 'Precinct Vote Data'!G466)</f>
        <v>820</v>
      </c>
      <c r="E120" s="10">
        <f t="shared" si="1"/>
        <v>0.6026926451</v>
      </c>
      <c r="F120" s="11">
        <f t="shared" si="2"/>
        <v>494</v>
      </c>
      <c r="G120" s="11">
        <f t="shared" si="3"/>
        <v>326</v>
      </c>
      <c r="H120" s="5" t="str">
        <f t="shared" si="4"/>
        <v>Democrat</v>
      </c>
      <c r="I120" s="10">
        <f>'Precinct Vote Data'!H466</f>
        <v>0.6101398601</v>
      </c>
      <c r="J120" s="10">
        <f>'Precinct Vote Data'!H467</f>
        <v>0.5868131868</v>
      </c>
      <c r="K120" s="10">
        <f>'Precinct Vote Data'!H468</f>
        <v>0.6106321839</v>
      </c>
      <c r="L120" s="10">
        <f>'Precinct Vote Data'!H469</f>
        <v>0.6024464832</v>
      </c>
    </row>
    <row r="121" ht="15.0" customHeight="1">
      <c r="A121" s="5" t="s">
        <v>143</v>
      </c>
      <c r="B121" s="5" t="s">
        <v>170</v>
      </c>
      <c r="C121" s="5" t="s">
        <v>171</v>
      </c>
      <c r="D121" s="11">
        <f>MAX(0, 2*'Precinct Vote Data'!G472 - 'Precinct Vote Data'!G470)</f>
        <v>745</v>
      </c>
      <c r="E121" s="10">
        <f t="shared" si="1"/>
        <v>0.5210414999</v>
      </c>
      <c r="F121" s="11">
        <f t="shared" si="2"/>
        <v>388</v>
      </c>
      <c r="G121" s="11">
        <f t="shared" si="3"/>
        <v>357</v>
      </c>
      <c r="H121" s="5" t="str">
        <f t="shared" si="4"/>
        <v>Democrat</v>
      </c>
      <c r="I121" s="10">
        <f>'Precinct Vote Data'!H470</f>
        <v>0.6422628952</v>
      </c>
      <c r="J121" s="10">
        <f>'Precinct Vote Data'!H471</f>
        <v>0.5706914345</v>
      </c>
      <c r="K121" s="10">
        <f>'Precinct Vote Data'!H472</f>
        <v>0.5824665676</v>
      </c>
      <c r="L121" s="10">
        <f>'Precinct Vote Data'!H473</f>
        <v>0.5509396637</v>
      </c>
    </row>
    <row r="122" ht="15.0" customHeight="1">
      <c r="A122" s="5" t="s">
        <v>143</v>
      </c>
      <c r="B122" s="5" t="s">
        <v>170</v>
      </c>
      <c r="C122" s="5" t="s">
        <v>172</v>
      </c>
      <c r="D122" s="11">
        <f>MAX(0, 2*'Precinct Vote Data'!G476 - 'Precinct Vote Data'!G474)</f>
        <v>691</v>
      </c>
      <c r="E122" s="10">
        <f t="shared" si="1"/>
        <v>0.4702957825</v>
      </c>
      <c r="F122" s="11">
        <f t="shared" si="2"/>
        <v>325</v>
      </c>
      <c r="G122" s="11">
        <f t="shared" si="3"/>
        <v>366</v>
      </c>
      <c r="H122" s="5" t="str">
        <f t="shared" si="4"/>
        <v>Republican</v>
      </c>
      <c r="I122" s="10">
        <f>'Precinct Vote Data'!H474</f>
        <v>0.5132192846</v>
      </c>
      <c r="J122" s="10">
        <f>'Precinct Vote Data'!H475</f>
        <v>0.4757751938</v>
      </c>
      <c r="K122" s="10">
        <f>'Precinct Vote Data'!H476</f>
        <v>0.5007496252</v>
      </c>
      <c r="L122" s="10">
        <f>'Precinct Vote Data'!H477</f>
        <v>0.4765306122</v>
      </c>
    </row>
    <row r="123" ht="15.0" customHeight="1">
      <c r="A123" s="5" t="s">
        <v>143</v>
      </c>
      <c r="B123" s="5" t="s">
        <v>170</v>
      </c>
      <c r="C123" s="5" t="s">
        <v>173</v>
      </c>
      <c r="D123" s="11">
        <f>MAX(0, 2*'Precinct Vote Data'!G480 - 'Precinct Vote Data'!G478)</f>
        <v>826</v>
      </c>
      <c r="E123" s="10">
        <f t="shared" si="1"/>
        <v>0.4764268658</v>
      </c>
      <c r="F123" s="11">
        <f t="shared" si="2"/>
        <v>394</v>
      </c>
      <c r="G123" s="11">
        <f t="shared" si="3"/>
        <v>432</v>
      </c>
      <c r="H123" s="5" t="str">
        <f t="shared" si="4"/>
        <v>Republican</v>
      </c>
      <c r="I123" s="10">
        <f>'Precinct Vote Data'!H478</f>
        <v>0.5896358543</v>
      </c>
      <c r="J123" s="10">
        <f>'Precinct Vote Data'!H479</f>
        <v>0.4995357474</v>
      </c>
      <c r="K123" s="10">
        <f>'Precinct Vote Data'!H480</f>
        <v>0.5311688312</v>
      </c>
      <c r="L123" s="10">
        <f>'Precinct Vote Data'!H481</f>
        <v>0.5056603774</v>
      </c>
    </row>
    <row r="124" ht="15.0" customHeight="1">
      <c r="A124" s="5" t="s">
        <v>143</v>
      </c>
      <c r="B124" s="5" t="s">
        <v>174</v>
      </c>
      <c r="C124" s="5" t="s">
        <v>175</v>
      </c>
      <c r="D124" s="11">
        <f>MAX(0, 2*'Precinct Vote Data'!G484 - 'Precinct Vote Data'!G482)</f>
        <v>1479</v>
      </c>
      <c r="E124" s="10">
        <f t="shared" si="1"/>
        <v>0.4648337166</v>
      </c>
      <c r="F124" s="11">
        <f t="shared" si="2"/>
        <v>687</v>
      </c>
      <c r="G124" s="11">
        <f t="shared" si="3"/>
        <v>792</v>
      </c>
      <c r="H124" s="5" t="str">
        <f t="shared" si="4"/>
        <v>Republican</v>
      </c>
      <c r="I124" s="10">
        <f>'Precinct Vote Data'!H482</f>
        <v>0.5349322211</v>
      </c>
      <c r="J124" s="10">
        <f>'Precinct Vote Data'!H483</f>
        <v>0.47090301</v>
      </c>
      <c r="K124" s="10">
        <f>'Precinct Vote Data'!H484</f>
        <v>0.5094339623</v>
      </c>
      <c r="L124" s="10">
        <f>'Precinct Vote Data'!H485</f>
        <v>0.477582846</v>
      </c>
    </row>
    <row r="125" ht="15.0" customHeight="1">
      <c r="A125" s="5" t="s">
        <v>143</v>
      </c>
      <c r="B125" s="5" t="s">
        <v>176</v>
      </c>
      <c r="C125" s="5" t="s">
        <v>177</v>
      </c>
      <c r="D125" s="11">
        <f>MAX(0, 2*'Precinct Vote Data'!G488 - 'Precinct Vote Data'!G486)</f>
        <v>584</v>
      </c>
      <c r="E125" s="10">
        <f t="shared" si="1"/>
        <v>0.4715277758</v>
      </c>
      <c r="F125" s="11">
        <f t="shared" si="2"/>
        <v>275</v>
      </c>
      <c r="G125" s="11">
        <f t="shared" si="3"/>
        <v>309</v>
      </c>
      <c r="H125" s="5" t="str">
        <f t="shared" si="4"/>
        <v>Republican</v>
      </c>
      <c r="I125" s="10">
        <f>'Precinct Vote Data'!H486</f>
        <v>0.5678294574</v>
      </c>
      <c r="J125" s="10">
        <f>'Precinct Vote Data'!H487</f>
        <v>0.4942675159</v>
      </c>
      <c r="K125" s="10">
        <f>'Precinct Vote Data'!H488</f>
        <v>0.5254545455</v>
      </c>
      <c r="L125" s="10">
        <f>'Precinct Vote Data'!H489</f>
        <v>0.4927152318</v>
      </c>
    </row>
    <row r="126" ht="15.0" customHeight="1">
      <c r="A126" s="5" t="s">
        <v>143</v>
      </c>
      <c r="B126" s="5" t="s">
        <v>176</v>
      </c>
      <c r="C126" s="5" t="s">
        <v>178</v>
      </c>
      <c r="D126" s="11">
        <f>MAX(0, 2*'Precinct Vote Data'!G492 - 'Precinct Vote Data'!G490)</f>
        <v>835</v>
      </c>
      <c r="E126" s="10">
        <f t="shared" si="1"/>
        <v>0.4963822623</v>
      </c>
      <c r="F126" s="11">
        <f t="shared" si="2"/>
        <v>414</v>
      </c>
      <c r="G126" s="11">
        <f t="shared" si="3"/>
        <v>421</v>
      </c>
      <c r="H126" s="5" t="str">
        <f t="shared" si="4"/>
        <v>Republican</v>
      </c>
      <c r="I126" s="10">
        <f>'Precinct Vote Data'!H490</f>
        <v>0.5569044006</v>
      </c>
      <c r="J126" s="10">
        <f>'Precinct Vote Data'!H491</f>
        <v>0.5088265836</v>
      </c>
      <c r="K126" s="10">
        <f>'Precinct Vote Data'!H492</f>
        <v>0.5381526104</v>
      </c>
      <c r="L126" s="10">
        <f>'Precinct Vote Data'!H493</f>
        <v>0.5057581574</v>
      </c>
    </row>
    <row r="127" ht="15.0" customHeight="1">
      <c r="A127" s="5" t="s">
        <v>143</v>
      </c>
      <c r="B127" s="5" t="s">
        <v>179</v>
      </c>
      <c r="C127" s="5" t="s">
        <v>180</v>
      </c>
      <c r="D127" s="11">
        <f>MAX(0, 2*'Precinct Vote Data'!G496 - 'Precinct Vote Data'!G494)</f>
        <v>954</v>
      </c>
      <c r="E127" s="10">
        <f t="shared" si="1"/>
        <v>0.5221497975</v>
      </c>
      <c r="F127" s="11">
        <f t="shared" si="2"/>
        <v>498</v>
      </c>
      <c r="G127" s="11">
        <f t="shared" si="3"/>
        <v>456</v>
      </c>
      <c r="H127" s="5" t="str">
        <f t="shared" si="4"/>
        <v>Democrat</v>
      </c>
      <c r="I127" s="10">
        <f>'Precinct Vote Data'!H494</f>
        <v>0.573313783</v>
      </c>
      <c r="J127" s="10">
        <f>'Precinct Vote Data'!H495</f>
        <v>0.5518234165</v>
      </c>
      <c r="K127" s="10">
        <f>'Precinct Vote Data'!H496</f>
        <v>0.5562347188</v>
      </c>
      <c r="L127" s="10">
        <f>'Precinct Vote Data'!H497</f>
        <v>0.5306893296</v>
      </c>
    </row>
    <row r="128" ht="15.0" customHeight="1">
      <c r="A128" s="5" t="s">
        <v>143</v>
      </c>
      <c r="B128" s="5" t="s">
        <v>179</v>
      </c>
      <c r="C128" s="5" t="s">
        <v>181</v>
      </c>
      <c r="D128" s="11">
        <f>MAX(0, 2*'Precinct Vote Data'!G500 - 'Precinct Vote Data'!G498)</f>
        <v>890</v>
      </c>
      <c r="E128" s="10">
        <f t="shared" si="1"/>
        <v>0.5333180461</v>
      </c>
      <c r="F128" s="11">
        <f t="shared" si="2"/>
        <v>475</v>
      </c>
      <c r="G128" s="11">
        <f t="shared" si="3"/>
        <v>415</v>
      </c>
      <c r="H128" s="5" t="str">
        <f t="shared" si="4"/>
        <v>Democrat</v>
      </c>
      <c r="I128" s="10">
        <f>'Precinct Vote Data'!H498</f>
        <v>0.5416666667</v>
      </c>
      <c r="J128" s="10">
        <f>'Precinct Vote Data'!H499</f>
        <v>0.5300970874</v>
      </c>
      <c r="K128" s="10">
        <f>'Precinct Vote Data'!H500</f>
        <v>0.5552795031</v>
      </c>
      <c r="L128" s="10">
        <f>'Precinct Vote Data'!H501</f>
        <v>0.5265116279</v>
      </c>
    </row>
    <row r="129" ht="15.0" customHeight="1">
      <c r="A129" s="5" t="s">
        <v>143</v>
      </c>
      <c r="B129" s="5" t="s">
        <v>179</v>
      </c>
      <c r="C129" s="5" t="s">
        <v>182</v>
      </c>
      <c r="D129" s="11">
        <f>MAX(0, 2*'Precinct Vote Data'!G504 - 'Precinct Vote Data'!G502)</f>
        <v>1176</v>
      </c>
      <c r="E129" s="10">
        <f t="shared" si="1"/>
        <v>0.5142717667</v>
      </c>
      <c r="F129" s="11">
        <f t="shared" si="2"/>
        <v>605</v>
      </c>
      <c r="G129" s="11">
        <f t="shared" si="3"/>
        <v>571</v>
      </c>
      <c r="H129" s="5" t="str">
        <f t="shared" si="4"/>
        <v>Democrat</v>
      </c>
      <c r="I129" s="10">
        <f>'Precinct Vote Data'!H502</f>
        <v>0.5034562212</v>
      </c>
      <c r="J129" s="10">
        <f>'Precinct Vote Data'!H503</f>
        <v>0.4770158252</v>
      </c>
      <c r="K129" s="10">
        <f>'Precinct Vote Data'!H504</f>
        <v>0.5166340509</v>
      </c>
      <c r="L129" s="10">
        <f>'Precinct Vote Data'!H505</f>
        <v>0.5076828519</v>
      </c>
    </row>
    <row r="130" ht="15.0" customHeight="1">
      <c r="A130" s="5" t="s">
        <v>143</v>
      </c>
      <c r="B130" s="5" t="s">
        <v>179</v>
      </c>
      <c r="C130" s="5" t="s">
        <v>183</v>
      </c>
      <c r="D130" s="11">
        <f>MAX(0, 2*'Precinct Vote Data'!G508 - 'Precinct Vote Data'!G506)</f>
        <v>1034</v>
      </c>
      <c r="E130" s="10">
        <f t="shared" si="1"/>
        <v>0.5377275637</v>
      </c>
      <c r="F130" s="11">
        <f t="shared" si="2"/>
        <v>556</v>
      </c>
      <c r="G130" s="11">
        <f t="shared" si="3"/>
        <v>478</v>
      </c>
      <c r="H130" s="5" t="str">
        <f t="shared" si="4"/>
        <v>Democrat</v>
      </c>
      <c r="I130" s="10">
        <f>'Precinct Vote Data'!H506</f>
        <v>0.5953038674</v>
      </c>
      <c r="J130" s="10">
        <f>'Precinct Vote Data'!H507</f>
        <v>0.5558272209</v>
      </c>
      <c r="K130" s="10">
        <f>'Precinct Vote Data'!H508</f>
        <v>0.5870307167</v>
      </c>
      <c r="L130" s="10">
        <f>'Precinct Vote Data'!H509</f>
        <v>0.541864139</v>
      </c>
    </row>
    <row r="131" ht="15.0" customHeight="1">
      <c r="A131" s="5" t="s">
        <v>143</v>
      </c>
      <c r="B131" s="5" t="s">
        <v>179</v>
      </c>
      <c r="C131" s="5" t="s">
        <v>184</v>
      </c>
      <c r="D131" s="11">
        <f>MAX(0, 2*'Precinct Vote Data'!G512 - 'Precinct Vote Data'!G510)</f>
        <v>618</v>
      </c>
      <c r="E131" s="10">
        <f t="shared" si="1"/>
        <v>0.4951048651</v>
      </c>
      <c r="F131" s="11">
        <f t="shared" si="2"/>
        <v>306</v>
      </c>
      <c r="G131" s="11">
        <f t="shared" si="3"/>
        <v>312</v>
      </c>
      <c r="H131" s="5" t="str">
        <f t="shared" si="4"/>
        <v>Republican</v>
      </c>
      <c r="I131" s="10">
        <f>'Precinct Vote Data'!H510</f>
        <v>0.5285714286</v>
      </c>
      <c r="J131" s="10">
        <f>'Precinct Vote Data'!H511</f>
        <v>0.4931714719</v>
      </c>
      <c r="K131" s="10">
        <f>'Precinct Vote Data'!H512</f>
        <v>0.5306859206</v>
      </c>
      <c r="L131" s="10">
        <f>'Precinct Vote Data'!H513</f>
        <v>0.494047619</v>
      </c>
    </row>
    <row r="132" ht="15.0" customHeight="1">
      <c r="A132" s="5" t="s">
        <v>143</v>
      </c>
      <c r="B132" s="5" t="s">
        <v>179</v>
      </c>
      <c r="C132" s="5" t="s">
        <v>185</v>
      </c>
      <c r="D132" s="11">
        <f>MAX(0, 2*'Precinct Vote Data'!G516 - 'Precinct Vote Data'!G514)</f>
        <v>1107</v>
      </c>
      <c r="E132" s="10">
        <f t="shared" si="1"/>
        <v>0.5804542268</v>
      </c>
      <c r="F132" s="11">
        <f t="shared" si="2"/>
        <v>643</v>
      </c>
      <c r="G132" s="11">
        <f t="shared" si="3"/>
        <v>464</v>
      </c>
      <c r="H132" s="5" t="str">
        <f t="shared" si="4"/>
        <v>Democrat</v>
      </c>
      <c r="I132" s="10">
        <f>'Precinct Vote Data'!H514</f>
        <v>0.5812154696</v>
      </c>
      <c r="J132" s="10">
        <f>'Precinct Vote Data'!H515</f>
        <v>0.5328836425</v>
      </c>
      <c r="K132" s="10">
        <f>'Precinct Vote Data'!H516</f>
        <v>0.5904572565</v>
      </c>
      <c r="L132" s="10">
        <f>'Precinct Vote Data'!H517</f>
        <v>0.5758333333</v>
      </c>
    </row>
    <row r="133" ht="15.0" customHeight="1">
      <c r="A133" s="5" t="s">
        <v>143</v>
      </c>
      <c r="B133" s="5" t="s">
        <v>186</v>
      </c>
      <c r="C133" s="5" t="s">
        <v>187</v>
      </c>
      <c r="D133" s="11">
        <f>MAX(0, 2*'Precinct Vote Data'!G520 - 'Precinct Vote Data'!G518)</f>
        <v>575</v>
      </c>
      <c r="E133" s="10">
        <f t="shared" si="1"/>
        <v>0.6595563585</v>
      </c>
      <c r="F133" s="11">
        <f t="shared" si="2"/>
        <v>379</v>
      </c>
      <c r="G133" s="11">
        <f t="shared" si="3"/>
        <v>196</v>
      </c>
      <c r="H133" s="5" t="str">
        <f t="shared" si="4"/>
        <v>Democrat</v>
      </c>
      <c r="I133" s="10">
        <f>'Precinct Vote Data'!H518</f>
        <v>0.733686067</v>
      </c>
      <c r="J133" s="10">
        <f>'Precinct Vote Data'!H519</f>
        <v>0.6978335234</v>
      </c>
      <c r="K133" s="10">
        <f>'Precinct Vote Data'!H520</f>
        <v>0.7232924694</v>
      </c>
      <c r="L133" s="10">
        <f>'Precinct Vote Data'!H521</f>
        <v>0.6647531573</v>
      </c>
    </row>
    <row r="134" ht="15.0" customHeight="1">
      <c r="A134" s="5" t="s">
        <v>143</v>
      </c>
      <c r="B134" s="5" t="s">
        <v>186</v>
      </c>
      <c r="C134" s="5" t="s">
        <v>188</v>
      </c>
      <c r="D134" s="11">
        <f>MAX(0, 2*'Precinct Vote Data'!G524 - 'Precinct Vote Data'!G522)</f>
        <v>445</v>
      </c>
      <c r="E134" s="10">
        <f t="shared" si="1"/>
        <v>0.6130858644</v>
      </c>
      <c r="F134" s="11">
        <f t="shared" si="2"/>
        <v>273</v>
      </c>
      <c r="G134" s="11">
        <f t="shared" si="3"/>
        <v>172</v>
      </c>
      <c r="H134" s="5" t="str">
        <f t="shared" si="4"/>
        <v>Democrat</v>
      </c>
      <c r="I134" s="10">
        <f>'Precinct Vote Data'!H522</f>
        <v>0.6693386774</v>
      </c>
      <c r="J134" s="10">
        <f>'Precinct Vote Data'!H523</f>
        <v>0.6528803545</v>
      </c>
      <c r="K134" s="10">
        <f>'Precinct Vote Data'!H524</f>
        <v>0.6419491525</v>
      </c>
      <c r="L134" s="10">
        <f>'Precinct Vote Data'!H525</f>
        <v>0.6267806268</v>
      </c>
    </row>
    <row r="135" ht="15.0" customHeight="1">
      <c r="A135" s="5" t="s">
        <v>143</v>
      </c>
      <c r="B135" s="5" t="s">
        <v>186</v>
      </c>
      <c r="C135" s="5" t="s">
        <v>189</v>
      </c>
      <c r="D135" s="11">
        <f>MAX(0, 2*'Precinct Vote Data'!G528 - 'Precinct Vote Data'!G526)</f>
        <v>538</v>
      </c>
      <c r="E135" s="10">
        <f t="shared" si="1"/>
        <v>0.6388625999</v>
      </c>
      <c r="F135" s="11">
        <f t="shared" si="2"/>
        <v>344</v>
      </c>
      <c r="G135" s="11">
        <f t="shared" si="3"/>
        <v>194</v>
      </c>
      <c r="H135" s="5" t="str">
        <f t="shared" si="4"/>
        <v>Democrat</v>
      </c>
      <c r="I135" s="10">
        <f>'Precinct Vote Data'!H526</f>
        <v>0.6898734177</v>
      </c>
      <c r="J135" s="10">
        <f>'Precinct Vote Data'!H527</f>
        <v>0.6430722892</v>
      </c>
      <c r="K135" s="10">
        <f>'Precinct Vote Data'!H528</f>
        <v>0.6996047431</v>
      </c>
      <c r="L135" s="10">
        <f>'Precinct Vote Data'!H529</f>
        <v>0.6339969372</v>
      </c>
    </row>
    <row r="136" ht="15.0" customHeight="1">
      <c r="A136" s="5" t="s">
        <v>143</v>
      </c>
      <c r="B136" s="5" t="s">
        <v>190</v>
      </c>
      <c r="C136" s="5" t="s">
        <v>191</v>
      </c>
      <c r="D136" s="11">
        <f>MAX(0, 2*'Precinct Vote Data'!G532 - 'Precinct Vote Data'!G530)</f>
        <v>442</v>
      </c>
      <c r="E136" s="10">
        <f t="shared" si="1"/>
        <v>0.5162891431</v>
      </c>
      <c r="F136" s="11">
        <f t="shared" si="2"/>
        <v>228</v>
      </c>
      <c r="G136" s="11">
        <f t="shared" si="3"/>
        <v>214</v>
      </c>
      <c r="H136" s="5" t="str">
        <f t="shared" si="4"/>
        <v>Democrat</v>
      </c>
      <c r="I136" s="10">
        <f>'Precinct Vote Data'!H530</f>
        <v>0.5975609756</v>
      </c>
      <c r="J136" s="10">
        <f>'Precinct Vote Data'!H531</f>
        <v>0.5712270804</v>
      </c>
      <c r="K136" s="10">
        <f>'Precinct Vote Data'!H532</f>
        <v>0.5610278373</v>
      </c>
      <c r="L136" s="10">
        <f>'Precinct Vote Data'!H533</f>
        <v>0.5345557123</v>
      </c>
    </row>
    <row r="137" ht="15.0" customHeight="1">
      <c r="A137" s="5" t="s">
        <v>143</v>
      </c>
      <c r="B137" s="5" t="s">
        <v>192</v>
      </c>
      <c r="C137" s="5" t="s">
        <v>193</v>
      </c>
      <c r="D137" s="11">
        <f>MAX(0, 2*'Precinct Vote Data'!G536 - 'Precinct Vote Data'!G534)</f>
        <v>1826</v>
      </c>
      <c r="E137" s="10">
        <f t="shared" si="1"/>
        <v>0.2974974311</v>
      </c>
      <c r="F137" s="11">
        <f t="shared" si="2"/>
        <v>543</v>
      </c>
      <c r="G137" s="11">
        <f t="shared" si="3"/>
        <v>1283</v>
      </c>
      <c r="H137" s="5" t="str">
        <f t="shared" si="4"/>
        <v>Republican</v>
      </c>
      <c r="I137" s="10">
        <f>'Precinct Vote Data'!H534</f>
        <v>0.3624454148</v>
      </c>
      <c r="J137" s="10">
        <f>'Precinct Vote Data'!H535</f>
        <v>0.3101494075</v>
      </c>
      <c r="K137" s="10">
        <f>'Precinct Vote Data'!H536</f>
        <v>0.3325</v>
      </c>
      <c r="L137" s="10">
        <f>'Precinct Vote Data'!H537</f>
        <v>0.3124701386</v>
      </c>
    </row>
    <row r="138" ht="15.0" customHeight="1">
      <c r="A138" s="5" t="s">
        <v>143</v>
      </c>
      <c r="B138" s="5" t="s">
        <v>194</v>
      </c>
      <c r="C138" s="5" t="s">
        <v>195</v>
      </c>
      <c r="D138" s="11">
        <f>MAX(0, 2*'Precinct Vote Data'!G540 - 'Precinct Vote Data'!G538)</f>
        <v>1804</v>
      </c>
      <c r="E138" s="10">
        <f t="shared" si="1"/>
        <v>0.5044251584</v>
      </c>
      <c r="F138" s="11">
        <f t="shared" si="2"/>
        <v>910</v>
      </c>
      <c r="G138" s="11">
        <f t="shared" si="3"/>
        <v>894</v>
      </c>
      <c r="H138" s="5" t="str">
        <f t="shared" si="4"/>
        <v>Democrat</v>
      </c>
      <c r="I138" s="10">
        <f>'Precinct Vote Data'!H538</f>
        <v>0.5031806616</v>
      </c>
      <c r="J138" s="10">
        <f>'Precinct Vote Data'!H539</f>
        <v>0.4945553539</v>
      </c>
      <c r="K138" s="10">
        <f>'Precinct Vote Data'!H540</f>
        <v>0.5207345972</v>
      </c>
      <c r="L138" s="10">
        <f>'Precinct Vote Data'!H541</f>
        <v>0.4956481906</v>
      </c>
    </row>
    <row r="139" ht="15.0" customHeight="1">
      <c r="A139" s="5" t="s">
        <v>143</v>
      </c>
      <c r="B139" s="5" t="s">
        <v>194</v>
      </c>
      <c r="C139" s="5" t="s">
        <v>196</v>
      </c>
      <c r="D139" s="11">
        <f>MAX(0, 2*'Precinct Vote Data'!G544 - 'Precinct Vote Data'!G542)</f>
        <v>3248</v>
      </c>
      <c r="E139" s="10">
        <f t="shared" si="1"/>
        <v>0.5026903184</v>
      </c>
      <c r="F139" s="11">
        <f t="shared" si="2"/>
        <v>1633</v>
      </c>
      <c r="G139" s="11">
        <f t="shared" si="3"/>
        <v>1615</v>
      </c>
      <c r="H139" s="5" t="str">
        <f t="shared" si="4"/>
        <v>Democrat</v>
      </c>
      <c r="I139" s="10">
        <f>'Precinct Vote Data'!H542</f>
        <v>0.5071752266</v>
      </c>
      <c r="J139" s="10">
        <f>'Precinct Vote Data'!H543</f>
        <v>0.4943181818</v>
      </c>
      <c r="K139" s="10">
        <f>'Precinct Vote Data'!H544</f>
        <v>0.5156037992</v>
      </c>
      <c r="L139" s="10">
        <f>'Precinct Vote Data'!H545</f>
        <v>0.4984760321</v>
      </c>
    </row>
    <row r="140" ht="15.0" customHeight="1">
      <c r="A140" s="5" t="s">
        <v>143</v>
      </c>
      <c r="B140" s="5" t="s">
        <v>194</v>
      </c>
      <c r="C140" s="5" t="s">
        <v>197</v>
      </c>
      <c r="D140" s="11">
        <f>MAX(0, 2*'Precinct Vote Data'!G548 - 'Precinct Vote Data'!G546)</f>
        <v>1699</v>
      </c>
      <c r="E140" s="10">
        <f t="shared" si="1"/>
        <v>0.4818740252</v>
      </c>
      <c r="F140" s="11">
        <f t="shared" si="2"/>
        <v>819</v>
      </c>
      <c r="G140" s="11">
        <f t="shared" si="3"/>
        <v>880</v>
      </c>
      <c r="H140" s="5" t="str">
        <f t="shared" si="4"/>
        <v>Republican</v>
      </c>
      <c r="I140" s="10">
        <f>'Precinct Vote Data'!H546</f>
        <v>0.5050583658</v>
      </c>
      <c r="J140" s="10">
        <f>'Precinct Vote Data'!H547</f>
        <v>0.4796883695</v>
      </c>
      <c r="K140" s="10">
        <f>'Precinct Vote Data'!H548</f>
        <v>0.5080428954</v>
      </c>
      <c r="L140" s="10">
        <f>'Precinct Vote Data'!H549</f>
        <v>0.4803817603</v>
      </c>
    </row>
    <row r="141" ht="15.0" customHeight="1">
      <c r="A141" s="5" t="s">
        <v>143</v>
      </c>
      <c r="B141" s="5" t="s">
        <v>194</v>
      </c>
      <c r="C141" s="5" t="s">
        <v>198</v>
      </c>
      <c r="D141" s="11">
        <f>MAX(0, 2*'Precinct Vote Data'!G552 - 'Precinct Vote Data'!G550)</f>
        <v>1440</v>
      </c>
      <c r="E141" s="10">
        <f t="shared" si="1"/>
        <v>0.4814053192</v>
      </c>
      <c r="F141" s="11">
        <f t="shared" si="2"/>
        <v>693</v>
      </c>
      <c r="G141" s="11">
        <f t="shared" si="3"/>
        <v>747</v>
      </c>
      <c r="H141" s="5" t="str">
        <f t="shared" si="4"/>
        <v>Republican</v>
      </c>
      <c r="I141" s="10">
        <f>'Precinct Vote Data'!H550</f>
        <v>0.5094488189</v>
      </c>
      <c r="J141" s="10">
        <f>'Precinct Vote Data'!H551</f>
        <v>0.4793340987</v>
      </c>
      <c r="K141" s="10">
        <f>'Precinct Vote Data'!H552</f>
        <v>0.5062730627</v>
      </c>
      <c r="L141" s="10">
        <f>'Precinct Vote Data'!H553</f>
        <v>0.4829931973</v>
      </c>
    </row>
    <row r="142" ht="15.0" customHeight="1">
      <c r="A142" s="5" t="s">
        <v>143</v>
      </c>
      <c r="B142" s="5" t="s">
        <v>194</v>
      </c>
      <c r="C142" s="5" t="s">
        <v>199</v>
      </c>
      <c r="D142" s="11">
        <f>MAX(0, 2*'Precinct Vote Data'!G556 - 'Precinct Vote Data'!G554)</f>
        <v>1337</v>
      </c>
      <c r="E142" s="10">
        <f t="shared" si="1"/>
        <v>0.5275026398</v>
      </c>
      <c r="F142" s="11">
        <f t="shared" si="2"/>
        <v>705</v>
      </c>
      <c r="G142" s="11">
        <f t="shared" si="3"/>
        <v>632</v>
      </c>
      <c r="H142" s="5" t="str">
        <f t="shared" si="4"/>
        <v>Democrat</v>
      </c>
      <c r="I142" s="10">
        <f>'Precinct Vote Data'!H554</f>
        <v>0.4930232558</v>
      </c>
      <c r="J142" s="10">
        <f>'Precinct Vote Data'!H555</f>
        <v>0.4860703812</v>
      </c>
      <c r="K142" s="10">
        <f>'Precinct Vote Data'!H556</f>
        <v>0.5207296849</v>
      </c>
      <c r="L142" s="10">
        <f>'Precinct Vote Data'!H557</f>
        <v>0.5136494253</v>
      </c>
    </row>
    <row r="143" ht="15.0" customHeight="1">
      <c r="A143" s="5" t="s">
        <v>143</v>
      </c>
      <c r="B143" s="5" t="s">
        <v>194</v>
      </c>
      <c r="C143" s="5" t="s">
        <v>200</v>
      </c>
      <c r="D143" s="11">
        <f>MAX(0, 2*'Precinct Vote Data'!G560 - 'Precinct Vote Data'!G558)</f>
        <v>2641</v>
      </c>
      <c r="E143" s="10">
        <f t="shared" si="1"/>
        <v>0.4661129364</v>
      </c>
      <c r="F143" s="11">
        <f t="shared" si="2"/>
        <v>1231</v>
      </c>
      <c r="G143" s="11">
        <f t="shared" si="3"/>
        <v>1410</v>
      </c>
      <c r="H143" s="5" t="str">
        <f t="shared" si="4"/>
        <v>Republican</v>
      </c>
      <c r="I143" s="10">
        <f>'Precinct Vote Data'!H558</f>
        <v>0.5642176108</v>
      </c>
      <c r="J143" s="10">
        <f>'Precinct Vote Data'!H559</f>
        <v>0.5065766086</v>
      </c>
      <c r="K143" s="10">
        <f>'Precinct Vote Data'!H560</f>
        <v>0.5316455696</v>
      </c>
      <c r="L143" s="10">
        <f>'Precinct Vote Data'!H561</f>
        <v>0.482398957</v>
      </c>
    </row>
    <row r="144" ht="15.0" customHeight="1">
      <c r="A144" s="5" t="s">
        <v>143</v>
      </c>
      <c r="B144" s="5" t="s">
        <v>194</v>
      </c>
      <c r="C144" s="5" t="s">
        <v>201</v>
      </c>
      <c r="D144" s="11">
        <f>MAX(0, 2*'Precinct Vote Data'!G564 - 'Precinct Vote Data'!G562)</f>
        <v>1453</v>
      </c>
      <c r="E144" s="10">
        <f t="shared" si="1"/>
        <v>0.5461331618</v>
      </c>
      <c r="F144" s="11">
        <f t="shared" si="2"/>
        <v>794</v>
      </c>
      <c r="G144" s="11">
        <f t="shared" si="3"/>
        <v>659</v>
      </c>
      <c r="H144" s="5" t="str">
        <f t="shared" si="4"/>
        <v>Democrat</v>
      </c>
      <c r="I144" s="10">
        <f>'Precinct Vote Data'!H562</f>
        <v>0.5309584394</v>
      </c>
      <c r="J144" s="10">
        <f>'Precinct Vote Data'!H563</f>
        <v>0.5192878338</v>
      </c>
      <c r="K144" s="10">
        <f>'Precinct Vote Data'!H564</f>
        <v>0.5630699088</v>
      </c>
      <c r="L144" s="10">
        <f>'Precinct Vote Data'!H565</f>
        <v>0.530077427</v>
      </c>
    </row>
    <row r="145" ht="15.0" customHeight="1">
      <c r="A145" s="5" t="s">
        <v>143</v>
      </c>
      <c r="B145" s="5" t="s">
        <v>194</v>
      </c>
      <c r="C145" s="5" t="s">
        <v>202</v>
      </c>
      <c r="D145" s="11">
        <f>MAX(0, 2*'Precinct Vote Data'!G568 - 'Precinct Vote Data'!G566)</f>
        <v>1559</v>
      </c>
      <c r="E145" s="10">
        <f t="shared" si="1"/>
        <v>0.5288935258</v>
      </c>
      <c r="F145" s="11">
        <f t="shared" si="2"/>
        <v>825</v>
      </c>
      <c r="G145" s="11">
        <f t="shared" si="3"/>
        <v>734</v>
      </c>
      <c r="H145" s="5" t="str">
        <f t="shared" si="4"/>
        <v>Democrat</v>
      </c>
      <c r="I145" s="10">
        <f>'Precinct Vote Data'!H566</f>
        <v>0.4896115628</v>
      </c>
      <c r="J145" s="10">
        <f>'Precinct Vote Data'!H567</f>
        <v>0.4989676531</v>
      </c>
      <c r="K145" s="10">
        <f>'Precinct Vote Data'!H568</f>
        <v>0.5356339085</v>
      </c>
      <c r="L145" s="10">
        <f>'Precinct Vote Data'!H569</f>
        <v>0.5058823529</v>
      </c>
    </row>
    <row r="146" ht="15.0" customHeight="1">
      <c r="A146" s="5" t="s">
        <v>143</v>
      </c>
      <c r="B146" s="5" t="s">
        <v>194</v>
      </c>
      <c r="C146" s="5" t="s">
        <v>203</v>
      </c>
      <c r="D146" s="11">
        <f>MAX(0, 2*'Precinct Vote Data'!G572 - 'Precinct Vote Data'!G570)</f>
        <v>949</v>
      </c>
      <c r="E146" s="10">
        <f t="shared" si="1"/>
        <v>0.5165459976</v>
      </c>
      <c r="F146" s="11">
        <f t="shared" si="2"/>
        <v>490</v>
      </c>
      <c r="G146" s="11">
        <f t="shared" si="3"/>
        <v>459</v>
      </c>
      <c r="H146" s="5" t="str">
        <f t="shared" si="4"/>
        <v>Democrat</v>
      </c>
      <c r="I146" s="10">
        <f>'Precinct Vote Data'!H570</f>
        <v>0.5125148987</v>
      </c>
      <c r="J146" s="10">
        <f>'Precinct Vote Data'!H571</f>
        <v>0.495697074</v>
      </c>
      <c r="K146" s="10">
        <f>'Precinct Vote Data'!H572</f>
        <v>0.5492170022</v>
      </c>
      <c r="L146" s="10">
        <f>'Precinct Vote Data'!H573</f>
        <v>0.4981949458</v>
      </c>
    </row>
    <row r="147" ht="15.0" customHeight="1">
      <c r="A147" s="5" t="s">
        <v>143</v>
      </c>
      <c r="B147" s="5" t="s">
        <v>194</v>
      </c>
      <c r="C147" s="5" t="s">
        <v>204</v>
      </c>
      <c r="D147" s="11">
        <f>MAX(0, 2*'Precinct Vote Data'!G576 - 'Precinct Vote Data'!G574)</f>
        <v>1694</v>
      </c>
      <c r="E147" s="10">
        <f t="shared" si="1"/>
        <v>0.4840450702</v>
      </c>
      <c r="F147" s="11">
        <f t="shared" si="2"/>
        <v>820</v>
      </c>
      <c r="G147" s="11">
        <f t="shared" si="3"/>
        <v>874</v>
      </c>
      <c r="H147" s="5" t="str">
        <f t="shared" si="4"/>
        <v>Republican</v>
      </c>
      <c r="I147" s="10">
        <f>'Precinct Vote Data'!H574</f>
        <v>0.5075528701</v>
      </c>
      <c r="J147" s="10">
        <f>'Precinct Vote Data'!H575</f>
        <v>0.4808510638</v>
      </c>
      <c r="K147" s="10">
        <f>'Precinct Vote Data'!H576</f>
        <v>0.5069582505</v>
      </c>
      <c r="L147" s="10">
        <f>'Precinct Vote Data'!H577</f>
        <v>0.48434238</v>
      </c>
    </row>
    <row r="148" ht="15.0" customHeight="1">
      <c r="A148" s="5" t="s">
        <v>143</v>
      </c>
      <c r="B148" s="5" t="s">
        <v>205</v>
      </c>
      <c r="C148" s="5" t="s">
        <v>206</v>
      </c>
      <c r="D148" s="11">
        <f>MAX(0, 2*'Precinct Vote Data'!G580 - 'Precinct Vote Data'!G578)</f>
        <v>2470</v>
      </c>
      <c r="E148" s="10">
        <f t="shared" si="1"/>
        <v>0.3805435575</v>
      </c>
      <c r="F148" s="11">
        <f t="shared" si="2"/>
        <v>940</v>
      </c>
      <c r="G148" s="11">
        <f t="shared" si="3"/>
        <v>1530</v>
      </c>
      <c r="H148" s="5" t="str">
        <f t="shared" si="4"/>
        <v>Republican</v>
      </c>
      <c r="I148" s="10">
        <f>'Precinct Vote Data'!H578</f>
        <v>0.398488121</v>
      </c>
      <c r="J148" s="10">
        <f>'Precinct Vote Data'!H579</f>
        <v>0.3656597774</v>
      </c>
      <c r="K148" s="10">
        <f>'Precinct Vote Data'!H580</f>
        <v>0.3933364183</v>
      </c>
      <c r="L148" s="10">
        <f>'Precinct Vote Data'!H581</f>
        <v>0.3831194088</v>
      </c>
    </row>
    <row r="149" ht="15.0" customHeight="1">
      <c r="A149" s="5" t="s">
        <v>143</v>
      </c>
      <c r="B149" s="5" t="s">
        <v>207</v>
      </c>
      <c r="C149" s="5" t="s">
        <v>208</v>
      </c>
      <c r="D149" s="11">
        <f>MAX(0, 2*'Precinct Vote Data'!G584 - 'Precinct Vote Data'!G582)</f>
        <v>1343</v>
      </c>
      <c r="E149" s="10">
        <f t="shared" si="1"/>
        <v>0.353604912</v>
      </c>
      <c r="F149" s="11">
        <f t="shared" si="2"/>
        <v>475</v>
      </c>
      <c r="G149" s="11">
        <f t="shared" si="3"/>
        <v>868</v>
      </c>
      <c r="H149" s="5" t="str">
        <f t="shared" si="4"/>
        <v>Republican</v>
      </c>
      <c r="I149" s="10">
        <f>'Precinct Vote Data'!H582</f>
        <v>0.3767186068</v>
      </c>
      <c r="J149" s="10">
        <f>'Precinct Vote Data'!H583</f>
        <v>0.3581989247</v>
      </c>
      <c r="K149" s="10">
        <f>'Precinct Vote Data'!H584</f>
        <v>0.3755135579</v>
      </c>
      <c r="L149" s="10">
        <f>'Precinct Vote Data'!H585</f>
        <v>0.3542074364</v>
      </c>
    </row>
    <row r="150" ht="15.0" customHeight="1">
      <c r="A150" s="5" t="s">
        <v>143</v>
      </c>
      <c r="B150" s="5" t="s">
        <v>209</v>
      </c>
      <c r="C150" s="5" t="s">
        <v>210</v>
      </c>
      <c r="D150" s="11">
        <f>MAX(0, 2*'Precinct Vote Data'!G588 - 'Precinct Vote Data'!G586)</f>
        <v>655</v>
      </c>
      <c r="E150" s="10">
        <f t="shared" si="1"/>
        <v>0.2814002011</v>
      </c>
      <c r="F150" s="11">
        <f t="shared" si="2"/>
        <v>184</v>
      </c>
      <c r="G150" s="11">
        <f t="shared" si="3"/>
        <v>471</v>
      </c>
      <c r="H150" s="5" t="str">
        <f t="shared" si="4"/>
        <v>Republican</v>
      </c>
      <c r="I150" s="10">
        <f>'Precinct Vote Data'!H586</f>
        <v>0.2776470588</v>
      </c>
      <c r="J150" s="10">
        <f>'Precinct Vote Data'!H587</f>
        <v>0.2841269841</v>
      </c>
      <c r="K150" s="10">
        <f>'Precinct Vote Data'!H588</f>
        <v>0.2944444444</v>
      </c>
      <c r="L150" s="10">
        <f>'Precinct Vote Data'!H589</f>
        <v>0.2730015083</v>
      </c>
    </row>
    <row r="151" ht="15.0" customHeight="1">
      <c r="A151" s="5" t="s">
        <v>143</v>
      </c>
      <c r="B151" s="5" t="s">
        <v>209</v>
      </c>
      <c r="C151" s="5" t="s">
        <v>211</v>
      </c>
      <c r="D151" s="11">
        <f>MAX(0, 2*'Precinct Vote Data'!G592 - 'Precinct Vote Data'!G590)</f>
        <v>369</v>
      </c>
      <c r="E151" s="10">
        <f t="shared" si="1"/>
        <v>0.3118919604</v>
      </c>
      <c r="F151" s="11">
        <f t="shared" si="2"/>
        <v>115</v>
      </c>
      <c r="G151" s="11">
        <f t="shared" si="3"/>
        <v>254</v>
      </c>
      <c r="H151" s="5" t="str">
        <f t="shared" si="4"/>
        <v>Republican</v>
      </c>
      <c r="I151" s="10">
        <f>'Precinct Vote Data'!H590</f>
        <v>0.3361823362</v>
      </c>
      <c r="J151" s="10">
        <f>'Precinct Vote Data'!H591</f>
        <v>0.2971175166</v>
      </c>
      <c r="K151" s="10">
        <f>'Precinct Vote Data'!H592</f>
        <v>0.3222222222</v>
      </c>
      <c r="L151" s="10">
        <f>'Precinct Vote Data'!H593</f>
        <v>0.3188720174</v>
      </c>
    </row>
    <row r="152" ht="15.0" customHeight="1">
      <c r="A152" s="5" t="s">
        <v>143</v>
      </c>
      <c r="B152" s="5" t="s">
        <v>209</v>
      </c>
      <c r="C152" s="5" t="s">
        <v>212</v>
      </c>
      <c r="D152" s="11">
        <f>MAX(0, 2*'Precinct Vote Data'!G596 - 'Precinct Vote Data'!G594)</f>
        <v>1426</v>
      </c>
      <c r="E152" s="10">
        <f t="shared" si="1"/>
        <v>0.3279701872</v>
      </c>
      <c r="F152" s="11">
        <f t="shared" si="2"/>
        <v>468</v>
      </c>
      <c r="G152" s="11">
        <f t="shared" si="3"/>
        <v>958</v>
      </c>
      <c r="H152" s="5" t="str">
        <f t="shared" si="4"/>
        <v>Republican</v>
      </c>
      <c r="I152" s="10">
        <f>'Precinct Vote Data'!H594</f>
        <v>0.3583333333</v>
      </c>
      <c r="J152" s="10">
        <f>'Precinct Vote Data'!H595</f>
        <v>0.3443152455</v>
      </c>
      <c r="K152" s="10">
        <f>'Precinct Vote Data'!H596</f>
        <v>0.3543495611</v>
      </c>
      <c r="L152" s="10">
        <f>'Precinct Vote Data'!H597</f>
        <v>0.3299620733</v>
      </c>
    </row>
    <row r="153" ht="15.0" customHeight="1">
      <c r="A153" s="5" t="s">
        <v>143</v>
      </c>
      <c r="B153" s="5" t="s">
        <v>213</v>
      </c>
      <c r="C153" s="5" t="s">
        <v>214</v>
      </c>
      <c r="D153" s="11">
        <f>MAX(0, 2*'Precinct Vote Data'!G600 - 'Precinct Vote Data'!G598)</f>
        <v>1557</v>
      </c>
      <c r="E153" s="10">
        <f t="shared" si="1"/>
        <v>0.5364258628</v>
      </c>
      <c r="F153" s="11">
        <f t="shared" si="2"/>
        <v>835</v>
      </c>
      <c r="G153" s="11">
        <f t="shared" si="3"/>
        <v>722</v>
      </c>
      <c r="H153" s="5" t="str">
        <f t="shared" si="4"/>
        <v>Democrat</v>
      </c>
      <c r="I153" s="10">
        <f>'Precinct Vote Data'!H598</f>
        <v>0.5419607843</v>
      </c>
      <c r="J153" s="10">
        <f>'Precinct Vote Data'!H599</f>
        <v>0.5368874529</v>
      </c>
      <c r="K153" s="10">
        <f>'Precinct Vote Data'!H600</f>
        <v>0.5564971751</v>
      </c>
      <c r="L153" s="10">
        <f>'Precinct Vote Data'!H601</f>
        <v>0.5291576674</v>
      </c>
    </row>
    <row r="154" ht="15.0" customHeight="1">
      <c r="A154" s="5" t="s">
        <v>143</v>
      </c>
      <c r="B154" s="5" t="s">
        <v>215</v>
      </c>
      <c r="C154" s="5" t="s">
        <v>216</v>
      </c>
      <c r="D154" s="11">
        <f>MAX(0, 2*'Precinct Vote Data'!G604 - 'Precinct Vote Data'!G602)</f>
        <v>2087</v>
      </c>
      <c r="E154" s="10">
        <f t="shared" si="1"/>
        <v>0.43334915</v>
      </c>
      <c r="F154" s="11">
        <f t="shared" si="2"/>
        <v>904</v>
      </c>
      <c r="G154" s="11">
        <f t="shared" si="3"/>
        <v>1183</v>
      </c>
      <c r="H154" s="5" t="str">
        <f t="shared" si="4"/>
        <v>Republican</v>
      </c>
      <c r="I154" s="10">
        <f>'Precinct Vote Data'!H602</f>
        <v>0.4382157926</v>
      </c>
      <c r="J154" s="10">
        <f>'Precinct Vote Data'!H603</f>
        <v>0.4066840278</v>
      </c>
      <c r="K154" s="10">
        <f>'Precinct Vote Data'!H604</f>
        <v>0.4431393486</v>
      </c>
      <c r="L154" s="10">
        <f>'Precinct Vote Data'!H605</f>
        <v>0.430887372</v>
      </c>
    </row>
    <row r="155" ht="15.0" customHeight="1">
      <c r="A155" s="5" t="s">
        <v>143</v>
      </c>
      <c r="B155" s="5" t="s">
        <v>215</v>
      </c>
      <c r="C155" s="5" t="s">
        <v>217</v>
      </c>
      <c r="D155" s="11">
        <f>MAX(0, 2*'Precinct Vote Data'!G608 - 'Precinct Vote Data'!G606)</f>
        <v>1923</v>
      </c>
      <c r="E155" s="10">
        <f t="shared" si="1"/>
        <v>0.3861881653</v>
      </c>
      <c r="F155" s="11">
        <f t="shared" si="2"/>
        <v>743</v>
      </c>
      <c r="G155" s="11">
        <f t="shared" si="3"/>
        <v>1180</v>
      </c>
      <c r="H155" s="5" t="str">
        <f t="shared" si="4"/>
        <v>Republican</v>
      </c>
      <c r="I155" s="10">
        <f>'Precinct Vote Data'!H606</f>
        <v>0.4238128987</v>
      </c>
      <c r="J155" s="10">
        <f>'Precinct Vote Data'!H607</f>
        <v>0.395988806</v>
      </c>
      <c r="K155" s="10">
        <f>'Precinct Vote Data'!H608</f>
        <v>0.4115176965</v>
      </c>
      <c r="L155" s="10">
        <f>'Precinct Vote Data'!H609</f>
        <v>0.3923357664</v>
      </c>
    </row>
    <row r="156" ht="15.0" customHeight="1">
      <c r="A156" s="5" t="s">
        <v>143</v>
      </c>
      <c r="B156" s="5" t="s">
        <v>215</v>
      </c>
      <c r="C156" s="5" t="s">
        <v>218</v>
      </c>
      <c r="D156" s="11">
        <f>MAX(0, 2*'Precinct Vote Data'!G612 - 'Precinct Vote Data'!G610)</f>
        <v>996</v>
      </c>
      <c r="E156" s="10">
        <f t="shared" si="1"/>
        <v>0.39641318</v>
      </c>
      <c r="F156" s="11">
        <f t="shared" si="2"/>
        <v>395</v>
      </c>
      <c r="G156" s="11">
        <f t="shared" si="3"/>
        <v>601</v>
      </c>
      <c r="H156" s="5" t="str">
        <f t="shared" si="4"/>
        <v>Republican</v>
      </c>
      <c r="I156" s="10">
        <f>'Precinct Vote Data'!H610</f>
        <v>0.4015345269</v>
      </c>
      <c r="J156" s="10">
        <f>'Precinct Vote Data'!H611</f>
        <v>0.3946459413</v>
      </c>
      <c r="K156" s="10">
        <f>'Precinct Vote Data'!H612</f>
        <v>0.4161979753</v>
      </c>
      <c r="L156" s="10">
        <f>'Precinct Vote Data'!H613</f>
        <v>0.3890814558</v>
      </c>
    </row>
    <row r="157" ht="15.0" customHeight="1">
      <c r="A157" s="5" t="s">
        <v>143</v>
      </c>
      <c r="B157" s="5" t="s">
        <v>215</v>
      </c>
      <c r="C157" s="5" t="s">
        <v>219</v>
      </c>
      <c r="D157" s="11">
        <f>MAX(0, 2*'Precinct Vote Data'!G616 - 'Precinct Vote Data'!G614)</f>
        <v>1512</v>
      </c>
      <c r="E157" s="10">
        <f t="shared" si="1"/>
        <v>0.4067459037</v>
      </c>
      <c r="F157" s="11">
        <f t="shared" si="2"/>
        <v>615</v>
      </c>
      <c r="G157" s="11">
        <f t="shared" si="3"/>
        <v>897</v>
      </c>
      <c r="H157" s="5" t="str">
        <f t="shared" si="4"/>
        <v>Republican</v>
      </c>
      <c r="I157" s="10">
        <f>'Precinct Vote Data'!H614</f>
        <v>0.3948374761</v>
      </c>
      <c r="J157" s="10">
        <f>'Precinct Vote Data'!H615</f>
        <v>0.3930857875</v>
      </c>
      <c r="K157" s="10">
        <f>'Precinct Vote Data'!H616</f>
        <v>0.4073494918</v>
      </c>
      <c r="L157" s="10">
        <f>'Precinct Vote Data'!H617</f>
        <v>0.4004898959</v>
      </c>
    </row>
    <row r="158" ht="15.0" customHeight="1">
      <c r="A158" s="5" t="s">
        <v>143</v>
      </c>
      <c r="B158" s="5" t="s">
        <v>215</v>
      </c>
      <c r="C158" s="5" t="s">
        <v>220</v>
      </c>
      <c r="D158" s="11">
        <f>MAX(0, 2*'Precinct Vote Data'!G620 - 'Precinct Vote Data'!G618)</f>
        <v>1358</v>
      </c>
      <c r="E158" s="10">
        <f t="shared" si="1"/>
        <v>0.3977460484</v>
      </c>
      <c r="F158" s="11">
        <f t="shared" si="2"/>
        <v>540</v>
      </c>
      <c r="G158" s="11">
        <f t="shared" si="3"/>
        <v>818</v>
      </c>
      <c r="H158" s="5" t="str">
        <f t="shared" si="4"/>
        <v>Republican</v>
      </c>
      <c r="I158" s="10">
        <f>'Precinct Vote Data'!H618</f>
        <v>0.376753507</v>
      </c>
      <c r="J158" s="10">
        <f>'Precinct Vote Data'!H619</f>
        <v>0.3851492019</v>
      </c>
      <c r="K158" s="10">
        <f>'Precinct Vote Data'!H620</f>
        <v>0.40237691</v>
      </c>
      <c r="L158" s="10">
        <f>'Precinct Vote Data'!H621</f>
        <v>0.3849343469</v>
      </c>
    </row>
    <row r="159" ht="15.0" customHeight="1">
      <c r="A159" s="5" t="s">
        <v>143</v>
      </c>
      <c r="B159" s="5" t="s">
        <v>215</v>
      </c>
      <c r="C159" s="5" t="s">
        <v>221</v>
      </c>
      <c r="D159" s="11">
        <f>MAX(0, 2*'Precinct Vote Data'!G624 - 'Precinct Vote Data'!G622)</f>
        <v>929</v>
      </c>
      <c r="E159" s="10">
        <f t="shared" si="1"/>
        <v>0.4065147741</v>
      </c>
      <c r="F159" s="11">
        <f t="shared" si="2"/>
        <v>378</v>
      </c>
      <c r="G159" s="11">
        <f t="shared" si="3"/>
        <v>551</v>
      </c>
      <c r="H159" s="5" t="str">
        <f t="shared" si="4"/>
        <v>Republican</v>
      </c>
      <c r="I159" s="10">
        <f>'Precinct Vote Data'!H622</f>
        <v>0.480218281</v>
      </c>
      <c r="J159" s="10">
        <f>'Precinct Vote Data'!H623</f>
        <v>0.4243478261</v>
      </c>
      <c r="K159" s="10">
        <f>'Precinct Vote Data'!H624</f>
        <v>0.4500601685</v>
      </c>
      <c r="L159" s="10">
        <f>'Precinct Vote Data'!H625</f>
        <v>0.4215938303</v>
      </c>
    </row>
    <row r="160" ht="15.0" customHeight="1">
      <c r="A160" s="5" t="s">
        <v>143</v>
      </c>
      <c r="B160" s="5" t="s">
        <v>222</v>
      </c>
      <c r="C160" s="5" t="s">
        <v>223</v>
      </c>
      <c r="D160" s="11">
        <f>MAX(0, 2*'Precinct Vote Data'!G628 - 'Precinct Vote Data'!G626)</f>
        <v>1080</v>
      </c>
      <c r="E160" s="10">
        <f t="shared" si="1"/>
        <v>0.4700564691</v>
      </c>
      <c r="F160" s="11">
        <f t="shared" si="2"/>
        <v>508</v>
      </c>
      <c r="G160" s="11">
        <f t="shared" si="3"/>
        <v>572</v>
      </c>
      <c r="H160" s="5" t="str">
        <f t="shared" si="4"/>
        <v>Republican</v>
      </c>
      <c r="I160" s="10">
        <f>'Precinct Vote Data'!H626</f>
        <v>0.5430107527</v>
      </c>
      <c r="J160" s="10">
        <f>'Precinct Vote Data'!H627</f>
        <v>0.5032350827</v>
      </c>
      <c r="K160" s="10">
        <f>'Precinct Vote Data'!H628</f>
        <v>0.5014925373</v>
      </c>
      <c r="L160" s="10">
        <f>'Precinct Vote Data'!H629</f>
        <v>0.4908155768</v>
      </c>
    </row>
    <row r="161" ht="15.0" customHeight="1">
      <c r="A161" s="5" t="s">
        <v>143</v>
      </c>
      <c r="B161" s="5" t="s">
        <v>222</v>
      </c>
      <c r="C161" s="5" t="s">
        <v>224</v>
      </c>
      <c r="D161" s="11">
        <f>MAX(0, 2*'Precinct Vote Data'!G632 - 'Precinct Vote Data'!G630)</f>
        <v>1318</v>
      </c>
      <c r="E161" s="10">
        <f t="shared" si="1"/>
        <v>0.4790397136</v>
      </c>
      <c r="F161" s="11">
        <f t="shared" si="2"/>
        <v>631</v>
      </c>
      <c r="G161" s="11">
        <f t="shared" si="3"/>
        <v>687</v>
      </c>
      <c r="H161" s="5" t="str">
        <f t="shared" si="4"/>
        <v>Republican</v>
      </c>
      <c r="I161" s="10">
        <f>'Precinct Vote Data'!H630</f>
        <v>0.5432692308</v>
      </c>
      <c r="J161" s="10">
        <f>'Precinct Vote Data'!H631</f>
        <v>0.5018915511</v>
      </c>
      <c r="K161" s="10">
        <f>'Precinct Vote Data'!H632</f>
        <v>0.5106022053</v>
      </c>
      <c r="L161" s="10">
        <f>'Precinct Vote Data'!H633</f>
        <v>0.4953732264</v>
      </c>
    </row>
    <row r="162" ht="15.0" customHeight="1">
      <c r="A162" s="5" t="s">
        <v>143</v>
      </c>
      <c r="B162" s="5" t="s">
        <v>222</v>
      </c>
      <c r="C162" s="5" t="s">
        <v>225</v>
      </c>
      <c r="D162" s="11">
        <f>MAX(0, 2*'Precinct Vote Data'!G636 - 'Precinct Vote Data'!G634)</f>
        <v>633</v>
      </c>
      <c r="E162" s="10">
        <f t="shared" si="1"/>
        <v>0.4905588149</v>
      </c>
      <c r="F162" s="11">
        <f t="shared" si="2"/>
        <v>311</v>
      </c>
      <c r="G162" s="11">
        <f t="shared" si="3"/>
        <v>322</v>
      </c>
      <c r="H162" s="5" t="str">
        <f t="shared" si="4"/>
        <v>Republican</v>
      </c>
      <c r="I162" s="10">
        <f>'Precinct Vote Data'!H634</f>
        <v>0.5174537988</v>
      </c>
      <c r="J162" s="10">
        <f>'Precinct Vote Data'!H635</f>
        <v>0.4904891304</v>
      </c>
      <c r="K162" s="10">
        <f>'Precinct Vote Data'!H636</f>
        <v>0.5214285714</v>
      </c>
      <c r="L162" s="10">
        <f>'Precinct Vote Data'!H637</f>
        <v>0.4885714286</v>
      </c>
    </row>
    <row r="163" ht="15.0" customHeight="1">
      <c r="A163" s="5" t="s">
        <v>143</v>
      </c>
      <c r="B163" s="5" t="s">
        <v>222</v>
      </c>
      <c r="C163" s="5" t="s">
        <v>226</v>
      </c>
      <c r="D163" s="11">
        <f>MAX(0, 2*'Precinct Vote Data'!G640 - 'Precinct Vote Data'!G638)</f>
        <v>727</v>
      </c>
      <c r="E163" s="10">
        <f t="shared" si="1"/>
        <v>0.4980970986</v>
      </c>
      <c r="F163" s="11">
        <f t="shared" si="2"/>
        <v>362</v>
      </c>
      <c r="G163" s="11">
        <f t="shared" si="3"/>
        <v>365</v>
      </c>
      <c r="H163" s="5" t="str">
        <f t="shared" si="4"/>
        <v>Republican</v>
      </c>
      <c r="I163" s="10">
        <f>'Precinct Vote Data'!H638</f>
        <v>0.5236294896</v>
      </c>
      <c r="J163" s="10">
        <f>'Precinct Vote Data'!H639</f>
        <v>0.5113350126</v>
      </c>
      <c r="K163" s="10">
        <f>'Precinct Vote Data'!H640</f>
        <v>0.5270700637</v>
      </c>
      <c r="L163" s="10">
        <f>'Precinct Vote Data'!H641</f>
        <v>0.4963768116</v>
      </c>
    </row>
    <row r="164" ht="15.0" customHeight="1">
      <c r="A164" s="5" t="s">
        <v>143</v>
      </c>
      <c r="B164" s="5" t="s">
        <v>222</v>
      </c>
      <c r="C164" s="5" t="s">
        <v>227</v>
      </c>
      <c r="D164" s="11">
        <f>MAX(0, 2*'Precinct Vote Data'!G644 - 'Precinct Vote Data'!G642)</f>
        <v>913</v>
      </c>
      <c r="E164" s="10">
        <f t="shared" si="1"/>
        <v>0.4928662606</v>
      </c>
      <c r="F164" s="11">
        <f t="shared" si="2"/>
        <v>450</v>
      </c>
      <c r="G164" s="11">
        <f t="shared" si="3"/>
        <v>463</v>
      </c>
      <c r="H164" s="5" t="str">
        <f t="shared" si="4"/>
        <v>Republican</v>
      </c>
      <c r="I164" s="10">
        <f>'Precinct Vote Data'!H642</f>
        <v>0.4735547355</v>
      </c>
      <c r="J164" s="10">
        <f>'Precinct Vote Data'!H643</f>
        <v>0.4785388128</v>
      </c>
      <c r="K164" s="10">
        <f>'Precinct Vote Data'!H644</f>
        <v>0.4843568946</v>
      </c>
      <c r="L164" s="10">
        <f>'Precinct Vote Data'!H645</f>
        <v>0.4874651811</v>
      </c>
    </row>
    <row r="165" ht="15.0" customHeight="1">
      <c r="A165" s="5" t="s">
        <v>143</v>
      </c>
      <c r="B165" s="5" t="s">
        <v>222</v>
      </c>
      <c r="C165" s="5" t="s">
        <v>228</v>
      </c>
      <c r="D165" s="11">
        <f>MAX(0, 2*'Precinct Vote Data'!G648 - 'Precinct Vote Data'!G646)</f>
        <v>620</v>
      </c>
      <c r="E165" s="10">
        <f t="shared" si="1"/>
        <v>0.4600347019</v>
      </c>
      <c r="F165" s="11">
        <f t="shared" si="2"/>
        <v>285</v>
      </c>
      <c r="G165" s="11">
        <f t="shared" si="3"/>
        <v>335</v>
      </c>
      <c r="H165" s="5" t="str">
        <f t="shared" si="4"/>
        <v>Republican</v>
      </c>
      <c r="I165" s="10">
        <f>'Precinct Vote Data'!H646</f>
        <v>0.4859437751</v>
      </c>
      <c r="J165" s="10">
        <f>'Precinct Vote Data'!H647</f>
        <v>0.4766214178</v>
      </c>
      <c r="K165" s="10">
        <f>'Precinct Vote Data'!H648</f>
        <v>0.4758497317</v>
      </c>
      <c r="L165" s="10">
        <f>'Precinct Vote Data'!H649</f>
        <v>0.4650817236</v>
      </c>
    </row>
    <row r="166" ht="15.0" customHeight="1">
      <c r="A166" s="5" t="s">
        <v>143</v>
      </c>
      <c r="B166" s="5" t="s">
        <v>222</v>
      </c>
      <c r="C166" s="5" t="s">
        <v>229</v>
      </c>
      <c r="D166" s="11">
        <f>MAX(0, 2*'Precinct Vote Data'!G652 - 'Precinct Vote Data'!G650)</f>
        <v>700</v>
      </c>
      <c r="E166" s="10">
        <f t="shared" si="1"/>
        <v>0.5619369698</v>
      </c>
      <c r="F166" s="11">
        <f t="shared" si="2"/>
        <v>393</v>
      </c>
      <c r="G166" s="11">
        <f t="shared" si="3"/>
        <v>307</v>
      </c>
      <c r="H166" s="5" t="str">
        <f t="shared" si="4"/>
        <v>Democrat</v>
      </c>
      <c r="I166" s="10">
        <f>'Precinct Vote Data'!H650</f>
        <v>0.4730639731</v>
      </c>
      <c r="J166" s="10">
        <f>'Precinct Vote Data'!H651</f>
        <v>0.4877102199</v>
      </c>
      <c r="K166" s="10">
        <f>'Precinct Vote Data'!H652</f>
        <v>0.5409582689</v>
      </c>
      <c r="L166" s="10">
        <f>'Precinct Vote Data'!H653</f>
        <v>0.5279898219</v>
      </c>
    </row>
    <row r="167" ht="15.0" customHeight="1">
      <c r="A167" s="5" t="s">
        <v>143</v>
      </c>
      <c r="B167" s="5" t="s">
        <v>222</v>
      </c>
      <c r="C167" s="5" t="s">
        <v>230</v>
      </c>
      <c r="D167" s="11">
        <f>MAX(0, 2*'Precinct Vote Data'!G656 - 'Precinct Vote Data'!G654)</f>
        <v>956</v>
      </c>
      <c r="E167" s="10">
        <f t="shared" si="1"/>
        <v>0.5119305711</v>
      </c>
      <c r="F167" s="11">
        <f t="shared" si="2"/>
        <v>489</v>
      </c>
      <c r="G167" s="11">
        <f t="shared" si="3"/>
        <v>467</v>
      </c>
      <c r="H167" s="5" t="str">
        <f t="shared" si="4"/>
        <v>Democrat</v>
      </c>
      <c r="I167" s="10">
        <f>'Precinct Vote Data'!H654</f>
        <v>0.4877505568</v>
      </c>
      <c r="J167" s="10">
        <f>'Precinct Vote Data'!H655</f>
        <v>0.4841269841</v>
      </c>
      <c r="K167" s="10">
        <f>'Precinct Vote Data'!H656</f>
        <v>0.5134843581</v>
      </c>
      <c r="L167" s="10">
        <f>'Precinct Vote Data'!H657</f>
        <v>0.4990636704</v>
      </c>
    </row>
    <row r="168" ht="15.0" customHeight="1">
      <c r="A168" s="5" t="s">
        <v>143</v>
      </c>
      <c r="B168" s="5" t="s">
        <v>231</v>
      </c>
      <c r="C168" s="5" t="s">
        <v>232</v>
      </c>
      <c r="D168" s="11">
        <f>MAX(0, 2*'Precinct Vote Data'!G660 - 'Precinct Vote Data'!G658)</f>
        <v>442</v>
      </c>
      <c r="E168" s="10">
        <f t="shared" si="1"/>
        <v>0.4233323219</v>
      </c>
      <c r="F168" s="11">
        <f t="shared" si="2"/>
        <v>187</v>
      </c>
      <c r="G168" s="11">
        <f t="shared" si="3"/>
        <v>255</v>
      </c>
      <c r="H168" s="5" t="str">
        <f t="shared" si="4"/>
        <v>Republican</v>
      </c>
      <c r="I168" s="10">
        <f>'Precinct Vote Data'!H658</f>
        <v>0.4698795181</v>
      </c>
      <c r="J168" s="10">
        <f>'Precinct Vote Data'!H659</f>
        <v>0.3942133816</v>
      </c>
      <c r="K168" s="10">
        <f>'Precinct Vote Data'!H660</f>
        <v>0.480620155</v>
      </c>
      <c r="L168" s="10">
        <f>'Precinct Vote Data'!H661</f>
        <v>0.4179620035</v>
      </c>
    </row>
    <row r="169" ht="15.0" customHeight="1">
      <c r="A169" s="5" t="s">
        <v>143</v>
      </c>
      <c r="B169" s="5" t="s">
        <v>231</v>
      </c>
      <c r="C169" s="5" t="s">
        <v>233</v>
      </c>
      <c r="D169" s="11">
        <f>MAX(0, 2*'Precinct Vote Data'!G664 - 'Precinct Vote Data'!G662)</f>
        <v>324</v>
      </c>
      <c r="E169" s="10">
        <f t="shared" si="1"/>
        <v>0.3765366786</v>
      </c>
      <c r="F169" s="11">
        <f t="shared" si="2"/>
        <v>122</v>
      </c>
      <c r="G169" s="11">
        <f t="shared" si="3"/>
        <v>202</v>
      </c>
      <c r="H169" s="5" t="str">
        <f t="shared" si="4"/>
        <v>Republican</v>
      </c>
      <c r="I169" s="10">
        <f>'Precinct Vote Data'!H662</f>
        <v>0.4714285714</v>
      </c>
      <c r="J169" s="10">
        <f>'Precinct Vote Data'!H663</f>
        <v>0.3867521368</v>
      </c>
      <c r="K169" s="10">
        <f>'Precinct Vote Data'!H664</f>
        <v>0.4437086093</v>
      </c>
      <c r="L169" s="10">
        <f>'Precinct Vote Data'!H665</f>
        <v>0.3903966597</v>
      </c>
    </row>
    <row r="170" ht="15.0" customHeight="1">
      <c r="A170" s="5" t="s">
        <v>143</v>
      </c>
      <c r="B170" s="5" t="s">
        <v>231</v>
      </c>
      <c r="C170" s="5" t="s">
        <v>234</v>
      </c>
      <c r="D170" s="11">
        <f>MAX(0, 2*'Precinct Vote Data'!G668 - 'Precinct Vote Data'!G666)</f>
        <v>773</v>
      </c>
      <c r="E170" s="10">
        <f t="shared" si="1"/>
        <v>0.4069760184</v>
      </c>
      <c r="F170" s="11">
        <f t="shared" si="2"/>
        <v>315</v>
      </c>
      <c r="G170" s="11">
        <f t="shared" si="3"/>
        <v>458</v>
      </c>
      <c r="H170" s="5" t="str">
        <f t="shared" si="4"/>
        <v>Republican</v>
      </c>
      <c r="I170" s="10">
        <f>'Precinct Vote Data'!H666</f>
        <v>0.4519056261</v>
      </c>
      <c r="J170" s="10">
        <f>'Precinct Vote Data'!H667</f>
        <v>0.3984018265</v>
      </c>
      <c r="K170" s="10">
        <f>'Precinct Vote Data'!H668</f>
        <v>0.4395770393</v>
      </c>
      <c r="L170" s="10">
        <f>'Precinct Vote Data'!H669</f>
        <v>0.4131403118</v>
      </c>
    </row>
    <row r="171" ht="15.0" customHeight="1">
      <c r="A171" s="5" t="s">
        <v>143</v>
      </c>
      <c r="B171" s="5" t="s">
        <v>235</v>
      </c>
      <c r="C171" s="5" t="s">
        <v>236</v>
      </c>
      <c r="D171" s="11">
        <f>MAX(0, 2*'Precinct Vote Data'!G672 - 'Precinct Vote Data'!G670)</f>
        <v>1565</v>
      </c>
      <c r="E171" s="10">
        <f t="shared" si="1"/>
        <v>0.4747391784</v>
      </c>
      <c r="F171" s="11">
        <f t="shared" si="2"/>
        <v>743</v>
      </c>
      <c r="G171" s="11">
        <f t="shared" si="3"/>
        <v>822</v>
      </c>
      <c r="H171" s="5" t="str">
        <f t="shared" si="4"/>
        <v>Republican</v>
      </c>
      <c r="I171" s="10">
        <f>'Precinct Vote Data'!H670</f>
        <v>0.5474509804</v>
      </c>
      <c r="J171" s="10">
        <f>'Precinct Vote Data'!H671</f>
        <v>0.4875</v>
      </c>
      <c r="K171" s="10">
        <f>'Precinct Vote Data'!H672</f>
        <v>0.5246478873</v>
      </c>
      <c r="L171" s="10">
        <f>'Precinct Vote Data'!H673</f>
        <v>0.4861407249</v>
      </c>
    </row>
    <row r="172" ht="15.0" customHeight="1">
      <c r="A172" s="5" t="s">
        <v>143</v>
      </c>
      <c r="B172" s="5" t="s">
        <v>235</v>
      </c>
      <c r="C172" s="5" t="s">
        <v>237</v>
      </c>
      <c r="D172" s="11">
        <f>MAX(0, 2*'Precinct Vote Data'!G676 - 'Precinct Vote Data'!G674)</f>
        <v>679</v>
      </c>
      <c r="E172" s="10">
        <f t="shared" si="1"/>
        <v>0.4747142499</v>
      </c>
      <c r="F172" s="11">
        <f t="shared" si="2"/>
        <v>322</v>
      </c>
      <c r="G172" s="11">
        <f t="shared" si="3"/>
        <v>357</v>
      </c>
      <c r="H172" s="5" t="str">
        <f t="shared" si="4"/>
        <v>Republican</v>
      </c>
      <c r="I172" s="10">
        <f>'Precinct Vote Data'!H674</f>
        <v>0.5848142165</v>
      </c>
      <c r="J172" s="10">
        <f>'Precinct Vote Data'!H675</f>
        <v>0.5133333333</v>
      </c>
      <c r="K172" s="10">
        <f>'Precinct Vote Data'!H676</f>
        <v>0.5331278891</v>
      </c>
      <c r="L172" s="10">
        <f>'Precinct Vote Data'!H677</f>
        <v>0.5005574136</v>
      </c>
    </row>
    <row r="173" ht="15.0" customHeight="1">
      <c r="A173" s="5" t="s">
        <v>143</v>
      </c>
      <c r="B173" s="5" t="s">
        <v>235</v>
      </c>
      <c r="C173" s="5" t="s">
        <v>238</v>
      </c>
      <c r="D173" s="11">
        <f>MAX(0, 2*'Precinct Vote Data'!G680 - 'Precinct Vote Data'!G678)</f>
        <v>1823</v>
      </c>
      <c r="E173" s="10">
        <f t="shared" si="1"/>
        <v>0.573975414</v>
      </c>
      <c r="F173" s="11">
        <f t="shared" si="2"/>
        <v>1046</v>
      </c>
      <c r="G173" s="11">
        <f t="shared" si="3"/>
        <v>777</v>
      </c>
      <c r="H173" s="5" t="str">
        <f t="shared" si="4"/>
        <v>Democrat</v>
      </c>
      <c r="I173" s="10">
        <f>'Precinct Vote Data'!H678</f>
        <v>0.5676088617</v>
      </c>
      <c r="J173" s="10">
        <f>'Precinct Vote Data'!H679</f>
        <v>0.5656822811</v>
      </c>
      <c r="K173" s="10">
        <f>'Precinct Vote Data'!H680</f>
        <v>0.5970625798</v>
      </c>
      <c r="L173" s="10">
        <f>'Precinct Vote Data'!H681</f>
        <v>0.5592485549</v>
      </c>
    </row>
    <row r="174" ht="15.0" customHeight="1">
      <c r="A174" s="5" t="s">
        <v>143</v>
      </c>
      <c r="B174" s="5" t="s">
        <v>235</v>
      </c>
      <c r="C174" s="5" t="s">
        <v>239</v>
      </c>
      <c r="D174" s="11">
        <f>MAX(0, 2*'Precinct Vote Data'!G684 - 'Precinct Vote Data'!G682)</f>
        <v>893</v>
      </c>
      <c r="E174" s="10">
        <f t="shared" si="1"/>
        <v>0.468731044</v>
      </c>
      <c r="F174" s="11">
        <f t="shared" si="2"/>
        <v>419</v>
      </c>
      <c r="G174" s="11">
        <f t="shared" si="3"/>
        <v>474</v>
      </c>
      <c r="H174" s="5" t="str">
        <f t="shared" si="4"/>
        <v>Republican</v>
      </c>
      <c r="I174" s="10">
        <f>'Precinct Vote Data'!H682</f>
        <v>0.5162846803</v>
      </c>
      <c r="J174" s="10">
        <f>'Precinct Vote Data'!H683</f>
        <v>0.481884058</v>
      </c>
      <c r="K174" s="10">
        <f>'Precinct Vote Data'!H684</f>
        <v>0.4924506388</v>
      </c>
      <c r="L174" s="10">
        <f>'Precinct Vote Data'!H685</f>
        <v>0.4806480648</v>
      </c>
    </row>
    <row r="175" ht="15.0" customHeight="1">
      <c r="A175" s="5" t="s">
        <v>143</v>
      </c>
      <c r="B175" s="5" t="s">
        <v>235</v>
      </c>
      <c r="C175" s="5" t="s">
        <v>240</v>
      </c>
      <c r="D175" s="11">
        <f>MAX(0, 2*'Precinct Vote Data'!G688 - 'Precinct Vote Data'!G686)</f>
        <v>1498</v>
      </c>
      <c r="E175" s="10">
        <f t="shared" si="1"/>
        <v>0.6026562762</v>
      </c>
      <c r="F175" s="11">
        <f t="shared" si="2"/>
        <v>903</v>
      </c>
      <c r="G175" s="11">
        <f t="shared" si="3"/>
        <v>595</v>
      </c>
      <c r="H175" s="5" t="str">
        <f t="shared" si="4"/>
        <v>Democrat</v>
      </c>
      <c r="I175" s="10">
        <f>'Precinct Vote Data'!H686</f>
        <v>0.6154422789</v>
      </c>
      <c r="J175" s="10">
        <f>'Precinct Vote Data'!H687</f>
        <v>0.5852861035</v>
      </c>
      <c r="K175" s="10">
        <f>'Precinct Vote Data'!H688</f>
        <v>0.615819209</v>
      </c>
      <c r="L175" s="10">
        <f>'Precinct Vote Data'!H689</f>
        <v>0.6024678112</v>
      </c>
    </row>
    <row r="176" ht="15.0" customHeight="1">
      <c r="A176" s="5" t="s">
        <v>143</v>
      </c>
      <c r="B176" s="5" t="s">
        <v>235</v>
      </c>
      <c r="C176" s="5" t="s">
        <v>241</v>
      </c>
      <c r="D176" s="11">
        <f>MAX(0, 2*'Precinct Vote Data'!G692 - 'Precinct Vote Data'!G690)</f>
        <v>1582</v>
      </c>
      <c r="E176" s="10">
        <f t="shared" si="1"/>
        <v>0.6062822804</v>
      </c>
      <c r="F176" s="11">
        <f t="shared" si="2"/>
        <v>959</v>
      </c>
      <c r="G176" s="11">
        <f t="shared" si="3"/>
        <v>623</v>
      </c>
      <c r="H176" s="5" t="str">
        <f t="shared" si="4"/>
        <v>Democrat</v>
      </c>
      <c r="I176" s="10">
        <f>'Precinct Vote Data'!H690</f>
        <v>0.6144</v>
      </c>
      <c r="J176" s="10">
        <f>'Precinct Vote Data'!H691</f>
        <v>0.5968944099</v>
      </c>
      <c r="K176" s="10">
        <f>'Precinct Vote Data'!H692</f>
        <v>0.6292372881</v>
      </c>
      <c r="L176" s="10">
        <f>'Precinct Vote Data'!H693</f>
        <v>0.5988636364</v>
      </c>
    </row>
    <row r="177" ht="15.0" customHeight="1">
      <c r="A177" s="5" t="s">
        <v>143</v>
      </c>
      <c r="B177" s="5" t="s">
        <v>235</v>
      </c>
      <c r="C177" s="5" t="s">
        <v>242</v>
      </c>
      <c r="D177" s="11">
        <f>MAX(0, 2*'Precinct Vote Data'!G696 - 'Precinct Vote Data'!G694)</f>
        <v>863</v>
      </c>
      <c r="E177" s="10">
        <f t="shared" si="1"/>
        <v>0.5083946369</v>
      </c>
      <c r="F177" s="11">
        <f t="shared" si="2"/>
        <v>439</v>
      </c>
      <c r="G177" s="11">
        <f t="shared" si="3"/>
        <v>424</v>
      </c>
      <c r="H177" s="5" t="str">
        <f t="shared" si="4"/>
        <v>Democrat</v>
      </c>
      <c r="I177" s="10">
        <f>'Precinct Vote Data'!H694</f>
        <v>0.5436447167</v>
      </c>
      <c r="J177" s="10">
        <f>'Precinct Vote Data'!H695</f>
        <v>0.5208568207</v>
      </c>
      <c r="K177" s="10">
        <f>'Precinct Vote Data'!H696</f>
        <v>0.5593667546</v>
      </c>
      <c r="L177" s="10">
        <f>'Precinct Vote Data'!H697</f>
        <v>0.5005336179</v>
      </c>
    </row>
    <row r="178" ht="15.0" customHeight="1">
      <c r="A178" s="5" t="s">
        <v>143</v>
      </c>
      <c r="B178" s="5" t="s">
        <v>235</v>
      </c>
      <c r="C178" s="5" t="s">
        <v>243</v>
      </c>
      <c r="D178" s="11">
        <f>MAX(0, 2*'Precinct Vote Data'!G700 - 'Precinct Vote Data'!G698)</f>
        <v>2487</v>
      </c>
      <c r="E178" s="10">
        <f t="shared" si="1"/>
        <v>0.5020838247</v>
      </c>
      <c r="F178" s="11">
        <f t="shared" si="2"/>
        <v>1249</v>
      </c>
      <c r="G178" s="11">
        <f t="shared" si="3"/>
        <v>1238</v>
      </c>
      <c r="H178" s="5" t="str">
        <f t="shared" si="4"/>
        <v>Democrat</v>
      </c>
      <c r="I178" s="10">
        <f>'Precinct Vote Data'!H698</f>
        <v>0.5281823939</v>
      </c>
      <c r="J178" s="10">
        <f>'Precinct Vote Data'!H699</f>
        <v>0.490352349</v>
      </c>
      <c r="K178" s="10">
        <f>'Precinct Vote Data'!H700</f>
        <v>0.5223807182</v>
      </c>
      <c r="L178" s="10">
        <f>'Precinct Vote Data'!H701</f>
        <v>0.5049846626</v>
      </c>
    </row>
    <row r="179" ht="15.0" customHeight="1">
      <c r="A179" s="5" t="s">
        <v>143</v>
      </c>
      <c r="B179" s="5" t="s">
        <v>244</v>
      </c>
      <c r="C179" s="5" t="s">
        <v>245</v>
      </c>
      <c r="D179" s="11">
        <f>MAX(0, 2*'Precinct Vote Data'!G704 - 'Precinct Vote Data'!G702)</f>
        <v>1633</v>
      </c>
      <c r="E179" s="10">
        <f t="shared" si="1"/>
        <v>0.5107806698</v>
      </c>
      <c r="F179" s="11">
        <f t="shared" si="2"/>
        <v>834</v>
      </c>
      <c r="G179" s="11">
        <f t="shared" si="3"/>
        <v>799</v>
      </c>
      <c r="H179" s="5" t="str">
        <f t="shared" si="4"/>
        <v>Democrat</v>
      </c>
      <c r="I179" s="10">
        <f>'Precinct Vote Data'!H702</f>
        <v>0.5189692198</v>
      </c>
      <c r="J179" s="10">
        <f>'Precinct Vote Data'!H703</f>
        <v>0.5035787321</v>
      </c>
      <c r="K179" s="10">
        <f>'Precinct Vote Data'!H704</f>
        <v>0.5359735974</v>
      </c>
      <c r="L179" s="10">
        <f>'Precinct Vote Data'!H705</f>
        <v>0.502278481</v>
      </c>
    </row>
    <row r="180" ht="15.0" customHeight="1">
      <c r="A180" s="5" t="s">
        <v>143</v>
      </c>
      <c r="B180" s="5" t="s">
        <v>244</v>
      </c>
      <c r="C180" s="5" t="s">
        <v>246</v>
      </c>
      <c r="D180" s="11">
        <f>MAX(0, 2*'Precinct Vote Data'!G708 - 'Precinct Vote Data'!G706)</f>
        <v>2245</v>
      </c>
      <c r="E180" s="10">
        <f t="shared" si="1"/>
        <v>0.5124698008</v>
      </c>
      <c r="F180" s="11">
        <f t="shared" si="2"/>
        <v>1150</v>
      </c>
      <c r="G180" s="11">
        <f t="shared" si="3"/>
        <v>1095</v>
      </c>
      <c r="H180" s="5" t="str">
        <f t="shared" si="4"/>
        <v>Democrat</v>
      </c>
      <c r="I180" s="10">
        <f>'Precinct Vote Data'!H706</f>
        <v>0.5162454874</v>
      </c>
      <c r="J180" s="10">
        <f>'Precinct Vote Data'!H707</f>
        <v>0.4951456311</v>
      </c>
      <c r="K180" s="10">
        <f>'Precinct Vote Data'!H708</f>
        <v>0.5205544933</v>
      </c>
      <c r="L180" s="10">
        <f>'Precinct Vote Data'!H709</f>
        <v>0.5103152978</v>
      </c>
    </row>
    <row r="181" ht="15.0" customHeight="1">
      <c r="A181" s="5" t="s">
        <v>143</v>
      </c>
      <c r="B181" s="5" t="s">
        <v>244</v>
      </c>
      <c r="C181" s="5" t="s">
        <v>247</v>
      </c>
      <c r="D181" s="11">
        <f>MAX(0, 2*'Precinct Vote Data'!G712 - 'Precinct Vote Data'!G710)</f>
        <v>1549</v>
      </c>
      <c r="E181" s="10">
        <f t="shared" si="1"/>
        <v>0.4536679685</v>
      </c>
      <c r="F181" s="11">
        <f t="shared" si="2"/>
        <v>703</v>
      </c>
      <c r="G181" s="11">
        <f t="shared" si="3"/>
        <v>846</v>
      </c>
      <c r="H181" s="5" t="str">
        <f t="shared" si="4"/>
        <v>Republican</v>
      </c>
      <c r="I181" s="10">
        <f>'Precinct Vote Data'!H710</f>
        <v>0.4944774851</v>
      </c>
      <c r="J181" s="10">
        <f>'Precinct Vote Data'!H711</f>
        <v>0.4702308627</v>
      </c>
      <c r="K181" s="10">
        <f>'Precinct Vote Data'!H712</f>
        <v>0.4827586207</v>
      </c>
      <c r="L181" s="10">
        <f>'Precinct Vote Data'!H713</f>
        <v>0.4595274007</v>
      </c>
    </row>
    <row r="182" ht="15.0" customHeight="1">
      <c r="A182" s="5" t="s">
        <v>143</v>
      </c>
      <c r="B182" s="5" t="s">
        <v>244</v>
      </c>
      <c r="C182" s="5" t="s">
        <v>248</v>
      </c>
      <c r="D182" s="11">
        <f>MAX(0, 2*'Precinct Vote Data'!G716 - 'Precinct Vote Data'!G714)</f>
        <v>1100</v>
      </c>
      <c r="E182" s="10">
        <f t="shared" si="1"/>
        <v>0.4997228837</v>
      </c>
      <c r="F182" s="11">
        <f t="shared" si="2"/>
        <v>550</v>
      </c>
      <c r="G182" s="11">
        <f t="shared" si="3"/>
        <v>550</v>
      </c>
      <c r="H182" s="5" t="str">
        <f t="shared" si="4"/>
        <v>Republican</v>
      </c>
      <c r="I182" s="10">
        <f>'Precinct Vote Data'!H714</f>
        <v>0.6229508197</v>
      </c>
      <c r="J182" s="10">
        <f>'Precinct Vote Data'!H715</f>
        <v>0.5777777778</v>
      </c>
      <c r="K182" s="10">
        <f>'Precinct Vote Data'!H716</f>
        <v>0.5633187773</v>
      </c>
      <c r="L182" s="10">
        <f>'Precinct Vote Data'!H717</f>
        <v>0.5295389049</v>
      </c>
    </row>
    <row r="183" ht="15.0" customHeight="1">
      <c r="A183" s="5" t="s">
        <v>143</v>
      </c>
      <c r="B183" s="5" t="s">
        <v>244</v>
      </c>
      <c r="C183" s="5" t="s">
        <v>249</v>
      </c>
      <c r="D183" s="11">
        <f>MAX(0, 2*'Precinct Vote Data'!G720 - 'Precinct Vote Data'!G718)</f>
        <v>3095</v>
      </c>
      <c r="E183" s="10">
        <f t="shared" si="1"/>
        <v>0.5484796036</v>
      </c>
      <c r="F183" s="11">
        <f t="shared" si="2"/>
        <v>1698</v>
      </c>
      <c r="G183" s="11">
        <f t="shared" si="3"/>
        <v>1397</v>
      </c>
      <c r="H183" s="5" t="str">
        <f t="shared" si="4"/>
        <v>Democrat</v>
      </c>
      <c r="I183" s="10">
        <f>'Precinct Vote Data'!H718</f>
        <v>0.5246636771</v>
      </c>
      <c r="J183" s="10">
        <f>'Precinct Vote Data'!H719</f>
        <v>0.5252342097</v>
      </c>
      <c r="K183" s="10">
        <f>'Precinct Vote Data'!H720</f>
        <v>0.5523324187</v>
      </c>
      <c r="L183" s="10">
        <f>'Precinct Vote Data'!H721</f>
        <v>0.5346452328</v>
      </c>
    </row>
    <row r="184" ht="15.0" customHeight="1">
      <c r="A184" s="5" t="s">
        <v>143</v>
      </c>
      <c r="B184" s="5" t="s">
        <v>244</v>
      </c>
      <c r="C184" s="5" t="s">
        <v>250</v>
      </c>
      <c r="D184" s="11">
        <f>MAX(0, 2*'Precinct Vote Data'!G724 - 'Precinct Vote Data'!G722)</f>
        <v>1114</v>
      </c>
      <c r="E184" s="10">
        <f t="shared" si="1"/>
        <v>0.4943451705</v>
      </c>
      <c r="F184" s="11">
        <f t="shared" si="2"/>
        <v>551</v>
      </c>
      <c r="G184" s="11">
        <f t="shared" si="3"/>
        <v>563</v>
      </c>
      <c r="H184" s="5" t="str">
        <f t="shared" si="4"/>
        <v>Republican</v>
      </c>
      <c r="I184" s="10">
        <f>'Precinct Vote Data'!H722</f>
        <v>0.5779220779</v>
      </c>
      <c r="J184" s="10">
        <f>'Precinct Vote Data'!H723</f>
        <v>0.5558157689</v>
      </c>
      <c r="K184" s="10">
        <f>'Precinct Vote Data'!H724</f>
        <v>0.5445859873</v>
      </c>
      <c r="L184" s="10">
        <f>'Precinct Vote Data'!H725</f>
        <v>0.5110132159</v>
      </c>
    </row>
    <row r="185" ht="15.0" customHeight="1">
      <c r="A185" s="5" t="s">
        <v>143</v>
      </c>
      <c r="B185" s="5" t="s">
        <v>244</v>
      </c>
      <c r="C185" s="5" t="s">
        <v>251</v>
      </c>
      <c r="D185" s="11">
        <f>MAX(0, 2*'Precinct Vote Data'!G728 - 'Precinct Vote Data'!G726)</f>
        <v>997</v>
      </c>
      <c r="E185" s="10">
        <f t="shared" si="1"/>
        <v>0.5449019157</v>
      </c>
      <c r="F185" s="11">
        <f t="shared" si="2"/>
        <v>543</v>
      </c>
      <c r="G185" s="11">
        <f t="shared" si="3"/>
        <v>454</v>
      </c>
      <c r="H185" s="5" t="str">
        <f t="shared" si="4"/>
        <v>Democrat</v>
      </c>
      <c r="I185" s="10">
        <f>'Precinct Vote Data'!H726</f>
        <v>0.5469336671</v>
      </c>
      <c r="J185" s="10">
        <f>'Precinct Vote Data'!H727</f>
        <v>0.5143504532</v>
      </c>
      <c r="K185" s="10">
        <f>'Precinct Vote Data'!H728</f>
        <v>0.5501113586</v>
      </c>
      <c r="L185" s="10">
        <f>'Precinct Vote Data'!H729</f>
        <v>0.5433130699</v>
      </c>
    </row>
    <row r="186" ht="15.0" customHeight="1">
      <c r="A186" s="5" t="s">
        <v>143</v>
      </c>
      <c r="B186" s="5" t="s">
        <v>244</v>
      </c>
      <c r="C186" s="5" t="s">
        <v>252</v>
      </c>
      <c r="D186" s="11">
        <f>MAX(0, 2*'Precinct Vote Data'!G732 - 'Precinct Vote Data'!G730)</f>
        <v>1167</v>
      </c>
      <c r="E186" s="10">
        <f t="shared" si="1"/>
        <v>0.5045197525</v>
      </c>
      <c r="F186" s="11">
        <f t="shared" si="2"/>
        <v>589</v>
      </c>
      <c r="G186" s="11">
        <f t="shared" si="3"/>
        <v>578</v>
      </c>
      <c r="H186" s="5" t="str">
        <f t="shared" si="4"/>
        <v>Democrat</v>
      </c>
      <c r="I186" s="10">
        <f>'Precinct Vote Data'!H730</f>
        <v>0.5400739827</v>
      </c>
      <c r="J186" s="10">
        <f>'Precinct Vote Data'!H731</f>
        <v>0.5288389513</v>
      </c>
      <c r="K186" s="10">
        <f>'Precinct Vote Data'!H732</f>
        <v>0.5237613751</v>
      </c>
      <c r="L186" s="10">
        <f>'Precinct Vote Data'!H733</f>
        <v>0.5126760563</v>
      </c>
    </row>
    <row r="187" ht="15.0" customHeight="1">
      <c r="A187" s="5" t="s">
        <v>143</v>
      </c>
      <c r="B187" s="5" t="s">
        <v>253</v>
      </c>
      <c r="C187" s="5" t="s">
        <v>254</v>
      </c>
      <c r="D187" s="11">
        <f>MAX(0, 2*'Precinct Vote Data'!G736 - 'Precinct Vote Data'!G734)</f>
        <v>3091</v>
      </c>
      <c r="E187" s="10">
        <f t="shared" si="1"/>
        <v>0.464347125</v>
      </c>
      <c r="F187" s="11">
        <f t="shared" si="2"/>
        <v>1435</v>
      </c>
      <c r="G187" s="11">
        <f t="shared" si="3"/>
        <v>1656</v>
      </c>
      <c r="H187" s="5" t="str">
        <f t="shared" si="4"/>
        <v>Republican</v>
      </c>
      <c r="I187" s="10">
        <f>'Precinct Vote Data'!H734</f>
        <v>0.4886663152</v>
      </c>
      <c r="J187" s="10">
        <f>'Precinct Vote Data'!H735</f>
        <v>0.4602451839</v>
      </c>
      <c r="K187" s="10">
        <f>'Precinct Vote Data'!H736</f>
        <v>0.4859663192</v>
      </c>
      <c r="L187" s="10">
        <f>'Precinct Vote Data'!H737</f>
        <v>0.465697123</v>
      </c>
    </row>
    <row r="188" ht="15.0" customHeight="1">
      <c r="A188" s="5" t="s">
        <v>143</v>
      </c>
      <c r="B188" s="5" t="s">
        <v>253</v>
      </c>
      <c r="C188" s="5" t="s">
        <v>255</v>
      </c>
      <c r="D188" s="11">
        <f>MAX(0, 2*'Precinct Vote Data'!G740 - 'Precinct Vote Data'!G738)</f>
        <v>2236</v>
      </c>
      <c r="E188" s="10">
        <f t="shared" si="1"/>
        <v>0.3803724234</v>
      </c>
      <c r="F188" s="11">
        <f t="shared" si="2"/>
        <v>851</v>
      </c>
      <c r="G188" s="11">
        <f t="shared" si="3"/>
        <v>1385</v>
      </c>
      <c r="H188" s="5" t="str">
        <f t="shared" si="4"/>
        <v>Republican</v>
      </c>
      <c r="I188" s="10">
        <f>'Precinct Vote Data'!H738</f>
        <v>0.4229885057</v>
      </c>
      <c r="J188" s="10">
        <f>'Precinct Vote Data'!H739</f>
        <v>0.391042205</v>
      </c>
      <c r="K188" s="10">
        <f>'Precinct Vote Data'!H740</f>
        <v>0.4124748491</v>
      </c>
      <c r="L188" s="10">
        <f>'Precinct Vote Data'!H741</f>
        <v>0.3856292517</v>
      </c>
    </row>
    <row r="189" ht="15.0" customHeight="1">
      <c r="A189" s="5" t="s">
        <v>143</v>
      </c>
      <c r="B189" s="5" t="s">
        <v>256</v>
      </c>
      <c r="C189" s="5" t="s">
        <v>257</v>
      </c>
      <c r="D189" s="11">
        <f>MAX(0, 2*'Precinct Vote Data'!G744 - 'Precinct Vote Data'!G742)</f>
        <v>1924</v>
      </c>
      <c r="E189" s="10">
        <f t="shared" si="1"/>
        <v>0.49784497</v>
      </c>
      <c r="F189" s="11">
        <f t="shared" si="2"/>
        <v>958</v>
      </c>
      <c r="G189" s="11">
        <f t="shared" si="3"/>
        <v>966</v>
      </c>
      <c r="H189" s="5" t="str">
        <f t="shared" si="4"/>
        <v>Republican</v>
      </c>
      <c r="I189" s="10">
        <f>'Precinct Vote Data'!H742</f>
        <v>0.4853503185</v>
      </c>
      <c r="J189" s="10">
        <f>'Precinct Vote Data'!H743</f>
        <v>0.4735553379</v>
      </c>
      <c r="K189" s="10">
        <f>'Precinct Vote Data'!H744</f>
        <v>0.5082999428</v>
      </c>
      <c r="L189" s="10">
        <f>'Precinct Vote Data'!H745</f>
        <v>0.4863701578</v>
      </c>
    </row>
    <row r="190" ht="15.0" customHeight="1">
      <c r="A190" s="5" t="s">
        <v>143</v>
      </c>
      <c r="B190" s="5" t="s">
        <v>256</v>
      </c>
      <c r="C190" s="5" t="s">
        <v>258</v>
      </c>
      <c r="D190" s="11">
        <f>MAX(0, 2*'Precinct Vote Data'!G748 - 'Precinct Vote Data'!G746)</f>
        <v>1475</v>
      </c>
      <c r="E190" s="10">
        <f t="shared" si="1"/>
        <v>0.4709128758</v>
      </c>
      <c r="F190" s="11">
        <f t="shared" si="2"/>
        <v>695</v>
      </c>
      <c r="G190" s="11">
        <f t="shared" si="3"/>
        <v>780</v>
      </c>
      <c r="H190" s="5" t="str">
        <f t="shared" si="4"/>
        <v>Republican</v>
      </c>
      <c r="I190" s="10">
        <f>'Precinct Vote Data'!H746</f>
        <v>0.4744232698</v>
      </c>
      <c r="J190" s="10">
        <f>'Precinct Vote Data'!H747</f>
        <v>0.4329685363</v>
      </c>
      <c r="K190" s="10">
        <f>'Precinct Vote Data'!H748</f>
        <v>0.4773462783</v>
      </c>
      <c r="L190" s="10">
        <f>'Precinct Vote Data'!H749</f>
        <v>0.4694513716</v>
      </c>
    </row>
    <row r="191" ht="15.0" customHeight="1">
      <c r="A191" s="5" t="s">
        <v>143</v>
      </c>
      <c r="B191" s="5" t="s">
        <v>256</v>
      </c>
      <c r="C191" s="5" t="s">
        <v>259</v>
      </c>
      <c r="D191" s="11">
        <f>MAX(0, 2*'Precinct Vote Data'!G752 - 'Precinct Vote Data'!G750)</f>
        <v>1216</v>
      </c>
      <c r="E191" s="10">
        <f t="shared" si="1"/>
        <v>0.480620429</v>
      </c>
      <c r="F191" s="11">
        <f t="shared" si="2"/>
        <v>584</v>
      </c>
      <c r="G191" s="11">
        <f t="shared" si="3"/>
        <v>632</v>
      </c>
      <c r="H191" s="5" t="str">
        <f t="shared" si="4"/>
        <v>Republican</v>
      </c>
      <c r="I191" s="10">
        <f>'Precinct Vote Data'!H750</f>
        <v>0.4898989899</v>
      </c>
      <c r="J191" s="10">
        <f>'Precinct Vote Data'!H751</f>
        <v>0.4671532847</v>
      </c>
      <c r="K191" s="10">
        <f>'Precinct Vote Data'!H752</f>
        <v>0.4960159363</v>
      </c>
      <c r="L191" s="10">
        <f>'Precinct Vote Data'!H753</f>
        <v>0.4775619558</v>
      </c>
    </row>
    <row r="192" ht="15.0" customHeight="1">
      <c r="A192" s="5" t="s">
        <v>143</v>
      </c>
      <c r="B192" s="5" t="s">
        <v>256</v>
      </c>
      <c r="C192" s="5" t="s">
        <v>260</v>
      </c>
      <c r="D192" s="11">
        <f>MAX(0, 2*'Precinct Vote Data'!G756 - 'Precinct Vote Data'!G754)</f>
        <v>3093</v>
      </c>
      <c r="E192" s="10">
        <f t="shared" si="1"/>
        <v>0.4831045963</v>
      </c>
      <c r="F192" s="11">
        <f t="shared" si="2"/>
        <v>1494</v>
      </c>
      <c r="G192" s="11">
        <f t="shared" si="3"/>
        <v>1599</v>
      </c>
      <c r="H192" s="5" t="str">
        <f t="shared" si="4"/>
        <v>Republican</v>
      </c>
      <c r="I192" s="10">
        <f>'Precinct Vote Data'!H754</f>
        <v>0.4810242341</v>
      </c>
      <c r="J192" s="10">
        <f>'Precinct Vote Data'!H755</f>
        <v>0.4578616352</v>
      </c>
      <c r="K192" s="10">
        <f>'Precinct Vote Data'!H756</f>
        <v>0.4882575758</v>
      </c>
      <c r="L192" s="10">
        <f>'Precinct Vote Data'!H757</f>
        <v>0.4794879255</v>
      </c>
    </row>
    <row r="193" ht="15.0" customHeight="1">
      <c r="A193" s="5" t="s">
        <v>143</v>
      </c>
      <c r="B193" s="5" t="s">
        <v>256</v>
      </c>
      <c r="C193" s="5" t="s">
        <v>261</v>
      </c>
      <c r="D193" s="11">
        <f>MAX(0, 2*'Precinct Vote Data'!G760 - 'Precinct Vote Data'!G758)</f>
        <v>1192</v>
      </c>
      <c r="E193" s="10">
        <f t="shared" si="1"/>
        <v>0.5221591469</v>
      </c>
      <c r="F193" s="11">
        <f t="shared" si="2"/>
        <v>622</v>
      </c>
      <c r="G193" s="11">
        <f t="shared" si="3"/>
        <v>570</v>
      </c>
      <c r="H193" s="5" t="str">
        <f t="shared" si="4"/>
        <v>Democrat</v>
      </c>
      <c r="I193" s="10">
        <f>'Precinct Vote Data'!H758</f>
        <v>0.4886128364</v>
      </c>
      <c r="J193" s="10">
        <f>'Precinct Vote Data'!H759</f>
        <v>0.4725770098</v>
      </c>
      <c r="K193" s="10">
        <f>'Precinct Vote Data'!H760</f>
        <v>0.5180722892</v>
      </c>
      <c r="L193" s="10">
        <f>'Precinct Vote Data'!H761</f>
        <v>0.5074294205</v>
      </c>
    </row>
    <row r="194" ht="15.0" customHeight="1">
      <c r="A194" s="5" t="s">
        <v>143</v>
      </c>
      <c r="B194" s="5" t="s">
        <v>256</v>
      </c>
      <c r="C194" s="5" t="s">
        <v>262</v>
      </c>
      <c r="D194" s="11">
        <f>MAX(0, 2*'Precinct Vote Data'!G764 - 'Precinct Vote Data'!G762)</f>
        <v>1230</v>
      </c>
      <c r="E194" s="10">
        <f t="shared" si="1"/>
        <v>0.5205346246</v>
      </c>
      <c r="F194" s="11">
        <f t="shared" si="2"/>
        <v>640</v>
      </c>
      <c r="G194" s="11">
        <f t="shared" si="3"/>
        <v>590</v>
      </c>
      <c r="H194" s="5" t="str">
        <f t="shared" si="4"/>
        <v>Democrat</v>
      </c>
      <c r="I194" s="10">
        <f>'Precinct Vote Data'!H762</f>
        <v>0.5561674009</v>
      </c>
      <c r="J194" s="10">
        <f>'Precinct Vote Data'!H763</f>
        <v>0.5136702568</v>
      </c>
      <c r="K194" s="10">
        <f>'Precinct Vote Data'!H764</f>
        <v>0.5444340505</v>
      </c>
      <c r="L194" s="10">
        <f>'Precinct Vote Data'!H765</f>
        <v>0.5264012998</v>
      </c>
    </row>
    <row r="195" ht="15.0" customHeight="1">
      <c r="A195" s="5" t="s">
        <v>143</v>
      </c>
      <c r="B195" s="5" t="s">
        <v>263</v>
      </c>
      <c r="C195" s="5" t="s">
        <v>264</v>
      </c>
      <c r="D195" s="11">
        <f>MAX(0, 2*'Precinct Vote Data'!G768 - 'Precinct Vote Data'!G766)</f>
        <v>705</v>
      </c>
      <c r="E195" s="10">
        <f t="shared" si="1"/>
        <v>0.3131781724</v>
      </c>
      <c r="F195" s="11">
        <f t="shared" si="2"/>
        <v>221</v>
      </c>
      <c r="G195" s="11">
        <f t="shared" si="3"/>
        <v>484</v>
      </c>
      <c r="H195" s="5" t="str">
        <f t="shared" si="4"/>
        <v>Republican</v>
      </c>
      <c r="I195" s="10">
        <f>'Precinct Vote Data'!H766</f>
        <v>0.3232104121</v>
      </c>
      <c r="J195" s="10">
        <f>'Precinct Vote Data'!H767</f>
        <v>0.2984869326</v>
      </c>
      <c r="K195" s="10">
        <f>'Precinct Vote Data'!H768</f>
        <v>0.3224699828</v>
      </c>
      <c r="L195" s="10">
        <f>'Precinct Vote Data'!H769</f>
        <v>0.3135483871</v>
      </c>
    </row>
    <row r="196" ht="15.0" customHeight="1">
      <c r="A196" s="5" t="s">
        <v>143</v>
      </c>
      <c r="B196" s="5" t="s">
        <v>263</v>
      </c>
      <c r="C196" s="5" t="s">
        <v>265</v>
      </c>
      <c r="D196" s="11">
        <f>MAX(0, 2*'Precinct Vote Data'!G772 - 'Precinct Vote Data'!G770)</f>
        <v>2230</v>
      </c>
      <c r="E196" s="10">
        <f t="shared" si="1"/>
        <v>0.3345468045</v>
      </c>
      <c r="F196" s="11">
        <f t="shared" si="2"/>
        <v>746</v>
      </c>
      <c r="G196" s="11">
        <f t="shared" si="3"/>
        <v>1484</v>
      </c>
      <c r="H196" s="5" t="str">
        <f t="shared" si="4"/>
        <v>Republican</v>
      </c>
      <c r="I196" s="10">
        <f>'Precinct Vote Data'!H770</f>
        <v>0.3696741855</v>
      </c>
      <c r="J196" s="10">
        <f>'Precinct Vote Data'!H771</f>
        <v>0.3284313725</v>
      </c>
      <c r="K196" s="10">
        <f>'Precinct Vote Data'!H772</f>
        <v>0.3643491898</v>
      </c>
      <c r="L196" s="10">
        <f>'Precinct Vote Data'!H773</f>
        <v>0.3372093023</v>
      </c>
    </row>
    <row r="197" ht="15.0" customHeight="1">
      <c r="A197" s="5" t="s">
        <v>143</v>
      </c>
      <c r="B197" s="5" t="s">
        <v>263</v>
      </c>
      <c r="C197" s="5" t="s">
        <v>266</v>
      </c>
      <c r="D197" s="11">
        <f>MAX(0, 2*'Precinct Vote Data'!G776 - 'Precinct Vote Data'!G774)</f>
        <v>610</v>
      </c>
      <c r="E197" s="10">
        <f t="shared" si="1"/>
        <v>0.2731058892</v>
      </c>
      <c r="F197" s="11">
        <f t="shared" si="2"/>
        <v>167</v>
      </c>
      <c r="G197" s="11">
        <f t="shared" si="3"/>
        <v>443</v>
      </c>
      <c r="H197" s="5" t="str">
        <f t="shared" si="4"/>
        <v>Republican</v>
      </c>
      <c r="I197" s="10">
        <f>'Precinct Vote Data'!H774</f>
        <v>0.3317073171</v>
      </c>
      <c r="J197" s="10">
        <f>'Precinct Vote Data'!H775</f>
        <v>0.3312302839</v>
      </c>
      <c r="K197" s="10">
        <f>'Precinct Vote Data'!H776</f>
        <v>0.331372549</v>
      </c>
      <c r="L197" s="10">
        <f>'Precinct Vote Data'!H777</f>
        <v>0.2732732733</v>
      </c>
    </row>
    <row r="198" ht="15.0" customHeight="1">
      <c r="A198" s="5" t="s">
        <v>143</v>
      </c>
      <c r="B198" s="5" t="s">
        <v>267</v>
      </c>
      <c r="C198" s="5" t="s">
        <v>268</v>
      </c>
      <c r="D198" s="11">
        <f>MAX(0, 2*'Precinct Vote Data'!G780 - 'Precinct Vote Data'!G778)</f>
        <v>3043</v>
      </c>
      <c r="E198" s="10">
        <f t="shared" si="1"/>
        <v>0.354105705</v>
      </c>
      <c r="F198" s="11">
        <f t="shared" si="2"/>
        <v>1078</v>
      </c>
      <c r="G198" s="11">
        <f t="shared" si="3"/>
        <v>1965</v>
      </c>
      <c r="H198" s="5" t="str">
        <f t="shared" si="4"/>
        <v>Republican</v>
      </c>
      <c r="I198" s="10">
        <f>'Precinct Vote Data'!H778</f>
        <v>0.3511319949</v>
      </c>
      <c r="J198" s="10">
        <f>'Precinct Vote Data'!H779</f>
        <v>0.332301022</v>
      </c>
      <c r="K198" s="10">
        <f>'Precinct Vote Data'!H780</f>
        <v>0.3644130758</v>
      </c>
      <c r="L198" s="10">
        <f>'Precinct Vote Data'!H781</f>
        <v>0.3474651645</v>
      </c>
    </row>
    <row r="199" ht="15.0" customHeight="1">
      <c r="A199" s="5" t="s">
        <v>143</v>
      </c>
      <c r="B199" s="5" t="s">
        <v>269</v>
      </c>
      <c r="C199" s="5" t="s">
        <v>270</v>
      </c>
      <c r="D199" s="11">
        <f>MAX(0, 2*'Precinct Vote Data'!G784 - 'Precinct Vote Data'!G782)</f>
        <v>1044</v>
      </c>
      <c r="E199" s="10">
        <f t="shared" si="1"/>
        <v>0.5625254109</v>
      </c>
      <c r="F199" s="11">
        <f t="shared" si="2"/>
        <v>587</v>
      </c>
      <c r="G199" s="11">
        <f t="shared" si="3"/>
        <v>457</v>
      </c>
      <c r="H199" s="5" t="str">
        <f t="shared" si="4"/>
        <v>Democrat</v>
      </c>
      <c r="I199" s="10">
        <f>'Precinct Vote Data'!H782</f>
        <v>0.6631355932</v>
      </c>
      <c r="J199" s="10">
        <f>'Precinct Vote Data'!H783</f>
        <v>0.6291980809</v>
      </c>
      <c r="K199" s="10">
        <f>'Precinct Vote Data'!H784</f>
        <v>0.6167002012</v>
      </c>
      <c r="L199" s="10">
        <f>'Precinct Vote Data'!H785</f>
        <v>0.5857431069</v>
      </c>
    </row>
    <row r="200" ht="15.0" customHeight="1">
      <c r="A200" s="5" t="s">
        <v>143</v>
      </c>
      <c r="B200" s="5" t="s">
        <v>269</v>
      </c>
      <c r="C200" s="5" t="s">
        <v>271</v>
      </c>
      <c r="D200" s="11">
        <f>MAX(0, 2*'Precinct Vote Data'!G788 - 'Precinct Vote Data'!G786)</f>
        <v>373</v>
      </c>
      <c r="E200" s="10">
        <f t="shared" si="1"/>
        <v>0.5261097309</v>
      </c>
      <c r="F200" s="11">
        <f t="shared" si="2"/>
        <v>196</v>
      </c>
      <c r="G200" s="11">
        <f t="shared" si="3"/>
        <v>177</v>
      </c>
      <c r="H200" s="5" t="str">
        <f t="shared" si="4"/>
        <v>Democrat</v>
      </c>
      <c r="I200" s="10">
        <f>'Precinct Vote Data'!H786</f>
        <v>0.5954198473</v>
      </c>
      <c r="J200" s="10">
        <f>'Precinct Vote Data'!H787</f>
        <v>0.5394045534</v>
      </c>
      <c r="K200" s="10">
        <f>'Precinct Vote Data'!H788</f>
        <v>0.5718015666</v>
      </c>
      <c r="L200" s="10">
        <f>'Precinct Vote Data'!H789</f>
        <v>0.5379188713</v>
      </c>
    </row>
    <row r="201" ht="15.0" customHeight="1">
      <c r="A201" s="5" t="s">
        <v>143</v>
      </c>
      <c r="B201" s="5" t="s">
        <v>269</v>
      </c>
      <c r="C201" s="5" t="s">
        <v>272</v>
      </c>
      <c r="D201" s="11">
        <f>MAX(0, 2*'Precinct Vote Data'!G792 - 'Precinct Vote Data'!G790)</f>
        <v>547</v>
      </c>
      <c r="E201" s="10">
        <f t="shared" si="1"/>
        <v>0.5772944451</v>
      </c>
      <c r="F201" s="11">
        <f t="shared" si="2"/>
        <v>316</v>
      </c>
      <c r="G201" s="11">
        <f t="shared" si="3"/>
        <v>231</v>
      </c>
      <c r="H201" s="5" t="str">
        <f t="shared" si="4"/>
        <v>Democrat</v>
      </c>
      <c r="I201" s="10">
        <f>'Precinct Vote Data'!H790</f>
        <v>0.7137176938</v>
      </c>
      <c r="J201" s="10">
        <f>'Precinct Vote Data'!H791</f>
        <v>0.6908045977</v>
      </c>
      <c r="K201" s="10">
        <f>'Precinct Vote Data'!H792</f>
        <v>0.6780952381</v>
      </c>
      <c r="L201" s="10">
        <f>'Precinct Vote Data'!H793</f>
        <v>0.595105673</v>
      </c>
    </row>
    <row r="202" ht="15.0" customHeight="1">
      <c r="A202" s="5" t="s">
        <v>143</v>
      </c>
      <c r="B202" s="5" t="s">
        <v>269</v>
      </c>
      <c r="C202" s="5" t="s">
        <v>273</v>
      </c>
      <c r="D202" s="11">
        <f>MAX(0, 2*'Precinct Vote Data'!G796 - 'Precinct Vote Data'!G794)</f>
        <v>757</v>
      </c>
      <c r="E202" s="10">
        <f t="shared" si="1"/>
        <v>0.5481416373</v>
      </c>
      <c r="F202" s="11">
        <f t="shared" si="2"/>
        <v>415</v>
      </c>
      <c r="G202" s="11">
        <f t="shared" si="3"/>
        <v>342</v>
      </c>
      <c r="H202" s="5" t="str">
        <f t="shared" si="4"/>
        <v>Democrat</v>
      </c>
      <c r="I202" s="10">
        <f>'Precinct Vote Data'!H794</f>
        <v>0.5848142165</v>
      </c>
      <c r="J202" s="10">
        <f>'Precinct Vote Data'!H795</f>
        <v>0.5340314136</v>
      </c>
      <c r="K202" s="10">
        <f>'Precinct Vote Data'!H796</f>
        <v>0.5697674419</v>
      </c>
      <c r="L202" s="10">
        <f>'Precinct Vote Data'!H797</f>
        <v>0.5556650246</v>
      </c>
    </row>
    <row r="203" ht="15.0" customHeight="1">
      <c r="A203" s="5" t="s">
        <v>143</v>
      </c>
      <c r="B203" s="5" t="s">
        <v>269</v>
      </c>
      <c r="C203" s="5" t="s">
        <v>274</v>
      </c>
      <c r="D203" s="11">
        <f>MAX(0, 2*'Precinct Vote Data'!G800 - 'Precinct Vote Data'!G798)</f>
        <v>464</v>
      </c>
      <c r="E203" s="10">
        <f t="shared" si="1"/>
        <v>0.4326970422</v>
      </c>
      <c r="F203" s="11">
        <f t="shared" si="2"/>
        <v>201</v>
      </c>
      <c r="G203" s="11">
        <f t="shared" si="3"/>
        <v>263</v>
      </c>
      <c r="H203" s="5" t="str">
        <f t="shared" si="4"/>
        <v>Republican</v>
      </c>
      <c r="I203" s="10">
        <f>'Precinct Vote Data'!H798</f>
        <v>0.5634517766</v>
      </c>
      <c r="J203" s="10">
        <f>'Precinct Vote Data'!H799</f>
        <v>0.4774305556</v>
      </c>
      <c r="K203" s="10">
        <f>'Precinct Vote Data'!H800</f>
        <v>0.4941724942</v>
      </c>
      <c r="L203" s="10">
        <f>'Precinct Vote Data'!H801</f>
        <v>0.4673366834</v>
      </c>
    </row>
    <row r="204" ht="15.0" customHeight="1">
      <c r="A204" s="5" t="s">
        <v>143</v>
      </c>
      <c r="B204" s="5" t="s">
        <v>269</v>
      </c>
      <c r="C204" s="5" t="s">
        <v>275</v>
      </c>
      <c r="D204" s="11">
        <f>MAX(0, 2*'Precinct Vote Data'!G804 - 'Precinct Vote Data'!G802)</f>
        <v>823</v>
      </c>
      <c r="E204" s="10">
        <f t="shared" si="1"/>
        <v>0.4986263376</v>
      </c>
      <c r="F204" s="11">
        <f t="shared" si="2"/>
        <v>410</v>
      </c>
      <c r="G204" s="11">
        <f t="shared" si="3"/>
        <v>413</v>
      </c>
      <c r="H204" s="5" t="str">
        <f t="shared" si="4"/>
        <v>Republican</v>
      </c>
      <c r="I204" s="10">
        <f>'Precinct Vote Data'!H802</f>
        <v>0.5750394945</v>
      </c>
      <c r="J204" s="10">
        <f>'Precinct Vote Data'!H803</f>
        <v>0.5523091423</v>
      </c>
      <c r="K204" s="10">
        <f>'Precinct Vote Data'!H804</f>
        <v>0.5480769231</v>
      </c>
      <c r="L204" s="10">
        <f>'Precinct Vote Data'!H805</f>
        <v>0.5121076233</v>
      </c>
    </row>
    <row r="205" ht="15.0" customHeight="1">
      <c r="A205" s="5" t="s">
        <v>143</v>
      </c>
      <c r="B205" s="5" t="s">
        <v>269</v>
      </c>
      <c r="C205" s="5" t="s">
        <v>276</v>
      </c>
      <c r="D205" s="11">
        <f>MAX(0, 2*'Precinct Vote Data'!G808 - 'Precinct Vote Data'!G806)</f>
        <v>1522</v>
      </c>
      <c r="E205" s="10">
        <f t="shared" si="1"/>
        <v>0.4559901704</v>
      </c>
      <c r="F205" s="11">
        <f t="shared" si="2"/>
        <v>694</v>
      </c>
      <c r="G205" s="11">
        <f t="shared" si="3"/>
        <v>828</v>
      </c>
      <c r="H205" s="5" t="str">
        <f t="shared" si="4"/>
        <v>Republican</v>
      </c>
      <c r="I205" s="10">
        <f>'Precinct Vote Data'!H806</f>
        <v>0.4942810458</v>
      </c>
      <c r="J205" s="10">
        <f>'Precinct Vote Data'!H807</f>
        <v>0.4640226629</v>
      </c>
      <c r="K205" s="10">
        <f>'Precinct Vote Data'!H808</f>
        <v>0.4836125273</v>
      </c>
      <c r="L205" s="10">
        <f>'Precinct Vote Data'!H809</f>
        <v>0.4613244296</v>
      </c>
    </row>
    <row r="206" ht="15.0" customHeight="1">
      <c r="A206" s="5" t="s">
        <v>143</v>
      </c>
      <c r="B206" s="5" t="s">
        <v>269</v>
      </c>
      <c r="C206" s="5" t="s">
        <v>277</v>
      </c>
      <c r="D206" s="11">
        <f>MAX(0, 2*'Precinct Vote Data'!G812 - 'Precinct Vote Data'!G810)</f>
        <v>1339</v>
      </c>
      <c r="E206" s="10">
        <f t="shared" si="1"/>
        <v>0.4762028799</v>
      </c>
      <c r="F206" s="11">
        <f t="shared" si="2"/>
        <v>638</v>
      </c>
      <c r="G206" s="11">
        <f t="shared" si="3"/>
        <v>701</v>
      </c>
      <c r="H206" s="5" t="str">
        <f t="shared" si="4"/>
        <v>Republican</v>
      </c>
      <c r="I206" s="10">
        <f>'Precinct Vote Data'!H810</f>
        <v>0.5173867229</v>
      </c>
      <c r="J206" s="10">
        <f>'Precinct Vote Data'!H811</f>
        <v>0.465311843</v>
      </c>
      <c r="K206" s="10">
        <f>'Precinct Vote Data'!H812</f>
        <v>0.5043706294</v>
      </c>
      <c r="L206" s="10">
        <f>'Precinct Vote Data'!H813</f>
        <v>0.4827109267</v>
      </c>
    </row>
    <row r="207" ht="15.0" customHeight="1">
      <c r="A207" s="5" t="s">
        <v>143</v>
      </c>
      <c r="B207" s="5" t="s">
        <v>269</v>
      </c>
      <c r="C207" s="5" t="s">
        <v>278</v>
      </c>
      <c r="D207" s="11">
        <f>MAX(0, 2*'Precinct Vote Data'!G816 - 'Precinct Vote Data'!G814)</f>
        <v>897</v>
      </c>
      <c r="E207" s="10">
        <f t="shared" si="1"/>
        <v>0.5021519754</v>
      </c>
      <c r="F207" s="11">
        <f t="shared" si="2"/>
        <v>450</v>
      </c>
      <c r="G207" s="11">
        <f t="shared" si="3"/>
        <v>447</v>
      </c>
      <c r="H207" s="5" t="str">
        <f t="shared" si="4"/>
        <v>Democrat</v>
      </c>
      <c r="I207" s="10">
        <f>'Precinct Vote Data'!H814</f>
        <v>0.5571600481</v>
      </c>
      <c r="J207" s="10">
        <f>'Precinct Vote Data'!H815</f>
        <v>0.5222876367</v>
      </c>
      <c r="K207" s="10">
        <f>'Precinct Vote Data'!H816</f>
        <v>0.5439814815</v>
      </c>
      <c r="L207" s="10">
        <f>'Precinct Vote Data'!H817</f>
        <v>0.5087412587</v>
      </c>
    </row>
    <row r="208" ht="15.0" customHeight="1">
      <c r="A208" s="5" t="s">
        <v>143</v>
      </c>
      <c r="B208" s="5" t="s">
        <v>269</v>
      </c>
      <c r="C208" s="5" t="s">
        <v>279</v>
      </c>
      <c r="D208" s="11">
        <f>MAX(0, 2*'Precinct Vote Data'!G820 - 'Precinct Vote Data'!G818)</f>
        <v>1493</v>
      </c>
      <c r="E208" s="10">
        <f t="shared" si="1"/>
        <v>0.4718036373</v>
      </c>
      <c r="F208" s="11">
        <f t="shared" si="2"/>
        <v>704</v>
      </c>
      <c r="G208" s="11">
        <f t="shared" si="3"/>
        <v>789</v>
      </c>
      <c r="H208" s="5" t="str">
        <f t="shared" si="4"/>
        <v>Republican</v>
      </c>
      <c r="I208" s="10">
        <f>'Precinct Vote Data'!H818</f>
        <v>0.4679891794</v>
      </c>
      <c r="J208" s="10">
        <f>'Precinct Vote Data'!H819</f>
        <v>0.4343558282</v>
      </c>
      <c r="K208" s="10">
        <f>'Precinct Vote Data'!H820</f>
        <v>0.473481937</v>
      </c>
      <c r="L208" s="10">
        <f>'Precinct Vote Data'!H821</f>
        <v>0.4690572585</v>
      </c>
    </row>
    <row r="209" ht="15.0" customHeight="1">
      <c r="A209" s="5" t="s">
        <v>143</v>
      </c>
      <c r="B209" s="5" t="s">
        <v>269</v>
      </c>
      <c r="C209" s="5" t="s">
        <v>280</v>
      </c>
      <c r="D209" s="11">
        <f>MAX(0, 2*'Precinct Vote Data'!G824 - 'Precinct Vote Data'!G822)</f>
        <v>1141</v>
      </c>
      <c r="E209" s="10">
        <f t="shared" si="1"/>
        <v>0.4514481215</v>
      </c>
      <c r="F209" s="11">
        <f t="shared" si="2"/>
        <v>515</v>
      </c>
      <c r="G209" s="11">
        <f t="shared" si="3"/>
        <v>626</v>
      </c>
      <c r="H209" s="5" t="str">
        <f t="shared" si="4"/>
        <v>Republican</v>
      </c>
      <c r="I209" s="10">
        <f>'Precinct Vote Data'!H822</f>
        <v>0.5108280255</v>
      </c>
      <c r="J209" s="10">
        <f>'Precinct Vote Data'!H823</f>
        <v>0.4783269962</v>
      </c>
      <c r="K209" s="10">
        <f>'Precinct Vote Data'!H824</f>
        <v>0.4631360332</v>
      </c>
      <c r="L209" s="10">
        <f>'Precinct Vote Data'!H825</f>
        <v>0.4752941176</v>
      </c>
    </row>
    <row r="210" ht="15.0" customHeight="1">
      <c r="A210" s="5" t="s">
        <v>143</v>
      </c>
      <c r="B210" s="5" t="s">
        <v>269</v>
      </c>
      <c r="C210" s="5" t="s">
        <v>281</v>
      </c>
      <c r="D210" s="11">
        <f>MAX(0, 2*'Precinct Vote Data'!G828 - 'Precinct Vote Data'!G826)</f>
        <v>919</v>
      </c>
      <c r="E210" s="10">
        <f t="shared" si="1"/>
        <v>0.5336711759</v>
      </c>
      <c r="F210" s="11">
        <f t="shared" si="2"/>
        <v>490</v>
      </c>
      <c r="G210" s="11">
        <f t="shared" si="3"/>
        <v>429</v>
      </c>
      <c r="H210" s="5" t="str">
        <f t="shared" si="4"/>
        <v>Democrat</v>
      </c>
      <c r="I210" s="10">
        <f>'Precinct Vote Data'!H826</f>
        <v>0.6231555051</v>
      </c>
      <c r="J210" s="10">
        <f>'Precinct Vote Data'!H827</f>
        <v>0.5973741794</v>
      </c>
      <c r="K210" s="10">
        <f>'Precinct Vote Data'!H828</f>
        <v>0.6044444444</v>
      </c>
      <c r="L210" s="10">
        <f>'Precinct Vote Data'!H829</f>
        <v>0.5430267062</v>
      </c>
    </row>
    <row r="211" ht="15.0" customHeight="1">
      <c r="A211" s="5" t="s">
        <v>282</v>
      </c>
      <c r="B211" s="5" t="s">
        <v>283</v>
      </c>
      <c r="C211" s="5" t="s">
        <v>284</v>
      </c>
      <c r="D211" s="11">
        <f>MAX(0, 2*'Precinct Vote Data'!G832 - 'Precinct Vote Data'!G830)</f>
        <v>784</v>
      </c>
      <c r="E211" s="10">
        <f t="shared" si="1"/>
        <v>0.4861102739</v>
      </c>
      <c r="F211" s="11">
        <f t="shared" si="2"/>
        <v>381</v>
      </c>
      <c r="G211" s="11">
        <f t="shared" si="3"/>
        <v>403</v>
      </c>
      <c r="H211" s="5" t="str">
        <f t="shared" si="4"/>
        <v>Republican</v>
      </c>
      <c r="I211" s="10">
        <f>'Precinct Vote Data'!H830</f>
        <v>0.4716312057</v>
      </c>
      <c r="J211" s="10">
        <f>'Precinct Vote Data'!H831</f>
        <v>0.4766899767</v>
      </c>
      <c r="K211" s="10">
        <f>'Precinct Vote Data'!H832</f>
        <v>0.4836795252</v>
      </c>
      <c r="L211" s="10">
        <f>'Precinct Vote Data'!H833</f>
        <v>0.4800861141</v>
      </c>
    </row>
    <row r="212" ht="15.0" customHeight="1">
      <c r="A212" s="5" t="s">
        <v>282</v>
      </c>
      <c r="B212" s="5" t="s">
        <v>283</v>
      </c>
      <c r="C212" s="5" t="s">
        <v>285</v>
      </c>
      <c r="D212" s="11">
        <f>MAX(0, 2*'Precinct Vote Data'!G836 - 'Precinct Vote Data'!G834)</f>
        <v>1205</v>
      </c>
      <c r="E212" s="10">
        <f t="shared" si="1"/>
        <v>0.4540349807</v>
      </c>
      <c r="F212" s="11">
        <f t="shared" si="2"/>
        <v>547</v>
      </c>
      <c r="G212" s="11">
        <f t="shared" si="3"/>
        <v>658</v>
      </c>
      <c r="H212" s="5" t="str">
        <f t="shared" si="4"/>
        <v>Republican</v>
      </c>
      <c r="I212" s="10">
        <f>'Precinct Vote Data'!H834</f>
        <v>0.4872037915</v>
      </c>
      <c r="J212" s="10">
        <f>'Precinct Vote Data'!H835</f>
        <v>0.4826147427</v>
      </c>
      <c r="K212" s="10">
        <f>'Precinct Vote Data'!H836</f>
        <v>0.4831858407</v>
      </c>
      <c r="L212" s="10">
        <f>'Precinct Vote Data'!H837</f>
        <v>0.456043956</v>
      </c>
    </row>
    <row r="213" ht="15.0" customHeight="1">
      <c r="A213" s="5" t="s">
        <v>282</v>
      </c>
      <c r="B213" s="5" t="s">
        <v>286</v>
      </c>
      <c r="C213" s="5" t="s">
        <v>287</v>
      </c>
      <c r="D213" s="11">
        <f>MAX(0, 2*'Precinct Vote Data'!G840 - 'Precinct Vote Data'!G838)</f>
        <v>2287</v>
      </c>
      <c r="E213" s="10">
        <f t="shared" si="1"/>
        <v>0.4218468015</v>
      </c>
      <c r="F213" s="11">
        <f t="shared" si="2"/>
        <v>965</v>
      </c>
      <c r="G213" s="11">
        <f t="shared" si="3"/>
        <v>1322</v>
      </c>
      <c r="H213" s="5" t="str">
        <f t="shared" si="4"/>
        <v>Republican</v>
      </c>
      <c r="I213" s="10">
        <f>'Precinct Vote Data'!H838</f>
        <v>0.4975096846</v>
      </c>
      <c r="J213" s="10">
        <f>'Precinct Vote Data'!H839</f>
        <v>0.4799426934</v>
      </c>
      <c r="K213" s="10">
        <f>'Precinct Vote Data'!H840</f>
        <v>0.4582315584</v>
      </c>
      <c r="L213" s="10">
        <f>'Precinct Vote Data'!H841</f>
        <v>0.4414858646</v>
      </c>
    </row>
    <row r="214" ht="15.0" customHeight="1">
      <c r="A214" s="5" t="s">
        <v>282</v>
      </c>
      <c r="B214" s="5" t="s">
        <v>286</v>
      </c>
      <c r="C214" s="5" t="s">
        <v>288</v>
      </c>
      <c r="D214" s="11">
        <f>MAX(0, 2*'Precinct Vote Data'!G844 - 'Precinct Vote Data'!G842)</f>
        <v>1935</v>
      </c>
      <c r="E214" s="10">
        <f t="shared" si="1"/>
        <v>0.4114744917</v>
      </c>
      <c r="F214" s="11">
        <f t="shared" si="2"/>
        <v>796</v>
      </c>
      <c r="G214" s="11">
        <f t="shared" si="3"/>
        <v>1139</v>
      </c>
      <c r="H214" s="5" t="str">
        <f t="shared" si="4"/>
        <v>Republican</v>
      </c>
      <c r="I214" s="10">
        <f>'Precinct Vote Data'!H842</f>
        <v>0.4783404515</v>
      </c>
      <c r="J214" s="10">
        <f>'Precinct Vote Data'!H843</f>
        <v>0.4601585315</v>
      </c>
      <c r="K214" s="10">
        <f>'Precinct Vote Data'!H844</f>
        <v>0.4432008954</v>
      </c>
      <c r="L214" s="10">
        <f>'Precinct Vote Data'!H845</f>
        <v>0.4290442698</v>
      </c>
    </row>
    <row r="215" ht="15.0" customHeight="1">
      <c r="A215" s="5" t="s">
        <v>282</v>
      </c>
      <c r="B215" s="5" t="s">
        <v>286</v>
      </c>
      <c r="C215" s="5" t="s">
        <v>289</v>
      </c>
      <c r="D215" s="11">
        <f>MAX(0, 2*'Precinct Vote Data'!G848 - 'Precinct Vote Data'!G846)</f>
        <v>1258</v>
      </c>
      <c r="E215" s="10">
        <f t="shared" si="1"/>
        <v>0.4358223481</v>
      </c>
      <c r="F215" s="11">
        <f t="shared" si="2"/>
        <v>548</v>
      </c>
      <c r="G215" s="11">
        <f t="shared" si="3"/>
        <v>710</v>
      </c>
      <c r="H215" s="5" t="str">
        <f t="shared" si="4"/>
        <v>Republican</v>
      </c>
      <c r="I215" s="10">
        <f>'Precinct Vote Data'!H846</f>
        <v>0.5064794816</v>
      </c>
      <c r="J215" s="10">
        <f>'Precinct Vote Data'!H847</f>
        <v>0.4738351254</v>
      </c>
      <c r="K215" s="10">
        <f>'Precinct Vote Data'!H848</f>
        <v>0.4761904762</v>
      </c>
      <c r="L215" s="10">
        <f>'Precinct Vote Data'!H849</f>
        <v>0.4509668508</v>
      </c>
    </row>
    <row r="216" ht="15.0" customHeight="1">
      <c r="A216" s="5" t="s">
        <v>282</v>
      </c>
      <c r="B216" s="5" t="s">
        <v>286</v>
      </c>
      <c r="C216" s="5" t="s">
        <v>290</v>
      </c>
      <c r="D216" s="11">
        <f>MAX(0, 2*'Precinct Vote Data'!G852 - 'Precinct Vote Data'!G850)</f>
        <v>1565</v>
      </c>
      <c r="E216" s="10">
        <f t="shared" si="1"/>
        <v>0.3714055284</v>
      </c>
      <c r="F216" s="11">
        <f t="shared" si="2"/>
        <v>581</v>
      </c>
      <c r="G216" s="11">
        <f t="shared" si="3"/>
        <v>984</v>
      </c>
      <c r="H216" s="5" t="str">
        <f t="shared" si="4"/>
        <v>Republican</v>
      </c>
      <c r="I216" s="10">
        <f>'Precinct Vote Data'!H850</f>
        <v>0.4097714736</v>
      </c>
      <c r="J216" s="10">
        <f>'Precinct Vote Data'!H851</f>
        <v>0.3980263158</v>
      </c>
      <c r="K216" s="10">
        <f>'Precinct Vote Data'!H852</f>
        <v>0.3846153846</v>
      </c>
      <c r="L216" s="10">
        <f>'Precinct Vote Data'!H853</f>
        <v>0.3839835729</v>
      </c>
    </row>
    <row r="217" ht="15.0" customHeight="1">
      <c r="A217" s="5" t="s">
        <v>282</v>
      </c>
      <c r="B217" s="5" t="s">
        <v>291</v>
      </c>
      <c r="C217" s="5" t="s">
        <v>292</v>
      </c>
      <c r="D217" s="11">
        <f>MAX(0, 2*'Precinct Vote Data'!G856 - 'Precinct Vote Data'!G854)</f>
        <v>1333</v>
      </c>
      <c r="E217" s="10">
        <f t="shared" si="1"/>
        <v>0.5207115227</v>
      </c>
      <c r="F217" s="11">
        <f t="shared" si="2"/>
        <v>694</v>
      </c>
      <c r="G217" s="11">
        <f t="shared" si="3"/>
        <v>639</v>
      </c>
      <c r="H217" s="5" t="str">
        <f t="shared" si="4"/>
        <v>Democrat</v>
      </c>
      <c r="I217" s="10">
        <f>'Precinct Vote Data'!H854</f>
        <v>0.5515418502</v>
      </c>
      <c r="J217" s="10">
        <f>'Precinct Vote Data'!H855</f>
        <v>0.5266821346</v>
      </c>
      <c r="K217" s="10">
        <f>'Precinct Vote Data'!H856</f>
        <v>0.5259319287</v>
      </c>
      <c r="L217" s="10">
        <f>'Precinct Vote Data'!H857</f>
        <v>0.5335164835</v>
      </c>
    </row>
    <row r="218" ht="15.0" customHeight="1">
      <c r="A218" s="5" t="s">
        <v>282</v>
      </c>
      <c r="B218" s="5" t="s">
        <v>291</v>
      </c>
      <c r="C218" s="5" t="s">
        <v>293</v>
      </c>
      <c r="D218" s="11">
        <f>MAX(0, 2*'Precinct Vote Data'!G860 - 'Precinct Vote Data'!G858)</f>
        <v>839</v>
      </c>
      <c r="E218" s="10">
        <f t="shared" si="1"/>
        <v>0.5894267787</v>
      </c>
      <c r="F218" s="11">
        <f t="shared" si="2"/>
        <v>495</v>
      </c>
      <c r="G218" s="11">
        <f t="shared" si="3"/>
        <v>344</v>
      </c>
      <c r="H218" s="5" t="str">
        <f t="shared" si="4"/>
        <v>Democrat</v>
      </c>
      <c r="I218" s="10">
        <f>'Precinct Vote Data'!H858</f>
        <v>0.6091015169</v>
      </c>
      <c r="J218" s="10">
        <f>'Precinct Vote Data'!H859</f>
        <v>0.6137873754</v>
      </c>
      <c r="K218" s="10">
        <f>'Precinct Vote Data'!H860</f>
        <v>0.6143867925</v>
      </c>
      <c r="L218" s="10">
        <f>'Precinct Vote Data'!H861</f>
        <v>0.586784141</v>
      </c>
    </row>
    <row r="219" ht="15.0" customHeight="1">
      <c r="A219" s="5" t="s">
        <v>282</v>
      </c>
      <c r="B219" s="5" t="s">
        <v>291</v>
      </c>
      <c r="C219" s="5" t="s">
        <v>294</v>
      </c>
      <c r="D219" s="11">
        <f>MAX(0, 2*'Precinct Vote Data'!G864 - 'Precinct Vote Data'!G862)</f>
        <v>1610</v>
      </c>
      <c r="E219" s="10">
        <f t="shared" si="1"/>
        <v>0.6964253404</v>
      </c>
      <c r="F219" s="11">
        <f t="shared" si="2"/>
        <v>1121</v>
      </c>
      <c r="G219" s="11">
        <f t="shared" si="3"/>
        <v>489</v>
      </c>
      <c r="H219" s="5" t="str">
        <f t="shared" si="4"/>
        <v>Democrat</v>
      </c>
      <c r="I219" s="10">
        <f>'Precinct Vote Data'!H862</f>
        <v>0.7765108324</v>
      </c>
      <c r="J219" s="10">
        <f>'Precinct Vote Data'!H863</f>
        <v>0.7649006623</v>
      </c>
      <c r="K219" s="10">
        <f>'Precinct Vote Data'!H864</f>
        <v>0.7300832342</v>
      </c>
      <c r="L219" s="10">
        <f>'Precinct Vote Data'!H865</f>
        <v>0.7196391395</v>
      </c>
    </row>
    <row r="220" ht="15.0" customHeight="1">
      <c r="A220" s="5" t="s">
        <v>282</v>
      </c>
      <c r="B220" s="5" t="s">
        <v>291</v>
      </c>
      <c r="C220" s="5" t="s">
        <v>295</v>
      </c>
      <c r="D220" s="11">
        <f>MAX(0, 2*'Precinct Vote Data'!G868 - 'Precinct Vote Data'!G866)</f>
        <v>1502</v>
      </c>
      <c r="E220" s="10">
        <f t="shared" si="1"/>
        <v>0.6508174907</v>
      </c>
      <c r="F220" s="11">
        <f t="shared" si="2"/>
        <v>978</v>
      </c>
      <c r="G220" s="11">
        <f t="shared" si="3"/>
        <v>524</v>
      </c>
      <c r="H220" s="5" t="str">
        <f t="shared" si="4"/>
        <v>Democrat</v>
      </c>
      <c r="I220" s="10">
        <f>'Precinct Vote Data'!H866</f>
        <v>0.7073342736</v>
      </c>
      <c r="J220" s="10">
        <f>'Precinct Vote Data'!H867</f>
        <v>0.6893874029</v>
      </c>
      <c r="K220" s="10">
        <f>'Precinct Vote Data'!H868</f>
        <v>0.6773972603</v>
      </c>
      <c r="L220" s="10">
        <f>'Precinct Vote Data'!H869</f>
        <v>0.6657859974</v>
      </c>
    </row>
    <row r="221" ht="15.0" customHeight="1">
      <c r="A221" s="5" t="s">
        <v>282</v>
      </c>
      <c r="B221" s="5" t="s">
        <v>296</v>
      </c>
      <c r="C221" s="5" t="s">
        <v>59</v>
      </c>
      <c r="D221" s="11">
        <f>MAX(0, 2*'Precinct Vote Data'!G872 - 'Precinct Vote Data'!G870)</f>
        <v>296</v>
      </c>
      <c r="E221" s="10">
        <f t="shared" si="1"/>
        <v>0.6712056867</v>
      </c>
      <c r="F221" s="11">
        <f t="shared" si="2"/>
        <v>199</v>
      </c>
      <c r="G221" s="11">
        <f t="shared" si="3"/>
        <v>97</v>
      </c>
      <c r="H221" s="5" t="str">
        <f t="shared" si="4"/>
        <v>Democrat</v>
      </c>
      <c r="I221" s="10">
        <f>'Precinct Vote Data'!H870</f>
        <v>0.6314102564</v>
      </c>
      <c r="J221" s="10">
        <f>'Precinct Vote Data'!H871</f>
        <v>0.5891472868</v>
      </c>
      <c r="K221" s="10">
        <f>'Precinct Vote Data'!H872</f>
        <v>0.6578947368</v>
      </c>
      <c r="L221" s="10">
        <f>'Precinct Vote Data'!H873</f>
        <v>0.6579634465</v>
      </c>
    </row>
    <row r="222" ht="15.0" customHeight="1">
      <c r="A222" s="5" t="s">
        <v>282</v>
      </c>
      <c r="B222" s="5" t="s">
        <v>297</v>
      </c>
      <c r="C222" s="5" t="s">
        <v>63</v>
      </c>
      <c r="D222" s="11">
        <f>MAX(0, 2*'Precinct Vote Data'!G876 - 'Precinct Vote Data'!G874)</f>
        <v>446</v>
      </c>
      <c r="E222" s="10">
        <f t="shared" si="1"/>
        <v>0.6711250329</v>
      </c>
      <c r="F222" s="11">
        <f t="shared" si="2"/>
        <v>299</v>
      </c>
      <c r="G222" s="11">
        <f t="shared" si="3"/>
        <v>147</v>
      </c>
      <c r="H222" s="5" t="str">
        <f t="shared" si="4"/>
        <v>Democrat</v>
      </c>
      <c r="I222" s="10">
        <f>'Precinct Vote Data'!H874</f>
        <v>0.7122093023</v>
      </c>
      <c r="J222" s="10">
        <f>'Precinct Vote Data'!H875</f>
        <v>0.6975206612</v>
      </c>
      <c r="K222" s="10">
        <f>'Precinct Vote Data'!H876</f>
        <v>0.6987341772</v>
      </c>
      <c r="L222" s="10">
        <f>'Precinct Vote Data'!H877</f>
        <v>0.6778625954</v>
      </c>
    </row>
    <row r="223" ht="15.0" customHeight="1">
      <c r="A223" s="5" t="s">
        <v>282</v>
      </c>
      <c r="B223" s="5" t="s">
        <v>297</v>
      </c>
      <c r="C223" s="5" t="s">
        <v>73</v>
      </c>
      <c r="D223" s="11">
        <f>MAX(0, 2*'Precinct Vote Data'!G880 - 'Precinct Vote Data'!G878)</f>
        <v>0</v>
      </c>
      <c r="E223" s="10">
        <f t="shared" si="1"/>
        <v>0.6872067385</v>
      </c>
      <c r="F223" s="11">
        <f t="shared" si="2"/>
        <v>0</v>
      </c>
      <c r="G223" s="11">
        <f t="shared" si="3"/>
        <v>0</v>
      </c>
      <c r="H223" s="5" t="str">
        <f t="shared" si="4"/>
        <v>Democrat</v>
      </c>
      <c r="I223" s="10">
        <f>'Precinct Vote Data'!H878</f>
        <v>0.8005698006</v>
      </c>
      <c r="J223" s="10">
        <f>'Precinct Vote Data'!H879</f>
        <v>0.7195402299</v>
      </c>
      <c r="K223" s="10">
        <f>'Precinct Vote Data'!H880</f>
        <v>0.7257525084</v>
      </c>
      <c r="L223" s="10">
        <f>'Precinct Vote Data'!H881</f>
        <v>0.7246153846</v>
      </c>
    </row>
    <row r="224" ht="15.0" customHeight="1">
      <c r="A224" s="5" t="s">
        <v>282</v>
      </c>
      <c r="B224" s="5" t="s">
        <v>297</v>
      </c>
      <c r="C224" s="5" t="s">
        <v>74</v>
      </c>
      <c r="D224" s="11">
        <f>MAX(0, 2*'Precinct Vote Data'!G884 - 'Precinct Vote Data'!G882)</f>
        <v>181</v>
      </c>
      <c r="E224" s="10">
        <f t="shared" si="1"/>
        <v>0.5947004107</v>
      </c>
      <c r="F224" s="11">
        <f t="shared" si="2"/>
        <v>108</v>
      </c>
      <c r="G224" s="11">
        <f t="shared" si="3"/>
        <v>73</v>
      </c>
      <c r="H224" s="5" t="str">
        <f t="shared" si="4"/>
        <v>Democrat</v>
      </c>
      <c r="I224" s="10">
        <f>'Precinct Vote Data'!H882</f>
        <v>0.6475770925</v>
      </c>
      <c r="J224" s="10">
        <f>'Precinct Vote Data'!H883</f>
        <v>0.6225165563</v>
      </c>
      <c r="K224" s="10">
        <f>'Precinct Vote Data'!H884</f>
        <v>0.6176470588</v>
      </c>
      <c r="L224" s="10">
        <f>'Precinct Vote Data'!H885</f>
        <v>0.6096654275</v>
      </c>
    </row>
    <row r="225" ht="15.0" customHeight="1">
      <c r="A225" s="5" t="s">
        <v>282</v>
      </c>
      <c r="B225" s="5" t="s">
        <v>297</v>
      </c>
      <c r="C225" s="5" t="s">
        <v>76</v>
      </c>
      <c r="D225" s="11">
        <f>MAX(0, 2*'Precinct Vote Data'!G888 - 'Precinct Vote Data'!G886)</f>
        <v>541</v>
      </c>
      <c r="E225" s="10">
        <f t="shared" si="1"/>
        <v>0.56155345</v>
      </c>
      <c r="F225" s="11">
        <f t="shared" si="2"/>
        <v>304</v>
      </c>
      <c r="G225" s="11">
        <f t="shared" si="3"/>
        <v>237</v>
      </c>
      <c r="H225" s="5" t="str">
        <f t="shared" si="4"/>
        <v>Democrat</v>
      </c>
      <c r="I225" s="10">
        <f>'Precinct Vote Data'!H886</f>
        <v>0.6381709742</v>
      </c>
      <c r="J225" s="10">
        <f>'Precinct Vote Data'!H887</f>
        <v>0.5966850829</v>
      </c>
      <c r="K225" s="10">
        <f>'Precinct Vote Data'!H888</f>
        <v>0.5785440613</v>
      </c>
      <c r="L225" s="10">
        <f>'Precinct Vote Data'!H889</f>
        <v>0.5913669065</v>
      </c>
    </row>
    <row r="226" ht="15.0" customHeight="1">
      <c r="A226" s="5" t="s">
        <v>282</v>
      </c>
      <c r="B226" s="5" t="s">
        <v>297</v>
      </c>
      <c r="C226" s="5" t="s">
        <v>78</v>
      </c>
      <c r="D226" s="11">
        <f>MAX(0, 2*'Precinct Vote Data'!G892 - 'Precinct Vote Data'!G890)</f>
        <v>462</v>
      </c>
      <c r="E226" s="10">
        <f t="shared" si="1"/>
        <v>0.5342740645</v>
      </c>
      <c r="F226" s="11">
        <f t="shared" si="2"/>
        <v>247</v>
      </c>
      <c r="G226" s="11">
        <f t="shared" si="3"/>
        <v>215</v>
      </c>
      <c r="H226" s="5" t="str">
        <f t="shared" si="4"/>
        <v>Democrat</v>
      </c>
      <c r="I226" s="10">
        <f>'Precinct Vote Data'!H890</f>
        <v>0.6514423077</v>
      </c>
      <c r="J226" s="10">
        <f>'Precinct Vote Data'!H891</f>
        <v>0.6025437202</v>
      </c>
      <c r="K226" s="10">
        <f>'Precinct Vote Data'!H892</f>
        <v>0.6150341686</v>
      </c>
      <c r="L226" s="10">
        <f>'Precinct Vote Data'!H893</f>
        <v>0.5524781341</v>
      </c>
    </row>
    <row r="227" ht="15.0" customHeight="1">
      <c r="A227" s="5" t="s">
        <v>282</v>
      </c>
      <c r="B227" s="5" t="s">
        <v>297</v>
      </c>
      <c r="C227" s="5" t="s">
        <v>79</v>
      </c>
      <c r="D227" s="11">
        <f>MAX(0, 2*'Precinct Vote Data'!G896 - 'Precinct Vote Data'!G894)</f>
        <v>569</v>
      </c>
      <c r="E227" s="10">
        <f t="shared" si="1"/>
        <v>0.5862936374</v>
      </c>
      <c r="F227" s="11">
        <f t="shared" si="2"/>
        <v>334</v>
      </c>
      <c r="G227" s="11">
        <f t="shared" si="3"/>
        <v>235</v>
      </c>
      <c r="H227" s="5" t="str">
        <f t="shared" si="4"/>
        <v>Democrat</v>
      </c>
      <c r="I227" s="10">
        <f>'Precinct Vote Data'!H894</f>
        <v>0.6394557823</v>
      </c>
      <c r="J227" s="10">
        <f>'Precinct Vote Data'!H895</f>
        <v>0.6038514443</v>
      </c>
      <c r="K227" s="10">
        <f>'Precinct Vote Data'!H896</f>
        <v>0.5940594059</v>
      </c>
      <c r="L227" s="10">
        <f>'Precinct Vote Data'!H897</f>
        <v>0.6089918256</v>
      </c>
    </row>
    <row r="228" ht="15.0" customHeight="1">
      <c r="A228" s="5" t="s">
        <v>282</v>
      </c>
      <c r="B228" s="5" t="s">
        <v>298</v>
      </c>
      <c r="C228" s="5" t="s">
        <v>87</v>
      </c>
      <c r="D228" s="11">
        <f>MAX(0, 2*'Precinct Vote Data'!G900 - 'Precinct Vote Data'!G898)</f>
        <v>1408</v>
      </c>
      <c r="E228" s="10">
        <f t="shared" si="1"/>
        <v>0.2761008092</v>
      </c>
      <c r="F228" s="11">
        <f t="shared" si="2"/>
        <v>389</v>
      </c>
      <c r="G228" s="11">
        <f t="shared" si="3"/>
        <v>1019</v>
      </c>
      <c r="H228" s="5" t="str">
        <f t="shared" si="4"/>
        <v>Republican</v>
      </c>
      <c r="I228" s="10">
        <f>'Precinct Vote Data'!H898</f>
        <v>0.343035343</v>
      </c>
      <c r="J228" s="10">
        <f>'Precinct Vote Data'!H899</f>
        <v>0.3281143635</v>
      </c>
      <c r="K228" s="10">
        <f>'Precinct Vote Data'!H900</f>
        <v>0.3046413502</v>
      </c>
      <c r="L228" s="10">
        <f>'Precinct Vote Data'!H901</f>
        <v>0.2952978056</v>
      </c>
    </row>
    <row r="229" ht="15.0" customHeight="1">
      <c r="A229" s="5" t="s">
        <v>282</v>
      </c>
      <c r="B229" s="5" t="s">
        <v>299</v>
      </c>
      <c r="C229" s="5" t="s">
        <v>88</v>
      </c>
      <c r="D229" s="11">
        <f>MAX(0, 2*'Precinct Vote Data'!G904 - 'Precinct Vote Data'!G902)</f>
        <v>2376</v>
      </c>
      <c r="E229" s="10">
        <f t="shared" si="1"/>
        <v>0.4887575098</v>
      </c>
      <c r="F229" s="11">
        <f t="shared" si="2"/>
        <v>1161</v>
      </c>
      <c r="G229" s="11">
        <f t="shared" si="3"/>
        <v>1215</v>
      </c>
      <c r="H229" s="5" t="str">
        <f t="shared" si="4"/>
        <v>Republican</v>
      </c>
      <c r="I229" s="10">
        <f>'Precinct Vote Data'!H902</f>
        <v>0.4554108216</v>
      </c>
      <c r="J229" s="10">
        <f>'Precinct Vote Data'!H903</f>
        <v>0.443254818</v>
      </c>
      <c r="K229" s="10">
        <f>'Precinct Vote Data'!H904</f>
        <v>0.4894784995</v>
      </c>
      <c r="L229" s="10">
        <f>'Precinct Vote Data'!H905</f>
        <v>0.4717236708</v>
      </c>
    </row>
    <row r="230" ht="15.0" customHeight="1">
      <c r="A230" s="5" t="s">
        <v>282</v>
      </c>
      <c r="B230" s="5" t="s">
        <v>299</v>
      </c>
      <c r="C230" s="5" t="s">
        <v>89</v>
      </c>
      <c r="D230" s="11">
        <f>MAX(0, 2*'Precinct Vote Data'!G908 - 'Precinct Vote Data'!G906)</f>
        <v>1624</v>
      </c>
      <c r="E230" s="10">
        <f t="shared" si="1"/>
        <v>0.4295007283</v>
      </c>
      <c r="F230" s="11">
        <f t="shared" si="2"/>
        <v>698</v>
      </c>
      <c r="G230" s="11">
        <f t="shared" si="3"/>
        <v>926</v>
      </c>
      <c r="H230" s="5" t="str">
        <f t="shared" si="4"/>
        <v>Republican</v>
      </c>
      <c r="I230" s="10">
        <f>'Precinct Vote Data'!H906</f>
        <v>0.4605462822</v>
      </c>
      <c r="J230" s="10">
        <f>'Precinct Vote Data'!H907</f>
        <v>0.4397126732</v>
      </c>
      <c r="K230" s="10">
        <f>'Precinct Vote Data'!H908</f>
        <v>0.4398368457</v>
      </c>
      <c r="L230" s="10">
        <f>'Precinct Vote Data'!H909</f>
        <v>0.4398554466</v>
      </c>
    </row>
    <row r="231" ht="15.0" customHeight="1">
      <c r="A231" s="5" t="s">
        <v>282</v>
      </c>
      <c r="B231" s="5" t="s">
        <v>300</v>
      </c>
      <c r="C231" s="5" t="s">
        <v>91</v>
      </c>
      <c r="D231" s="11">
        <f>MAX(0, 2*'Precinct Vote Data'!G912 - 'Precinct Vote Data'!G910)</f>
        <v>203</v>
      </c>
      <c r="E231" s="10">
        <f t="shared" si="1"/>
        <v>0.463277321</v>
      </c>
      <c r="F231" s="11">
        <f t="shared" si="2"/>
        <v>94</v>
      </c>
      <c r="G231" s="11">
        <f t="shared" si="3"/>
        <v>109</v>
      </c>
      <c r="H231" s="5" t="str">
        <f t="shared" si="4"/>
        <v>Republican</v>
      </c>
      <c r="I231" s="10">
        <f>'Precinct Vote Data'!H910</f>
        <v>0.5077829196</v>
      </c>
      <c r="J231" s="10">
        <f>'Precinct Vote Data'!H911</f>
        <v>0.5057471264</v>
      </c>
      <c r="K231" s="10">
        <f>'Precinct Vote Data'!H912</f>
        <v>0.4775193798</v>
      </c>
      <c r="L231" s="10">
        <f>'Precinct Vote Data'!H913</f>
        <v>0.4784090909</v>
      </c>
    </row>
    <row r="232" ht="15.0" customHeight="1">
      <c r="A232" s="5" t="s">
        <v>282</v>
      </c>
      <c r="B232" s="5" t="s">
        <v>301</v>
      </c>
      <c r="C232" s="5" t="s">
        <v>302</v>
      </c>
      <c r="D232" s="11">
        <f>MAX(0, 2*'Precinct Vote Data'!G916 - 'Precinct Vote Data'!G914)</f>
        <v>2659</v>
      </c>
      <c r="E232" s="10">
        <f t="shared" si="1"/>
        <v>0.5604158516</v>
      </c>
      <c r="F232" s="11">
        <f t="shared" si="2"/>
        <v>1490</v>
      </c>
      <c r="G232" s="11">
        <f t="shared" si="3"/>
        <v>1169</v>
      </c>
      <c r="H232" s="5" t="str">
        <f t="shared" si="4"/>
        <v>Democrat</v>
      </c>
      <c r="I232" s="10">
        <f>'Precinct Vote Data'!H914</f>
        <v>0.6343253159</v>
      </c>
      <c r="J232" s="10">
        <f>'Precinct Vote Data'!H915</f>
        <v>0.6406543309</v>
      </c>
      <c r="K232" s="10">
        <f>'Precinct Vote Data'!H916</f>
        <v>0.6146322379</v>
      </c>
      <c r="L232" s="10">
        <f>'Precinct Vote Data'!H917</f>
        <v>0.5702623907</v>
      </c>
    </row>
    <row r="233" ht="15.0" customHeight="1">
      <c r="A233" s="5" t="s">
        <v>282</v>
      </c>
      <c r="B233" s="5" t="s">
        <v>303</v>
      </c>
      <c r="C233" s="5" t="s">
        <v>94</v>
      </c>
      <c r="D233" s="11">
        <f>MAX(0, 2*'Precinct Vote Data'!G920 - 'Precinct Vote Data'!G918)</f>
        <v>845</v>
      </c>
      <c r="E233" s="10">
        <f t="shared" si="1"/>
        <v>0.5992522584</v>
      </c>
      <c r="F233" s="11">
        <f t="shared" si="2"/>
        <v>506</v>
      </c>
      <c r="G233" s="11">
        <f t="shared" si="3"/>
        <v>339</v>
      </c>
      <c r="H233" s="5" t="str">
        <f t="shared" si="4"/>
        <v>Democrat</v>
      </c>
      <c r="I233" s="10">
        <f>'Precinct Vote Data'!H918</f>
        <v>0.6072572038</v>
      </c>
      <c r="J233" s="10">
        <f>'Precinct Vote Data'!H919</f>
        <v>0.6522309711</v>
      </c>
      <c r="K233" s="10">
        <f>'Precinct Vote Data'!H920</f>
        <v>0.6184062851</v>
      </c>
      <c r="L233" s="10">
        <f>'Precinct Vote Data'!H921</f>
        <v>0.5936777178</v>
      </c>
    </row>
    <row r="234" ht="15.0" customHeight="1">
      <c r="A234" s="5" t="s">
        <v>282</v>
      </c>
      <c r="B234" s="5" t="s">
        <v>304</v>
      </c>
      <c r="C234" s="5" t="s">
        <v>95</v>
      </c>
      <c r="D234" s="11">
        <f>MAX(0, 2*'Precinct Vote Data'!G924 - 'Precinct Vote Data'!G922)</f>
        <v>1363</v>
      </c>
      <c r="E234" s="10">
        <f t="shared" si="1"/>
        <v>0.4490705045</v>
      </c>
      <c r="F234" s="11">
        <f t="shared" si="2"/>
        <v>612</v>
      </c>
      <c r="G234" s="11">
        <f t="shared" si="3"/>
        <v>751</v>
      </c>
      <c r="H234" s="5" t="str">
        <f t="shared" si="4"/>
        <v>Republican</v>
      </c>
      <c r="I234" s="10">
        <f>'Precinct Vote Data'!H922</f>
        <v>0.4937133277</v>
      </c>
      <c r="J234" s="10">
        <f>'Precinct Vote Data'!H923</f>
        <v>0.4724035608</v>
      </c>
      <c r="K234" s="10">
        <f>'Precinct Vote Data'!H924</f>
        <v>0.4718309859</v>
      </c>
      <c r="L234" s="10">
        <f>'Precinct Vote Data'!H925</f>
        <v>0.4600116754</v>
      </c>
    </row>
    <row r="235" ht="15.0" customHeight="1">
      <c r="A235" s="5" t="s">
        <v>282</v>
      </c>
      <c r="B235" s="5" t="s">
        <v>305</v>
      </c>
      <c r="C235" s="5" t="s">
        <v>306</v>
      </c>
      <c r="D235" s="11">
        <f>MAX(0, 2*'Precinct Vote Data'!G928 - 'Precinct Vote Data'!G926)</f>
        <v>865</v>
      </c>
      <c r="E235" s="10">
        <f t="shared" si="1"/>
        <v>0.5100756919</v>
      </c>
      <c r="F235" s="11">
        <f t="shared" si="2"/>
        <v>441</v>
      </c>
      <c r="G235" s="11">
        <f t="shared" si="3"/>
        <v>424</v>
      </c>
      <c r="H235" s="5" t="str">
        <f t="shared" si="4"/>
        <v>Democrat</v>
      </c>
      <c r="I235" s="10">
        <f>'Precinct Vote Data'!H926</f>
        <v>0.5127516779</v>
      </c>
      <c r="J235" s="10">
        <f>'Precinct Vote Data'!H927</f>
        <v>0.5105363985</v>
      </c>
      <c r="K235" s="10">
        <f>'Precinct Vote Data'!H928</f>
        <v>0.5068322981</v>
      </c>
      <c r="L235" s="10">
        <f>'Precinct Vote Data'!H929</f>
        <v>0.5130353818</v>
      </c>
    </row>
    <row r="236" ht="15.0" customHeight="1">
      <c r="A236" s="5" t="s">
        <v>282</v>
      </c>
      <c r="B236" s="5" t="s">
        <v>305</v>
      </c>
      <c r="C236" s="5" t="s">
        <v>307</v>
      </c>
      <c r="D236" s="11">
        <f>MAX(0, 2*'Precinct Vote Data'!G932 - 'Precinct Vote Data'!G930)</f>
        <v>1078</v>
      </c>
      <c r="E236" s="10">
        <f t="shared" si="1"/>
        <v>0.5250120559</v>
      </c>
      <c r="F236" s="11">
        <f t="shared" si="2"/>
        <v>566</v>
      </c>
      <c r="G236" s="11">
        <f t="shared" si="3"/>
        <v>512</v>
      </c>
      <c r="H236" s="5" t="str">
        <f t="shared" si="4"/>
        <v>Democrat</v>
      </c>
      <c r="I236" s="10">
        <f>'Precinct Vote Data'!H930</f>
        <v>0.5516853933</v>
      </c>
      <c r="J236" s="10">
        <f>'Precinct Vote Data'!H931</f>
        <v>0.5476190476</v>
      </c>
      <c r="K236" s="10">
        <f>'Precinct Vote Data'!H932</f>
        <v>0.5294715447</v>
      </c>
      <c r="L236" s="10">
        <f>'Precinct Vote Data'!H933</f>
        <v>0.5361189802</v>
      </c>
    </row>
    <row r="237" ht="15.0" customHeight="1">
      <c r="A237" s="5" t="s">
        <v>282</v>
      </c>
      <c r="B237" s="5" t="s">
        <v>305</v>
      </c>
      <c r="C237" s="5" t="s">
        <v>308</v>
      </c>
      <c r="D237" s="11">
        <f>MAX(0, 2*'Precinct Vote Data'!G936 - 'Precinct Vote Data'!G934)</f>
        <v>1052</v>
      </c>
      <c r="E237" s="10">
        <f t="shared" si="1"/>
        <v>0.5043023752</v>
      </c>
      <c r="F237" s="11">
        <f t="shared" si="2"/>
        <v>531</v>
      </c>
      <c r="G237" s="11">
        <f t="shared" si="3"/>
        <v>521</v>
      </c>
      <c r="H237" s="5" t="str">
        <f t="shared" si="4"/>
        <v>Democrat</v>
      </c>
      <c r="I237" s="10">
        <f>'Precinct Vote Data'!H934</f>
        <v>0.5504587156</v>
      </c>
      <c r="J237" s="10">
        <f>'Precinct Vote Data'!H935</f>
        <v>0.5313351499</v>
      </c>
      <c r="K237" s="10">
        <f>'Precinct Vote Data'!H936</f>
        <v>0.5378151261</v>
      </c>
      <c r="L237" s="10">
        <f>'Precinct Vote Data'!H937</f>
        <v>0.51062417</v>
      </c>
    </row>
    <row r="238" ht="15.0" customHeight="1">
      <c r="A238" s="5" t="s">
        <v>282</v>
      </c>
      <c r="B238" s="5" t="s">
        <v>305</v>
      </c>
      <c r="C238" s="5" t="s">
        <v>309</v>
      </c>
      <c r="D238" s="11">
        <f>MAX(0, 2*'Precinct Vote Data'!G940 - 'Precinct Vote Data'!G938)</f>
        <v>1502</v>
      </c>
      <c r="E238" s="10">
        <f t="shared" si="1"/>
        <v>0.5424312893</v>
      </c>
      <c r="F238" s="11">
        <f t="shared" si="2"/>
        <v>815</v>
      </c>
      <c r="G238" s="11">
        <f t="shared" si="3"/>
        <v>687</v>
      </c>
      <c r="H238" s="5" t="str">
        <f t="shared" si="4"/>
        <v>Democrat</v>
      </c>
      <c r="I238" s="10">
        <f>'Precinct Vote Data'!H938</f>
        <v>0.5287356322</v>
      </c>
      <c r="J238" s="10">
        <f>'Precinct Vote Data'!H939</f>
        <v>0.5425935974</v>
      </c>
      <c r="K238" s="10">
        <f>'Precinct Vote Data'!H940</f>
        <v>0.5492647059</v>
      </c>
      <c r="L238" s="10">
        <f>'Precinct Vote Data'!H941</f>
        <v>0.5321667524</v>
      </c>
    </row>
    <row r="239" ht="15.0" customHeight="1">
      <c r="A239" s="5" t="s">
        <v>282</v>
      </c>
      <c r="B239" s="5" t="s">
        <v>310</v>
      </c>
      <c r="C239" s="5" t="s">
        <v>100</v>
      </c>
      <c r="D239" s="11">
        <f>MAX(0, 2*'Precinct Vote Data'!G944 - 'Precinct Vote Data'!G942)</f>
        <v>3530</v>
      </c>
      <c r="E239" s="10">
        <f t="shared" si="1"/>
        <v>0.2946826633</v>
      </c>
      <c r="F239" s="11">
        <f t="shared" si="2"/>
        <v>1040</v>
      </c>
      <c r="G239" s="11">
        <f t="shared" si="3"/>
        <v>2490</v>
      </c>
      <c r="H239" s="5" t="str">
        <f t="shared" si="4"/>
        <v>Republican</v>
      </c>
      <c r="I239" s="10">
        <f>'Precinct Vote Data'!H942</f>
        <v>0.4068548387</v>
      </c>
      <c r="J239" s="10">
        <f>'Precinct Vote Data'!H943</f>
        <v>0.3638917263</v>
      </c>
      <c r="K239" s="10">
        <f>'Precinct Vote Data'!H944</f>
        <v>0.3397670549</v>
      </c>
      <c r="L239" s="10">
        <f>'Precinct Vote Data'!H945</f>
        <v>0.3282265552</v>
      </c>
    </row>
    <row r="240" ht="15.0" customHeight="1">
      <c r="A240" s="5" t="s">
        <v>282</v>
      </c>
      <c r="B240" s="5" t="s">
        <v>311</v>
      </c>
      <c r="C240" s="5" t="s">
        <v>102</v>
      </c>
      <c r="D240" s="11">
        <f>MAX(0, 2*'Precinct Vote Data'!G948 - 'Precinct Vote Data'!G946)</f>
        <v>1587</v>
      </c>
      <c r="E240" s="10">
        <f t="shared" si="1"/>
        <v>0.5007852752</v>
      </c>
      <c r="F240" s="11">
        <f t="shared" si="2"/>
        <v>795</v>
      </c>
      <c r="G240" s="11">
        <f t="shared" si="3"/>
        <v>792</v>
      </c>
      <c r="H240" s="5" t="str">
        <f t="shared" si="4"/>
        <v>Democrat</v>
      </c>
      <c r="I240" s="10">
        <f>'Precinct Vote Data'!H946</f>
        <v>0.5705931495</v>
      </c>
      <c r="J240" s="10">
        <f>'Precinct Vote Data'!H947</f>
        <v>0.5621970921</v>
      </c>
      <c r="K240" s="10">
        <f>'Precinct Vote Data'!H948</f>
        <v>0.5158045977</v>
      </c>
      <c r="L240" s="10">
        <f>'Precinct Vote Data'!H949</f>
        <v>0.5281795511</v>
      </c>
    </row>
    <row r="241" ht="15.0" customHeight="1">
      <c r="A241" s="5" t="s">
        <v>282</v>
      </c>
      <c r="B241" s="5" t="s">
        <v>312</v>
      </c>
      <c r="C241" s="5" t="s">
        <v>313</v>
      </c>
      <c r="D241" s="11">
        <f>MAX(0, 2*'Precinct Vote Data'!G952 - 'Precinct Vote Data'!G950)</f>
        <v>1459</v>
      </c>
      <c r="E241" s="10">
        <f t="shared" si="1"/>
        <v>0.5913702513</v>
      </c>
      <c r="F241" s="11">
        <f t="shared" si="2"/>
        <v>863</v>
      </c>
      <c r="G241" s="11">
        <f t="shared" si="3"/>
        <v>596</v>
      </c>
      <c r="H241" s="5" t="str">
        <f t="shared" si="4"/>
        <v>Democrat</v>
      </c>
      <c r="I241" s="10">
        <f>'Precinct Vote Data'!H950</f>
        <v>0.6040868455</v>
      </c>
      <c r="J241" s="10">
        <f>'Precinct Vote Data'!H951</f>
        <v>0.5878107458</v>
      </c>
      <c r="K241" s="10">
        <f>'Precinct Vote Data'!H952</f>
        <v>0.5860838537</v>
      </c>
      <c r="L241" s="10">
        <f>'Precinct Vote Data'!H953</f>
        <v>0.6003717472</v>
      </c>
    </row>
    <row r="242" ht="15.0" customHeight="1">
      <c r="A242" s="5" t="s">
        <v>282</v>
      </c>
      <c r="B242" s="5" t="s">
        <v>312</v>
      </c>
      <c r="C242" s="5" t="s">
        <v>314</v>
      </c>
      <c r="D242" s="11">
        <f>MAX(0, 2*'Precinct Vote Data'!G956 - 'Precinct Vote Data'!G954)</f>
        <v>912</v>
      </c>
      <c r="E242" s="10">
        <f t="shared" si="1"/>
        <v>0.5038000286</v>
      </c>
      <c r="F242" s="11">
        <f t="shared" si="2"/>
        <v>459</v>
      </c>
      <c r="G242" s="11">
        <f t="shared" si="3"/>
        <v>453</v>
      </c>
      <c r="H242" s="5" t="str">
        <f t="shared" si="4"/>
        <v>Democrat</v>
      </c>
      <c r="I242" s="10">
        <f>'Precinct Vote Data'!H954</f>
        <v>0.6384758364</v>
      </c>
      <c r="J242" s="10">
        <f>'Precinct Vote Data'!H955</f>
        <v>0.5694239291</v>
      </c>
      <c r="K242" s="10">
        <f>'Precinct Vote Data'!H956</f>
        <v>0.5744466801</v>
      </c>
      <c r="L242" s="10">
        <f>'Precinct Vote Data'!H957</f>
        <v>0.5358146067</v>
      </c>
    </row>
    <row r="243" ht="15.0" customHeight="1">
      <c r="A243" s="5" t="s">
        <v>282</v>
      </c>
      <c r="B243" s="5" t="s">
        <v>312</v>
      </c>
      <c r="C243" s="5" t="s">
        <v>315</v>
      </c>
      <c r="D243" s="11">
        <f>MAX(0, 2*'Precinct Vote Data'!G960 - 'Precinct Vote Data'!G958)</f>
        <v>739</v>
      </c>
      <c r="E243" s="10">
        <f t="shared" si="1"/>
        <v>0.5894694525</v>
      </c>
      <c r="F243" s="11">
        <f t="shared" si="2"/>
        <v>436</v>
      </c>
      <c r="G243" s="11">
        <f t="shared" si="3"/>
        <v>303</v>
      </c>
      <c r="H243" s="5" t="str">
        <f t="shared" si="4"/>
        <v>Democrat</v>
      </c>
      <c r="I243" s="10">
        <f>'Precinct Vote Data'!H958</f>
        <v>0.6188197767</v>
      </c>
      <c r="J243" s="10">
        <f>'Precinct Vote Data'!H959</f>
        <v>0.6078431373</v>
      </c>
      <c r="K243" s="10">
        <f>'Precinct Vote Data'!H960</f>
        <v>0.5871156662</v>
      </c>
      <c r="L243" s="10">
        <f>'Precinct Vote Data'!H961</f>
        <v>0.6053215078</v>
      </c>
    </row>
    <row r="244" ht="15.0" customHeight="1">
      <c r="A244" s="5" t="s">
        <v>282</v>
      </c>
      <c r="B244" s="5" t="s">
        <v>316</v>
      </c>
      <c r="C244" s="5" t="s">
        <v>317</v>
      </c>
      <c r="D244" s="11">
        <f>MAX(0, 2*'Precinct Vote Data'!G964 - 'Precinct Vote Data'!G962)</f>
        <v>1611</v>
      </c>
      <c r="E244" s="10">
        <f t="shared" si="1"/>
        <v>0.6392660156</v>
      </c>
      <c r="F244" s="11">
        <f t="shared" si="2"/>
        <v>1030</v>
      </c>
      <c r="G244" s="11">
        <f t="shared" si="3"/>
        <v>581</v>
      </c>
      <c r="H244" s="5" t="str">
        <f t="shared" si="4"/>
        <v>Democrat</v>
      </c>
      <c r="I244" s="10">
        <f>'Precinct Vote Data'!H962</f>
        <v>0.672010688</v>
      </c>
      <c r="J244" s="10">
        <f>'Precinct Vote Data'!H963</f>
        <v>0.659527972</v>
      </c>
      <c r="K244" s="10">
        <f>'Precinct Vote Data'!H964</f>
        <v>0.6563706564</v>
      </c>
      <c r="L244" s="10">
        <f>'Precinct Vote Data'!H965</f>
        <v>0.6470860315</v>
      </c>
    </row>
    <row r="245" ht="15.0" customHeight="1">
      <c r="A245" s="5" t="s">
        <v>282</v>
      </c>
      <c r="B245" s="5" t="s">
        <v>316</v>
      </c>
      <c r="C245" s="5" t="s">
        <v>318</v>
      </c>
      <c r="D245" s="11">
        <f>MAX(0, 2*'Precinct Vote Data'!G968 - 'Precinct Vote Data'!G966)</f>
        <v>1454</v>
      </c>
      <c r="E245" s="10">
        <f t="shared" si="1"/>
        <v>0.6506279142</v>
      </c>
      <c r="F245" s="11">
        <f t="shared" si="2"/>
        <v>946</v>
      </c>
      <c r="G245" s="11">
        <f t="shared" si="3"/>
        <v>508</v>
      </c>
      <c r="H245" s="5" t="str">
        <f t="shared" si="4"/>
        <v>Democrat</v>
      </c>
      <c r="I245" s="10">
        <f>'Precinct Vote Data'!H966</f>
        <v>0.7184986595</v>
      </c>
      <c r="J245" s="10">
        <f>'Precinct Vote Data'!H967</f>
        <v>0.7034728406</v>
      </c>
      <c r="K245" s="10">
        <f>'Precinct Vote Data'!H968</f>
        <v>0.6754921928</v>
      </c>
      <c r="L245" s="10">
        <f>'Precinct Vote Data'!H969</f>
        <v>0.6721311475</v>
      </c>
    </row>
    <row r="246" ht="15.0" customHeight="1">
      <c r="A246" s="5" t="s">
        <v>282</v>
      </c>
      <c r="B246" s="5" t="s">
        <v>316</v>
      </c>
      <c r="C246" s="5" t="s">
        <v>319</v>
      </c>
      <c r="D246" s="11">
        <f>MAX(0, 2*'Precinct Vote Data'!G972 - 'Precinct Vote Data'!G970)</f>
        <v>1211</v>
      </c>
      <c r="E246" s="10">
        <f t="shared" si="1"/>
        <v>0.5895718039</v>
      </c>
      <c r="F246" s="11">
        <f t="shared" si="2"/>
        <v>714</v>
      </c>
      <c r="G246" s="11">
        <f t="shared" si="3"/>
        <v>497</v>
      </c>
      <c r="H246" s="5" t="str">
        <f t="shared" si="4"/>
        <v>Democrat</v>
      </c>
      <c r="I246" s="10">
        <f>'Precinct Vote Data'!H970</f>
        <v>0.6357856494</v>
      </c>
      <c r="J246" s="10">
        <f>'Precinct Vote Data'!H971</f>
        <v>0.5937912814</v>
      </c>
      <c r="K246" s="10">
        <f>'Precinct Vote Data'!H972</f>
        <v>0.6185121107</v>
      </c>
      <c r="L246" s="10">
        <f>'Precinct Vote Data'!H973</f>
        <v>0.5982085733</v>
      </c>
    </row>
    <row r="247" ht="15.0" customHeight="1">
      <c r="A247" s="5" t="s">
        <v>282</v>
      </c>
      <c r="B247" s="5" t="s">
        <v>316</v>
      </c>
      <c r="C247" s="5" t="s">
        <v>320</v>
      </c>
      <c r="D247" s="11">
        <f>MAX(0, 2*'Precinct Vote Data'!G976 - 'Precinct Vote Data'!G974)</f>
        <v>1149</v>
      </c>
      <c r="E247" s="10">
        <f t="shared" si="1"/>
        <v>0.530434827</v>
      </c>
      <c r="F247" s="11">
        <f t="shared" si="2"/>
        <v>609</v>
      </c>
      <c r="G247" s="11">
        <f t="shared" si="3"/>
        <v>540</v>
      </c>
      <c r="H247" s="5" t="str">
        <f t="shared" si="4"/>
        <v>Democrat</v>
      </c>
      <c r="I247" s="10">
        <f>'Precinct Vote Data'!H974</f>
        <v>0.5538461538</v>
      </c>
      <c r="J247" s="10">
        <f>'Precinct Vote Data'!H975</f>
        <v>0.5311406578</v>
      </c>
      <c r="K247" s="10">
        <f>'Precinct Vote Data'!H976</f>
        <v>0.5395480226</v>
      </c>
      <c r="L247" s="10">
        <f>'Precinct Vote Data'!H977</f>
        <v>0.5375838926</v>
      </c>
    </row>
    <row r="248" ht="15.0" customHeight="1">
      <c r="A248" s="5" t="s">
        <v>282</v>
      </c>
      <c r="B248" s="5" t="s">
        <v>316</v>
      </c>
      <c r="C248" s="5" t="s">
        <v>321</v>
      </c>
      <c r="D248" s="11">
        <f>MAX(0, 2*'Precinct Vote Data'!G980 - 'Precinct Vote Data'!G978)</f>
        <v>697</v>
      </c>
      <c r="E248" s="10">
        <f t="shared" si="1"/>
        <v>0.5519147749</v>
      </c>
      <c r="F248" s="11">
        <f t="shared" si="2"/>
        <v>385</v>
      </c>
      <c r="G248" s="11">
        <f t="shared" si="3"/>
        <v>312</v>
      </c>
      <c r="H248" s="5" t="str">
        <f t="shared" si="4"/>
        <v>Democrat</v>
      </c>
      <c r="I248" s="10">
        <f>'Precinct Vote Data'!H978</f>
        <v>0.6172465961</v>
      </c>
      <c r="J248" s="10">
        <f>'Precinct Vote Data'!H979</f>
        <v>0.5681581686</v>
      </c>
      <c r="K248" s="10">
        <f>'Precinct Vote Data'!H980</f>
        <v>0.5773195876</v>
      </c>
      <c r="L248" s="10">
        <f>'Precinct Vote Data'!H981</f>
        <v>0.5718782791</v>
      </c>
    </row>
    <row r="249" ht="15.0" customHeight="1">
      <c r="A249" s="5" t="s">
        <v>282</v>
      </c>
      <c r="B249" s="5" t="s">
        <v>316</v>
      </c>
      <c r="C249" s="5" t="s">
        <v>322</v>
      </c>
      <c r="D249" s="11">
        <f>MAX(0, 2*'Precinct Vote Data'!G984 - 'Precinct Vote Data'!G982)</f>
        <v>971</v>
      </c>
      <c r="E249" s="10">
        <f t="shared" si="1"/>
        <v>0.5461374472</v>
      </c>
      <c r="F249" s="11">
        <f t="shared" si="2"/>
        <v>530</v>
      </c>
      <c r="G249" s="11">
        <f t="shared" si="3"/>
        <v>441</v>
      </c>
      <c r="H249" s="5" t="str">
        <f t="shared" si="4"/>
        <v>Democrat</v>
      </c>
      <c r="I249" s="10">
        <f>'Precinct Vote Data'!H982</f>
        <v>0.5576251455</v>
      </c>
      <c r="J249" s="10">
        <f>'Precinct Vote Data'!H983</f>
        <v>0.5500420521</v>
      </c>
      <c r="K249" s="10">
        <f>'Precinct Vote Data'!H984</f>
        <v>0.537704918</v>
      </c>
      <c r="L249" s="10">
        <f>'Precinct Vote Data'!H985</f>
        <v>0.556097561</v>
      </c>
    </row>
    <row r="250" ht="15.0" customHeight="1">
      <c r="A250" s="5" t="s">
        <v>282</v>
      </c>
      <c r="B250" s="5" t="s">
        <v>316</v>
      </c>
      <c r="C250" s="5" t="s">
        <v>323</v>
      </c>
      <c r="D250" s="11">
        <f>MAX(0, 2*'Precinct Vote Data'!G988 - 'Precinct Vote Data'!G986)</f>
        <v>331</v>
      </c>
      <c r="E250" s="10">
        <f t="shared" si="1"/>
        <v>0.4830586229</v>
      </c>
      <c r="F250" s="11">
        <f t="shared" si="2"/>
        <v>160</v>
      </c>
      <c r="G250" s="11">
        <f t="shared" si="3"/>
        <v>171</v>
      </c>
      <c r="H250" s="5" t="str">
        <f t="shared" si="4"/>
        <v>Republican</v>
      </c>
      <c r="I250" s="10">
        <f>'Precinct Vote Data'!H986</f>
        <v>0.5322033898</v>
      </c>
      <c r="J250" s="10">
        <f>'Precinct Vote Data'!H987</f>
        <v>0.4842931937</v>
      </c>
      <c r="K250" s="10">
        <f>'Precinct Vote Data'!H988</f>
        <v>0.5239616613</v>
      </c>
      <c r="L250" s="10">
        <f>'Precinct Vote Data'!H989</f>
        <v>0.4871794872</v>
      </c>
    </row>
    <row r="251" ht="15.0" customHeight="1">
      <c r="A251" s="5" t="s">
        <v>282</v>
      </c>
      <c r="B251" s="5" t="s">
        <v>324</v>
      </c>
      <c r="C251" s="5" t="s">
        <v>113</v>
      </c>
      <c r="D251" s="11">
        <f>MAX(0, 2*'Precinct Vote Data'!G992 - 'Precinct Vote Data'!G990)</f>
        <v>121</v>
      </c>
      <c r="E251" s="10">
        <f t="shared" si="1"/>
        <v>0.7621888242</v>
      </c>
      <c r="F251" s="11">
        <f t="shared" si="2"/>
        <v>92</v>
      </c>
      <c r="G251" s="11">
        <f t="shared" si="3"/>
        <v>29</v>
      </c>
      <c r="H251" s="5" t="str">
        <f t="shared" si="4"/>
        <v>Democrat</v>
      </c>
      <c r="I251" s="10">
        <f>'Precinct Vote Data'!H990</f>
        <v>0.7737226277</v>
      </c>
      <c r="J251" s="10">
        <f>'Precinct Vote Data'!H991</f>
        <v>0.7594339623</v>
      </c>
      <c r="K251" s="10">
        <f>'Precinct Vote Data'!H992</f>
        <v>0.8217054264</v>
      </c>
      <c r="L251" s="10">
        <f>'Precinct Vote Data'!H993</f>
        <v>0.7381974249</v>
      </c>
    </row>
    <row r="252" ht="15.0" customHeight="1">
      <c r="A252" s="5" t="s">
        <v>282</v>
      </c>
      <c r="B252" s="5" t="s">
        <v>324</v>
      </c>
      <c r="C252" s="5" t="s">
        <v>114</v>
      </c>
      <c r="D252" s="11">
        <f>MAX(0, 2*'Precinct Vote Data'!G996 - 'Precinct Vote Data'!G994)</f>
        <v>326</v>
      </c>
      <c r="E252" s="10">
        <f t="shared" si="1"/>
        <v>0.6971465097</v>
      </c>
      <c r="F252" s="11">
        <f t="shared" si="2"/>
        <v>227</v>
      </c>
      <c r="G252" s="11">
        <f t="shared" si="3"/>
        <v>99</v>
      </c>
      <c r="H252" s="5" t="str">
        <f t="shared" si="4"/>
        <v>Democrat</v>
      </c>
      <c r="I252" s="10">
        <f>'Precinct Vote Data'!H994</f>
        <v>0.7288135593</v>
      </c>
      <c r="J252" s="10">
        <f>'Precinct Vote Data'!H995</f>
        <v>0.7088607595</v>
      </c>
      <c r="K252" s="10">
        <f>'Precinct Vote Data'!H996</f>
        <v>0.7235294118</v>
      </c>
      <c r="L252" s="10">
        <f>'Precinct Vote Data'!H997</f>
        <v>0.6997885835</v>
      </c>
    </row>
    <row r="253" ht="15.0" customHeight="1">
      <c r="A253" s="5" t="s">
        <v>282</v>
      </c>
      <c r="B253" s="5" t="s">
        <v>324</v>
      </c>
      <c r="C253" s="5" t="s">
        <v>116</v>
      </c>
      <c r="D253" s="11">
        <f>MAX(0, 2*'Precinct Vote Data'!G1000 - 'Precinct Vote Data'!G998)</f>
        <v>342</v>
      </c>
      <c r="E253" s="10">
        <f t="shared" si="1"/>
        <v>0.6229976944</v>
      </c>
      <c r="F253" s="11">
        <f t="shared" si="2"/>
        <v>213</v>
      </c>
      <c r="G253" s="11">
        <f t="shared" si="3"/>
        <v>129</v>
      </c>
      <c r="H253" s="5" t="str">
        <f t="shared" si="4"/>
        <v>Democrat</v>
      </c>
      <c r="I253" s="10">
        <f>'Precinct Vote Data'!H998</f>
        <v>0.6558441558</v>
      </c>
      <c r="J253" s="10">
        <f>'Precinct Vote Data'!H999</f>
        <v>0.6247240618</v>
      </c>
      <c r="K253" s="10">
        <f>'Precinct Vote Data'!H1000</f>
        <v>0.6369230769</v>
      </c>
      <c r="L253" s="10">
        <f>'Precinct Vote Data'!H1001</f>
        <v>0.6324582339</v>
      </c>
    </row>
    <row r="254" ht="15.0" customHeight="1">
      <c r="A254" s="5" t="s">
        <v>282</v>
      </c>
      <c r="B254" s="5" t="s">
        <v>324</v>
      </c>
      <c r="C254" s="5" t="s">
        <v>118</v>
      </c>
      <c r="D254" s="11">
        <f>MAX(0, 2*'Precinct Vote Data'!G1004 - 'Precinct Vote Data'!G1002)</f>
        <v>484</v>
      </c>
      <c r="E254" s="10">
        <f t="shared" si="1"/>
        <v>0.6843837258</v>
      </c>
      <c r="F254" s="11">
        <f t="shared" si="2"/>
        <v>331</v>
      </c>
      <c r="G254" s="11">
        <f t="shared" si="3"/>
        <v>153</v>
      </c>
      <c r="H254" s="5" t="str">
        <f t="shared" si="4"/>
        <v>Democrat</v>
      </c>
      <c r="I254" s="10">
        <f>'Precinct Vote Data'!H1002</f>
        <v>0.7239583333</v>
      </c>
      <c r="J254" s="10">
        <f>'Precinct Vote Data'!H1003</f>
        <v>0.7082111437</v>
      </c>
      <c r="K254" s="10">
        <f>'Precinct Vote Data'!H1004</f>
        <v>0.7188940092</v>
      </c>
      <c r="L254" s="10">
        <f>'Precinct Vote Data'!H1005</f>
        <v>0.6869158879</v>
      </c>
    </row>
    <row r="255" ht="15.0" customHeight="1">
      <c r="A255" s="5" t="s">
        <v>282</v>
      </c>
      <c r="B255" s="5" t="s">
        <v>324</v>
      </c>
      <c r="C255" s="5" t="s">
        <v>119</v>
      </c>
      <c r="D255" s="11">
        <f>MAX(0, 2*'Precinct Vote Data'!G1008 - 'Precinct Vote Data'!G1006)</f>
        <v>644</v>
      </c>
      <c r="E255" s="10">
        <f t="shared" si="1"/>
        <v>0.6528411302</v>
      </c>
      <c r="F255" s="11">
        <f t="shared" si="2"/>
        <v>420</v>
      </c>
      <c r="G255" s="11">
        <f t="shared" si="3"/>
        <v>224</v>
      </c>
      <c r="H255" s="5" t="str">
        <f t="shared" si="4"/>
        <v>Democrat</v>
      </c>
      <c r="I255" s="10">
        <f>'Precinct Vote Data'!H1006</f>
        <v>0.6357142857</v>
      </c>
      <c r="J255" s="10">
        <f>'Precinct Vote Data'!H1007</f>
        <v>0.6323713927</v>
      </c>
      <c r="K255" s="10">
        <f>'Precinct Vote Data'!H1008</f>
        <v>0.6312292359</v>
      </c>
      <c r="L255" s="10">
        <f>'Precinct Vote Data'!H1009</f>
        <v>0.6550836551</v>
      </c>
    </row>
    <row r="256" ht="15.0" customHeight="1">
      <c r="A256" s="5" t="s">
        <v>282</v>
      </c>
      <c r="B256" s="5" t="s">
        <v>325</v>
      </c>
      <c r="C256" s="5" t="s">
        <v>120</v>
      </c>
      <c r="D256" s="11">
        <f>MAX(0, 2*'Precinct Vote Data'!G1012 - 'Precinct Vote Data'!G1010)</f>
        <v>2074</v>
      </c>
      <c r="E256" s="10">
        <f t="shared" si="1"/>
        <v>0.5836908763</v>
      </c>
      <c r="F256" s="11">
        <f t="shared" si="2"/>
        <v>1211</v>
      </c>
      <c r="G256" s="11">
        <f t="shared" si="3"/>
        <v>863</v>
      </c>
      <c r="H256" s="5" t="str">
        <f t="shared" si="4"/>
        <v>Democrat</v>
      </c>
      <c r="I256" s="10">
        <f>'Precinct Vote Data'!H1010</f>
        <v>0.5686383929</v>
      </c>
      <c r="J256" s="10">
        <f>'Precinct Vote Data'!H1011</f>
        <v>0.5840707965</v>
      </c>
      <c r="K256" s="10">
        <f>'Precinct Vote Data'!H1012</f>
        <v>0.5788929126</v>
      </c>
      <c r="L256" s="10">
        <f>'Precinct Vote Data'!H1013</f>
        <v>0.5785636165</v>
      </c>
    </row>
    <row r="257" ht="15.0" customHeight="1">
      <c r="A257" s="5" t="s">
        <v>282</v>
      </c>
      <c r="B257" s="5" t="s">
        <v>325</v>
      </c>
      <c r="C257" s="5" t="s">
        <v>122</v>
      </c>
      <c r="D257" s="11">
        <f>MAX(0, 2*'Precinct Vote Data'!G1016 - 'Precinct Vote Data'!G1014)</f>
        <v>1266</v>
      </c>
      <c r="E257" s="10">
        <f t="shared" si="1"/>
        <v>0.4088337652</v>
      </c>
      <c r="F257" s="11">
        <f t="shared" si="2"/>
        <v>518</v>
      </c>
      <c r="G257" s="11">
        <f t="shared" si="3"/>
        <v>748</v>
      </c>
      <c r="H257" s="5" t="str">
        <f t="shared" si="4"/>
        <v>Republican</v>
      </c>
      <c r="I257" s="10">
        <f>'Precinct Vote Data'!H1014</f>
        <v>0.4777777778</v>
      </c>
      <c r="J257" s="10">
        <f>'Precinct Vote Data'!H1015</f>
        <v>0.4538914323</v>
      </c>
      <c r="K257" s="10">
        <f>'Precinct Vote Data'!H1016</f>
        <v>0.4262574595</v>
      </c>
      <c r="L257" s="10">
        <f>'Precinct Vote Data'!H1017</f>
        <v>0.4345939244</v>
      </c>
    </row>
    <row r="258" ht="15.0" customHeight="1">
      <c r="A258" s="5" t="s">
        <v>282</v>
      </c>
      <c r="B258" s="5" t="s">
        <v>326</v>
      </c>
      <c r="C258" s="5" t="s">
        <v>124</v>
      </c>
      <c r="D258" s="11">
        <f>MAX(0, 2*'Precinct Vote Data'!G1020 - 'Precinct Vote Data'!G1018)</f>
        <v>1951</v>
      </c>
      <c r="E258" s="10">
        <f t="shared" si="1"/>
        <v>0.4919098728</v>
      </c>
      <c r="F258" s="11">
        <f t="shared" si="2"/>
        <v>960</v>
      </c>
      <c r="G258" s="11">
        <f t="shared" si="3"/>
        <v>991</v>
      </c>
      <c r="H258" s="5" t="str">
        <f t="shared" si="4"/>
        <v>Republican</v>
      </c>
      <c r="I258" s="10">
        <f>'Precinct Vote Data'!H1018</f>
        <v>0.5557251908</v>
      </c>
      <c r="J258" s="10">
        <f>'Precinct Vote Data'!H1019</f>
        <v>0.5398676332</v>
      </c>
      <c r="K258" s="10">
        <f>'Precinct Vote Data'!H1020</f>
        <v>0.5076608784</v>
      </c>
      <c r="L258" s="10">
        <f>'Precinct Vote Data'!H1021</f>
        <v>0.515942029</v>
      </c>
    </row>
    <row r="259" ht="15.0" customHeight="1">
      <c r="A259" s="5" t="s">
        <v>327</v>
      </c>
      <c r="B259" s="5" t="s">
        <v>328</v>
      </c>
      <c r="C259" s="5" t="s">
        <v>18</v>
      </c>
      <c r="D259" s="11">
        <f>MAX(0, 2*'Precinct Vote Data'!G1024 - 'Precinct Vote Data'!G1022)</f>
        <v>442</v>
      </c>
      <c r="E259" s="10">
        <f t="shared" si="1"/>
        <v>0.3958898731</v>
      </c>
      <c r="F259" s="11">
        <f t="shared" si="2"/>
        <v>175</v>
      </c>
      <c r="G259" s="11">
        <f t="shared" si="3"/>
        <v>267</v>
      </c>
      <c r="H259" s="5" t="str">
        <f t="shared" si="4"/>
        <v>Republican</v>
      </c>
      <c r="I259" s="10">
        <f>'Precinct Vote Data'!H1022</f>
        <v>0.4315589354</v>
      </c>
      <c r="J259" s="10">
        <f>'Precinct Vote Data'!H1023</f>
        <v>0.3856009762</v>
      </c>
      <c r="K259" s="10">
        <f>'Precinct Vote Data'!H1024</f>
        <v>0.413197172</v>
      </c>
      <c r="L259" s="10">
        <f>'Precinct Vote Data'!H1025</f>
        <v>0.4050707547</v>
      </c>
    </row>
    <row r="260" ht="15.0" customHeight="1">
      <c r="A260" s="5" t="s">
        <v>327</v>
      </c>
      <c r="B260" s="5" t="s">
        <v>329</v>
      </c>
      <c r="C260" s="5" t="s">
        <v>146</v>
      </c>
      <c r="D260" s="11">
        <f>MAX(0, 2*'Precinct Vote Data'!G1028 - 'Precinct Vote Data'!G1026)</f>
        <v>430</v>
      </c>
      <c r="E260" s="10">
        <f t="shared" si="1"/>
        <v>0.3923790761</v>
      </c>
      <c r="F260" s="11">
        <f t="shared" si="2"/>
        <v>169</v>
      </c>
      <c r="G260" s="11">
        <f t="shared" si="3"/>
        <v>261</v>
      </c>
      <c r="H260" s="5" t="str">
        <f t="shared" si="4"/>
        <v>Republican</v>
      </c>
      <c r="I260" s="10">
        <f>'Precinct Vote Data'!H1026</f>
        <v>0.486631016</v>
      </c>
      <c r="J260" s="10">
        <f>'Precinct Vote Data'!H1027</f>
        <v>0.4424040067</v>
      </c>
      <c r="K260" s="10">
        <f>'Precinct Vote Data'!H1028</f>
        <v>0.4527363184</v>
      </c>
      <c r="L260" s="10">
        <f>'Precinct Vote Data'!H1029</f>
        <v>0.4093264249</v>
      </c>
    </row>
    <row r="261" ht="15.0" customHeight="1">
      <c r="A261" s="5" t="s">
        <v>327</v>
      </c>
      <c r="B261" s="5" t="s">
        <v>329</v>
      </c>
      <c r="C261" s="5" t="s">
        <v>147</v>
      </c>
      <c r="D261" s="11">
        <f>MAX(0, 2*'Precinct Vote Data'!G1032 - 'Precinct Vote Data'!G1030)</f>
        <v>447</v>
      </c>
      <c r="E261" s="10">
        <f t="shared" si="1"/>
        <v>0.3980034864</v>
      </c>
      <c r="F261" s="11">
        <f t="shared" si="2"/>
        <v>178</v>
      </c>
      <c r="G261" s="11">
        <f t="shared" si="3"/>
        <v>269</v>
      </c>
      <c r="H261" s="5" t="str">
        <f t="shared" si="4"/>
        <v>Republican</v>
      </c>
      <c r="I261" s="10">
        <f>'Precinct Vote Data'!H1030</f>
        <v>0.5347432024</v>
      </c>
      <c r="J261" s="10">
        <f>'Precinct Vote Data'!H1031</f>
        <v>0.419047619</v>
      </c>
      <c r="K261" s="10">
        <f>'Precinct Vote Data'!H1032</f>
        <v>0.4652956298</v>
      </c>
      <c r="L261" s="10">
        <f>'Precinct Vote Data'!H1033</f>
        <v>0.4327272727</v>
      </c>
    </row>
    <row r="262" ht="15.0" customHeight="1">
      <c r="A262" s="5" t="s">
        <v>327</v>
      </c>
      <c r="B262" s="5" t="s">
        <v>329</v>
      </c>
      <c r="C262" s="5" t="s">
        <v>55</v>
      </c>
      <c r="D262" s="11">
        <f>MAX(0, 2*'Precinct Vote Data'!G1036 - 'Precinct Vote Data'!G1034)</f>
        <v>527</v>
      </c>
      <c r="E262" s="10">
        <f t="shared" si="1"/>
        <v>0.4161376788</v>
      </c>
      <c r="F262" s="11">
        <f t="shared" si="2"/>
        <v>219</v>
      </c>
      <c r="G262" s="11">
        <f t="shared" si="3"/>
        <v>308</v>
      </c>
      <c r="H262" s="5" t="str">
        <f t="shared" si="4"/>
        <v>Republican</v>
      </c>
      <c r="I262" s="10">
        <f>'Precinct Vote Data'!H1034</f>
        <v>0.4506329114</v>
      </c>
      <c r="J262" s="10">
        <f>'Precinct Vote Data'!H1035</f>
        <v>0.4110929853</v>
      </c>
      <c r="K262" s="10">
        <f>'Precinct Vote Data'!H1036</f>
        <v>0.4511930586</v>
      </c>
      <c r="L262" s="10">
        <f>'Precinct Vote Data'!H1037</f>
        <v>0.4158576052</v>
      </c>
    </row>
    <row r="263" ht="15.0" customHeight="1">
      <c r="A263" s="5" t="s">
        <v>327</v>
      </c>
      <c r="B263" s="5" t="s">
        <v>329</v>
      </c>
      <c r="C263" s="5" t="s">
        <v>57</v>
      </c>
      <c r="D263" s="11">
        <f>MAX(0, 2*'Precinct Vote Data'!G1040 - 'Precinct Vote Data'!G1038)</f>
        <v>429</v>
      </c>
      <c r="E263" s="10">
        <f t="shared" si="1"/>
        <v>0.3739358535</v>
      </c>
      <c r="F263" s="11">
        <f t="shared" si="2"/>
        <v>160</v>
      </c>
      <c r="G263" s="11">
        <f t="shared" si="3"/>
        <v>269</v>
      </c>
      <c r="H263" s="5" t="str">
        <f t="shared" si="4"/>
        <v>Republican</v>
      </c>
      <c r="I263" s="10">
        <f>'Precinct Vote Data'!H1038</f>
        <v>0.4304461942</v>
      </c>
      <c r="J263" s="10">
        <f>'Precinct Vote Data'!H1039</f>
        <v>0.4</v>
      </c>
      <c r="K263" s="10">
        <f>'Precinct Vote Data'!H1040</f>
        <v>0.3901234568</v>
      </c>
      <c r="L263" s="10">
        <f>'Precinct Vote Data'!H1041</f>
        <v>0.3940972222</v>
      </c>
    </row>
    <row r="264" ht="15.0" customHeight="1">
      <c r="A264" s="5" t="s">
        <v>327</v>
      </c>
      <c r="B264" s="5" t="s">
        <v>330</v>
      </c>
      <c r="C264" s="5" t="s">
        <v>59</v>
      </c>
      <c r="D264" s="11">
        <f>MAX(0, 2*'Precinct Vote Data'!G1044 - 'Precinct Vote Data'!G1042)</f>
        <v>1132</v>
      </c>
      <c r="E264" s="10">
        <f t="shared" si="1"/>
        <v>0.4558422464</v>
      </c>
      <c r="F264" s="11">
        <f t="shared" si="2"/>
        <v>516</v>
      </c>
      <c r="G264" s="11">
        <f t="shared" si="3"/>
        <v>616</v>
      </c>
      <c r="H264" s="5" t="str">
        <f t="shared" si="4"/>
        <v>Republican</v>
      </c>
      <c r="I264" s="10">
        <f>'Precinct Vote Data'!H1042</f>
        <v>0.4742268041</v>
      </c>
      <c r="J264" s="10">
        <f>'Precinct Vote Data'!H1043</f>
        <v>0.4544740973</v>
      </c>
      <c r="K264" s="10">
        <f>'Precinct Vote Data'!H1044</f>
        <v>0.4622641509</v>
      </c>
      <c r="L264" s="10">
        <f>'Precinct Vote Data'!H1045</f>
        <v>0.461823573</v>
      </c>
    </row>
    <row r="265" ht="15.0" customHeight="1">
      <c r="A265" s="5" t="s">
        <v>327</v>
      </c>
      <c r="B265" s="5" t="s">
        <v>157</v>
      </c>
      <c r="C265" s="5" t="s">
        <v>60</v>
      </c>
      <c r="D265" s="11">
        <f>MAX(0, 2*'Precinct Vote Data'!G1048 - 'Precinct Vote Data'!G1046)</f>
        <v>444</v>
      </c>
      <c r="E265" s="10">
        <f t="shared" si="1"/>
        <v>0.7017366158</v>
      </c>
      <c r="F265" s="11">
        <f t="shared" si="2"/>
        <v>312</v>
      </c>
      <c r="G265" s="11">
        <f t="shared" si="3"/>
        <v>132</v>
      </c>
      <c r="H265" s="5" t="str">
        <f t="shared" si="4"/>
        <v>Democrat</v>
      </c>
      <c r="I265" s="10">
        <f>'Precinct Vote Data'!H1046</f>
        <v>0.8206278027</v>
      </c>
      <c r="J265" s="10">
        <f>'Precinct Vote Data'!H1047</f>
        <v>0.76096823</v>
      </c>
      <c r="K265" s="10">
        <f>'Precinct Vote Data'!H1048</f>
        <v>0.793258427</v>
      </c>
      <c r="L265" s="10">
        <f>'Precinct Vote Data'!H1049</f>
        <v>0.7154213037</v>
      </c>
    </row>
    <row r="266" ht="15.0" customHeight="1">
      <c r="A266" s="5" t="s">
        <v>327</v>
      </c>
      <c r="B266" s="5" t="s">
        <v>157</v>
      </c>
      <c r="C266" s="5" t="s">
        <v>63</v>
      </c>
      <c r="D266" s="11">
        <f>MAX(0, 2*'Precinct Vote Data'!G1052 - 'Precinct Vote Data'!G1050)</f>
        <v>311</v>
      </c>
      <c r="E266" s="10">
        <f t="shared" si="1"/>
        <v>0.7019068655</v>
      </c>
      <c r="F266" s="11">
        <f t="shared" si="2"/>
        <v>218</v>
      </c>
      <c r="G266" s="11">
        <f t="shared" si="3"/>
        <v>93</v>
      </c>
      <c r="H266" s="5" t="str">
        <f t="shared" si="4"/>
        <v>Democrat</v>
      </c>
      <c r="I266" s="10">
        <f>'Precinct Vote Data'!H1050</f>
        <v>0.8136020151</v>
      </c>
      <c r="J266" s="10">
        <f>'Precinct Vote Data'!H1051</f>
        <v>0.7672672673</v>
      </c>
      <c r="K266" s="10">
        <f>'Precinct Vote Data'!H1052</f>
        <v>0.7514124294</v>
      </c>
      <c r="L266" s="10">
        <f>'Precinct Vote Data'!H1053</f>
        <v>0.7330016584</v>
      </c>
    </row>
    <row r="267" ht="15.0" customHeight="1">
      <c r="A267" s="5" t="s">
        <v>327</v>
      </c>
      <c r="B267" s="5" t="s">
        <v>157</v>
      </c>
      <c r="C267" s="5" t="s">
        <v>331</v>
      </c>
      <c r="D267" s="11">
        <f>MAX(0, 2*'Precinct Vote Data'!G1056 - 'Precinct Vote Data'!G1054)</f>
        <v>516</v>
      </c>
      <c r="E267" s="10">
        <f t="shared" si="1"/>
        <v>0.7277106433</v>
      </c>
      <c r="F267" s="11">
        <f t="shared" si="2"/>
        <v>375</v>
      </c>
      <c r="G267" s="11">
        <f t="shared" si="3"/>
        <v>141</v>
      </c>
      <c r="H267" s="5" t="str">
        <f t="shared" si="4"/>
        <v>Democrat</v>
      </c>
      <c r="I267" s="10">
        <f>'Precinct Vote Data'!H1054</f>
        <v>0.8387978142</v>
      </c>
      <c r="J267" s="10">
        <f>'Precinct Vote Data'!H1055</f>
        <v>0.7890625</v>
      </c>
      <c r="K267" s="10">
        <f>'Precinct Vote Data'!H1056</f>
        <v>0.8004535147</v>
      </c>
      <c r="L267" s="10">
        <f>'Precinct Vote Data'!H1057</f>
        <v>0.746882793</v>
      </c>
    </row>
    <row r="268" ht="15.0" customHeight="1">
      <c r="A268" s="5" t="s">
        <v>327</v>
      </c>
      <c r="B268" s="5" t="s">
        <v>157</v>
      </c>
      <c r="C268" s="5" t="s">
        <v>74</v>
      </c>
      <c r="D268" s="11">
        <f>MAX(0, 2*'Precinct Vote Data'!G1060 - 'Precinct Vote Data'!G1058)</f>
        <v>739</v>
      </c>
      <c r="E268" s="10">
        <f t="shared" si="1"/>
        <v>0.8231328599</v>
      </c>
      <c r="F268" s="11">
        <f t="shared" si="2"/>
        <v>608</v>
      </c>
      <c r="G268" s="11">
        <f t="shared" si="3"/>
        <v>131</v>
      </c>
      <c r="H268" s="5" t="str">
        <f t="shared" si="4"/>
        <v>Democrat</v>
      </c>
      <c r="I268" s="10">
        <f>'Precinct Vote Data'!H1058</f>
        <v>0.862932062</v>
      </c>
      <c r="J268" s="10">
        <f>'Precinct Vote Data'!H1059</f>
        <v>0.8276990185</v>
      </c>
      <c r="K268" s="10">
        <f>'Precinct Vote Data'!H1060</f>
        <v>0.875792142</v>
      </c>
      <c r="L268" s="10">
        <f>'Precinct Vote Data'!H1061</f>
        <v>0.81670282</v>
      </c>
    </row>
    <row r="269" ht="15.0" customHeight="1">
      <c r="A269" s="5" t="s">
        <v>327</v>
      </c>
      <c r="B269" s="5" t="s">
        <v>157</v>
      </c>
      <c r="C269" s="5" t="s">
        <v>332</v>
      </c>
      <c r="D269" s="11">
        <f>MAX(0, 2*'Precinct Vote Data'!G1064 - 'Precinct Vote Data'!G1062)</f>
        <v>514</v>
      </c>
      <c r="E269" s="10">
        <f t="shared" si="1"/>
        <v>0.7046867724</v>
      </c>
      <c r="F269" s="11">
        <f t="shared" si="2"/>
        <v>362</v>
      </c>
      <c r="G269" s="11">
        <f t="shared" si="3"/>
        <v>152</v>
      </c>
      <c r="H269" s="5" t="str">
        <f t="shared" si="4"/>
        <v>Democrat</v>
      </c>
      <c r="I269" s="10">
        <f>'Precinct Vote Data'!H1062</f>
        <v>0.8373205742</v>
      </c>
      <c r="J269" s="10">
        <f>'Precinct Vote Data'!H1063</f>
        <v>0.774498229</v>
      </c>
      <c r="K269" s="10">
        <f>'Precinct Vote Data'!H1064</f>
        <v>0.7939914163</v>
      </c>
      <c r="L269" s="10">
        <f>'Precinct Vote Data'!H1065</f>
        <v>0.7263513514</v>
      </c>
    </row>
    <row r="270" ht="15.0" customHeight="1">
      <c r="A270" s="5" t="s">
        <v>327</v>
      </c>
      <c r="B270" s="5" t="s">
        <v>157</v>
      </c>
      <c r="C270" s="5" t="s">
        <v>87</v>
      </c>
      <c r="D270" s="11">
        <f>MAX(0, 2*'Precinct Vote Data'!G1068 - 'Precinct Vote Data'!G1066)</f>
        <v>420</v>
      </c>
      <c r="E270" s="10">
        <f t="shared" si="1"/>
        <v>0.6499019187</v>
      </c>
      <c r="F270" s="11">
        <f t="shared" si="2"/>
        <v>273</v>
      </c>
      <c r="G270" s="11">
        <f t="shared" si="3"/>
        <v>147</v>
      </c>
      <c r="H270" s="5" t="str">
        <f t="shared" si="4"/>
        <v>Democrat</v>
      </c>
      <c r="I270" s="10">
        <f>'Precinct Vote Data'!H1066</f>
        <v>0.8641114983</v>
      </c>
      <c r="J270" s="10">
        <f>'Precinct Vote Data'!H1067</f>
        <v>0.748434238</v>
      </c>
      <c r="K270" s="10">
        <f>'Precinct Vote Data'!H1068</f>
        <v>0.7605633803</v>
      </c>
      <c r="L270" s="10">
        <f>'Precinct Vote Data'!H1069</f>
        <v>0.7016759777</v>
      </c>
    </row>
    <row r="271" ht="15.0" customHeight="1">
      <c r="A271" s="5" t="s">
        <v>327</v>
      </c>
      <c r="B271" s="5" t="s">
        <v>157</v>
      </c>
      <c r="C271" s="5" t="s">
        <v>88</v>
      </c>
      <c r="D271" s="11">
        <f>MAX(0, 2*'Precinct Vote Data'!G1072 - 'Precinct Vote Data'!G1070)</f>
        <v>614</v>
      </c>
      <c r="E271" s="10">
        <f t="shared" si="1"/>
        <v>0.7502167132</v>
      </c>
      <c r="F271" s="11">
        <f t="shared" si="2"/>
        <v>461</v>
      </c>
      <c r="G271" s="11">
        <f t="shared" si="3"/>
        <v>153</v>
      </c>
      <c r="H271" s="5" t="str">
        <f t="shared" si="4"/>
        <v>Democrat</v>
      </c>
      <c r="I271" s="10">
        <f>'Precinct Vote Data'!H1070</f>
        <v>0.7412451362</v>
      </c>
      <c r="J271" s="10">
        <f>'Precinct Vote Data'!H1071</f>
        <v>0.7199367089</v>
      </c>
      <c r="K271" s="10">
        <f>'Precinct Vote Data'!H1072</f>
        <v>0.7304964539</v>
      </c>
      <c r="L271" s="10">
        <f>'Precinct Vote Data'!H1073</f>
        <v>0.7555910543</v>
      </c>
    </row>
    <row r="272" ht="15.0" customHeight="1">
      <c r="A272" s="5" t="s">
        <v>327</v>
      </c>
      <c r="B272" s="5" t="s">
        <v>157</v>
      </c>
      <c r="C272" s="5" t="s">
        <v>89</v>
      </c>
      <c r="D272" s="11">
        <f>MAX(0, 2*'Precinct Vote Data'!G1076 - 'Precinct Vote Data'!G1074)</f>
        <v>798</v>
      </c>
      <c r="E272" s="10">
        <f t="shared" si="1"/>
        <v>0.6988880097</v>
      </c>
      <c r="F272" s="11">
        <f t="shared" si="2"/>
        <v>558</v>
      </c>
      <c r="G272" s="11">
        <f t="shared" si="3"/>
        <v>240</v>
      </c>
      <c r="H272" s="5" t="str">
        <f t="shared" si="4"/>
        <v>Democrat</v>
      </c>
      <c r="I272" s="10">
        <f>'Precinct Vote Data'!H1074</f>
        <v>0.7685459941</v>
      </c>
      <c r="J272" s="10">
        <f>'Precinct Vote Data'!H1075</f>
        <v>0.7209082308</v>
      </c>
      <c r="K272" s="10">
        <f>'Precinct Vote Data'!H1076</f>
        <v>0.7418478261</v>
      </c>
      <c r="L272" s="10">
        <f>'Precinct Vote Data'!H1077</f>
        <v>0.7122370937</v>
      </c>
    </row>
    <row r="273" ht="15.0" customHeight="1">
      <c r="A273" s="5" t="s">
        <v>327</v>
      </c>
      <c r="B273" s="5" t="s">
        <v>157</v>
      </c>
      <c r="C273" s="5" t="s">
        <v>91</v>
      </c>
      <c r="D273" s="11">
        <f>MAX(0, 2*'Precinct Vote Data'!G1080 - 'Precinct Vote Data'!G1078)</f>
        <v>680</v>
      </c>
      <c r="E273" s="10">
        <f t="shared" si="1"/>
        <v>0.6588765552</v>
      </c>
      <c r="F273" s="11">
        <f t="shared" si="2"/>
        <v>448</v>
      </c>
      <c r="G273" s="11">
        <f t="shared" si="3"/>
        <v>232</v>
      </c>
      <c r="H273" s="5" t="str">
        <f t="shared" si="4"/>
        <v>Democrat</v>
      </c>
      <c r="I273" s="10">
        <f>'Precinct Vote Data'!H1078</f>
        <v>0.7686567164</v>
      </c>
      <c r="J273" s="10">
        <f>'Precinct Vote Data'!H1079</f>
        <v>0.7255460589</v>
      </c>
      <c r="K273" s="10">
        <f>'Precinct Vote Data'!H1080</f>
        <v>0.7155555556</v>
      </c>
      <c r="L273" s="10">
        <f>'Precinct Vote Data'!H1081</f>
        <v>0.6854271357</v>
      </c>
    </row>
    <row r="274" ht="15.0" customHeight="1">
      <c r="A274" s="5" t="s">
        <v>327</v>
      </c>
      <c r="B274" s="5" t="s">
        <v>157</v>
      </c>
      <c r="C274" s="5" t="s">
        <v>92</v>
      </c>
      <c r="D274" s="11">
        <f>MAX(0, 2*'Precinct Vote Data'!G1084 - 'Precinct Vote Data'!G1082)</f>
        <v>350</v>
      </c>
      <c r="E274" s="10">
        <f t="shared" si="1"/>
        <v>0.6223342788</v>
      </c>
      <c r="F274" s="11">
        <f t="shared" si="2"/>
        <v>218</v>
      </c>
      <c r="G274" s="11">
        <f t="shared" si="3"/>
        <v>132</v>
      </c>
      <c r="H274" s="5" t="str">
        <f t="shared" si="4"/>
        <v>Democrat</v>
      </c>
      <c r="I274" s="10">
        <f>'Precinct Vote Data'!H1082</f>
        <v>0.754491018</v>
      </c>
      <c r="J274" s="10">
        <f>'Precinct Vote Data'!H1083</f>
        <v>0.6866267465</v>
      </c>
      <c r="K274" s="10">
        <f>'Precinct Vote Data'!H1084</f>
        <v>0.701754386</v>
      </c>
      <c r="L274" s="10">
        <f>'Precinct Vote Data'!H1085</f>
        <v>0.6487025948</v>
      </c>
    </row>
    <row r="275" ht="15.0" customHeight="1">
      <c r="A275" s="5" t="s">
        <v>327</v>
      </c>
      <c r="B275" s="5" t="s">
        <v>157</v>
      </c>
      <c r="C275" s="5" t="s">
        <v>94</v>
      </c>
      <c r="D275" s="11">
        <f>MAX(0, 2*'Precinct Vote Data'!G1088 - 'Precinct Vote Data'!G1086)</f>
        <v>451</v>
      </c>
      <c r="E275" s="10">
        <f t="shared" si="1"/>
        <v>0.6867362797</v>
      </c>
      <c r="F275" s="11">
        <f t="shared" si="2"/>
        <v>310</v>
      </c>
      <c r="G275" s="11">
        <f t="shared" si="3"/>
        <v>141</v>
      </c>
      <c r="H275" s="5" t="str">
        <f t="shared" si="4"/>
        <v>Democrat</v>
      </c>
      <c r="I275" s="10">
        <f>'Precinct Vote Data'!H1086</f>
        <v>0.7493606138</v>
      </c>
      <c r="J275" s="10">
        <f>'Precinct Vote Data'!H1087</f>
        <v>0.6998223801</v>
      </c>
      <c r="K275" s="10">
        <f>'Precinct Vote Data'!H1088</f>
        <v>0.729216152</v>
      </c>
      <c r="L275" s="10">
        <f>'Precinct Vote Data'!H1089</f>
        <v>0.6968085106</v>
      </c>
    </row>
    <row r="276" ht="15.0" customHeight="1">
      <c r="A276" s="5" t="s">
        <v>327</v>
      </c>
      <c r="B276" s="5" t="s">
        <v>157</v>
      </c>
      <c r="C276" s="5" t="s">
        <v>95</v>
      </c>
      <c r="D276" s="11">
        <f>MAX(0, 2*'Precinct Vote Data'!G1092 - 'Precinct Vote Data'!G1090)</f>
        <v>917</v>
      </c>
      <c r="E276" s="10">
        <f t="shared" si="1"/>
        <v>0.6846369103</v>
      </c>
      <c r="F276" s="11">
        <f t="shared" si="2"/>
        <v>628</v>
      </c>
      <c r="G276" s="11">
        <f t="shared" si="3"/>
        <v>289</v>
      </c>
      <c r="H276" s="5" t="str">
        <f t="shared" si="4"/>
        <v>Democrat</v>
      </c>
      <c r="I276" s="10">
        <f>'Precinct Vote Data'!H1090</f>
        <v>0.6915052161</v>
      </c>
      <c r="J276" s="10">
        <f>'Precinct Vote Data'!H1091</f>
        <v>0.6549094376</v>
      </c>
      <c r="K276" s="10">
        <f>'Precinct Vote Data'!H1092</f>
        <v>0.7090680101</v>
      </c>
      <c r="L276" s="10">
        <f>'Precinct Vote Data'!H1093</f>
        <v>0.6758555133</v>
      </c>
    </row>
    <row r="277" ht="15.0" customHeight="1">
      <c r="A277" s="5" t="s">
        <v>327</v>
      </c>
      <c r="B277" s="5" t="s">
        <v>157</v>
      </c>
      <c r="C277" s="5" t="s">
        <v>96</v>
      </c>
      <c r="D277" s="11">
        <f>MAX(0, 2*'Precinct Vote Data'!G1096 - 'Precinct Vote Data'!G1094)</f>
        <v>1045</v>
      </c>
      <c r="E277" s="10">
        <f t="shared" si="1"/>
        <v>0.6394056517</v>
      </c>
      <c r="F277" s="11">
        <f t="shared" si="2"/>
        <v>668</v>
      </c>
      <c r="G277" s="11">
        <f t="shared" si="3"/>
        <v>377</v>
      </c>
      <c r="H277" s="5" t="str">
        <f t="shared" si="4"/>
        <v>Democrat</v>
      </c>
      <c r="I277" s="10">
        <f>'Precinct Vote Data'!H1094</f>
        <v>0.6211251435</v>
      </c>
      <c r="J277" s="10">
        <f>'Precinct Vote Data'!H1095</f>
        <v>0.6031746032</v>
      </c>
      <c r="K277" s="10">
        <f>'Precinct Vote Data'!H1096</f>
        <v>0.6315240084</v>
      </c>
      <c r="L277" s="10">
        <f>'Precinct Vote Data'!H1097</f>
        <v>0.6342062193</v>
      </c>
    </row>
    <row r="278" ht="15.0" customHeight="1">
      <c r="A278" s="5" t="s">
        <v>327</v>
      </c>
      <c r="B278" s="5" t="s">
        <v>157</v>
      </c>
      <c r="C278" s="5" t="s">
        <v>98</v>
      </c>
      <c r="D278" s="11">
        <f>MAX(0, 2*'Precinct Vote Data'!G1100 - 'Precinct Vote Data'!G1098)</f>
        <v>1555</v>
      </c>
      <c r="E278" s="10">
        <f t="shared" si="1"/>
        <v>0.6036918761</v>
      </c>
      <c r="F278" s="11">
        <f t="shared" si="2"/>
        <v>939</v>
      </c>
      <c r="G278" s="11">
        <f t="shared" si="3"/>
        <v>616</v>
      </c>
      <c r="H278" s="5" t="str">
        <f t="shared" si="4"/>
        <v>Democrat</v>
      </c>
      <c r="I278" s="10">
        <f>'Precinct Vote Data'!H1098</f>
        <v>0.5773955774</v>
      </c>
      <c r="J278" s="10">
        <f>'Precinct Vote Data'!H1099</f>
        <v>0.5892526251</v>
      </c>
      <c r="K278" s="10">
        <f>'Precinct Vote Data'!H1100</f>
        <v>0.605907781</v>
      </c>
      <c r="L278" s="10">
        <f>'Precinct Vote Data'!H1101</f>
        <v>0.5894357743</v>
      </c>
    </row>
    <row r="279" ht="15.0" customHeight="1">
      <c r="A279" s="5" t="s">
        <v>327</v>
      </c>
      <c r="B279" s="5" t="s">
        <v>157</v>
      </c>
      <c r="C279" s="5" t="s">
        <v>100</v>
      </c>
      <c r="D279" s="11">
        <f>MAX(0, 2*'Precinct Vote Data'!G1104 - 'Precinct Vote Data'!G1102)</f>
        <v>971</v>
      </c>
      <c r="E279" s="10">
        <f t="shared" si="1"/>
        <v>0.6499800929</v>
      </c>
      <c r="F279" s="11">
        <f t="shared" si="2"/>
        <v>631</v>
      </c>
      <c r="G279" s="11">
        <f t="shared" si="3"/>
        <v>340</v>
      </c>
      <c r="H279" s="5" t="str">
        <f t="shared" si="4"/>
        <v>Democrat</v>
      </c>
      <c r="I279" s="10">
        <f>'Precinct Vote Data'!H1102</f>
        <v>0.657687991</v>
      </c>
      <c r="J279" s="10">
        <f>'Precinct Vote Data'!H1103</f>
        <v>0.6284013605</v>
      </c>
      <c r="K279" s="10">
        <f>'Precinct Vote Data'!H1104</f>
        <v>0.6766917293</v>
      </c>
      <c r="L279" s="10">
        <f>'Precinct Vote Data'!H1105</f>
        <v>0.6404782237</v>
      </c>
    </row>
    <row r="280" ht="15.0" customHeight="1">
      <c r="A280" s="5" t="s">
        <v>327</v>
      </c>
      <c r="B280" s="5" t="s">
        <v>157</v>
      </c>
      <c r="C280" s="5" t="s">
        <v>102</v>
      </c>
      <c r="D280" s="11">
        <f>MAX(0, 2*'Precinct Vote Data'!G1108 - 'Precinct Vote Data'!G1106)</f>
        <v>762</v>
      </c>
      <c r="E280" s="10">
        <f t="shared" si="1"/>
        <v>0.6260806095</v>
      </c>
      <c r="F280" s="11">
        <f t="shared" si="2"/>
        <v>477</v>
      </c>
      <c r="G280" s="11">
        <f t="shared" si="3"/>
        <v>285</v>
      </c>
      <c r="H280" s="5" t="str">
        <f t="shared" si="4"/>
        <v>Democrat</v>
      </c>
      <c r="I280" s="10">
        <f>'Precinct Vote Data'!H1106</f>
        <v>0.6828125</v>
      </c>
      <c r="J280" s="10">
        <f>'Precinct Vote Data'!H1107</f>
        <v>0.6442105263</v>
      </c>
      <c r="K280" s="10">
        <f>'Precinct Vote Data'!H1108</f>
        <v>0.6604850214</v>
      </c>
      <c r="L280" s="10">
        <f>'Precinct Vote Data'!H1109</f>
        <v>0.6372443488</v>
      </c>
    </row>
    <row r="281" ht="15.0" customHeight="1">
      <c r="A281" s="5" t="s">
        <v>327</v>
      </c>
      <c r="B281" s="5" t="s">
        <v>157</v>
      </c>
      <c r="C281" s="5" t="s">
        <v>103</v>
      </c>
      <c r="D281" s="11">
        <f>MAX(0, 2*'Precinct Vote Data'!G1112 - 'Precinct Vote Data'!G1110)</f>
        <v>1068</v>
      </c>
      <c r="E281" s="10">
        <f t="shared" si="1"/>
        <v>0.5796078688</v>
      </c>
      <c r="F281" s="11">
        <f t="shared" si="2"/>
        <v>619</v>
      </c>
      <c r="G281" s="11">
        <f t="shared" si="3"/>
        <v>449</v>
      </c>
      <c r="H281" s="5" t="str">
        <f t="shared" si="4"/>
        <v>Democrat</v>
      </c>
      <c r="I281" s="10">
        <f>'Precinct Vote Data'!H1110</f>
        <v>0.6365688488</v>
      </c>
      <c r="J281" s="10">
        <f>'Precinct Vote Data'!H1111</f>
        <v>0.5867074102</v>
      </c>
      <c r="K281" s="10">
        <f>'Precinct Vote Data'!H1112</f>
        <v>0.6079836233</v>
      </c>
      <c r="L281" s="10">
        <f>'Precinct Vote Data'!H1113</f>
        <v>0.5939004815</v>
      </c>
    </row>
    <row r="282" ht="15.0" customHeight="1">
      <c r="A282" s="5" t="s">
        <v>327</v>
      </c>
      <c r="B282" s="5" t="s">
        <v>157</v>
      </c>
      <c r="C282" s="5" t="s">
        <v>104</v>
      </c>
      <c r="D282" s="11">
        <f>MAX(0, 2*'Precinct Vote Data'!G1116 - 'Precinct Vote Data'!G1114)</f>
        <v>1345</v>
      </c>
      <c r="E282" s="10">
        <f t="shared" si="1"/>
        <v>0.6282059913</v>
      </c>
      <c r="F282" s="11">
        <f t="shared" si="2"/>
        <v>845</v>
      </c>
      <c r="G282" s="11">
        <f t="shared" si="3"/>
        <v>500</v>
      </c>
      <c r="H282" s="5" t="str">
        <f t="shared" si="4"/>
        <v>Democrat</v>
      </c>
      <c r="I282" s="10">
        <f>'Precinct Vote Data'!H1114</f>
        <v>0.641025641</v>
      </c>
      <c r="J282" s="10">
        <f>'Precinct Vote Data'!H1115</f>
        <v>0.6568742656</v>
      </c>
      <c r="K282" s="10">
        <f>'Precinct Vote Data'!H1116</f>
        <v>0.6480400334</v>
      </c>
      <c r="L282" s="10">
        <f>'Precinct Vote Data'!H1117</f>
        <v>0.6246987952</v>
      </c>
    </row>
    <row r="283" ht="15.0" customHeight="1">
      <c r="A283" s="5" t="s">
        <v>327</v>
      </c>
      <c r="B283" s="5" t="s">
        <v>157</v>
      </c>
      <c r="C283" s="5" t="s">
        <v>333</v>
      </c>
      <c r="D283" s="11">
        <f>MAX(0, 2*'Precinct Vote Data'!G1120 - 'Precinct Vote Data'!G1118)</f>
        <v>1132</v>
      </c>
      <c r="E283" s="10">
        <f t="shared" si="1"/>
        <v>0.5790488804</v>
      </c>
      <c r="F283" s="11">
        <f t="shared" si="2"/>
        <v>655</v>
      </c>
      <c r="G283" s="11">
        <f t="shared" si="3"/>
        <v>477</v>
      </c>
      <c r="H283" s="5" t="str">
        <f t="shared" si="4"/>
        <v>Democrat</v>
      </c>
      <c r="I283" s="10">
        <f>'Precinct Vote Data'!H1118</f>
        <v>0.579868709</v>
      </c>
      <c r="J283" s="10">
        <f>'Precinct Vote Data'!H1119</f>
        <v>0.5645973154</v>
      </c>
      <c r="K283" s="10">
        <f>'Precinct Vote Data'!H1120</f>
        <v>0.5972629521</v>
      </c>
      <c r="L283" s="10">
        <f>'Precinct Vote Data'!H1121</f>
        <v>0.5703517588</v>
      </c>
    </row>
    <row r="284" ht="15.0" customHeight="1">
      <c r="A284" s="5" t="s">
        <v>327</v>
      </c>
      <c r="B284" s="5" t="s">
        <v>157</v>
      </c>
      <c r="C284" s="5" t="s">
        <v>106</v>
      </c>
      <c r="D284" s="11">
        <f>MAX(0, 2*'Precinct Vote Data'!G1124 - 'Precinct Vote Data'!G1122)</f>
        <v>770</v>
      </c>
      <c r="E284" s="10">
        <f t="shared" si="1"/>
        <v>0.6439338847</v>
      </c>
      <c r="F284" s="11">
        <f t="shared" si="2"/>
        <v>496</v>
      </c>
      <c r="G284" s="11">
        <f t="shared" si="3"/>
        <v>274</v>
      </c>
      <c r="H284" s="5" t="str">
        <f t="shared" si="4"/>
        <v>Democrat</v>
      </c>
      <c r="I284" s="10">
        <f>'Precinct Vote Data'!H1122</f>
        <v>0.6544585987</v>
      </c>
      <c r="J284" s="10">
        <f>'Precinct Vote Data'!H1123</f>
        <v>0.6237054085</v>
      </c>
      <c r="K284" s="10">
        <f>'Precinct Vote Data'!H1124</f>
        <v>0.6552217454</v>
      </c>
      <c r="L284" s="10">
        <f>'Precinct Vote Data'!H1125</f>
        <v>0.6435523114</v>
      </c>
    </row>
    <row r="285" ht="15.0" customHeight="1">
      <c r="A285" s="5" t="s">
        <v>327</v>
      </c>
      <c r="B285" s="5" t="s">
        <v>157</v>
      </c>
      <c r="C285" s="5" t="s">
        <v>109</v>
      </c>
      <c r="D285" s="11">
        <f>MAX(0, 2*'Precinct Vote Data'!G1128 - 'Precinct Vote Data'!G1126)</f>
        <v>838</v>
      </c>
      <c r="E285" s="10">
        <f t="shared" si="1"/>
        <v>0.6675199561</v>
      </c>
      <c r="F285" s="11">
        <f t="shared" si="2"/>
        <v>559</v>
      </c>
      <c r="G285" s="11">
        <f t="shared" si="3"/>
        <v>279</v>
      </c>
      <c r="H285" s="5" t="str">
        <f t="shared" si="4"/>
        <v>Democrat</v>
      </c>
      <c r="I285" s="10">
        <f>'Precinct Vote Data'!H1126</f>
        <v>0.6902173913</v>
      </c>
      <c r="J285" s="10">
        <f>'Precinct Vote Data'!H1127</f>
        <v>0.6231454006</v>
      </c>
      <c r="K285" s="10">
        <f>'Precinct Vote Data'!H1128</f>
        <v>0.6925031766</v>
      </c>
      <c r="L285" s="10">
        <f>'Precinct Vote Data'!H1129</f>
        <v>0.6663770634</v>
      </c>
    </row>
    <row r="286" ht="15.0" customHeight="1">
      <c r="A286" s="5" t="s">
        <v>327</v>
      </c>
      <c r="B286" s="5" t="s">
        <v>157</v>
      </c>
      <c r="C286" s="5" t="s">
        <v>110</v>
      </c>
      <c r="D286" s="11">
        <f>MAX(0, 2*'Precinct Vote Data'!G1132 - 'Precinct Vote Data'!G1130)</f>
        <v>1222</v>
      </c>
      <c r="E286" s="10">
        <f t="shared" si="1"/>
        <v>0.5895429912</v>
      </c>
      <c r="F286" s="11">
        <f t="shared" si="2"/>
        <v>720</v>
      </c>
      <c r="G286" s="11">
        <f t="shared" si="3"/>
        <v>502</v>
      </c>
      <c r="H286" s="5" t="str">
        <f t="shared" si="4"/>
        <v>Democrat</v>
      </c>
      <c r="I286" s="10">
        <f>'Precinct Vote Data'!H1130</f>
        <v>0.6733067729</v>
      </c>
      <c r="J286" s="10">
        <f>'Precinct Vote Data'!H1131</f>
        <v>0.6235455168</v>
      </c>
      <c r="K286" s="10">
        <f>'Precinct Vote Data'!H1132</f>
        <v>0.6379155436</v>
      </c>
      <c r="L286" s="10">
        <f>'Precinct Vote Data'!H1133</f>
        <v>0.6072386059</v>
      </c>
    </row>
    <row r="287" ht="15.0" customHeight="1">
      <c r="A287" s="5" t="s">
        <v>327</v>
      </c>
      <c r="B287" s="5" t="s">
        <v>157</v>
      </c>
      <c r="C287" s="5" t="s">
        <v>111</v>
      </c>
      <c r="D287" s="11">
        <f>MAX(0, 2*'Precinct Vote Data'!G1136 - 'Precinct Vote Data'!G1134)</f>
        <v>584</v>
      </c>
      <c r="E287" s="10">
        <f t="shared" si="1"/>
        <v>0.6271791119</v>
      </c>
      <c r="F287" s="11">
        <f t="shared" si="2"/>
        <v>366</v>
      </c>
      <c r="G287" s="11">
        <f t="shared" si="3"/>
        <v>218</v>
      </c>
      <c r="H287" s="5" t="str">
        <f t="shared" si="4"/>
        <v>Democrat</v>
      </c>
      <c r="I287" s="10">
        <f>'Precinct Vote Data'!H1134</f>
        <v>0.8303370787</v>
      </c>
      <c r="J287" s="10">
        <f>'Precinct Vote Data'!H1135</f>
        <v>0.733490566</v>
      </c>
      <c r="K287" s="10">
        <f>'Precinct Vote Data'!H1136</f>
        <v>0.6919945726</v>
      </c>
      <c r="L287" s="10">
        <f>'Precinct Vote Data'!H1137</f>
        <v>0.696350365</v>
      </c>
    </row>
    <row r="288" ht="15.0" customHeight="1">
      <c r="A288" s="5" t="s">
        <v>327</v>
      </c>
      <c r="B288" s="5" t="s">
        <v>157</v>
      </c>
      <c r="C288" s="5" t="s">
        <v>113</v>
      </c>
      <c r="D288" s="11">
        <f>MAX(0, 2*'Precinct Vote Data'!G1140 - 'Precinct Vote Data'!G1138)</f>
        <v>915</v>
      </c>
      <c r="E288" s="10">
        <f t="shared" si="1"/>
        <v>0.6067926166</v>
      </c>
      <c r="F288" s="11">
        <f t="shared" si="2"/>
        <v>555</v>
      </c>
      <c r="G288" s="11">
        <f t="shared" si="3"/>
        <v>360</v>
      </c>
      <c r="H288" s="5" t="str">
        <f t="shared" si="4"/>
        <v>Democrat</v>
      </c>
      <c r="I288" s="10">
        <f>'Precinct Vote Data'!H1138</f>
        <v>0.6919127086</v>
      </c>
      <c r="J288" s="10">
        <f>'Precinct Vote Data'!H1139</f>
        <v>0.6184538653</v>
      </c>
      <c r="K288" s="10">
        <f>'Precinct Vote Data'!H1140</f>
        <v>0.6375442739</v>
      </c>
      <c r="L288" s="10">
        <f>'Precinct Vote Data'!H1141</f>
        <v>0.633976834</v>
      </c>
    </row>
    <row r="289" ht="15.0" customHeight="1">
      <c r="A289" s="5" t="s">
        <v>327</v>
      </c>
      <c r="B289" s="5" t="s">
        <v>157</v>
      </c>
      <c r="C289" s="5" t="s">
        <v>114</v>
      </c>
      <c r="D289" s="11">
        <f>MAX(0, 2*'Precinct Vote Data'!G1144 - 'Precinct Vote Data'!G1142)</f>
        <v>175</v>
      </c>
      <c r="E289" s="10">
        <f t="shared" si="1"/>
        <v>0.6405099444</v>
      </c>
      <c r="F289" s="11">
        <f t="shared" si="2"/>
        <v>112</v>
      </c>
      <c r="G289" s="11">
        <f t="shared" si="3"/>
        <v>63</v>
      </c>
      <c r="H289" s="5" t="str">
        <f t="shared" si="4"/>
        <v>Democrat</v>
      </c>
      <c r="I289" s="10">
        <f>'Precinct Vote Data'!H1142</f>
        <v>0.9020408163</v>
      </c>
      <c r="J289" s="10">
        <f>'Precinct Vote Data'!H1143</f>
        <v>0.8144329897</v>
      </c>
      <c r="K289" s="10">
        <f>'Precinct Vote Data'!H1144</f>
        <v>0.7428571429</v>
      </c>
      <c r="L289" s="10">
        <f>'Precinct Vote Data'!H1145</f>
        <v>0.7201017812</v>
      </c>
    </row>
    <row r="290" ht="15.0" customHeight="1">
      <c r="A290" s="5" t="s">
        <v>327</v>
      </c>
      <c r="B290" s="5" t="s">
        <v>157</v>
      </c>
      <c r="C290" s="5" t="s">
        <v>116</v>
      </c>
      <c r="D290" s="11">
        <f>MAX(0, 2*'Precinct Vote Data'!G1148 - 'Precinct Vote Data'!G1146)</f>
        <v>794</v>
      </c>
      <c r="E290" s="10">
        <f t="shared" si="1"/>
        <v>0.5436894171</v>
      </c>
      <c r="F290" s="11">
        <f t="shared" si="2"/>
        <v>432</v>
      </c>
      <c r="G290" s="11">
        <f t="shared" si="3"/>
        <v>362</v>
      </c>
      <c r="H290" s="5" t="str">
        <f t="shared" si="4"/>
        <v>Democrat</v>
      </c>
      <c r="I290" s="10">
        <f>'Precinct Vote Data'!H1146</f>
        <v>0.5079365079</v>
      </c>
      <c r="J290" s="10">
        <f>'Precinct Vote Data'!H1147</f>
        <v>0.5079545455</v>
      </c>
      <c r="K290" s="10">
        <f>'Precinct Vote Data'!H1148</f>
        <v>0.5252808989</v>
      </c>
      <c r="L290" s="10">
        <f>'Precinct Vote Data'!H1149</f>
        <v>0.5350172216</v>
      </c>
    </row>
    <row r="291" ht="15.0" customHeight="1">
      <c r="A291" s="5" t="s">
        <v>327</v>
      </c>
      <c r="B291" s="5" t="s">
        <v>157</v>
      </c>
      <c r="C291" s="5" t="s">
        <v>118</v>
      </c>
      <c r="D291" s="11">
        <f>MAX(0, 2*'Precinct Vote Data'!G1152 - 'Precinct Vote Data'!G1150)</f>
        <v>1000</v>
      </c>
      <c r="E291" s="10">
        <f t="shared" si="1"/>
        <v>0.5313942485</v>
      </c>
      <c r="F291" s="11">
        <f t="shared" si="2"/>
        <v>531</v>
      </c>
      <c r="G291" s="11">
        <f t="shared" si="3"/>
        <v>469</v>
      </c>
      <c r="H291" s="5" t="str">
        <f t="shared" si="4"/>
        <v>Democrat</v>
      </c>
      <c r="I291" s="10">
        <f>'Precinct Vote Data'!H1150</f>
        <v>0.5160098522</v>
      </c>
      <c r="J291" s="10">
        <f>'Precinct Vote Data'!H1151</f>
        <v>0.508302583</v>
      </c>
      <c r="K291" s="10">
        <f>'Precinct Vote Data'!H1152</f>
        <v>0.5353200883</v>
      </c>
      <c r="L291" s="10">
        <f>'Precinct Vote Data'!H1153</f>
        <v>0.5217391304</v>
      </c>
    </row>
    <row r="292" ht="15.0" customHeight="1">
      <c r="A292" s="5" t="s">
        <v>327</v>
      </c>
      <c r="B292" s="5" t="s">
        <v>157</v>
      </c>
      <c r="C292" s="5" t="s">
        <v>334</v>
      </c>
      <c r="D292" s="11">
        <f>MAX(0, 2*'Precinct Vote Data'!G1156 - 'Precinct Vote Data'!G1154)</f>
        <v>1164</v>
      </c>
      <c r="E292" s="10">
        <f t="shared" si="1"/>
        <v>0.5413503345</v>
      </c>
      <c r="F292" s="11">
        <f t="shared" si="2"/>
        <v>630</v>
      </c>
      <c r="G292" s="11">
        <f t="shared" si="3"/>
        <v>534</v>
      </c>
      <c r="H292" s="5" t="str">
        <f t="shared" si="4"/>
        <v>Democrat</v>
      </c>
      <c r="I292" s="10">
        <f>'Precinct Vote Data'!H1154</f>
        <v>0.5863636364</v>
      </c>
      <c r="J292" s="10">
        <f>'Precinct Vote Data'!H1155</f>
        <v>0.5743842365</v>
      </c>
      <c r="K292" s="10">
        <f>'Precinct Vote Data'!H1156</f>
        <v>0.5734649123</v>
      </c>
      <c r="L292" s="10">
        <f>'Precinct Vote Data'!H1157</f>
        <v>0.5477996965</v>
      </c>
    </row>
    <row r="293" ht="15.0" customHeight="1">
      <c r="A293" s="5" t="s">
        <v>327</v>
      </c>
      <c r="B293" s="5" t="s">
        <v>157</v>
      </c>
      <c r="C293" s="5" t="s">
        <v>335</v>
      </c>
      <c r="D293" s="11">
        <f>MAX(0, 2*'Precinct Vote Data'!G1160 - 'Precinct Vote Data'!G1158)</f>
        <v>543</v>
      </c>
      <c r="E293" s="10">
        <f t="shared" si="1"/>
        <v>0.494371574</v>
      </c>
      <c r="F293" s="11">
        <f t="shared" si="2"/>
        <v>268</v>
      </c>
      <c r="G293" s="11">
        <f t="shared" si="3"/>
        <v>275</v>
      </c>
      <c r="H293" s="5" t="str">
        <f t="shared" si="4"/>
        <v>Republican</v>
      </c>
      <c r="I293" s="10">
        <f>'Precinct Vote Data'!H1158</f>
        <v>0.4940617577</v>
      </c>
      <c r="J293" s="10">
        <f>'Precinct Vote Data'!H1159</f>
        <v>0.4636510501</v>
      </c>
      <c r="K293" s="10">
        <f>'Precinct Vote Data'!H1160</f>
        <v>0.4813278008</v>
      </c>
      <c r="L293" s="10">
        <f>'Precinct Vote Data'!H1161</f>
        <v>0.5007385524</v>
      </c>
    </row>
    <row r="294" ht="15.0" customHeight="1">
      <c r="A294" s="5" t="s">
        <v>327</v>
      </c>
      <c r="B294" s="5" t="s">
        <v>157</v>
      </c>
      <c r="C294" s="5" t="s">
        <v>119</v>
      </c>
      <c r="D294" s="11">
        <f>MAX(0, 2*'Precinct Vote Data'!G1164 - 'Precinct Vote Data'!G1162)</f>
        <v>830</v>
      </c>
      <c r="E294" s="10">
        <f t="shared" si="1"/>
        <v>0.5433972895</v>
      </c>
      <c r="F294" s="11">
        <f t="shared" si="2"/>
        <v>451</v>
      </c>
      <c r="G294" s="11">
        <f t="shared" si="3"/>
        <v>379</v>
      </c>
      <c r="H294" s="5" t="str">
        <f t="shared" si="4"/>
        <v>Democrat</v>
      </c>
      <c r="I294" s="10">
        <f>'Precinct Vote Data'!H1162</f>
        <v>0.5830860534</v>
      </c>
      <c r="J294" s="10">
        <f>'Precinct Vote Data'!H1163</f>
        <v>0.552253116</v>
      </c>
      <c r="K294" s="10">
        <f>'Precinct Vote Data'!H1164</f>
        <v>0.5784574468</v>
      </c>
      <c r="L294" s="10">
        <f>'Precinct Vote Data'!H1165</f>
        <v>0.5457115928</v>
      </c>
    </row>
    <row r="295" ht="15.0" customHeight="1">
      <c r="A295" s="5" t="s">
        <v>327</v>
      </c>
      <c r="B295" s="5" t="s">
        <v>157</v>
      </c>
      <c r="C295" s="5" t="s">
        <v>336</v>
      </c>
      <c r="D295" s="11">
        <f>MAX(0, 2*'Precinct Vote Data'!G1168 - 'Precinct Vote Data'!G1166)</f>
        <v>896</v>
      </c>
      <c r="E295" s="10">
        <f t="shared" si="1"/>
        <v>0.4923529143</v>
      </c>
      <c r="F295" s="11">
        <f t="shared" si="2"/>
        <v>441</v>
      </c>
      <c r="G295" s="11">
        <f t="shared" si="3"/>
        <v>455</v>
      </c>
      <c r="H295" s="5" t="str">
        <f t="shared" si="4"/>
        <v>Republican</v>
      </c>
      <c r="I295" s="10">
        <f>'Precinct Vote Data'!H1166</f>
        <v>0.5949008499</v>
      </c>
      <c r="J295" s="10">
        <f>'Precinct Vote Data'!H1167</f>
        <v>0.5333969466</v>
      </c>
      <c r="K295" s="10">
        <f>'Precinct Vote Data'!H1168</f>
        <v>0.54556804</v>
      </c>
      <c r="L295" s="10">
        <f>'Precinct Vote Data'!H1169</f>
        <v>0.5170193192</v>
      </c>
    </row>
    <row r="296" ht="15.0" customHeight="1">
      <c r="A296" s="5" t="s">
        <v>327</v>
      </c>
      <c r="B296" s="5" t="s">
        <v>157</v>
      </c>
      <c r="C296" s="5" t="s">
        <v>337</v>
      </c>
      <c r="D296" s="11">
        <f>MAX(0, 2*'Precinct Vote Data'!G1172 - 'Precinct Vote Data'!G1170)</f>
        <v>571</v>
      </c>
      <c r="E296" s="10">
        <f t="shared" si="1"/>
        <v>0.5430577699</v>
      </c>
      <c r="F296" s="11">
        <f t="shared" si="2"/>
        <v>310</v>
      </c>
      <c r="G296" s="11">
        <f t="shared" si="3"/>
        <v>261</v>
      </c>
      <c r="H296" s="5" t="str">
        <f t="shared" si="4"/>
        <v>Democrat</v>
      </c>
      <c r="I296" s="10">
        <f>'Precinct Vote Data'!H1170</f>
        <v>0.5445783133</v>
      </c>
      <c r="J296" s="10">
        <f>'Precinct Vote Data'!H1171</f>
        <v>0.5071315372</v>
      </c>
      <c r="K296" s="10">
        <f>'Precinct Vote Data'!H1172</f>
        <v>0.5659229209</v>
      </c>
      <c r="L296" s="10">
        <f>'Precinct Vote Data'!H1173</f>
        <v>0.532385466</v>
      </c>
    </row>
    <row r="297" ht="15.0" customHeight="1">
      <c r="A297" s="5" t="s">
        <v>327</v>
      </c>
      <c r="B297" s="5" t="s">
        <v>157</v>
      </c>
      <c r="C297" s="5" t="s">
        <v>338</v>
      </c>
      <c r="D297" s="11">
        <f>MAX(0, 2*'Precinct Vote Data'!G1176 - 'Precinct Vote Data'!G1174)</f>
        <v>710</v>
      </c>
      <c r="E297" s="10">
        <f t="shared" si="1"/>
        <v>0.5741744219</v>
      </c>
      <c r="F297" s="11">
        <f t="shared" si="2"/>
        <v>408</v>
      </c>
      <c r="G297" s="11">
        <f t="shared" si="3"/>
        <v>302</v>
      </c>
      <c r="H297" s="5" t="str">
        <f t="shared" si="4"/>
        <v>Democrat</v>
      </c>
      <c r="I297" s="10">
        <f>'Precinct Vote Data'!H1174</f>
        <v>0.5925925926</v>
      </c>
      <c r="J297" s="10">
        <f>'Precinct Vote Data'!H1175</f>
        <v>0.5807692308</v>
      </c>
      <c r="K297" s="10">
        <f>'Precinct Vote Data'!H1176</f>
        <v>0.5984</v>
      </c>
      <c r="L297" s="10">
        <f>'Precinct Vote Data'!H1177</f>
        <v>0.5712707182</v>
      </c>
    </row>
    <row r="298" ht="15.0" customHeight="1">
      <c r="A298" s="5" t="s">
        <v>327</v>
      </c>
      <c r="B298" s="5" t="s">
        <v>157</v>
      </c>
      <c r="C298" s="5" t="s">
        <v>120</v>
      </c>
      <c r="D298" s="11">
        <f>MAX(0, 2*'Precinct Vote Data'!G1180 - 'Precinct Vote Data'!G1178)</f>
        <v>436</v>
      </c>
      <c r="E298" s="10">
        <f t="shared" si="1"/>
        <v>0.6028942009</v>
      </c>
      <c r="F298" s="11">
        <f t="shared" si="2"/>
        <v>263</v>
      </c>
      <c r="G298" s="11">
        <f t="shared" si="3"/>
        <v>173</v>
      </c>
      <c r="H298" s="5" t="str">
        <f t="shared" si="4"/>
        <v>Democrat</v>
      </c>
      <c r="I298" s="10">
        <f>'Precinct Vote Data'!H1178</f>
        <v>0.6042780749</v>
      </c>
      <c r="J298" s="10">
        <f>'Precinct Vote Data'!H1179</f>
        <v>0.5863970588</v>
      </c>
      <c r="K298" s="10">
        <f>'Precinct Vote Data'!H1180</f>
        <v>0.6049382716</v>
      </c>
      <c r="L298" s="10">
        <f>'Precinct Vote Data'!H1181</f>
        <v>0.6025641026</v>
      </c>
    </row>
    <row r="299" ht="15.0" customHeight="1">
      <c r="A299" s="5" t="s">
        <v>327</v>
      </c>
      <c r="B299" s="5" t="s">
        <v>157</v>
      </c>
      <c r="C299" s="5" t="s">
        <v>122</v>
      </c>
      <c r="D299" s="11">
        <f>MAX(0, 2*'Precinct Vote Data'!G1184 - 'Precinct Vote Data'!G1182)</f>
        <v>631</v>
      </c>
      <c r="E299" s="10">
        <f t="shared" si="1"/>
        <v>0.5133600878</v>
      </c>
      <c r="F299" s="11">
        <f t="shared" si="2"/>
        <v>324</v>
      </c>
      <c r="G299" s="11">
        <f t="shared" si="3"/>
        <v>307</v>
      </c>
      <c r="H299" s="5" t="str">
        <f t="shared" si="4"/>
        <v>Democrat</v>
      </c>
      <c r="I299" s="10">
        <f>'Precinct Vote Data'!H1182</f>
        <v>0.511627907</v>
      </c>
      <c r="J299" s="10">
        <f>'Precinct Vote Data'!H1183</f>
        <v>0.487804878</v>
      </c>
      <c r="K299" s="10">
        <f>'Precinct Vote Data'!H1184</f>
        <v>0.5</v>
      </c>
      <c r="L299" s="10">
        <f>'Precinct Vote Data'!H1185</f>
        <v>0.5191740413</v>
      </c>
    </row>
    <row r="300" ht="15.0" customHeight="1">
      <c r="A300" s="5" t="s">
        <v>327</v>
      </c>
      <c r="B300" s="5" t="s">
        <v>157</v>
      </c>
      <c r="C300" s="5" t="s">
        <v>339</v>
      </c>
      <c r="D300" s="11">
        <f>MAX(0, 2*'Precinct Vote Data'!G1188 - 'Precinct Vote Data'!G1186)</f>
        <v>732</v>
      </c>
      <c r="E300" s="10">
        <f t="shared" si="1"/>
        <v>0.5191784609</v>
      </c>
      <c r="F300" s="11">
        <f t="shared" si="2"/>
        <v>380</v>
      </c>
      <c r="G300" s="11">
        <f t="shared" si="3"/>
        <v>352</v>
      </c>
      <c r="H300" s="5" t="str">
        <f t="shared" si="4"/>
        <v>Democrat</v>
      </c>
      <c r="I300" s="10">
        <f>'Precinct Vote Data'!H1186</f>
        <v>0.5607142857</v>
      </c>
      <c r="J300" s="10">
        <f>'Precinct Vote Data'!H1187</f>
        <v>0.5423728814</v>
      </c>
      <c r="K300" s="10">
        <f>'Precinct Vote Data'!H1188</f>
        <v>0.5464396285</v>
      </c>
      <c r="L300" s="10">
        <f>'Precinct Vote Data'!H1189</f>
        <v>0.5263157895</v>
      </c>
    </row>
    <row r="301" ht="15.0" customHeight="1">
      <c r="A301" s="5" t="s">
        <v>327</v>
      </c>
      <c r="B301" s="5" t="s">
        <v>157</v>
      </c>
      <c r="C301" s="5" t="s">
        <v>340</v>
      </c>
      <c r="D301" s="11">
        <f>MAX(0, 2*'Precinct Vote Data'!G1192 - 'Precinct Vote Data'!G1190)</f>
        <v>847</v>
      </c>
      <c r="E301" s="10">
        <f t="shared" si="1"/>
        <v>0.5510133237</v>
      </c>
      <c r="F301" s="11">
        <f t="shared" si="2"/>
        <v>467</v>
      </c>
      <c r="G301" s="11">
        <f t="shared" si="3"/>
        <v>380</v>
      </c>
      <c r="H301" s="5" t="str">
        <f t="shared" si="4"/>
        <v>Democrat</v>
      </c>
      <c r="I301" s="10">
        <f>'Precinct Vote Data'!H1190</f>
        <v>0.5992844365</v>
      </c>
      <c r="J301" s="10">
        <f>'Precinct Vote Data'!H1191</f>
        <v>0.5597964377</v>
      </c>
      <c r="K301" s="10">
        <f>'Precinct Vote Data'!H1192</f>
        <v>0.5689900427</v>
      </c>
      <c r="L301" s="10">
        <f>'Precinct Vote Data'!H1193</f>
        <v>0.5661605206</v>
      </c>
    </row>
    <row r="302" ht="15.0" customHeight="1">
      <c r="A302" s="5" t="s">
        <v>327</v>
      </c>
      <c r="B302" s="5" t="s">
        <v>157</v>
      </c>
      <c r="C302" s="5" t="s">
        <v>341</v>
      </c>
      <c r="D302" s="11">
        <f>MAX(0, 2*'Precinct Vote Data'!G1196 - 'Precinct Vote Data'!G1194)</f>
        <v>785</v>
      </c>
      <c r="E302" s="10">
        <f t="shared" si="1"/>
        <v>0.5149126851</v>
      </c>
      <c r="F302" s="11">
        <f t="shared" si="2"/>
        <v>404</v>
      </c>
      <c r="G302" s="11">
        <f t="shared" si="3"/>
        <v>381</v>
      </c>
      <c r="H302" s="5" t="str">
        <f t="shared" si="4"/>
        <v>Democrat</v>
      </c>
      <c r="I302" s="10">
        <f>'Precinct Vote Data'!H1194</f>
        <v>0.5042589438</v>
      </c>
      <c r="J302" s="10">
        <f>'Precinct Vote Data'!H1195</f>
        <v>0.4954853273</v>
      </c>
      <c r="K302" s="10">
        <f>'Precinct Vote Data'!H1196</f>
        <v>0.5189504373</v>
      </c>
      <c r="L302" s="10">
        <f>'Precinct Vote Data'!H1197</f>
        <v>0.5075669383</v>
      </c>
    </row>
    <row r="303" ht="15.0" customHeight="1">
      <c r="A303" s="5" t="s">
        <v>327</v>
      </c>
      <c r="B303" s="5" t="s">
        <v>157</v>
      </c>
      <c r="C303" s="5" t="s">
        <v>124</v>
      </c>
      <c r="D303" s="11">
        <f>MAX(0, 2*'Precinct Vote Data'!G1200 - 'Precinct Vote Data'!G1198)</f>
        <v>1702</v>
      </c>
      <c r="E303" s="10">
        <f t="shared" si="1"/>
        <v>0.5746540483</v>
      </c>
      <c r="F303" s="11">
        <f t="shared" si="2"/>
        <v>978</v>
      </c>
      <c r="G303" s="11">
        <f t="shared" si="3"/>
        <v>724</v>
      </c>
      <c r="H303" s="5" t="str">
        <f t="shared" si="4"/>
        <v>Democrat</v>
      </c>
      <c r="I303" s="10">
        <f>'Precinct Vote Data'!H1198</f>
        <v>0.5541871921</v>
      </c>
      <c r="J303" s="10">
        <f>'Precinct Vote Data'!H1199</f>
        <v>0.5690298507</v>
      </c>
      <c r="K303" s="10">
        <f>'Precinct Vote Data'!H1200</f>
        <v>0.5719968178</v>
      </c>
      <c r="L303" s="10">
        <f>'Precinct Vote Data'!H1201</f>
        <v>0.5657492355</v>
      </c>
    </row>
    <row r="304" ht="15.0" customHeight="1">
      <c r="A304" s="5" t="s">
        <v>327</v>
      </c>
      <c r="B304" s="5" t="s">
        <v>157</v>
      </c>
      <c r="C304" s="5" t="s">
        <v>126</v>
      </c>
      <c r="D304" s="11">
        <f>MAX(0, 2*'Precinct Vote Data'!G1204 - 'Precinct Vote Data'!G1202)</f>
        <v>890</v>
      </c>
      <c r="E304" s="10">
        <f t="shared" si="1"/>
        <v>0.5296918398</v>
      </c>
      <c r="F304" s="11">
        <f t="shared" si="2"/>
        <v>471</v>
      </c>
      <c r="G304" s="11">
        <f t="shared" si="3"/>
        <v>419</v>
      </c>
      <c r="H304" s="5" t="str">
        <f t="shared" si="4"/>
        <v>Democrat</v>
      </c>
      <c r="I304" s="10">
        <f>'Precinct Vote Data'!H1202</f>
        <v>0.4651515152</v>
      </c>
      <c r="J304" s="10">
        <f>'Precinct Vote Data'!H1203</f>
        <v>0.4751703992</v>
      </c>
      <c r="K304" s="10">
        <f>'Precinct Vote Data'!H1204</f>
        <v>0.504516129</v>
      </c>
      <c r="L304" s="10">
        <f>'Precinct Vote Data'!H1205</f>
        <v>0.5100095329</v>
      </c>
    </row>
    <row r="305" ht="15.0" customHeight="1">
      <c r="A305" s="5" t="s">
        <v>327</v>
      </c>
      <c r="B305" s="5" t="s">
        <v>157</v>
      </c>
      <c r="C305" s="5" t="s">
        <v>127</v>
      </c>
      <c r="D305" s="11">
        <f>MAX(0, 2*'Precinct Vote Data'!G1208 - 'Precinct Vote Data'!G1206)</f>
        <v>866</v>
      </c>
      <c r="E305" s="10">
        <f t="shared" si="1"/>
        <v>0.5114231765</v>
      </c>
      <c r="F305" s="11">
        <f t="shared" si="2"/>
        <v>443</v>
      </c>
      <c r="G305" s="11">
        <f t="shared" si="3"/>
        <v>423</v>
      </c>
      <c r="H305" s="5" t="str">
        <f t="shared" si="4"/>
        <v>Democrat</v>
      </c>
      <c r="I305" s="10">
        <f>'Precinct Vote Data'!H1206</f>
        <v>0.5143266476</v>
      </c>
      <c r="J305" s="10">
        <f>'Precinct Vote Data'!H1207</f>
        <v>0.5385462555</v>
      </c>
      <c r="K305" s="10">
        <f>'Precinct Vote Data'!H1208</f>
        <v>0.5051150895</v>
      </c>
      <c r="L305" s="10">
        <f>'Precinct Vote Data'!H1209</f>
        <v>0.5160289555</v>
      </c>
    </row>
    <row r="306" ht="15.0" customHeight="1">
      <c r="A306" s="5" t="s">
        <v>327</v>
      </c>
      <c r="B306" s="5" t="s">
        <v>157</v>
      </c>
      <c r="C306" s="5" t="s">
        <v>342</v>
      </c>
      <c r="D306" s="11">
        <f>MAX(0, 2*'Precinct Vote Data'!G1212 - 'Precinct Vote Data'!G1210)</f>
        <v>840</v>
      </c>
      <c r="E306" s="10">
        <f t="shared" si="1"/>
        <v>0.5229464964</v>
      </c>
      <c r="F306" s="11">
        <f t="shared" si="2"/>
        <v>439</v>
      </c>
      <c r="G306" s="11">
        <f t="shared" si="3"/>
        <v>401</v>
      </c>
      <c r="H306" s="5" t="str">
        <f t="shared" si="4"/>
        <v>Democrat</v>
      </c>
      <c r="I306" s="10">
        <f>'Precinct Vote Data'!H1210</f>
        <v>0.5299401198</v>
      </c>
      <c r="J306" s="10">
        <f>'Precinct Vote Data'!H1211</f>
        <v>0.5167173252</v>
      </c>
      <c r="K306" s="10">
        <f>'Precinct Vote Data'!H1212</f>
        <v>0.5397877984</v>
      </c>
      <c r="L306" s="10">
        <f>'Precinct Vote Data'!H1213</f>
        <v>0.5180226571</v>
      </c>
    </row>
    <row r="307" ht="15.0" customHeight="1">
      <c r="A307" s="5" t="s">
        <v>327</v>
      </c>
      <c r="B307" s="5" t="s">
        <v>343</v>
      </c>
      <c r="C307" s="5" t="s">
        <v>130</v>
      </c>
      <c r="D307" s="11">
        <f>MAX(0, 2*'Precinct Vote Data'!G1216 - 'Precinct Vote Data'!G1214)</f>
        <v>2225</v>
      </c>
      <c r="E307" s="10">
        <f t="shared" si="1"/>
        <v>0.3975533113</v>
      </c>
      <c r="F307" s="11">
        <f t="shared" si="2"/>
        <v>885</v>
      </c>
      <c r="G307" s="11">
        <f t="shared" si="3"/>
        <v>1340</v>
      </c>
      <c r="H307" s="5" t="str">
        <f t="shared" si="4"/>
        <v>Republican</v>
      </c>
      <c r="I307" s="10">
        <f>'Precinct Vote Data'!H1214</f>
        <v>0.3796721311</v>
      </c>
      <c r="J307" s="10">
        <f>'Precinct Vote Data'!H1215</f>
        <v>0.3730434783</v>
      </c>
      <c r="K307" s="10">
        <f>'Precinct Vote Data'!H1216</f>
        <v>0.3893333333</v>
      </c>
      <c r="L307" s="10">
        <f>'Precinct Vote Data'!H1217</f>
        <v>0.3927227102</v>
      </c>
    </row>
    <row r="308" ht="15.0" customHeight="1">
      <c r="A308" s="5" t="s">
        <v>327</v>
      </c>
      <c r="B308" s="5" t="s">
        <v>343</v>
      </c>
      <c r="C308" s="5" t="s">
        <v>131</v>
      </c>
      <c r="D308" s="11">
        <f>MAX(0, 2*'Precinct Vote Data'!G1220 - 'Precinct Vote Data'!G1218)</f>
        <v>1964</v>
      </c>
      <c r="E308" s="10">
        <f t="shared" si="1"/>
        <v>0.4053832759</v>
      </c>
      <c r="F308" s="11">
        <f t="shared" si="2"/>
        <v>796</v>
      </c>
      <c r="G308" s="11">
        <f t="shared" si="3"/>
        <v>1168</v>
      </c>
      <c r="H308" s="5" t="str">
        <f t="shared" si="4"/>
        <v>Republican</v>
      </c>
      <c r="I308" s="10">
        <f>'Precinct Vote Data'!H1218</f>
        <v>0.4394184168</v>
      </c>
      <c r="J308" s="10">
        <f>'Precinct Vote Data'!H1219</f>
        <v>0.3934257833</v>
      </c>
      <c r="K308" s="10">
        <f>'Precinct Vote Data'!H1220</f>
        <v>0.4322298563</v>
      </c>
      <c r="L308" s="10">
        <f>'Precinct Vote Data'!H1221</f>
        <v>0.4089775561</v>
      </c>
    </row>
    <row r="309" ht="15.0" customHeight="1">
      <c r="A309" s="5" t="s">
        <v>327</v>
      </c>
      <c r="B309" s="5" t="s">
        <v>343</v>
      </c>
      <c r="C309" s="5" t="s">
        <v>132</v>
      </c>
      <c r="D309" s="11">
        <f>MAX(0, 2*'Precinct Vote Data'!G1224 - 'Precinct Vote Data'!G1222)</f>
        <v>1096</v>
      </c>
      <c r="E309" s="10">
        <f t="shared" si="1"/>
        <v>0.3387647611</v>
      </c>
      <c r="F309" s="11">
        <f t="shared" si="2"/>
        <v>371</v>
      </c>
      <c r="G309" s="11">
        <f t="shared" si="3"/>
        <v>725</v>
      </c>
      <c r="H309" s="5" t="str">
        <f t="shared" si="4"/>
        <v>Republican</v>
      </c>
      <c r="I309" s="10">
        <f>'Precinct Vote Data'!H1222</f>
        <v>0.3293333333</v>
      </c>
      <c r="J309" s="10">
        <f>'Precinct Vote Data'!H1223</f>
        <v>0.3172043011</v>
      </c>
      <c r="K309" s="10">
        <f>'Precinct Vote Data'!H1224</f>
        <v>0.3412784399</v>
      </c>
      <c r="L309" s="10">
        <f>'Precinct Vote Data'!H1225</f>
        <v>0.3327922078</v>
      </c>
    </row>
    <row r="310" ht="15.0" customHeight="1">
      <c r="A310" s="5" t="s">
        <v>327</v>
      </c>
      <c r="B310" s="5" t="s">
        <v>344</v>
      </c>
      <c r="C310" s="5" t="s">
        <v>133</v>
      </c>
      <c r="D310" s="11">
        <f>MAX(0, 2*'Precinct Vote Data'!G1228 - 'Precinct Vote Data'!G1226)</f>
        <v>106</v>
      </c>
      <c r="E310" s="10">
        <f t="shared" si="1"/>
        <v>0.2781630829</v>
      </c>
      <c r="F310" s="11">
        <f t="shared" si="2"/>
        <v>29</v>
      </c>
      <c r="G310" s="11">
        <f t="shared" si="3"/>
        <v>77</v>
      </c>
      <c r="H310" s="5" t="str">
        <f t="shared" si="4"/>
        <v>Republican</v>
      </c>
      <c r="I310" s="10">
        <f>'Precinct Vote Data'!H1226</f>
        <v>0.4545454545</v>
      </c>
      <c r="J310" s="10">
        <f>'Precinct Vote Data'!H1227</f>
        <v>0.3305084746</v>
      </c>
      <c r="K310" s="10">
        <f>'Precinct Vote Data'!H1228</f>
        <v>0.3604651163</v>
      </c>
      <c r="L310" s="10">
        <f>'Precinct Vote Data'!H1229</f>
        <v>0.325203252</v>
      </c>
    </row>
    <row r="311" ht="15.0" customHeight="1">
      <c r="A311" s="5" t="s">
        <v>327</v>
      </c>
      <c r="B311" s="5" t="s">
        <v>345</v>
      </c>
      <c r="C311" s="5" t="s">
        <v>135</v>
      </c>
      <c r="D311" s="11">
        <f>MAX(0, 2*'Precinct Vote Data'!G1232 - 'Precinct Vote Data'!G1230)</f>
        <v>1665</v>
      </c>
      <c r="E311" s="10">
        <f t="shared" si="1"/>
        <v>0.4375007919</v>
      </c>
      <c r="F311" s="11">
        <f t="shared" si="2"/>
        <v>728</v>
      </c>
      <c r="G311" s="11">
        <f t="shared" si="3"/>
        <v>937</v>
      </c>
      <c r="H311" s="5" t="str">
        <f t="shared" si="4"/>
        <v>Republican</v>
      </c>
      <c r="I311" s="10">
        <f>'Precinct Vote Data'!H1230</f>
        <v>0.4089422028</v>
      </c>
      <c r="J311" s="10">
        <f>'Precinct Vote Data'!H1231</f>
        <v>0.3780487805</v>
      </c>
      <c r="K311" s="10">
        <f>'Precinct Vote Data'!H1232</f>
        <v>0.4268009295</v>
      </c>
      <c r="L311" s="10">
        <f>'Precinct Vote Data'!H1233</f>
        <v>0.4285714286</v>
      </c>
    </row>
    <row r="312" ht="15.0" customHeight="1">
      <c r="A312" s="5" t="s">
        <v>327</v>
      </c>
      <c r="B312" s="5" t="s">
        <v>345</v>
      </c>
      <c r="C312" s="5" t="s">
        <v>136</v>
      </c>
      <c r="D312" s="11">
        <f>MAX(0, 2*'Precinct Vote Data'!G1236 - 'Precinct Vote Data'!G1234)</f>
        <v>1378</v>
      </c>
      <c r="E312" s="10">
        <f t="shared" si="1"/>
        <v>0.4448091041</v>
      </c>
      <c r="F312" s="11">
        <f t="shared" si="2"/>
        <v>613</v>
      </c>
      <c r="G312" s="11">
        <f t="shared" si="3"/>
        <v>765</v>
      </c>
      <c r="H312" s="5" t="str">
        <f t="shared" si="4"/>
        <v>Republican</v>
      </c>
      <c r="I312" s="10">
        <f>'Precinct Vote Data'!H1234</f>
        <v>0.4329608939</v>
      </c>
      <c r="J312" s="10">
        <f>'Precinct Vote Data'!H1235</f>
        <v>0.4286604361</v>
      </c>
      <c r="K312" s="10">
        <f>'Precinct Vote Data'!H1236</f>
        <v>0.4551386623</v>
      </c>
      <c r="L312" s="10">
        <f>'Precinct Vote Data'!H1237</f>
        <v>0.4337202199</v>
      </c>
    </row>
    <row r="313" ht="15.0" customHeight="1">
      <c r="A313" s="5" t="s">
        <v>327</v>
      </c>
      <c r="B313" s="5" t="s">
        <v>346</v>
      </c>
      <c r="C313" s="5" t="s">
        <v>139</v>
      </c>
      <c r="D313" s="11">
        <f>MAX(0, 2*'Precinct Vote Data'!G1240 - 'Precinct Vote Data'!G1238)</f>
        <v>369</v>
      </c>
      <c r="E313" s="10">
        <f t="shared" si="1"/>
        <v>0.4125090285</v>
      </c>
      <c r="F313" s="11">
        <f t="shared" si="2"/>
        <v>152</v>
      </c>
      <c r="G313" s="11">
        <f t="shared" si="3"/>
        <v>217</v>
      </c>
      <c r="H313" s="5" t="str">
        <f t="shared" si="4"/>
        <v>Republican</v>
      </c>
      <c r="I313" s="10">
        <f>'Precinct Vote Data'!H1238</f>
        <v>0.3903903904</v>
      </c>
      <c r="J313" s="10">
        <f>'Precinct Vote Data'!H1239</f>
        <v>0.3333333333</v>
      </c>
      <c r="K313" s="10">
        <f>'Precinct Vote Data'!H1240</f>
        <v>0.3903133903</v>
      </c>
      <c r="L313" s="10">
        <f>'Precinct Vote Data'!H1241</f>
        <v>0.4125475285</v>
      </c>
    </row>
    <row r="314" ht="15.0" customHeight="1">
      <c r="A314" s="5" t="s">
        <v>327</v>
      </c>
      <c r="B314" s="5" t="s">
        <v>347</v>
      </c>
      <c r="C314" s="5" t="s">
        <v>140</v>
      </c>
      <c r="D314" s="11">
        <f>MAX(0, 2*'Precinct Vote Data'!G1244 - 'Precinct Vote Data'!G1242)</f>
        <v>563</v>
      </c>
      <c r="E314" s="10">
        <f t="shared" si="1"/>
        <v>0.702782921</v>
      </c>
      <c r="F314" s="11">
        <f t="shared" si="2"/>
        <v>396</v>
      </c>
      <c r="G314" s="11">
        <f t="shared" si="3"/>
        <v>167</v>
      </c>
      <c r="H314" s="5" t="str">
        <f t="shared" si="4"/>
        <v>Democrat</v>
      </c>
      <c r="I314" s="10">
        <f>'Precinct Vote Data'!H1242</f>
        <v>0.7817745803</v>
      </c>
      <c r="J314" s="10">
        <f>'Precinct Vote Data'!H1243</f>
        <v>0.7402597403</v>
      </c>
      <c r="K314" s="10">
        <f>'Precinct Vote Data'!H1244</f>
        <v>0.7591836735</v>
      </c>
      <c r="L314" s="10">
        <f>'Precinct Vote Data'!H1245</f>
        <v>0.7140783745</v>
      </c>
    </row>
    <row r="315" ht="15.0" customHeight="1">
      <c r="A315" s="5" t="s">
        <v>327</v>
      </c>
      <c r="B315" s="5" t="s">
        <v>347</v>
      </c>
      <c r="C315" s="5" t="s">
        <v>142</v>
      </c>
      <c r="D315" s="11">
        <f>MAX(0, 2*'Precinct Vote Data'!G1248 - 'Precinct Vote Data'!G1246)</f>
        <v>921</v>
      </c>
      <c r="E315" s="10">
        <f t="shared" si="1"/>
        <v>0.7455899742</v>
      </c>
      <c r="F315" s="11">
        <f t="shared" si="2"/>
        <v>687</v>
      </c>
      <c r="G315" s="11">
        <f t="shared" si="3"/>
        <v>234</v>
      </c>
      <c r="H315" s="5" t="str">
        <f t="shared" si="4"/>
        <v>Democrat</v>
      </c>
      <c r="I315" s="10">
        <f>'Precinct Vote Data'!H1246</f>
        <v>0.7509247842</v>
      </c>
      <c r="J315" s="10">
        <f>'Precinct Vote Data'!H1247</f>
        <v>0.7155339806</v>
      </c>
      <c r="K315" s="10">
        <f>'Precinct Vote Data'!H1248</f>
        <v>0.7678983834</v>
      </c>
      <c r="L315" s="10">
        <f>'Precinct Vote Data'!H1249</f>
        <v>0.7371031746</v>
      </c>
    </row>
    <row r="316" ht="15.0" customHeight="1">
      <c r="A316" s="5" t="s">
        <v>327</v>
      </c>
      <c r="B316" s="5" t="s">
        <v>347</v>
      </c>
      <c r="C316" s="5" t="s">
        <v>148</v>
      </c>
      <c r="D316" s="11">
        <f>MAX(0, 2*'Precinct Vote Data'!G1252 - 'Precinct Vote Data'!G1250)</f>
        <v>541</v>
      </c>
      <c r="E316" s="10">
        <f t="shared" si="1"/>
        <v>0.7764274915</v>
      </c>
      <c r="F316" s="11">
        <f t="shared" si="2"/>
        <v>420</v>
      </c>
      <c r="G316" s="11">
        <f t="shared" si="3"/>
        <v>121</v>
      </c>
      <c r="H316" s="5" t="str">
        <f t="shared" si="4"/>
        <v>Democrat</v>
      </c>
      <c r="I316" s="10">
        <f>'Precinct Vote Data'!H1250</f>
        <v>0.8907721281</v>
      </c>
      <c r="J316" s="10">
        <f>'Precinct Vote Data'!H1251</f>
        <v>0.7960644007</v>
      </c>
      <c r="K316" s="10">
        <f>'Precinct Vote Data'!H1252</f>
        <v>0.8582089552</v>
      </c>
      <c r="L316" s="10">
        <f>'Precinct Vote Data'!H1253</f>
        <v>0.7927090779</v>
      </c>
    </row>
    <row r="317" ht="15.0" customHeight="1">
      <c r="A317" s="5" t="s">
        <v>327</v>
      </c>
      <c r="B317" s="5" t="s">
        <v>347</v>
      </c>
      <c r="C317" s="5" t="s">
        <v>149</v>
      </c>
      <c r="D317" s="11">
        <f>MAX(0, 2*'Precinct Vote Data'!G1256 - 'Precinct Vote Data'!G1254)</f>
        <v>821</v>
      </c>
      <c r="E317" s="10">
        <f t="shared" si="1"/>
        <v>0.6793205112</v>
      </c>
      <c r="F317" s="11">
        <f t="shared" si="2"/>
        <v>558</v>
      </c>
      <c r="G317" s="11">
        <f t="shared" si="3"/>
        <v>263</v>
      </c>
      <c r="H317" s="5" t="str">
        <f t="shared" si="4"/>
        <v>Democrat</v>
      </c>
      <c r="I317" s="10">
        <f>'Precinct Vote Data'!H1254</f>
        <v>0.7635009311</v>
      </c>
      <c r="J317" s="10">
        <f>'Precinct Vote Data'!H1255</f>
        <v>0.695599022</v>
      </c>
      <c r="K317" s="10">
        <f>'Precinct Vote Data'!H1256</f>
        <v>0.7466863034</v>
      </c>
      <c r="L317" s="10">
        <f>'Precinct Vote Data'!H1257</f>
        <v>0.687727825</v>
      </c>
    </row>
    <row r="318" ht="15.0" customHeight="1">
      <c r="A318" s="5" t="s">
        <v>327</v>
      </c>
      <c r="B318" s="5" t="s">
        <v>347</v>
      </c>
      <c r="C318" s="5" t="s">
        <v>348</v>
      </c>
      <c r="D318" s="11">
        <f>MAX(0, 2*'Precinct Vote Data'!G1260 - 'Precinct Vote Data'!G1258)</f>
        <v>576</v>
      </c>
      <c r="E318" s="10">
        <f t="shared" si="1"/>
        <v>0.650327832</v>
      </c>
      <c r="F318" s="11">
        <f t="shared" si="2"/>
        <v>375</v>
      </c>
      <c r="G318" s="11">
        <f t="shared" si="3"/>
        <v>201</v>
      </c>
      <c r="H318" s="5" t="str">
        <f t="shared" si="4"/>
        <v>Democrat</v>
      </c>
      <c r="I318" s="10">
        <f>'Precinct Vote Data'!H1258</f>
        <v>0.7229437229</v>
      </c>
      <c r="J318" s="10">
        <f>'Precinct Vote Data'!H1259</f>
        <v>0.6823238566</v>
      </c>
      <c r="K318" s="10">
        <f>'Precinct Vote Data'!H1260</f>
        <v>0.7013487476</v>
      </c>
      <c r="L318" s="10">
        <f>'Precinct Vote Data'!H1261</f>
        <v>0.6611253197</v>
      </c>
    </row>
    <row r="319" ht="15.0" customHeight="1">
      <c r="A319" s="5" t="s">
        <v>327</v>
      </c>
      <c r="B319" s="5" t="s">
        <v>347</v>
      </c>
      <c r="C319" s="5" t="s">
        <v>150</v>
      </c>
      <c r="D319" s="11">
        <f>MAX(0, 2*'Precinct Vote Data'!G1264 - 'Precinct Vote Data'!G1262)</f>
        <v>193</v>
      </c>
      <c r="E319" s="10">
        <f t="shared" si="1"/>
        <v>0.6891324109</v>
      </c>
      <c r="F319" s="11">
        <f t="shared" si="2"/>
        <v>133</v>
      </c>
      <c r="G319" s="11">
        <f t="shared" si="3"/>
        <v>60</v>
      </c>
      <c r="H319" s="5" t="str">
        <f t="shared" si="4"/>
        <v>Democrat</v>
      </c>
      <c r="I319" s="10">
        <f>'Precinct Vote Data'!H1262</f>
        <v>0.8181818182</v>
      </c>
      <c r="J319" s="10">
        <f>'Precinct Vote Data'!H1263</f>
        <v>0.75</v>
      </c>
      <c r="K319" s="10">
        <f>'Precinct Vote Data'!H1264</f>
        <v>0.7264150943</v>
      </c>
      <c r="L319" s="10">
        <f>'Precinct Vote Data'!H1265</f>
        <v>0.7350157729</v>
      </c>
    </row>
    <row r="320" ht="15.0" customHeight="1">
      <c r="A320" s="5" t="s">
        <v>327</v>
      </c>
      <c r="B320" s="5" t="s">
        <v>347</v>
      </c>
      <c r="C320" s="5" t="s">
        <v>349</v>
      </c>
      <c r="D320" s="11">
        <f>MAX(0, 2*'Precinct Vote Data'!G1268 - 'Precinct Vote Data'!G1266)</f>
        <v>351</v>
      </c>
      <c r="E320" s="10">
        <f t="shared" si="1"/>
        <v>0.7370662894</v>
      </c>
      <c r="F320" s="11">
        <f t="shared" si="2"/>
        <v>259</v>
      </c>
      <c r="G320" s="11">
        <f t="shared" si="3"/>
        <v>92</v>
      </c>
      <c r="H320" s="5" t="str">
        <f t="shared" si="4"/>
        <v>Democrat</v>
      </c>
      <c r="I320" s="10">
        <f>'Precinct Vote Data'!H1266</f>
        <v>0.7946127946</v>
      </c>
      <c r="J320" s="10">
        <f>'Precinct Vote Data'!H1267</f>
        <v>0.6989010989</v>
      </c>
      <c r="K320" s="10">
        <f>'Precinct Vote Data'!H1268</f>
        <v>0.7561728395</v>
      </c>
      <c r="L320" s="10">
        <f>'Precinct Vote Data'!H1269</f>
        <v>0.7562862669</v>
      </c>
    </row>
    <row r="321" ht="15.0" customHeight="1">
      <c r="A321" s="5" t="s">
        <v>327</v>
      </c>
      <c r="B321" s="5" t="s">
        <v>347</v>
      </c>
      <c r="C321" s="5" t="s">
        <v>151</v>
      </c>
      <c r="D321" s="11">
        <f>MAX(0, 2*'Precinct Vote Data'!G1272 - 'Precinct Vote Data'!G1270)</f>
        <v>347</v>
      </c>
      <c r="E321" s="10">
        <f t="shared" si="1"/>
        <v>0.6445930519</v>
      </c>
      <c r="F321" s="11">
        <f t="shared" si="2"/>
        <v>224</v>
      </c>
      <c r="G321" s="11">
        <f t="shared" si="3"/>
        <v>123</v>
      </c>
      <c r="H321" s="5" t="str">
        <f t="shared" si="4"/>
        <v>Democrat</v>
      </c>
      <c r="I321" s="10">
        <f>'Precinct Vote Data'!H1270</f>
        <v>0.8211143695</v>
      </c>
      <c r="J321" s="10">
        <f>'Precinct Vote Data'!H1271</f>
        <v>0.7255244755</v>
      </c>
      <c r="K321" s="10">
        <f>'Precinct Vote Data'!H1272</f>
        <v>0.761627907</v>
      </c>
      <c r="L321" s="10">
        <f>'Precinct Vote Data'!H1273</f>
        <v>0.6743362832</v>
      </c>
    </row>
    <row r="322" ht="15.0" customHeight="1">
      <c r="A322" s="5" t="s">
        <v>327</v>
      </c>
      <c r="B322" s="5" t="s">
        <v>347</v>
      </c>
      <c r="C322" s="5" t="s">
        <v>152</v>
      </c>
      <c r="D322" s="11">
        <f>MAX(0, 2*'Precinct Vote Data'!G1276 - 'Precinct Vote Data'!G1274)</f>
        <v>328</v>
      </c>
      <c r="E322" s="10">
        <f t="shared" si="1"/>
        <v>0.6230784506</v>
      </c>
      <c r="F322" s="11">
        <f t="shared" si="2"/>
        <v>204</v>
      </c>
      <c r="G322" s="11">
        <f t="shared" si="3"/>
        <v>124</v>
      </c>
      <c r="H322" s="5" t="str">
        <f t="shared" si="4"/>
        <v>Democrat</v>
      </c>
      <c r="I322" s="10">
        <f>'Precinct Vote Data'!H1274</f>
        <v>0.6951219512</v>
      </c>
      <c r="J322" s="10">
        <f>'Precinct Vote Data'!H1275</f>
        <v>0.6666666667</v>
      </c>
      <c r="K322" s="10">
        <f>'Precinct Vote Data'!H1276</f>
        <v>0.6615853659</v>
      </c>
      <c r="L322" s="10">
        <f>'Precinct Vote Data'!H1277</f>
        <v>0.6398467433</v>
      </c>
    </row>
    <row r="323" ht="15.0" customHeight="1">
      <c r="A323" s="5" t="s">
        <v>327</v>
      </c>
      <c r="B323" s="5" t="s">
        <v>347</v>
      </c>
      <c r="C323" s="5" t="s">
        <v>153</v>
      </c>
      <c r="D323" s="11">
        <f>MAX(0, 2*'Precinct Vote Data'!G1280 - 'Precinct Vote Data'!G1278)</f>
        <v>410</v>
      </c>
      <c r="E323" s="10">
        <f t="shared" si="1"/>
        <v>0.6217383653</v>
      </c>
      <c r="F323" s="11">
        <f t="shared" si="2"/>
        <v>255</v>
      </c>
      <c r="G323" s="11">
        <f t="shared" si="3"/>
        <v>155</v>
      </c>
      <c r="H323" s="5" t="str">
        <f t="shared" si="4"/>
        <v>Democrat</v>
      </c>
      <c r="I323" s="10">
        <f>'Precinct Vote Data'!H1278</f>
        <v>0.6507537688</v>
      </c>
      <c r="J323" s="10">
        <f>'Precinct Vote Data'!H1279</f>
        <v>0.6367521368</v>
      </c>
      <c r="K323" s="10">
        <f>'Precinct Vote Data'!H1280</f>
        <v>0.6732673267</v>
      </c>
      <c r="L323" s="10">
        <f>'Precinct Vote Data'!H1281</f>
        <v>0.6104815864</v>
      </c>
    </row>
    <row r="324" ht="15.0" customHeight="1">
      <c r="A324" s="5" t="s">
        <v>327</v>
      </c>
      <c r="B324" s="5" t="s">
        <v>347</v>
      </c>
      <c r="C324" s="5" t="s">
        <v>154</v>
      </c>
      <c r="D324" s="11">
        <f>MAX(0, 2*'Precinct Vote Data'!G1284 - 'Precinct Vote Data'!G1282)</f>
        <v>896</v>
      </c>
      <c r="E324" s="10">
        <f t="shared" si="1"/>
        <v>0.644488653</v>
      </c>
      <c r="F324" s="11">
        <f t="shared" si="2"/>
        <v>577</v>
      </c>
      <c r="G324" s="11">
        <f t="shared" si="3"/>
        <v>319</v>
      </c>
      <c r="H324" s="5" t="str">
        <f t="shared" si="4"/>
        <v>Democrat</v>
      </c>
      <c r="I324" s="10">
        <f>'Precinct Vote Data'!H1282</f>
        <v>0.7664473684</v>
      </c>
      <c r="J324" s="10">
        <f>'Precinct Vote Data'!H1283</f>
        <v>0.7140783745</v>
      </c>
      <c r="K324" s="10">
        <f>'Precinct Vote Data'!H1284</f>
        <v>0.7112831858</v>
      </c>
      <c r="L324" s="10">
        <f>'Precinct Vote Data'!H1285</f>
        <v>0.6720707443</v>
      </c>
    </row>
    <row r="325" ht="15.0" customHeight="1">
      <c r="A325" s="5" t="s">
        <v>327</v>
      </c>
      <c r="B325" s="5" t="s">
        <v>347</v>
      </c>
      <c r="C325" s="5" t="s">
        <v>155</v>
      </c>
      <c r="D325" s="11">
        <f>MAX(0, 2*'Precinct Vote Data'!G1288 - 'Precinct Vote Data'!G1286)</f>
        <v>282</v>
      </c>
      <c r="E325" s="10">
        <f t="shared" si="1"/>
        <v>0.6520700717</v>
      </c>
      <c r="F325" s="11">
        <f t="shared" si="2"/>
        <v>184</v>
      </c>
      <c r="G325" s="11">
        <f t="shared" si="3"/>
        <v>98</v>
      </c>
      <c r="H325" s="5" t="str">
        <f t="shared" si="4"/>
        <v>Democrat</v>
      </c>
      <c r="I325" s="10">
        <f>'Precinct Vote Data'!H1286</f>
        <v>0.7096774194</v>
      </c>
      <c r="J325" s="10">
        <f>'Precinct Vote Data'!H1287</f>
        <v>0.6919060052</v>
      </c>
      <c r="K325" s="10">
        <f>'Precinct Vote Data'!H1288</f>
        <v>0.6754716981</v>
      </c>
      <c r="L325" s="10">
        <f>'Precinct Vote Data'!H1289</f>
        <v>0.6691729323</v>
      </c>
    </row>
    <row r="326" ht="15.0" customHeight="1">
      <c r="A326" s="5" t="s">
        <v>327</v>
      </c>
      <c r="B326" s="5" t="s">
        <v>347</v>
      </c>
      <c r="C326" s="5" t="s">
        <v>156</v>
      </c>
      <c r="D326" s="11">
        <f>MAX(0, 2*'Precinct Vote Data'!G1292 - 'Precinct Vote Data'!G1290)</f>
        <v>536</v>
      </c>
      <c r="E326" s="10">
        <f t="shared" si="1"/>
        <v>0.6408209671</v>
      </c>
      <c r="F326" s="11">
        <f t="shared" si="2"/>
        <v>343</v>
      </c>
      <c r="G326" s="11">
        <f t="shared" si="3"/>
        <v>193</v>
      </c>
      <c r="H326" s="5" t="str">
        <f t="shared" si="4"/>
        <v>Democrat</v>
      </c>
      <c r="I326" s="10">
        <f>'Precinct Vote Data'!H1290</f>
        <v>0.7236180905</v>
      </c>
      <c r="J326" s="10">
        <f>'Precinct Vote Data'!H1291</f>
        <v>0.6666666667</v>
      </c>
      <c r="K326" s="10">
        <f>'Precinct Vote Data'!H1292</f>
        <v>0.7023554604</v>
      </c>
      <c r="L326" s="10">
        <f>'Precinct Vote Data'!H1293</f>
        <v>0.6514522822</v>
      </c>
    </row>
    <row r="327" ht="15.0" customHeight="1">
      <c r="A327" s="5" t="s">
        <v>327</v>
      </c>
      <c r="B327" s="5" t="s">
        <v>347</v>
      </c>
      <c r="C327" s="5" t="s">
        <v>158</v>
      </c>
      <c r="D327" s="11">
        <f>MAX(0, 2*'Precinct Vote Data'!G1296 - 'Precinct Vote Data'!G1294)</f>
        <v>447</v>
      </c>
      <c r="E327" s="10">
        <f t="shared" si="1"/>
        <v>0.6642848396</v>
      </c>
      <c r="F327" s="11">
        <f t="shared" si="2"/>
        <v>297</v>
      </c>
      <c r="G327" s="11">
        <f t="shared" si="3"/>
        <v>150</v>
      </c>
      <c r="H327" s="5" t="str">
        <f t="shared" si="4"/>
        <v>Democrat</v>
      </c>
      <c r="I327" s="10">
        <f>'Precinct Vote Data'!H1294</f>
        <v>0.7591397849</v>
      </c>
      <c r="J327" s="10">
        <f>'Precinct Vote Data'!H1295</f>
        <v>0.6957142857</v>
      </c>
      <c r="K327" s="10">
        <f>'Precinct Vote Data'!H1296</f>
        <v>0.7214912281</v>
      </c>
      <c r="L327" s="10">
        <f>'Precinct Vote Data'!H1297</f>
        <v>0.6831091181</v>
      </c>
    </row>
    <row r="328" ht="15.0" customHeight="1">
      <c r="A328" s="5" t="s">
        <v>327</v>
      </c>
      <c r="B328" s="5" t="s">
        <v>347</v>
      </c>
      <c r="C328" s="5" t="s">
        <v>159</v>
      </c>
      <c r="D328" s="11">
        <f>MAX(0, 2*'Precinct Vote Data'!G1300 - 'Precinct Vote Data'!G1298)</f>
        <v>332</v>
      </c>
      <c r="E328" s="10">
        <f t="shared" si="1"/>
        <v>0.678182825</v>
      </c>
      <c r="F328" s="11">
        <f t="shared" si="2"/>
        <v>225</v>
      </c>
      <c r="G328" s="11">
        <f t="shared" si="3"/>
        <v>107</v>
      </c>
      <c r="H328" s="5" t="str">
        <f t="shared" si="4"/>
        <v>Democrat</v>
      </c>
      <c r="I328" s="10">
        <f>'Precinct Vote Data'!H1298</f>
        <v>0.7481203008</v>
      </c>
      <c r="J328" s="10">
        <f>'Precinct Vote Data'!H1299</f>
        <v>0.7142857143</v>
      </c>
      <c r="K328" s="10">
        <f>'Precinct Vote Data'!H1300</f>
        <v>0.7123745819</v>
      </c>
      <c r="L328" s="10">
        <f>'Precinct Vote Data'!H1301</f>
        <v>0.6960556845</v>
      </c>
    </row>
    <row r="329" ht="15.0" customHeight="1">
      <c r="A329" s="5" t="s">
        <v>327</v>
      </c>
      <c r="B329" s="5" t="s">
        <v>350</v>
      </c>
      <c r="C329" s="5" t="s">
        <v>351</v>
      </c>
      <c r="D329" s="11">
        <f>MAX(0, 2*'Precinct Vote Data'!G1304 - 'Precinct Vote Data'!G1302)</f>
        <v>2546</v>
      </c>
      <c r="E329" s="10">
        <f t="shared" si="1"/>
        <v>0.4804434731</v>
      </c>
      <c r="F329" s="11">
        <f t="shared" si="2"/>
        <v>1223</v>
      </c>
      <c r="G329" s="11">
        <f t="shared" si="3"/>
        <v>1323</v>
      </c>
      <c r="H329" s="5" t="str">
        <f t="shared" si="4"/>
        <v>Republican</v>
      </c>
      <c r="I329" s="10">
        <f>'Precinct Vote Data'!H1302</f>
        <v>0.5130090498</v>
      </c>
      <c r="J329" s="10">
        <f>'Precinct Vote Data'!H1303</f>
        <v>0.4865377323</v>
      </c>
      <c r="K329" s="10">
        <f>'Precinct Vote Data'!H1304</f>
        <v>0.504867872</v>
      </c>
      <c r="L329" s="10">
        <f>'Precinct Vote Data'!H1305</f>
        <v>0.4845140619</v>
      </c>
    </row>
    <row r="330" ht="15.0" customHeight="1">
      <c r="A330" s="5" t="s">
        <v>327</v>
      </c>
      <c r="B330" s="5" t="s">
        <v>350</v>
      </c>
      <c r="C330" s="5" t="s">
        <v>352</v>
      </c>
      <c r="D330" s="11">
        <f>MAX(0, 2*'Precinct Vote Data'!G1308 - 'Precinct Vote Data'!G1306)</f>
        <v>2873</v>
      </c>
      <c r="E330" s="10">
        <f t="shared" si="1"/>
        <v>0.5295771174</v>
      </c>
      <c r="F330" s="11">
        <f t="shared" si="2"/>
        <v>1521</v>
      </c>
      <c r="G330" s="11">
        <f t="shared" si="3"/>
        <v>1352</v>
      </c>
      <c r="H330" s="5" t="str">
        <f t="shared" si="4"/>
        <v>Democrat</v>
      </c>
      <c r="I330" s="10">
        <f>'Precinct Vote Data'!H1306</f>
        <v>0.5420319752</v>
      </c>
      <c r="J330" s="10">
        <f>'Precinct Vote Data'!H1307</f>
        <v>0.5196280992</v>
      </c>
      <c r="K330" s="10">
        <f>'Precinct Vote Data'!H1308</f>
        <v>0.5290939318</v>
      </c>
      <c r="L330" s="10">
        <f>'Precinct Vote Data'!H1309</f>
        <v>0.5360461391</v>
      </c>
    </row>
    <row r="331" ht="15.0" customHeight="1">
      <c r="A331" s="5" t="s">
        <v>327</v>
      </c>
      <c r="B331" s="5" t="s">
        <v>350</v>
      </c>
      <c r="C331" s="5" t="s">
        <v>353</v>
      </c>
      <c r="D331" s="11">
        <f>MAX(0, 2*'Precinct Vote Data'!G1312 - 'Precinct Vote Data'!G1310)</f>
        <v>1692</v>
      </c>
      <c r="E331" s="10">
        <f t="shared" si="1"/>
        <v>0.4878892313</v>
      </c>
      <c r="F331" s="11">
        <f t="shared" si="2"/>
        <v>826</v>
      </c>
      <c r="G331" s="11">
        <f t="shared" si="3"/>
        <v>866</v>
      </c>
      <c r="H331" s="5" t="str">
        <f t="shared" si="4"/>
        <v>Republican</v>
      </c>
      <c r="I331" s="10">
        <f>'Precinct Vote Data'!H1310</f>
        <v>0.5851910828</v>
      </c>
      <c r="J331" s="10">
        <f>'Precinct Vote Data'!H1311</f>
        <v>0.5321350763</v>
      </c>
      <c r="K331" s="10">
        <f>'Precinct Vote Data'!H1312</f>
        <v>0.540027137</v>
      </c>
      <c r="L331" s="10">
        <f>'Precinct Vote Data'!H1313</f>
        <v>0.5104712042</v>
      </c>
    </row>
    <row r="332" ht="15.0" customHeight="1">
      <c r="A332" s="5" t="s">
        <v>327</v>
      </c>
      <c r="B332" s="5" t="s">
        <v>350</v>
      </c>
      <c r="C332" s="5" t="s">
        <v>354</v>
      </c>
      <c r="D332" s="11">
        <f>MAX(0, 2*'Precinct Vote Data'!G1316 - 'Precinct Vote Data'!G1314)</f>
        <v>2187</v>
      </c>
      <c r="E332" s="10">
        <f t="shared" si="1"/>
        <v>0.5234999381</v>
      </c>
      <c r="F332" s="11">
        <f t="shared" si="2"/>
        <v>1145</v>
      </c>
      <c r="G332" s="11">
        <f t="shared" si="3"/>
        <v>1042</v>
      </c>
      <c r="H332" s="5" t="str">
        <f t="shared" si="4"/>
        <v>Democrat</v>
      </c>
      <c r="I332" s="10">
        <f>'Precinct Vote Data'!H1314</f>
        <v>0.5386040766</v>
      </c>
      <c r="J332" s="10">
        <f>'Precinct Vote Data'!H1315</f>
        <v>0.5125201939</v>
      </c>
      <c r="K332" s="10">
        <f>'Precinct Vote Data'!H1316</f>
        <v>0.5254860746</v>
      </c>
      <c r="L332" s="10">
        <f>'Precinct Vote Data'!H1317</f>
        <v>0.5300589391</v>
      </c>
    </row>
    <row r="333" ht="15.0" customHeight="1">
      <c r="A333" s="5" t="s">
        <v>327</v>
      </c>
      <c r="B333" s="5" t="s">
        <v>355</v>
      </c>
      <c r="C333" s="5" t="s">
        <v>162</v>
      </c>
      <c r="D333" s="11">
        <f>MAX(0, 2*'Precinct Vote Data'!G1320 - 'Precinct Vote Data'!G1318)</f>
        <v>870</v>
      </c>
      <c r="E333" s="10">
        <f t="shared" si="1"/>
        <v>0.5609562852</v>
      </c>
      <c r="F333" s="11">
        <f t="shared" si="2"/>
        <v>488</v>
      </c>
      <c r="G333" s="11">
        <f t="shared" si="3"/>
        <v>382</v>
      </c>
      <c r="H333" s="5" t="str">
        <f t="shared" si="4"/>
        <v>Democrat</v>
      </c>
      <c r="I333" s="10">
        <f>'Precinct Vote Data'!H1318</f>
        <v>0.6626666667</v>
      </c>
      <c r="J333" s="10">
        <f>'Precinct Vote Data'!H1319</f>
        <v>0.6254071661</v>
      </c>
      <c r="K333" s="10">
        <f>'Precinct Vote Data'!H1320</f>
        <v>0.5925925926</v>
      </c>
      <c r="L333" s="10">
        <f>'Precinct Vote Data'!H1321</f>
        <v>0.5959933222</v>
      </c>
    </row>
    <row r="334" ht="15.0" customHeight="1">
      <c r="A334" s="5" t="s">
        <v>327</v>
      </c>
      <c r="B334" s="5" t="s">
        <v>356</v>
      </c>
      <c r="C334" s="5" t="s">
        <v>163</v>
      </c>
      <c r="D334" s="11">
        <f>MAX(0, 2*'Precinct Vote Data'!G1324 - 'Precinct Vote Data'!G1322)</f>
        <v>171</v>
      </c>
      <c r="E334" s="10">
        <f t="shared" si="1"/>
        <v>0.4601210382</v>
      </c>
      <c r="F334" s="11">
        <f t="shared" si="2"/>
        <v>79</v>
      </c>
      <c r="G334" s="11">
        <f t="shared" si="3"/>
        <v>92</v>
      </c>
      <c r="H334" s="5" t="str">
        <f t="shared" si="4"/>
        <v>Republican</v>
      </c>
      <c r="I334" s="10">
        <f>'Precinct Vote Data'!H1322</f>
        <v>0.6486486486</v>
      </c>
      <c r="J334" s="10">
        <f>'Precinct Vote Data'!H1323</f>
        <v>0.5024875622</v>
      </c>
      <c r="K334" s="10">
        <f>'Precinct Vote Data'!H1324</f>
        <v>0.5106382979</v>
      </c>
      <c r="L334" s="10">
        <f>'Precinct Vote Data'!H1325</f>
        <v>0.5291262136</v>
      </c>
    </row>
    <row r="335" ht="15.0" customHeight="1">
      <c r="A335" s="5" t="s">
        <v>327</v>
      </c>
      <c r="B335" s="5" t="s">
        <v>190</v>
      </c>
      <c r="C335" s="5" t="s">
        <v>164</v>
      </c>
      <c r="D335" s="11">
        <f>MAX(0, 2*'Precinct Vote Data'!G1328 - 'Precinct Vote Data'!G1326)</f>
        <v>1435</v>
      </c>
      <c r="E335" s="10">
        <f t="shared" si="1"/>
        <v>0.5921112853</v>
      </c>
      <c r="F335" s="11">
        <f t="shared" si="2"/>
        <v>850</v>
      </c>
      <c r="G335" s="11">
        <f t="shared" si="3"/>
        <v>585</v>
      </c>
      <c r="H335" s="5" t="str">
        <f t="shared" si="4"/>
        <v>Democrat</v>
      </c>
      <c r="I335" s="10">
        <f>'Precinct Vote Data'!H1326</f>
        <v>0.5605680869</v>
      </c>
      <c r="J335" s="10">
        <f>'Precinct Vote Data'!H1327</f>
        <v>0.5605599513</v>
      </c>
      <c r="K335" s="10">
        <f>'Precinct Vote Data'!H1328</f>
        <v>0.585106383</v>
      </c>
      <c r="L335" s="10">
        <f>'Precinct Vote Data'!H1329</f>
        <v>0.5798421372</v>
      </c>
    </row>
    <row r="336" ht="15.0" customHeight="1">
      <c r="A336" s="5" t="s">
        <v>327</v>
      </c>
      <c r="B336" s="5" t="s">
        <v>190</v>
      </c>
      <c r="C336" s="5" t="s">
        <v>165</v>
      </c>
      <c r="D336" s="11">
        <f>MAX(0, 2*'Precinct Vote Data'!G1332 - 'Precinct Vote Data'!G1330)</f>
        <v>1499</v>
      </c>
      <c r="E336" s="10">
        <f t="shared" si="1"/>
        <v>0.5434900498</v>
      </c>
      <c r="F336" s="11">
        <f t="shared" si="2"/>
        <v>815</v>
      </c>
      <c r="G336" s="11">
        <f t="shared" si="3"/>
        <v>684</v>
      </c>
      <c r="H336" s="5" t="str">
        <f t="shared" si="4"/>
        <v>Democrat</v>
      </c>
      <c r="I336" s="10">
        <f>'Precinct Vote Data'!H1330</f>
        <v>0.5606446141</v>
      </c>
      <c r="J336" s="10">
        <f>'Precinct Vote Data'!H1331</f>
        <v>0.5263157895</v>
      </c>
      <c r="K336" s="10">
        <f>'Precinct Vote Data'!H1332</f>
        <v>0.5459297984</v>
      </c>
      <c r="L336" s="10">
        <f>'Precinct Vote Data'!H1333</f>
        <v>0.5508474576</v>
      </c>
    </row>
    <row r="337" ht="15.0" customHeight="1">
      <c r="A337" s="5" t="s">
        <v>327</v>
      </c>
      <c r="B337" s="5" t="s">
        <v>190</v>
      </c>
      <c r="C337" s="5" t="s">
        <v>166</v>
      </c>
      <c r="D337" s="11">
        <f>MAX(0, 2*'Precinct Vote Data'!G1336 - 'Precinct Vote Data'!G1334)</f>
        <v>822</v>
      </c>
      <c r="E337" s="10">
        <f t="shared" si="1"/>
        <v>0.5350710651</v>
      </c>
      <c r="F337" s="11">
        <f t="shared" si="2"/>
        <v>440</v>
      </c>
      <c r="G337" s="11">
        <f t="shared" si="3"/>
        <v>382</v>
      </c>
      <c r="H337" s="5" t="str">
        <f t="shared" si="4"/>
        <v>Democrat</v>
      </c>
      <c r="I337" s="10">
        <f>'Precinct Vote Data'!H1334</f>
        <v>0.5063492063</v>
      </c>
      <c r="J337" s="10">
        <f>'Precinct Vote Data'!H1335</f>
        <v>0.5112160567</v>
      </c>
      <c r="K337" s="10">
        <f>'Precinct Vote Data'!H1336</f>
        <v>0.5344352617</v>
      </c>
      <c r="L337" s="10">
        <f>'Precinct Vote Data'!H1337</f>
        <v>0.5210280374</v>
      </c>
    </row>
    <row r="338" ht="15.0" customHeight="1">
      <c r="A338" s="5" t="s">
        <v>327</v>
      </c>
      <c r="B338" s="5" t="s">
        <v>190</v>
      </c>
      <c r="C338" s="5" t="s">
        <v>167</v>
      </c>
      <c r="D338" s="11">
        <f>MAX(0, 2*'Precinct Vote Data'!G1340 - 'Precinct Vote Data'!G1338)</f>
        <v>1275</v>
      </c>
      <c r="E338" s="10">
        <f t="shared" si="1"/>
        <v>0.5267087356</v>
      </c>
      <c r="F338" s="11">
        <f t="shared" si="2"/>
        <v>672</v>
      </c>
      <c r="G338" s="11">
        <f t="shared" si="3"/>
        <v>603</v>
      </c>
      <c r="H338" s="5" t="str">
        <f t="shared" si="4"/>
        <v>Democrat</v>
      </c>
      <c r="I338" s="10">
        <f>'Precinct Vote Data'!H1338</f>
        <v>0.5191740413</v>
      </c>
      <c r="J338" s="10">
        <f>'Precinct Vote Data'!H1339</f>
        <v>0.5122121424</v>
      </c>
      <c r="K338" s="10">
        <f>'Precinct Vote Data'!H1340</f>
        <v>0.5261780105</v>
      </c>
      <c r="L338" s="10">
        <f>'Precinct Vote Data'!H1341</f>
        <v>0.5232067511</v>
      </c>
    </row>
    <row r="339" ht="15.0" customHeight="1">
      <c r="A339" s="5" t="s">
        <v>327</v>
      </c>
      <c r="B339" s="5" t="s">
        <v>190</v>
      </c>
      <c r="C339" s="5" t="s">
        <v>357</v>
      </c>
      <c r="D339" s="11">
        <f>MAX(0, 2*'Precinct Vote Data'!G1344 - 'Precinct Vote Data'!G1342)</f>
        <v>1345</v>
      </c>
      <c r="E339" s="10">
        <f t="shared" si="1"/>
        <v>0.5499645858</v>
      </c>
      <c r="F339" s="11">
        <f t="shared" si="2"/>
        <v>740</v>
      </c>
      <c r="G339" s="11">
        <f t="shared" si="3"/>
        <v>605</v>
      </c>
      <c r="H339" s="5" t="str">
        <f t="shared" si="4"/>
        <v>Democrat</v>
      </c>
      <c r="I339" s="10">
        <f>'Precinct Vote Data'!H1342</f>
        <v>0.5595854922</v>
      </c>
      <c r="J339" s="10">
        <f>'Precinct Vote Data'!H1343</f>
        <v>0.5526122149</v>
      </c>
      <c r="K339" s="10">
        <f>'Precinct Vote Data'!H1344</f>
        <v>0.567965368</v>
      </c>
      <c r="L339" s="10">
        <f>'Precinct Vote Data'!H1345</f>
        <v>0.5457746479</v>
      </c>
    </row>
    <row r="340" ht="15.0" customHeight="1">
      <c r="A340" s="5" t="s">
        <v>327</v>
      </c>
      <c r="B340" s="5" t="s">
        <v>190</v>
      </c>
      <c r="C340" s="5" t="s">
        <v>358</v>
      </c>
      <c r="D340" s="11">
        <f>MAX(0, 2*'Precinct Vote Data'!G1348 - 'Precinct Vote Data'!G1346)</f>
        <v>845</v>
      </c>
      <c r="E340" s="10">
        <f t="shared" si="1"/>
        <v>0.5483733444</v>
      </c>
      <c r="F340" s="11">
        <f t="shared" si="2"/>
        <v>463</v>
      </c>
      <c r="G340" s="11">
        <f t="shared" si="3"/>
        <v>382</v>
      </c>
      <c r="H340" s="5" t="str">
        <f t="shared" si="4"/>
        <v>Democrat</v>
      </c>
      <c r="I340" s="10">
        <f>'Precinct Vote Data'!H1346</f>
        <v>0.5107604017</v>
      </c>
      <c r="J340" s="10">
        <f>'Precinct Vote Data'!H1347</f>
        <v>0.5260469867</v>
      </c>
      <c r="K340" s="10">
        <f>'Precinct Vote Data'!H1348</f>
        <v>0.5473411154</v>
      </c>
      <c r="L340" s="10">
        <f>'Precinct Vote Data'!H1349</f>
        <v>0.5300829876</v>
      </c>
    </row>
    <row r="341" ht="15.0" customHeight="1">
      <c r="A341" s="5" t="s">
        <v>327</v>
      </c>
      <c r="B341" s="5" t="s">
        <v>359</v>
      </c>
      <c r="C341" s="5" t="s">
        <v>168</v>
      </c>
      <c r="D341" s="11">
        <f>MAX(0, 2*'Precinct Vote Data'!G1352 - 'Precinct Vote Data'!G1350)</f>
        <v>1012</v>
      </c>
      <c r="E341" s="10">
        <f t="shared" si="1"/>
        <v>0.4540340569</v>
      </c>
      <c r="F341" s="11">
        <f t="shared" si="2"/>
        <v>459</v>
      </c>
      <c r="G341" s="11">
        <f t="shared" si="3"/>
        <v>553</v>
      </c>
      <c r="H341" s="5" t="str">
        <f t="shared" si="4"/>
        <v>Republican</v>
      </c>
      <c r="I341" s="10">
        <f>'Precinct Vote Data'!H1350</f>
        <v>0.5581081081</v>
      </c>
      <c r="J341" s="10">
        <f>'Precinct Vote Data'!H1351</f>
        <v>0.4928825623</v>
      </c>
      <c r="K341" s="10">
        <f>'Precinct Vote Data'!H1352</f>
        <v>0.4908675799</v>
      </c>
      <c r="L341" s="10">
        <f>'Precinct Vote Data'!H1353</f>
        <v>0.487654321</v>
      </c>
    </row>
    <row r="342" ht="15.0" customHeight="1">
      <c r="A342" s="5" t="s">
        <v>327</v>
      </c>
      <c r="B342" s="5" t="s">
        <v>359</v>
      </c>
      <c r="C342" s="5" t="s">
        <v>169</v>
      </c>
      <c r="D342" s="11">
        <f>MAX(0, 2*'Precinct Vote Data'!G1356 - 'Precinct Vote Data'!G1354)</f>
        <v>789</v>
      </c>
      <c r="E342" s="10">
        <f t="shared" si="1"/>
        <v>0.485443902</v>
      </c>
      <c r="F342" s="11">
        <f t="shared" si="2"/>
        <v>383</v>
      </c>
      <c r="G342" s="11">
        <f t="shared" si="3"/>
        <v>406</v>
      </c>
      <c r="H342" s="5" t="str">
        <f t="shared" si="4"/>
        <v>Republican</v>
      </c>
      <c r="I342" s="10">
        <f>'Precinct Vote Data'!H1354</f>
        <v>0.5706806283</v>
      </c>
      <c r="J342" s="10">
        <f>'Precinct Vote Data'!H1355</f>
        <v>0.5075144509</v>
      </c>
      <c r="K342" s="10">
        <f>'Precinct Vote Data'!H1356</f>
        <v>0.5330396476</v>
      </c>
      <c r="L342" s="10">
        <f>'Precinct Vote Data'!H1357</f>
        <v>0.5042643923</v>
      </c>
    </row>
    <row r="343" ht="15.0" customHeight="1">
      <c r="A343" s="5" t="s">
        <v>327</v>
      </c>
      <c r="B343" s="5" t="s">
        <v>359</v>
      </c>
      <c r="C343" s="5" t="s">
        <v>171</v>
      </c>
      <c r="D343" s="11">
        <f>MAX(0, 2*'Precinct Vote Data'!G1360 - 'Precinct Vote Data'!G1358)</f>
        <v>1133</v>
      </c>
      <c r="E343" s="10">
        <f t="shared" si="1"/>
        <v>0.5262953333</v>
      </c>
      <c r="F343" s="11">
        <f t="shared" si="2"/>
        <v>596</v>
      </c>
      <c r="G343" s="11">
        <f t="shared" si="3"/>
        <v>537</v>
      </c>
      <c r="H343" s="5" t="str">
        <f t="shared" si="4"/>
        <v>Democrat</v>
      </c>
      <c r="I343" s="10">
        <f>'Precinct Vote Data'!H1358</f>
        <v>0.5628476085</v>
      </c>
      <c r="J343" s="10">
        <f>'Precinct Vote Data'!H1359</f>
        <v>0.5162055336</v>
      </c>
      <c r="K343" s="10">
        <f>'Precinct Vote Data'!H1360</f>
        <v>0.5698818898</v>
      </c>
      <c r="L343" s="10">
        <f>'Precinct Vote Data'!H1361</f>
        <v>0.5227781927</v>
      </c>
    </row>
    <row r="344" ht="15.0" customHeight="1">
      <c r="A344" s="5" t="s">
        <v>327</v>
      </c>
      <c r="B344" s="5" t="s">
        <v>99</v>
      </c>
      <c r="C344" s="5" t="s">
        <v>172</v>
      </c>
      <c r="D344" s="11">
        <f>MAX(0, 2*'Precinct Vote Data'!G1364 - 'Precinct Vote Data'!G1362)</f>
        <v>1510</v>
      </c>
      <c r="E344" s="10">
        <f t="shared" si="1"/>
        <v>0.3301296523</v>
      </c>
      <c r="F344" s="11">
        <f t="shared" si="2"/>
        <v>498</v>
      </c>
      <c r="G344" s="11">
        <f t="shared" si="3"/>
        <v>1012</v>
      </c>
      <c r="H344" s="5" t="str">
        <f t="shared" si="4"/>
        <v>Republican</v>
      </c>
      <c r="I344" s="10">
        <f>'Precinct Vote Data'!H1362</f>
        <v>0.3625954198</v>
      </c>
      <c r="J344" s="10">
        <f>'Precinct Vote Data'!H1363</f>
        <v>0.3375554148</v>
      </c>
      <c r="K344" s="10">
        <f>'Precinct Vote Data'!H1364</f>
        <v>0.3549648163</v>
      </c>
      <c r="L344" s="10">
        <f>'Precinct Vote Data'!H1365</f>
        <v>0.3339449541</v>
      </c>
    </row>
    <row r="345" ht="15.0" customHeight="1">
      <c r="A345" s="5" t="s">
        <v>327</v>
      </c>
      <c r="B345" s="5" t="s">
        <v>99</v>
      </c>
      <c r="C345" s="5" t="s">
        <v>173</v>
      </c>
      <c r="D345" s="11">
        <f>MAX(0, 2*'Precinct Vote Data'!G1368 - 'Precinct Vote Data'!G1366)</f>
        <v>1718</v>
      </c>
      <c r="E345" s="10">
        <f t="shared" si="1"/>
        <v>0.3287147554</v>
      </c>
      <c r="F345" s="11">
        <f t="shared" si="2"/>
        <v>565</v>
      </c>
      <c r="G345" s="11">
        <f t="shared" si="3"/>
        <v>1153</v>
      </c>
      <c r="H345" s="5" t="str">
        <f t="shared" si="4"/>
        <v>Republican</v>
      </c>
      <c r="I345" s="10">
        <f>'Precinct Vote Data'!H1366</f>
        <v>0.3788395904</v>
      </c>
      <c r="J345" s="10">
        <f>'Precinct Vote Data'!H1367</f>
        <v>0.3448467967</v>
      </c>
      <c r="K345" s="10">
        <f>'Precinct Vote Data'!H1368</f>
        <v>0.3660899654</v>
      </c>
      <c r="L345" s="10">
        <f>'Precinct Vote Data'!H1369</f>
        <v>0.335089568</v>
      </c>
    </row>
    <row r="346" ht="15.0" customHeight="1">
      <c r="A346" s="5" t="s">
        <v>327</v>
      </c>
      <c r="B346" s="5" t="s">
        <v>99</v>
      </c>
      <c r="C346" s="5" t="s">
        <v>175</v>
      </c>
      <c r="D346" s="11">
        <f>MAX(0, 2*'Precinct Vote Data'!G1372 - 'Precinct Vote Data'!G1370)</f>
        <v>546</v>
      </c>
      <c r="E346" s="10">
        <f t="shared" si="1"/>
        <v>0.2887154695</v>
      </c>
      <c r="F346" s="11">
        <f t="shared" si="2"/>
        <v>158</v>
      </c>
      <c r="G346" s="11">
        <f t="shared" si="3"/>
        <v>388</v>
      </c>
      <c r="H346" s="5" t="str">
        <f t="shared" si="4"/>
        <v>Republican</v>
      </c>
      <c r="I346" s="10">
        <f>'Precinct Vote Data'!H1370</f>
        <v>0.3348623853</v>
      </c>
      <c r="J346" s="10">
        <f>'Precinct Vote Data'!H1371</f>
        <v>0.3306916427</v>
      </c>
      <c r="K346" s="10">
        <f>'Precinct Vote Data'!H1372</f>
        <v>0.2892057026</v>
      </c>
      <c r="L346" s="10">
        <f>'Precinct Vote Data'!H1373</f>
        <v>0.3115438108</v>
      </c>
    </row>
    <row r="347" ht="15.0" customHeight="1">
      <c r="A347" s="5" t="s">
        <v>327</v>
      </c>
      <c r="B347" s="5" t="s">
        <v>99</v>
      </c>
      <c r="C347" s="5" t="s">
        <v>177</v>
      </c>
      <c r="D347" s="11">
        <f>MAX(0, 2*'Precinct Vote Data'!G1376 - 'Precinct Vote Data'!G1374)</f>
        <v>1351</v>
      </c>
      <c r="E347" s="10">
        <f t="shared" si="1"/>
        <v>0.3254299027</v>
      </c>
      <c r="F347" s="11">
        <f t="shared" si="2"/>
        <v>440</v>
      </c>
      <c r="G347" s="11">
        <f t="shared" si="3"/>
        <v>911</v>
      </c>
      <c r="H347" s="5" t="str">
        <f t="shared" si="4"/>
        <v>Republican</v>
      </c>
      <c r="I347" s="10">
        <f>'Precinct Vote Data'!H1374</f>
        <v>0.3732162459</v>
      </c>
      <c r="J347" s="10">
        <f>'Precinct Vote Data'!H1375</f>
        <v>0.3312034079</v>
      </c>
      <c r="K347" s="10">
        <f>'Precinct Vote Data'!H1376</f>
        <v>0.3536693192</v>
      </c>
      <c r="L347" s="10">
        <f>'Precinct Vote Data'!H1377</f>
        <v>0.3352033661</v>
      </c>
    </row>
    <row r="348" ht="15.0" customHeight="1">
      <c r="A348" s="5" t="s">
        <v>327</v>
      </c>
      <c r="B348" s="5" t="s">
        <v>99</v>
      </c>
      <c r="C348" s="5" t="s">
        <v>178</v>
      </c>
      <c r="D348" s="11">
        <f>MAX(0, 2*'Precinct Vote Data'!G1380 - 'Precinct Vote Data'!G1378)</f>
        <v>836</v>
      </c>
      <c r="E348" s="10">
        <f t="shared" si="1"/>
        <v>0.3707820546</v>
      </c>
      <c r="F348" s="11">
        <f t="shared" si="2"/>
        <v>310</v>
      </c>
      <c r="G348" s="11">
        <f t="shared" si="3"/>
        <v>526</v>
      </c>
      <c r="H348" s="5" t="str">
        <f t="shared" si="4"/>
        <v>Republican</v>
      </c>
      <c r="I348" s="10">
        <f>'Precinct Vote Data'!H1378</f>
        <v>0.3406432749</v>
      </c>
      <c r="J348" s="10">
        <f>'Precinct Vote Data'!H1379</f>
        <v>0.3097982709</v>
      </c>
      <c r="K348" s="10">
        <f>'Precinct Vote Data'!H1380</f>
        <v>0.3657894737</v>
      </c>
      <c r="L348" s="10">
        <f>'Precinct Vote Data'!H1381</f>
        <v>0.3582089552</v>
      </c>
    </row>
    <row r="349" ht="15.0" customHeight="1">
      <c r="A349" s="5" t="s">
        <v>327</v>
      </c>
      <c r="B349" s="5" t="s">
        <v>360</v>
      </c>
      <c r="C349" s="5" t="s">
        <v>180</v>
      </c>
      <c r="D349" s="11">
        <f>MAX(0, 2*'Precinct Vote Data'!G1384 - 'Precinct Vote Data'!G1382)</f>
        <v>984</v>
      </c>
      <c r="E349" s="10">
        <f t="shared" si="1"/>
        <v>0.3572750012</v>
      </c>
      <c r="F349" s="11">
        <f t="shared" si="2"/>
        <v>352</v>
      </c>
      <c r="G349" s="11">
        <f t="shared" si="3"/>
        <v>632</v>
      </c>
      <c r="H349" s="5" t="str">
        <f t="shared" si="4"/>
        <v>Republican</v>
      </c>
      <c r="I349" s="10">
        <f>'Precinct Vote Data'!H1382</f>
        <v>0.4166666667</v>
      </c>
      <c r="J349" s="10">
        <f>'Precinct Vote Data'!H1383</f>
        <v>0.3588588589</v>
      </c>
      <c r="K349" s="10">
        <f>'Precinct Vote Data'!H1384</f>
        <v>0.3801498127</v>
      </c>
      <c r="L349" s="10">
        <f>'Precinct Vote Data'!H1385</f>
        <v>0.3755334282</v>
      </c>
    </row>
    <row r="350" ht="15.0" customHeight="1">
      <c r="A350" s="5" t="s">
        <v>327</v>
      </c>
      <c r="B350" s="5" t="s">
        <v>360</v>
      </c>
      <c r="C350" s="5" t="s">
        <v>181</v>
      </c>
      <c r="D350" s="11">
        <f>MAX(0, 2*'Precinct Vote Data'!G1388 - 'Precinct Vote Data'!G1386)</f>
        <v>1022</v>
      </c>
      <c r="E350" s="10">
        <f t="shared" si="1"/>
        <v>0.2984276909</v>
      </c>
      <c r="F350" s="11">
        <f t="shared" si="2"/>
        <v>305</v>
      </c>
      <c r="G350" s="11">
        <f t="shared" si="3"/>
        <v>717</v>
      </c>
      <c r="H350" s="5" t="str">
        <f t="shared" si="4"/>
        <v>Republican</v>
      </c>
      <c r="I350" s="10">
        <f>'Precinct Vote Data'!H1386</f>
        <v>0.3943661972</v>
      </c>
      <c r="J350" s="10">
        <f>'Precinct Vote Data'!H1387</f>
        <v>0.309156845</v>
      </c>
      <c r="K350" s="10">
        <f>'Precinct Vote Data'!H1388</f>
        <v>0.3556581986</v>
      </c>
      <c r="L350" s="10">
        <f>'Precinct Vote Data'!H1389</f>
        <v>0.3177816901</v>
      </c>
    </row>
    <row r="351" ht="15.0" customHeight="1">
      <c r="A351" s="5" t="s">
        <v>327</v>
      </c>
      <c r="B351" s="5" t="s">
        <v>361</v>
      </c>
      <c r="C351" s="5" t="s">
        <v>182</v>
      </c>
      <c r="D351" s="11">
        <f>MAX(0, 2*'Precinct Vote Data'!G1392 - 'Precinct Vote Data'!G1390)</f>
        <v>3094</v>
      </c>
      <c r="E351" s="10">
        <f t="shared" si="1"/>
        <v>0.4609055126</v>
      </c>
      <c r="F351" s="11">
        <f t="shared" si="2"/>
        <v>1426</v>
      </c>
      <c r="G351" s="11">
        <f t="shared" si="3"/>
        <v>1668</v>
      </c>
      <c r="H351" s="5" t="str">
        <f t="shared" si="4"/>
        <v>Republican</v>
      </c>
      <c r="I351" s="10">
        <f>'Precinct Vote Data'!H1390</f>
        <v>0.4487051793</v>
      </c>
      <c r="J351" s="10">
        <f>'Precinct Vote Data'!H1391</f>
        <v>0.4354146019</v>
      </c>
      <c r="K351" s="10">
        <f>'Precinct Vote Data'!H1392</f>
        <v>0.4453155625</v>
      </c>
      <c r="L351" s="10">
        <f>'Precinct Vote Data'!H1393</f>
        <v>0.462600321</v>
      </c>
    </row>
    <row r="352" ht="15.0" customHeight="1">
      <c r="A352" s="5" t="s">
        <v>327</v>
      </c>
      <c r="B352" s="5" t="s">
        <v>361</v>
      </c>
      <c r="C352" s="5" t="s">
        <v>183</v>
      </c>
      <c r="D352" s="11">
        <f>MAX(0, 2*'Precinct Vote Data'!G1396 - 'Precinct Vote Data'!G1394)</f>
        <v>1334</v>
      </c>
      <c r="E352" s="10">
        <f t="shared" si="1"/>
        <v>0.4217324906</v>
      </c>
      <c r="F352" s="11">
        <f t="shared" si="2"/>
        <v>563</v>
      </c>
      <c r="G352" s="11">
        <f t="shared" si="3"/>
        <v>771</v>
      </c>
      <c r="H352" s="5" t="str">
        <f t="shared" si="4"/>
        <v>Republican</v>
      </c>
      <c r="I352" s="10">
        <f>'Precinct Vote Data'!H1394</f>
        <v>0.4355509356</v>
      </c>
      <c r="J352" s="10">
        <f>'Precinct Vote Data'!H1395</f>
        <v>0.3959068454</v>
      </c>
      <c r="K352" s="10">
        <f>'Precinct Vote Data'!H1396</f>
        <v>0.4320557491</v>
      </c>
      <c r="L352" s="10">
        <f>'Precinct Vote Data'!H1397</f>
        <v>0.4234800839</v>
      </c>
    </row>
    <row r="353" ht="15.0" customHeight="1">
      <c r="A353" s="5" t="s">
        <v>327</v>
      </c>
      <c r="B353" s="5" t="s">
        <v>362</v>
      </c>
      <c r="C353" s="5" t="s">
        <v>184</v>
      </c>
      <c r="D353" s="11">
        <f>MAX(0, 2*'Precinct Vote Data'!G1400 - 'Precinct Vote Data'!G1398)</f>
        <v>1024</v>
      </c>
      <c r="E353" s="10">
        <f t="shared" si="1"/>
        <v>0.5431301039</v>
      </c>
      <c r="F353" s="11">
        <f t="shared" si="2"/>
        <v>556</v>
      </c>
      <c r="G353" s="11">
        <f t="shared" si="3"/>
        <v>468</v>
      </c>
      <c r="H353" s="5" t="str">
        <f t="shared" si="4"/>
        <v>Democrat</v>
      </c>
      <c r="I353" s="10">
        <f>'Precinct Vote Data'!H1398</f>
        <v>0.5034642032</v>
      </c>
      <c r="J353" s="10">
        <f>'Precinct Vote Data'!H1399</f>
        <v>0.4955985915</v>
      </c>
      <c r="K353" s="10">
        <f>'Precinct Vote Data'!H1400</f>
        <v>0.5375661376</v>
      </c>
      <c r="L353" s="10">
        <f>'Precinct Vote Data'!H1401</f>
        <v>0.5260791367</v>
      </c>
    </row>
    <row r="354" ht="15.0" customHeight="1">
      <c r="A354" s="5" t="s">
        <v>327</v>
      </c>
      <c r="B354" s="5" t="s">
        <v>362</v>
      </c>
      <c r="C354" s="5" t="s">
        <v>185</v>
      </c>
      <c r="D354" s="11">
        <f>MAX(0, 2*'Precinct Vote Data'!G1404 - 'Precinct Vote Data'!G1402)</f>
        <v>1350</v>
      </c>
      <c r="E354" s="10">
        <f t="shared" si="1"/>
        <v>0.4185384114</v>
      </c>
      <c r="F354" s="11">
        <f t="shared" si="2"/>
        <v>565</v>
      </c>
      <c r="G354" s="11">
        <f t="shared" si="3"/>
        <v>785</v>
      </c>
      <c r="H354" s="5" t="str">
        <f t="shared" si="4"/>
        <v>Republican</v>
      </c>
      <c r="I354" s="10">
        <f>'Precinct Vote Data'!H1402</f>
        <v>0.4438976378</v>
      </c>
      <c r="J354" s="10">
        <f>'Precinct Vote Data'!H1403</f>
        <v>0.4257891202</v>
      </c>
      <c r="K354" s="10">
        <f>'Precinct Vote Data'!H1404</f>
        <v>0.4429416737</v>
      </c>
      <c r="L354" s="10">
        <f>'Precinct Vote Data'!H1405</f>
        <v>0.4190163934</v>
      </c>
    </row>
    <row r="355" ht="15.0" customHeight="1">
      <c r="A355" s="5" t="s">
        <v>327</v>
      </c>
      <c r="B355" s="5" t="s">
        <v>362</v>
      </c>
      <c r="C355" s="5" t="s">
        <v>187</v>
      </c>
      <c r="D355" s="11">
        <f>MAX(0, 2*'Precinct Vote Data'!G1408 - 'Precinct Vote Data'!G1406)</f>
        <v>474</v>
      </c>
      <c r="E355" s="10">
        <f t="shared" si="1"/>
        <v>0.4243724661</v>
      </c>
      <c r="F355" s="11">
        <f t="shared" si="2"/>
        <v>201</v>
      </c>
      <c r="G355" s="11">
        <f t="shared" si="3"/>
        <v>273</v>
      </c>
      <c r="H355" s="5" t="str">
        <f t="shared" si="4"/>
        <v>Republican</v>
      </c>
      <c r="I355" s="10">
        <f>'Precinct Vote Data'!H1406</f>
        <v>0.4459459459</v>
      </c>
      <c r="J355" s="10">
        <f>'Precinct Vote Data'!H1407</f>
        <v>0.4579439252</v>
      </c>
      <c r="K355" s="10">
        <f>'Precinct Vote Data'!H1408</f>
        <v>0.4407582938</v>
      </c>
      <c r="L355" s="10">
        <f>'Precinct Vote Data'!H1409</f>
        <v>0.4269662921</v>
      </c>
    </row>
    <row r="356" ht="15.0" customHeight="1">
      <c r="A356" s="5" t="s">
        <v>327</v>
      </c>
      <c r="B356" s="5" t="s">
        <v>362</v>
      </c>
      <c r="C356" s="5" t="s">
        <v>188</v>
      </c>
      <c r="D356" s="11">
        <f>MAX(0, 2*'Precinct Vote Data'!G1412 - 'Precinct Vote Data'!G1410)</f>
        <v>803</v>
      </c>
      <c r="E356" s="10">
        <f t="shared" si="1"/>
        <v>0.516650345</v>
      </c>
      <c r="F356" s="11">
        <f t="shared" si="2"/>
        <v>415</v>
      </c>
      <c r="G356" s="11">
        <f t="shared" si="3"/>
        <v>388</v>
      </c>
      <c r="H356" s="5" t="str">
        <f t="shared" si="4"/>
        <v>Democrat</v>
      </c>
      <c r="I356" s="10">
        <f>'Precinct Vote Data'!H1410</f>
        <v>0.5290780142</v>
      </c>
      <c r="J356" s="10">
        <f>'Precinct Vote Data'!H1411</f>
        <v>0.5041928721</v>
      </c>
      <c r="K356" s="10">
        <f>'Precinct Vote Data'!H1412</f>
        <v>0.5225464191</v>
      </c>
      <c r="L356" s="10">
        <f>'Precinct Vote Data'!H1413</f>
        <v>0.5199161426</v>
      </c>
    </row>
    <row r="357" ht="15.0" customHeight="1">
      <c r="A357" s="5" t="s">
        <v>327</v>
      </c>
      <c r="B357" s="5" t="s">
        <v>362</v>
      </c>
      <c r="C357" s="5" t="s">
        <v>363</v>
      </c>
      <c r="D357" s="11">
        <f>MAX(0, 2*'Precinct Vote Data'!G1416 - 'Precinct Vote Data'!G1414)</f>
        <v>663</v>
      </c>
      <c r="E357" s="10">
        <f t="shared" si="1"/>
        <v>0.518440817</v>
      </c>
      <c r="F357" s="11">
        <f t="shared" si="2"/>
        <v>344</v>
      </c>
      <c r="G357" s="11">
        <f t="shared" si="3"/>
        <v>319</v>
      </c>
      <c r="H357" s="5" t="str">
        <f t="shared" si="4"/>
        <v>Democrat</v>
      </c>
      <c r="I357" s="10">
        <f>'Precinct Vote Data'!H1414</f>
        <v>0.537428023</v>
      </c>
      <c r="J357" s="10">
        <f>'Precinct Vote Data'!H1415</f>
        <v>0.5048814505</v>
      </c>
      <c r="K357" s="10">
        <f>'Precinct Vote Data'!H1416</f>
        <v>0.5439189189</v>
      </c>
      <c r="L357" s="10">
        <f>'Precinct Vote Data'!H1417</f>
        <v>0.515195369</v>
      </c>
    </row>
    <row r="358" ht="15.0" customHeight="1">
      <c r="A358" s="5" t="s">
        <v>327</v>
      </c>
      <c r="B358" s="5" t="s">
        <v>362</v>
      </c>
      <c r="C358" s="5" t="s">
        <v>364</v>
      </c>
      <c r="D358" s="11">
        <f>MAX(0, 2*'Precinct Vote Data'!G1420 - 'Precinct Vote Data'!G1418)</f>
        <v>1002</v>
      </c>
      <c r="E358" s="10">
        <f t="shared" si="1"/>
        <v>0.5520526513</v>
      </c>
      <c r="F358" s="11">
        <f t="shared" si="2"/>
        <v>553</v>
      </c>
      <c r="G358" s="11">
        <f t="shared" si="3"/>
        <v>449</v>
      </c>
      <c r="H358" s="5" t="str">
        <f t="shared" si="4"/>
        <v>Democrat</v>
      </c>
      <c r="I358" s="10">
        <f>'Precinct Vote Data'!H1418</f>
        <v>0.5660377358</v>
      </c>
      <c r="J358" s="10">
        <f>'Precinct Vote Data'!H1419</f>
        <v>0.5263157895</v>
      </c>
      <c r="K358" s="10">
        <f>'Precinct Vote Data'!H1420</f>
        <v>0.5619266055</v>
      </c>
      <c r="L358" s="10">
        <f>'Precinct Vote Data'!H1421</f>
        <v>0.5541082164</v>
      </c>
    </row>
    <row r="359" ht="15.0" customHeight="1">
      <c r="A359" s="5" t="s">
        <v>327</v>
      </c>
      <c r="B359" s="5" t="s">
        <v>362</v>
      </c>
      <c r="C359" s="5" t="s">
        <v>189</v>
      </c>
      <c r="D359" s="11">
        <f>MAX(0, 2*'Precinct Vote Data'!G1424 - 'Precinct Vote Data'!G1422)</f>
        <v>407</v>
      </c>
      <c r="E359" s="10">
        <f t="shared" si="1"/>
        <v>0.3997882099</v>
      </c>
      <c r="F359" s="11">
        <f t="shared" si="2"/>
        <v>163</v>
      </c>
      <c r="G359" s="11">
        <f t="shared" si="3"/>
        <v>244</v>
      </c>
      <c r="H359" s="5" t="str">
        <f t="shared" si="4"/>
        <v>Republican</v>
      </c>
      <c r="I359" s="10">
        <f>'Precinct Vote Data'!H1422</f>
        <v>0.4521072797</v>
      </c>
      <c r="J359" s="10">
        <f>'Precinct Vote Data'!H1423</f>
        <v>0.3931203931</v>
      </c>
      <c r="K359" s="10">
        <f>'Precinct Vote Data'!H1424</f>
        <v>0.4341317365</v>
      </c>
      <c r="L359" s="10">
        <f>'Precinct Vote Data'!H1425</f>
        <v>0.4087759815</v>
      </c>
    </row>
    <row r="360" ht="15.0" customHeight="1">
      <c r="A360" s="5" t="s">
        <v>327</v>
      </c>
      <c r="B360" s="5" t="s">
        <v>362</v>
      </c>
      <c r="C360" s="5" t="s">
        <v>191</v>
      </c>
      <c r="D360" s="11">
        <f>MAX(0, 2*'Precinct Vote Data'!G1428 - 'Precinct Vote Data'!G1426)</f>
        <v>967</v>
      </c>
      <c r="E360" s="10">
        <f t="shared" si="1"/>
        <v>0.4114468474</v>
      </c>
      <c r="F360" s="11">
        <f t="shared" si="2"/>
        <v>398</v>
      </c>
      <c r="G360" s="11">
        <f t="shared" si="3"/>
        <v>569</v>
      </c>
      <c r="H360" s="5" t="str">
        <f t="shared" si="4"/>
        <v>Republican</v>
      </c>
      <c r="I360" s="10">
        <f>'Precinct Vote Data'!H1426</f>
        <v>0.4348462665</v>
      </c>
      <c r="J360" s="10">
        <f>'Precinct Vote Data'!H1427</f>
        <v>0.4131799163</v>
      </c>
      <c r="K360" s="10">
        <f>'Precinct Vote Data'!H1428</f>
        <v>0.4242424242</v>
      </c>
      <c r="L360" s="10">
        <f>'Precinct Vote Data'!H1429</f>
        <v>0.4167487685</v>
      </c>
    </row>
    <row r="361" ht="15.0" customHeight="1">
      <c r="A361" s="5" t="s">
        <v>327</v>
      </c>
      <c r="B361" s="5" t="s">
        <v>365</v>
      </c>
      <c r="C361" s="5" t="s">
        <v>193</v>
      </c>
      <c r="D361" s="11">
        <f>MAX(0, 2*'Precinct Vote Data'!G1432 - 'Precinct Vote Data'!G1430)</f>
        <v>1090</v>
      </c>
      <c r="E361" s="10">
        <f t="shared" si="1"/>
        <v>0.3356716648</v>
      </c>
      <c r="F361" s="11">
        <f t="shared" si="2"/>
        <v>366</v>
      </c>
      <c r="G361" s="11">
        <f t="shared" si="3"/>
        <v>724</v>
      </c>
      <c r="H361" s="5" t="str">
        <f t="shared" si="4"/>
        <v>Republican</v>
      </c>
      <c r="I361" s="10">
        <f>'Precinct Vote Data'!H1430</f>
        <v>0.375</v>
      </c>
      <c r="J361" s="10">
        <f>'Precinct Vote Data'!H1431</f>
        <v>0.3465608466</v>
      </c>
      <c r="K361" s="10">
        <f>'Precinct Vote Data'!H1432</f>
        <v>0.3489861259</v>
      </c>
      <c r="L361" s="10">
        <f>'Precinct Vote Data'!H1433</f>
        <v>0.3486786019</v>
      </c>
    </row>
    <row r="362" ht="15.0" customHeight="1">
      <c r="A362" s="5" t="s">
        <v>327</v>
      </c>
      <c r="B362" s="5" t="s">
        <v>365</v>
      </c>
      <c r="C362" s="5" t="s">
        <v>195</v>
      </c>
      <c r="D362" s="11">
        <f>MAX(0, 2*'Precinct Vote Data'!G1436 - 'Precinct Vote Data'!G1434)</f>
        <v>2184</v>
      </c>
      <c r="E362" s="10">
        <f t="shared" si="1"/>
        <v>0.3246676066</v>
      </c>
      <c r="F362" s="11">
        <f t="shared" si="2"/>
        <v>709</v>
      </c>
      <c r="G362" s="11">
        <f t="shared" si="3"/>
        <v>1475</v>
      </c>
      <c r="H362" s="5" t="str">
        <f t="shared" si="4"/>
        <v>Republican</v>
      </c>
      <c r="I362" s="10">
        <f>'Precinct Vote Data'!H1434</f>
        <v>0.3821954485</v>
      </c>
      <c r="J362" s="10">
        <f>'Precinct Vote Data'!H1435</f>
        <v>0.3454784899</v>
      </c>
      <c r="K362" s="10">
        <f>'Precinct Vote Data'!H1436</f>
        <v>0.3556280587</v>
      </c>
      <c r="L362" s="10">
        <f>'Precinct Vote Data'!H1437</f>
        <v>0.3379513014</v>
      </c>
    </row>
    <row r="363" ht="15.0" customHeight="1">
      <c r="A363" s="5" t="s">
        <v>327</v>
      </c>
      <c r="B363" s="5" t="s">
        <v>365</v>
      </c>
      <c r="C363" s="5" t="s">
        <v>196</v>
      </c>
      <c r="D363" s="11">
        <f>MAX(0, 2*'Precinct Vote Data'!G1440 - 'Precinct Vote Data'!G1438)</f>
        <v>1581</v>
      </c>
      <c r="E363" s="10">
        <f t="shared" si="1"/>
        <v>0.3193790235</v>
      </c>
      <c r="F363" s="11">
        <f t="shared" si="2"/>
        <v>505</v>
      </c>
      <c r="G363" s="11">
        <f t="shared" si="3"/>
        <v>1076</v>
      </c>
      <c r="H363" s="5" t="str">
        <f t="shared" si="4"/>
        <v>Republican</v>
      </c>
      <c r="I363" s="10">
        <f>'Precinct Vote Data'!H1438</f>
        <v>0.3306379155</v>
      </c>
      <c r="J363" s="10">
        <f>'Precinct Vote Data'!H1439</f>
        <v>0.3051671733</v>
      </c>
      <c r="K363" s="10">
        <f>'Precinct Vote Data'!H1440</f>
        <v>0.3355605048</v>
      </c>
      <c r="L363" s="10">
        <f>'Precinct Vote Data'!H1441</f>
        <v>0.3169177289</v>
      </c>
    </row>
    <row r="364" ht="15.0" customHeight="1">
      <c r="A364" s="5" t="s">
        <v>327</v>
      </c>
      <c r="B364" s="5" t="s">
        <v>365</v>
      </c>
      <c r="C364" s="5" t="s">
        <v>197</v>
      </c>
      <c r="D364" s="11">
        <f>MAX(0, 2*'Precinct Vote Data'!G1444 - 'Precinct Vote Data'!G1442)</f>
        <v>733</v>
      </c>
      <c r="E364" s="10">
        <f t="shared" si="1"/>
        <v>0.3316821535</v>
      </c>
      <c r="F364" s="11">
        <f t="shared" si="2"/>
        <v>243</v>
      </c>
      <c r="G364" s="11">
        <f t="shared" si="3"/>
        <v>490</v>
      </c>
      <c r="H364" s="5" t="str">
        <f t="shared" si="4"/>
        <v>Republican</v>
      </c>
      <c r="I364" s="10">
        <f>'Precinct Vote Data'!H1442</f>
        <v>0.3257142857</v>
      </c>
      <c r="J364" s="10">
        <f>'Precinct Vote Data'!H1443</f>
        <v>0.3269230769</v>
      </c>
      <c r="K364" s="10">
        <f>'Precinct Vote Data'!H1444</f>
        <v>0.3624801272</v>
      </c>
      <c r="L364" s="10">
        <f>'Precinct Vote Data'!H1445</f>
        <v>0.3132992327</v>
      </c>
    </row>
    <row r="365" ht="15.0" customHeight="1">
      <c r="A365" s="5" t="s">
        <v>327</v>
      </c>
      <c r="B365" s="5" t="s">
        <v>366</v>
      </c>
      <c r="C365" s="5" t="s">
        <v>198</v>
      </c>
      <c r="D365" s="11">
        <f>MAX(0, 2*'Precinct Vote Data'!G1448 - 'Precinct Vote Data'!G1446)</f>
        <v>1060</v>
      </c>
      <c r="E365" s="10">
        <f t="shared" si="1"/>
        <v>0.4986039547</v>
      </c>
      <c r="F365" s="11">
        <f t="shared" si="2"/>
        <v>529</v>
      </c>
      <c r="G365" s="11">
        <f t="shared" si="3"/>
        <v>531</v>
      </c>
      <c r="H365" s="5" t="str">
        <f t="shared" si="4"/>
        <v>Republican</v>
      </c>
      <c r="I365" s="10">
        <f>'Precinct Vote Data'!H1446</f>
        <v>0.5</v>
      </c>
      <c r="J365" s="10">
        <f>'Precinct Vote Data'!H1447</f>
        <v>0.4860050891</v>
      </c>
      <c r="K365" s="10">
        <f>'Precinct Vote Data'!H1448</f>
        <v>0.500524659</v>
      </c>
      <c r="L365" s="10">
        <f>'Precinct Vote Data'!H1449</f>
        <v>0.4983416252</v>
      </c>
    </row>
    <row r="366" ht="15.0" customHeight="1">
      <c r="A366" s="5" t="s">
        <v>327</v>
      </c>
      <c r="B366" s="5" t="s">
        <v>366</v>
      </c>
      <c r="C366" s="5" t="s">
        <v>199</v>
      </c>
      <c r="D366" s="11">
        <f>MAX(0, 2*'Precinct Vote Data'!G1452 - 'Precinct Vote Data'!G1450)</f>
        <v>893</v>
      </c>
      <c r="E366" s="10">
        <f t="shared" si="1"/>
        <v>0.4871093888</v>
      </c>
      <c r="F366" s="11">
        <f t="shared" si="2"/>
        <v>435</v>
      </c>
      <c r="G366" s="11">
        <f t="shared" si="3"/>
        <v>458</v>
      </c>
      <c r="H366" s="5" t="str">
        <f t="shared" si="4"/>
        <v>Republican</v>
      </c>
      <c r="I366" s="10">
        <f>'Precinct Vote Data'!H1450</f>
        <v>0.5580693816</v>
      </c>
      <c r="J366" s="10">
        <f>'Precinct Vote Data'!H1451</f>
        <v>0.4894684052</v>
      </c>
      <c r="K366" s="10">
        <f>'Precinct Vote Data'!H1452</f>
        <v>0.5501285347</v>
      </c>
      <c r="L366" s="10">
        <f>'Precinct Vote Data'!H1453</f>
        <v>0.4910798122</v>
      </c>
    </row>
    <row r="367" ht="15.0" customHeight="1">
      <c r="A367" s="5" t="s">
        <v>327</v>
      </c>
      <c r="B367" s="5" t="s">
        <v>366</v>
      </c>
      <c r="C367" s="5" t="s">
        <v>200</v>
      </c>
      <c r="D367" s="11">
        <f>MAX(0, 2*'Precinct Vote Data'!G1456 - 'Precinct Vote Data'!G1454)</f>
        <v>841</v>
      </c>
      <c r="E367" s="10">
        <f t="shared" si="1"/>
        <v>0.4574895464</v>
      </c>
      <c r="F367" s="11">
        <f t="shared" si="2"/>
        <v>385</v>
      </c>
      <c r="G367" s="11">
        <f t="shared" si="3"/>
        <v>456</v>
      </c>
      <c r="H367" s="5" t="str">
        <f t="shared" si="4"/>
        <v>Republican</v>
      </c>
      <c r="I367" s="10">
        <f>'Precinct Vote Data'!H1454</f>
        <v>0.5429497569</v>
      </c>
      <c r="J367" s="10">
        <f>'Precinct Vote Data'!H1455</f>
        <v>0.4558979809</v>
      </c>
      <c r="K367" s="10">
        <f>'Precinct Vote Data'!H1456</f>
        <v>0.5034293553</v>
      </c>
      <c r="L367" s="10">
        <f>'Precinct Vote Data'!H1457</f>
        <v>0.4772497472</v>
      </c>
    </row>
    <row r="368" ht="15.0" customHeight="1">
      <c r="A368" s="5" t="s">
        <v>327</v>
      </c>
      <c r="B368" s="5" t="s">
        <v>367</v>
      </c>
      <c r="C368" s="5" t="s">
        <v>206</v>
      </c>
      <c r="D368" s="11">
        <f>MAX(0, 2*'Precinct Vote Data'!G1460 - 'Precinct Vote Data'!G1458)</f>
        <v>432</v>
      </c>
      <c r="E368" s="10">
        <f t="shared" si="1"/>
        <v>0.4278273314</v>
      </c>
      <c r="F368" s="11">
        <f t="shared" si="2"/>
        <v>185</v>
      </c>
      <c r="G368" s="11">
        <f t="shared" si="3"/>
        <v>247</v>
      </c>
      <c r="H368" s="5" t="str">
        <f t="shared" si="4"/>
        <v>Republican</v>
      </c>
      <c r="I368" s="10">
        <f>'Precinct Vote Data'!H1458</f>
        <v>0.5</v>
      </c>
      <c r="J368" s="10">
        <f>'Precinct Vote Data'!H1459</f>
        <v>0.4173387097</v>
      </c>
      <c r="K368" s="10">
        <f>'Precinct Vote Data'!H1460</f>
        <v>0.4640883978</v>
      </c>
      <c r="L368" s="10">
        <f>'Precinct Vote Data'!H1461</f>
        <v>0.4457831325</v>
      </c>
    </row>
    <row r="369" ht="15.0" customHeight="1">
      <c r="A369" s="5" t="s">
        <v>327</v>
      </c>
      <c r="B369" s="5" t="s">
        <v>367</v>
      </c>
      <c r="C369" s="5" t="s">
        <v>208</v>
      </c>
      <c r="D369" s="11">
        <f>MAX(0, 2*'Precinct Vote Data'!G1464 - 'Precinct Vote Data'!G1462)</f>
        <v>1067</v>
      </c>
      <c r="E369" s="10">
        <f t="shared" si="1"/>
        <v>0.5097698934</v>
      </c>
      <c r="F369" s="11">
        <f t="shared" si="2"/>
        <v>544</v>
      </c>
      <c r="G369" s="11">
        <f t="shared" si="3"/>
        <v>523</v>
      </c>
      <c r="H369" s="5" t="str">
        <f t="shared" si="4"/>
        <v>Democrat</v>
      </c>
      <c r="I369" s="10">
        <f>'Precinct Vote Data'!H1462</f>
        <v>0.5098039216</v>
      </c>
      <c r="J369" s="10">
        <f>'Precinct Vote Data'!H1463</f>
        <v>0.4860853432</v>
      </c>
      <c r="K369" s="10">
        <f>'Precinct Vote Data'!H1464</f>
        <v>0.519650655</v>
      </c>
      <c r="L369" s="10">
        <f>'Precinct Vote Data'!H1465</f>
        <v>0.5048465267</v>
      </c>
    </row>
    <row r="370" ht="15.0" customHeight="1">
      <c r="A370" s="5" t="s">
        <v>327</v>
      </c>
      <c r="B370" s="5" t="s">
        <v>368</v>
      </c>
      <c r="C370" s="5" t="s">
        <v>210</v>
      </c>
      <c r="D370" s="11">
        <f>MAX(0, 2*'Precinct Vote Data'!G1468 - 'Precinct Vote Data'!G1466)</f>
        <v>1086</v>
      </c>
      <c r="E370" s="10">
        <f t="shared" si="1"/>
        <v>0.4676724599</v>
      </c>
      <c r="F370" s="11">
        <f t="shared" si="2"/>
        <v>508</v>
      </c>
      <c r="G370" s="11">
        <f t="shared" si="3"/>
        <v>578</v>
      </c>
      <c r="H370" s="5" t="str">
        <f t="shared" si="4"/>
        <v>Republican</v>
      </c>
      <c r="I370" s="10">
        <f>'Precinct Vote Data'!H1466</f>
        <v>0.4902912621</v>
      </c>
      <c r="J370" s="10">
        <f>'Precinct Vote Data'!H1467</f>
        <v>0.453271028</v>
      </c>
      <c r="K370" s="10">
        <f>'Precinct Vote Data'!H1468</f>
        <v>0.4931937173</v>
      </c>
      <c r="L370" s="10">
        <f>'Precinct Vote Data'!H1469</f>
        <v>0.4662212324</v>
      </c>
    </row>
    <row r="371" ht="15.0" customHeight="1">
      <c r="A371" s="5" t="s">
        <v>327</v>
      </c>
      <c r="B371" s="5" t="s">
        <v>368</v>
      </c>
      <c r="C371" s="5" t="s">
        <v>211</v>
      </c>
      <c r="D371" s="11">
        <f>MAX(0, 2*'Precinct Vote Data'!G1472 - 'Precinct Vote Data'!G1470)</f>
        <v>978</v>
      </c>
      <c r="E371" s="10">
        <f t="shared" si="1"/>
        <v>0.475555551</v>
      </c>
      <c r="F371" s="11">
        <f t="shared" si="2"/>
        <v>465</v>
      </c>
      <c r="G371" s="11">
        <f t="shared" si="3"/>
        <v>513</v>
      </c>
      <c r="H371" s="5" t="str">
        <f t="shared" si="4"/>
        <v>Republican</v>
      </c>
      <c r="I371" s="10">
        <f>'Precinct Vote Data'!H1470</f>
        <v>0.5231884058</v>
      </c>
      <c r="J371" s="10">
        <f>'Precinct Vote Data'!H1471</f>
        <v>0.4543859649</v>
      </c>
      <c r="K371" s="10">
        <f>'Precinct Vote Data'!H1472</f>
        <v>0.5071942446</v>
      </c>
      <c r="L371" s="10">
        <f>'Precinct Vote Data'!H1473</f>
        <v>0.4835526316</v>
      </c>
    </row>
    <row r="372" ht="15.0" customHeight="1">
      <c r="A372" s="5" t="s">
        <v>327</v>
      </c>
      <c r="B372" s="5" t="s">
        <v>368</v>
      </c>
      <c r="C372" s="5" t="s">
        <v>212</v>
      </c>
      <c r="D372" s="11">
        <f>MAX(0, 2*'Precinct Vote Data'!G1476 - 'Precinct Vote Data'!G1474)</f>
        <v>2074</v>
      </c>
      <c r="E372" s="10">
        <f t="shared" si="1"/>
        <v>0.4513698882</v>
      </c>
      <c r="F372" s="11">
        <f t="shared" si="2"/>
        <v>936</v>
      </c>
      <c r="G372" s="11">
        <f t="shared" si="3"/>
        <v>1138</v>
      </c>
      <c r="H372" s="5" t="str">
        <f t="shared" si="4"/>
        <v>Republican</v>
      </c>
      <c r="I372" s="10">
        <f>'Precinct Vote Data'!H1474</f>
        <v>0.5</v>
      </c>
      <c r="J372" s="10">
        <f>'Precinct Vote Data'!H1475</f>
        <v>0.4343871806</v>
      </c>
      <c r="K372" s="10">
        <f>'Precinct Vote Data'!H1476</f>
        <v>0.4965909091</v>
      </c>
      <c r="L372" s="10">
        <f>'Precinct Vote Data'!H1477</f>
        <v>0.4530744337</v>
      </c>
    </row>
    <row r="373" ht="15.0" customHeight="1">
      <c r="A373" s="5" t="s">
        <v>327</v>
      </c>
      <c r="B373" s="5" t="s">
        <v>368</v>
      </c>
      <c r="C373" s="5" t="s">
        <v>214</v>
      </c>
      <c r="D373" s="11">
        <f>MAX(0, 2*'Precinct Vote Data'!G1480 - 'Precinct Vote Data'!G1478)</f>
        <v>432</v>
      </c>
      <c r="E373" s="10">
        <f t="shared" si="1"/>
        <v>0.422459893</v>
      </c>
      <c r="F373" s="11">
        <f t="shared" si="2"/>
        <v>183</v>
      </c>
      <c r="G373" s="11">
        <f t="shared" si="3"/>
        <v>249</v>
      </c>
      <c r="H373" s="5" t="str">
        <f t="shared" si="4"/>
        <v>Republican</v>
      </c>
      <c r="I373" s="10">
        <f>'Precinct Vote Data'!H1478</f>
        <v>0.5</v>
      </c>
      <c r="J373" s="10">
        <f>'Precinct Vote Data'!H1479</f>
        <v>0.4532374101</v>
      </c>
      <c r="K373" s="10">
        <f>'Precinct Vote Data'!H1480</f>
        <v>0.5</v>
      </c>
      <c r="L373" s="10">
        <f>'Precinct Vote Data'!H1481</f>
        <v>0.422459893</v>
      </c>
    </row>
    <row r="374" ht="15.0" customHeight="1">
      <c r="A374" s="5" t="s">
        <v>327</v>
      </c>
      <c r="B374" s="5" t="s">
        <v>369</v>
      </c>
      <c r="C374" s="5" t="s">
        <v>216</v>
      </c>
      <c r="D374" s="11">
        <f>MAX(0, 2*'Precinct Vote Data'!G1484 - 'Precinct Vote Data'!G1482)</f>
        <v>2007</v>
      </c>
      <c r="E374" s="10">
        <f t="shared" si="1"/>
        <v>0.53656301</v>
      </c>
      <c r="F374" s="11">
        <f t="shared" si="2"/>
        <v>1077</v>
      </c>
      <c r="G374" s="11">
        <f t="shared" si="3"/>
        <v>930</v>
      </c>
      <c r="H374" s="5" t="str">
        <f t="shared" si="4"/>
        <v>Democrat</v>
      </c>
      <c r="I374" s="10">
        <f>'Precinct Vote Data'!H1482</f>
        <v>0.5964214712</v>
      </c>
      <c r="J374" s="10">
        <f>'Precinct Vote Data'!H1483</f>
        <v>0.555287495</v>
      </c>
      <c r="K374" s="10">
        <f>'Precinct Vote Data'!H1484</f>
        <v>0.5773606371</v>
      </c>
      <c r="L374" s="10">
        <f>'Precinct Vote Data'!H1485</f>
        <v>0.546093427</v>
      </c>
    </row>
    <row r="375" ht="15.0" customHeight="1">
      <c r="A375" s="5" t="s">
        <v>327</v>
      </c>
      <c r="B375" s="5" t="s">
        <v>369</v>
      </c>
      <c r="C375" s="5" t="s">
        <v>217</v>
      </c>
      <c r="D375" s="11">
        <f>MAX(0, 2*'Precinct Vote Data'!G1488 - 'Precinct Vote Data'!G1486)</f>
        <v>1071</v>
      </c>
      <c r="E375" s="10">
        <f t="shared" si="1"/>
        <v>0.4532583778</v>
      </c>
      <c r="F375" s="11">
        <f t="shared" si="2"/>
        <v>485</v>
      </c>
      <c r="G375" s="11">
        <f t="shared" si="3"/>
        <v>586</v>
      </c>
      <c r="H375" s="5" t="str">
        <f t="shared" si="4"/>
        <v>Republican</v>
      </c>
      <c r="I375" s="10">
        <f>'Precinct Vote Data'!H1486</f>
        <v>0.5262593783</v>
      </c>
      <c r="J375" s="10">
        <f>'Precinct Vote Data'!H1487</f>
        <v>0.4751879699</v>
      </c>
      <c r="K375" s="10">
        <f>'Precinct Vote Data'!H1488</f>
        <v>0.496007984</v>
      </c>
      <c r="L375" s="10">
        <f>'Precinct Vote Data'!H1489</f>
        <v>0.4683840749</v>
      </c>
    </row>
    <row r="376" ht="15.0" customHeight="1">
      <c r="A376" s="5" t="s">
        <v>327</v>
      </c>
      <c r="B376" s="5" t="s">
        <v>369</v>
      </c>
      <c r="C376" s="5" t="s">
        <v>218</v>
      </c>
      <c r="D376" s="11">
        <f>MAX(0, 2*'Precinct Vote Data'!G1492 - 'Precinct Vote Data'!G1490)</f>
        <v>1316</v>
      </c>
      <c r="E376" s="10">
        <f t="shared" si="1"/>
        <v>0.5171458181</v>
      </c>
      <c r="F376" s="11">
        <f t="shared" si="2"/>
        <v>681</v>
      </c>
      <c r="G376" s="11">
        <f t="shared" si="3"/>
        <v>635</v>
      </c>
      <c r="H376" s="5" t="str">
        <f t="shared" si="4"/>
        <v>Democrat</v>
      </c>
      <c r="I376" s="10">
        <f>'Precinct Vote Data'!H1490</f>
        <v>0.5160320641</v>
      </c>
      <c r="J376" s="10">
        <f>'Precinct Vote Data'!H1491</f>
        <v>0.496993988</v>
      </c>
      <c r="K376" s="10">
        <f>'Precinct Vote Data'!H1492</f>
        <v>0.5324114088</v>
      </c>
      <c r="L376" s="10">
        <f>'Precinct Vote Data'!H1493</f>
        <v>0.5089561458</v>
      </c>
    </row>
    <row r="377" ht="15.0" customHeight="1">
      <c r="A377" s="5" t="s">
        <v>327</v>
      </c>
      <c r="B377" s="5" t="s">
        <v>369</v>
      </c>
      <c r="C377" s="5" t="s">
        <v>219</v>
      </c>
      <c r="D377" s="11">
        <f>MAX(0, 2*'Precinct Vote Data'!G1496 - 'Precinct Vote Data'!G1494)</f>
        <v>2138</v>
      </c>
      <c r="E377" s="10">
        <f t="shared" si="1"/>
        <v>0.4612764637</v>
      </c>
      <c r="F377" s="11">
        <f t="shared" si="2"/>
        <v>986</v>
      </c>
      <c r="G377" s="11">
        <f t="shared" si="3"/>
        <v>1152</v>
      </c>
      <c r="H377" s="5" t="str">
        <f t="shared" si="4"/>
        <v>Republican</v>
      </c>
      <c r="I377" s="10">
        <f>'Precinct Vote Data'!H1494</f>
        <v>0.5052562418</v>
      </c>
      <c r="J377" s="10">
        <f>'Precinct Vote Data'!H1495</f>
        <v>0.4642109669</v>
      </c>
      <c r="K377" s="10">
        <f>'Precinct Vote Data'!H1496</f>
        <v>0.4836065574</v>
      </c>
      <c r="L377" s="10">
        <f>'Precinct Vote Data'!H1497</f>
        <v>0.4721013059</v>
      </c>
    </row>
    <row r="378" ht="15.0" customHeight="1">
      <c r="A378" s="5" t="s">
        <v>327</v>
      </c>
      <c r="B378" s="5" t="s">
        <v>369</v>
      </c>
      <c r="C378" s="5" t="s">
        <v>223</v>
      </c>
      <c r="D378" s="11">
        <f>MAX(0, 2*'Precinct Vote Data'!G1500 - 'Precinct Vote Data'!G1498)</f>
        <v>3029</v>
      </c>
      <c r="E378" s="10">
        <f t="shared" si="1"/>
        <v>0.5371843775</v>
      </c>
      <c r="F378" s="11">
        <f t="shared" si="2"/>
        <v>1627</v>
      </c>
      <c r="G378" s="11">
        <f t="shared" si="3"/>
        <v>1402</v>
      </c>
      <c r="H378" s="5" t="str">
        <f t="shared" si="4"/>
        <v>Democrat</v>
      </c>
      <c r="I378" s="10">
        <f>'Precinct Vote Data'!H1498</f>
        <v>0.5769059296</v>
      </c>
      <c r="J378" s="10">
        <f>'Precinct Vote Data'!H1499</f>
        <v>0.5272838749</v>
      </c>
      <c r="K378" s="10">
        <f>'Precinct Vote Data'!H1500</f>
        <v>0.5527314112</v>
      </c>
      <c r="L378" s="10">
        <f>'Precinct Vote Data'!H1501</f>
        <v>0.5492716367</v>
      </c>
    </row>
    <row r="379" ht="15.0" customHeight="1">
      <c r="A379" s="5" t="s">
        <v>327</v>
      </c>
      <c r="B379" s="5" t="s">
        <v>369</v>
      </c>
      <c r="C379" s="5" t="s">
        <v>224</v>
      </c>
      <c r="D379" s="11">
        <f>MAX(0, 2*'Precinct Vote Data'!G1504 - 'Precinct Vote Data'!G1502)</f>
        <v>1457</v>
      </c>
      <c r="E379" s="10">
        <f t="shared" si="1"/>
        <v>0.4930328825</v>
      </c>
      <c r="F379" s="11">
        <f t="shared" si="2"/>
        <v>718</v>
      </c>
      <c r="G379" s="11">
        <f t="shared" si="3"/>
        <v>739</v>
      </c>
      <c r="H379" s="5" t="str">
        <f t="shared" si="4"/>
        <v>Republican</v>
      </c>
      <c r="I379" s="10">
        <f>'Precinct Vote Data'!H1502</f>
        <v>0.4838427948</v>
      </c>
      <c r="J379" s="10">
        <f>'Precinct Vote Data'!H1503</f>
        <v>0.4776987718</v>
      </c>
      <c r="K379" s="10">
        <f>'Precinct Vote Data'!H1504</f>
        <v>0.4919292852</v>
      </c>
      <c r="L379" s="10">
        <f>'Precinct Vote Data'!H1505</f>
        <v>0.4889896373</v>
      </c>
    </row>
    <row r="380" ht="15.0" customHeight="1">
      <c r="A380" s="5" t="s">
        <v>327</v>
      </c>
      <c r="B380" s="5" t="s">
        <v>369</v>
      </c>
      <c r="C380" s="5" t="s">
        <v>225</v>
      </c>
      <c r="D380" s="11">
        <f>MAX(0, 2*'Precinct Vote Data'!G1508 - 'Precinct Vote Data'!G1506)</f>
        <v>709</v>
      </c>
      <c r="E380" s="10">
        <f t="shared" si="1"/>
        <v>0.4141079628</v>
      </c>
      <c r="F380" s="11">
        <f t="shared" si="2"/>
        <v>294</v>
      </c>
      <c r="G380" s="11">
        <f t="shared" si="3"/>
        <v>415</v>
      </c>
      <c r="H380" s="5" t="str">
        <f t="shared" si="4"/>
        <v>Republican</v>
      </c>
      <c r="I380" s="10">
        <f>'Precinct Vote Data'!H1506</f>
        <v>0.5118397086</v>
      </c>
      <c r="J380" s="10">
        <f>'Precinct Vote Data'!H1507</f>
        <v>0.4571078431</v>
      </c>
      <c r="K380" s="10">
        <f>'Precinct Vote Data'!H1508</f>
        <v>0.4658187599</v>
      </c>
      <c r="L380" s="10">
        <f>'Precinct Vote Data'!H1509</f>
        <v>0.4371184371</v>
      </c>
    </row>
    <row r="381" ht="15.0" customHeight="1">
      <c r="A381" s="5" t="s">
        <v>327</v>
      </c>
      <c r="B381" s="5" t="s">
        <v>370</v>
      </c>
      <c r="C381" s="5" t="s">
        <v>227</v>
      </c>
      <c r="D381" s="11">
        <f>MAX(0, 2*'Precinct Vote Data'!G1512 - 'Precinct Vote Data'!G1510)</f>
        <v>228</v>
      </c>
      <c r="E381" s="10">
        <f t="shared" si="1"/>
        <v>0.3401082855</v>
      </c>
      <c r="F381" s="11">
        <f t="shared" si="2"/>
        <v>78</v>
      </c>
      <c r="G381" s="11">
        <f t="shared" si="3"/>
        <v>150</v>
      </c>
      <c r="H381" s="5" t="str">
        <f t="shared" si="4"/>
        <v>Republican</v>
      </c>
      <c r="I381" s="10">
        <f>'Precinct Vote Data'!H1510</f>
        <v>0.4493670886</v>
      </c>
      <c r="J381" s="10">
        <f>'Precinct Vote Data'!H1511</f>
        <v>0.3458646617</v>
      </c>
      <c r="K381" s="10">
        <f>'Precinct Vote Data'!H1512</f>
        <v>0.4093264249</v>
      </c>
      <c r="L381" s="10">
        <f>'Precinct Vote Data'!H1513</f>
        <v>0.3601286174</v>
      </c>
    </row>
    <row r="382" ht="15.0" customHeight="1">
      <c r="A382" s="5" t="s">
        <v>327</v>
      </c>
      <c r="B382" s="5" t="s">
        <v>370</v>
      </c>
      <c r="C382" s="5" t="s">
        <v>228</v>
      </c>
      <c r="D382" s="11">
        <f>MAX(0, 2*'Precinct Vote Data'!G1516 - 'Precinct Vote Data'!G1514)</f>
        <v>617</v>
      </c>
      <c r="E382" s="10">
        <f t="shared" si="1"/>
        <v>0.3578349374</v>
      </c>
      <c r="F382" s="11">
        <f t="shared" si="2"/>
        <v>221</v>
      </c>
      <c r="G382" s="11">
        <f t="shared" si="3"/>
        <v>396</v>
      </c>
      <c r="H382" s="5" t="str">
        <f t="shared" si="4"/>
        <v>Republican</v>
      </c>
      <c r="I382" s="10">
        <f>'Precinct Vote Data'!H1514</f>
        <v>0.3346534653</v>
      </c>
      <c r="J382" s="10">
        <f>'Precinct Vote Data'!H1515</f>
        <v>0.3446327684</v>
      </c>
      <c r="K382" s="10">
        <f>'Precinct Vote Data'!H1516</f>
        <v>0.3493761141</v>
      </c>
      <c r="L382" s="10">
        <f>'Precinct Vote Data'!H1517</f>
        <v>0.350473613</v>
      </c>
    </row>
    <row r="383" ht="15.0" customHeight="1">
      <c r="A383" s="5" t="s">
        <v>327</v>
      </c>
      <c r="B383" s="5" t="s">
        <v>370</v>
      </c>
      <c r="C383" s="5" t="s">
        <v>371</v>
      </c>
      <c r="D383" s="11">
        <f>MAX(0, 2*'Precinct Vote Data'!G1520 - 'Precinct Vote Data'!G1518)</f>
        <v>356</v>
      </c>
      <c r="E383" s="10">
        <f t="shared" si="1"/>
        <v>0.378694268</v>
      </c>
      <c r="F383" s="11">
        <f t="shared" si="2"/>
        <v>135</v>
      </c>
      <c r="G383" s="11">
        <f t="shared" si="3"/>
        <v>221</v>
      </c>
      <c r="H383" s="5" t="str">
        <f t="shared" si="4"/>
        <v>Republican</v>
      </c>
      <c r="I383" s="10">
        <f>'Precinct Vote Data'!H1518</f>
        <v>0.4782608696</v>
      </c>
      <c r="J383" s="10">
        <f>'Precinct Vote Data'!H1519</f>
        <v>0.4335378323</v>
      </c>
      <c r="K383" s="10">
        <f>'Precinct Vote Data'!H1520</f>
        <v>0.4277286136</v>
      </c>
      <c r="L383" s="10">
        <f>'Precinct Vote Data'!H1521</f>
        <v>0.403960396</v>
      </c>
    </row>
    <row r="384" ht="15.0" customHeight="1">
      <c r="A384" s="5" t="s">
        <v>327</v>
      </c>
      <c r="B384" s="5" t="s">
        <v>370</v>
      </c>
      <c r="C384" s="5" t="s">
        <v>230</v>
      </c>
      <c r="D384" s="11">
        <f>MAX(0, 2*'Precinct Vote Data'!G1524 - 'Precinct Vote Data'!G1522)</f>
        <v>208</v>
      </c>
      <c r="E384" s="10">
        <f t="shared" si="1"/>
        <v>0.3778215422</v>
      </c>
      <c r="F384" s="11">
        <f t="shared" si="2"/>
        <v>79</v>
      </c>
      <c r="G384" s="11">
        <f t="shared" si="3"/>
        <v>129</v>
      </c>
      <c r="H384" s="5" t="str">
        <f t="shared" si="4"/>
        <v>Republican</v>
      </c>
      <c r="I384" s="10">
        <f>'Precinct Vote Data'!H1522</f>
        <v>0.4891304348</v>
      </c>
      <c r="J384" s="10">
        <f>'Precinct Vote Data'!H1523</f>
        <v>0.4276315789</v>
      </c>
      <c r="K384" s="10">
        <f>'Precinct Vote Data'!H1524</f>
        <v>0.4642857143</v>
      </c>
      <c r="L384" s="10">
        <f>'Precinct Vote Data'!H1525</f>
        <v>0.3902439024</v>
      </c>
    </row>
    <row r="385" ht="15.0" customHeight="1">
      <c r="A385" s="5" t="s">
        <v>327</v>
      </c>
      <c r="B385" s="5" t="s">
        <v>372</v>
      </c>
      <c r="C385" s="5" t="s">
        <v>232</v>
      </c>
      <c r="D385" s="11">
        <f>MAX(0, 2*'Precinct Vote Data'!G1528 - 'Precinct Vote Data'!G1526)</f>
        <v>1055</v>
      </c>
      <c r="E385" s="10">
        <f t="shared" si="1"/>
        <v>0.3164488238</v>
      </c>
      <c r="F385" s="11">
        <f t="shared" si="2"/>
        <v>334</v>
      </c>
      <c r="G385" s="11">
        <f t="shared" si="3"/>
        <v>721</v>
      </c>
      <c r="H385" s="5" t="str">
        <f t="shared" si="4"/>
        <v>Republican</v>
      </c>
      <c r="I385" s="10">
        <f>'Precinct Vote Data'!H1526</f>
        <v>0.4127388535</v>
      </c>
      <c r="J385" s="10">
        <f>'Precinct Vote Data'!H1527</f>
        <v>0.3490566038</v>
      </c>
      <c r="K385" s="10">
        <f>'Precinct Vote Data'!H1528</f>
        <v>0.3467391304</v>
      </c>
      <c r="L385" s="10">
        <f>'Precinct Vote Data'!H1529</f>
        <v>0.3494486853</v>
      </c>
    </row>
    <row r="386" ht="15.0" customHeight="1">
      <c r="A386" s="5" t="s">
        <v>327</v>
      </c>
      <c r="B386" s="5" t="s">
        <v>372</v>
      </c>
      <c r="C386" s="5" t="s">
        <v>233</v>
      </c>
      <c r="D386" s="11">
        <f>MAX(0, 2*'Precinct Vote Data'!G1532 - 'Precinct Vote Data'!G1530)</f>
        <v>847</v>
      </c>
      <c r="E386" s="10">
        <f t="shared" si="1"/>
        <v>0.3305008362</v>
      </c>
      <c r="F386" s="11">
        <f t="shared" si="2"/>
        <v>280</v>
      </c>
      <c r="G386" s="11">
        <f t="shared" si="3"/>
        <v>567</v>
      </c>
      <c r="H386" s="5" t="str">
        <f t="shared" si="4"/>
        <v>Republican</v>
      </c>
      <c r="I386" s="10">
        <f>'Precinct Vote Data'!H1530</f>
        <v>0.4332810047</v>
      </c>
      <c r="J386" s="10">
        <f>'Precinct Vote Data'!H1531</f>
        <v>0.3706070288</v>
      </c>
      <c r="K386" s="10">
        <f>'Precinct Vote Data'!H1532</f>
        <v>0.3679245283</v>
      </c>
      <c r="L386" s="10">
        <f>'Precinct Vote Data'!H1533</f>
        <v>0.3631790744</v>
      </c>
    </row>
    <row r="387" ht="15.0" customHeight="1">
      <c r="A387" s="5" t="s">
        <v>327</v>
      </c>
      <c r="B387" s="5" t="s">
        <v>372</v>
      </c>
      <c r="C387" s="5" t="s">
        <v>234</v>
      </c>
      <c r="D387" s="11">
        <f>MAX(0, 2*'Precinct Vote Data'!G1536 - 'Precinct Vote Data'!G1534)</f>
        <v>868</v>
      </c>
      <c r="E387" s="10">
        <f t="shared" si="1"/>
        <v>0.3397906936</v>
      </c>
      <c r="F387" s="11">
        <f t="shared" si="2"/>
        <v>295</v>
      </c>
      <c r="G387" s="11">
        <f t="shared" si="3"/>
        <v>573</v>
      </c>
      <c r="H387" s="5" t="str">
        <f t="shared" si="4"/>
        <v>Republican</v>
      </c>
      <c r="I387" s="10">
        <f>'Precinct Vote Data'!H1534</f>
        <v>0.3468634686</v>
      </c>
      <c r="J387" s="10">
        <f>'Precinct Vote Data'!H1535</f>
        <v>0.3448275862</v>
      </c>
      <c r="K387" s="10">
        <f>'Precinct Vote Data'!H1536</f>
        <v>0.3446808511</v>
      </c>
      <c r="L387" s="10">
        <f>'Precinct Vote Data'!H1537</f>
        <v>0.3408820024</v>
      </c>
    </row>
    <row r="388" ht="15.0" customHeight="1">
      <c r="A388" s="5" t="s">
        <v>327</v>
      </c>
      <c r="B388" s="5" t="s">
        <v>372</v>
      </c>
      <c r="C388" s="5" t="s">
        <v>236</v>
      </c>
      <c r="D388" s="11">
        <f>MAX(0, 2*'Precinct Vote Data'!G1540 - 'Precinct Vote Data'!G1538)</f>
        <v>831</v>
      </c>
      <c r="E388" s="10">
        <f t="shared" si="1"/>
        <v>0.3067662955</v>
      </c>
      <c r="F388" s="11">
        <f t="shared" si="2"/>
        <v>255</v>
      </c>
      <c r="G388" s="11">
        <f t="shared" si="3"/>
        <v>576</v>
      </c>
      <c r="H388" s="5" t="str">
        <f t="shared" si="4"/>
        <v>Republican</v>
      </c>
      <c r="I388" s="10">
        <f>'Precinct Vote Data'!H1538</f>
        <v>0.3910806175</v>
      </c>
      <c r="J388" s="10">
        <f>'Precinct Vote Data'!H1539</f>
        <v>0.3428258488</v>
      </c>
      <c r="K388" s="10">
        <f>'Precinct Vote Data'!H1540</f>
        <v>0.3408769448</v>
      </c>
      <c r="L388" s="10">
        <f>'Precinct Vote Data'!H1541</f>
        <v>0.3318681319</v>
      </c>
    </row>
    <row r="389" ht="15.0" customHeight="1">
      <c r="A389" s="5" t="s">
        <v>327</v>
      </c>
      <c r="B389" s="5" t="s">
        <v>373</v>
      </c>
      <c r="C389" s="5" t="s">
        <v>237</v>
      </c>
      <c r="D389" s="11">
        <f>MAX(0, 2*'Precinct Vote Data'!G1544 - 'Precinct Vote Data'!G1542)</f>
        <v>222</v>
      </c>
      <c r="E389" s="10">
        <f t="shared" si="1"/>
        <v>0.3359911405</v>
      </c>
      <c r="F389" s="11">
        <f t="shared" si="2"/>
        <v>75</v>
      </c>
      <c r="G389" s="11">
        <f t="shared" si="3"/>
        <v>147</v>
      </c>
      <c r="H389" s="5" t="str">
        <f t="shared" si="4"/>
        <v>Republican</v>
      </c>
      <c r="I389" s="10">
        <f>'Precinct Vote Data'!H1542</f>
        <v>0.3734939759</v>
      </c>
      <c r="J389" s="10">
        <f>'Precinct Vote Data'!H1543</f>
        <v>0.3241106719</v>
      </c>
      <c r="K389" s="10">
        <f>'Precinct Vote Data'!H1544</f>
        <v>0.3350515464</v>
      </c>
      <c r="L389" s="10">
        <f>'Precinct Vote Data'!H1545</f>
        <v>0.3552123552</v>
      </c>
    </row>
    <row r="390" ht="15.0" customHeight="1">
      <c r="A390" s="5" t="s">
        <v>327</v>
      </c>
      <c r="B390" s="5" t="s">
        <v>374</v>
      </c>
      <c r="C390" s="5" t="s">
        <v>238</v>
      </c>
      <c r="D390" s="11">
        <f>MAX(0, 2*'Precinct Vote Data'!G1548 - 'Precinct Vote Data'!G1546)</f>
        <v>774</v>
      </c>
      <c r="E390" s="10">
        <f t="shared" si="1"/>
        <v>0.3463413139</v>
      </c>
      <c r="F390" s="11">
        <f t="shared" si="2"/>
        <v>268</v>
      </c>
      <c r="G390" s="11">
        <f t="shared" si="3"/>
        <v>506</v>
      </c>
      <c r="H390" s="5" t="str">
        <f t="shared" si="4"/>
        <v>Republican</v>
      </c>
      <c r="I390" s="10">
        <f>'Precinct Vote Data'!H1546</f>
        <v>0.4204152249</v>
      </c>
      <c r="J390" s="10">
        <f>'Precinct Vote Data'!H1547</f>
        <v>0.366962306</v>
      </c>
      <c r="K390" s="10">
        <f>'Precinct Vote Data'!H1548</f>
        <v>0.3816568047</v>
      </c>
      <c r="L390" s="10">
        <f>'Precinct Vote Data'!H1549</f>
        <v>0.365720524</v>
      </c>
    </row>
    <row r="391" ht="15.0" customHeight="1">
      <c r="A391" s="5" t="s">
        <v>327</v>
      </c>
      <c r="B391" s="5" t="s">
        <v>375</v>
      </c>
      <c r="C391" s="5" t="s">
        <v>239</v>
      </c>
      <c r="D391" s="11">
        <f>MAX(0, 2*'Precinct Vote Data'!G1552 - 'Precinct Vote Data'!G1550)</f>
        <v>460</v>
      </c>
      <c r="E391" s="10">
        <f t="shared" si="1"/>
        <v>0.385227974</v>
      </c>
      <c r="F391" s="11">
        <f t="shared" si="2"/>
        <v>177</v>
      </c>
      <c r="G391" s="11">
        <f t="shared" si="3"/>
        <v>283</v>
      </c>
      <c r="H391" s="5" t="str">
        <f t="shared" si="4"/>
        <v>Republican</v>
      </c>
      <c r="I391" s="10">
        <f>'Precinct Vote Data'!H1550</f>
        <v>0.4522292994</v>
      </c>
      <c r="J391" s="10">
        <f>'Precinct Vote Data'!H1551</f>
        <v>0.4076923077</v>
      </c>
      <c r="K391" s="10">
        <f>'Precinct Vote Data'!H1552</f>
        <v>0.4134366925</v>
      </c>
      <c r="L391" s="10">
        <f>'Precinct Vote Data'!H1553</f>
        <v>0.4046242775</v>
      </c>
    </row>
    <row r="392" ht="15.0" customHeight="1">
      <c r="A392" s="5" t="s">
        <v>327</v>
      </c>
      <c r="B392" s="5" t="s">
        <v>376</v>
      </c>
      <c r="C392" s="5" t="s">
        <v>240</v>
      </c>
      <c r="D392" s="11">
        <f>MAX(0, 2*'Precinct Vote Data'!G1556 - 'Precinct Vote Data'!G1554)</f>
        <v>677</v>
      </c>
      <c r="E392" s="10">
        <f t="shared" si="1"/>
        <v>0.4203655807</v>
      </c>
      <c r="F392" s="11">
        <f t="shared" si="2"/>
        <v>285</v>
      </c>
      <c r="G392" s="11">
        <f t="shared" si="3"/>
        <v>392</v>
      </c>
      <c r="H392" s="5" t="str">
        <f t="shared" si="4"/>
        <v>Republican</v>
      </c>
      <c r="I392" s="10">
        <f>'Precinct Vote Data'!H1554</f>
        <v>0.4314606742</v>
      </c>
      <c r="J392" s="10">
        <f>'Precinct Vote Data'!H1555</f>
        <v>0.4047619048</v>
      </c>
      <c r="K392" s="10">
        <f>'Precinct Vote Data'!H1556</f>
        <v>0.4331550802</v>
      </c>
      <c r="L392" s="10">
        <f>'Precinct Vote Data'!H1557</f>
        <v>0.4195183777</v>
      </c>
    </row>
    <row r="393" ht="15.0" customHeight="1">
      <c r="A393" s="5" t="s">
        <v>327</v>
      </c>
      <c r="B393" s="5" t="s">
        <v>377</v>
      </c>
      <c r="C393" s="5" t="s">
        <v>241</v>
      </c>
      <c r="D393" s="11">
        <f>MAX(0, 2*'Precinct Vote Data'!G1560 - 'Precinct Vote Data'!G1558)</f>
        <v>953</v>
      </c>
      <c r="E393" s="10">
        <f t="shared" si="1"/>
        <v>0.2750955974</v>
      </c>
      <c r="F393" s="11">
        <f t="shared" si="2"/>
        <v>262</v>
      </c>
      <c r="G393" s="11">
        <f t="shared" si="3"/>
        <v>691</v>
      </c>
      <c r="H393" s="5" t="str">
        <f t="shared" si="4"/>
        <v>Republican</v>
      </c>
      <c r="I393" s="10">
        <f>'Precinct Vote Data'!H1558</f>
        <v>0.324822695</v>
      </c>
      <c r="J393" s="10">
        <f>'Precinct Vote Data'!H1559</f>
        <v>0.2765531062</v>
      </c>
      <c r="K393" s="10">
        <f>'Precinct Vote Data'!H1560</f>
        <v>0.2919179735</v>
      </c>
      <c r="L393" s="10">
        <f>'Precinct Vote Data'!H1561</f>
        <v>0.2915479582</v>
      </c>
    </row>
    <row r="394" ht="15.0" customHeight="1">
      <c r="A394" s="5" t="s">
        <v>327</v>
      </c>
      <c r="B394" s="5" t="s">
        <v>377</v>
      </c>
      <c r="C394" s="5" t="s">
        <v>242</v>
      </c>
      <c r="D394" s="11">
        <f>MAX(0, 2*'Precinct Vote Data'!G1564 - 'Precinct Vote Data'!G1562)</f>
        <v>666</v>
      </c>
      <c r="E394" s="10">
        <f t="shared" si="1"/>
        <v>0.2984206756</v>
      </c>
      <c r="F394" s="11">
        <f t="shared" si="2"/>
        <v>199</v>
      </c>
      <c r="G394" s="11">
        <f t="shared" si="3"/>
        <v>467</v>
      </c>
      <c r="H394" s="5" t="str">
        <f t="shared" si="4"/>
        <v>Republican</v>
      </c>
      <c r="I394" s="10">
        <f>'Precinct Vote Data'!H1562</f>
        <v>0.3784313725</v>
      </c>
      <c r="J394" s="10">
        <f>'Precinct Vote Data'!H1563</f>
        <v>0.3242857143</v>
      </c>
      <c r="K394" s="10">
        <f>'Precinct Vote Data'!H1564</f>
        <v>0.3299319728</v>
      </c>
      <c r="L394" s="10">
        <f>'Precinct Vote Data'!H1565</f>
        <v>0.3226703755</v>
      </c>
    </row>
    <row r="395" ht="15.0" customHeight="1">
      <c r="A395" s="5" t="s">
        <v>327</v>
      </c>
      <c r="B395" s="5" t="s">
        <v>377</v>
      </c>
      <c r="C395" s="5" t="s">
        <v>243</v>
      </c>
      <c r="D395" s="11">
        <f>MAX(0, 2*'Precinct Vote Data'!G1568 - 'Precinct Vote Data'!G1566)</f>
        <v>615</v>
      </c>
      <c r="E395" s="10">
        <f t="shared" si="1"/>
        <v>0.2488715902</v>
      </c>
      <c r="F395" s="11">
        <f t="shared" si="2"/>
        <v>153</v>
      </c>
      <c r="G395" s="11">
        <f t="shared" si="3"/>
        <v>462</v>
      </c>
      <c r="H395" s="5" t="str">
        <f t="shared" si="4"/>
        <v>Republican</v>
      </c>
      <c r="I395" s="10">
        <f>'Precinct Vote Data'!H1566</f>
        <v>0.3399503722</v>
      </c>
      <c r="J395" s="10">
        <f>'Precinct Vote Data'!H1567</f>
        <v>0.2821782178</v>
      </c>
      <c r="K395" s="10">
        <f>'Precinct Vote Data'!H1568</f>
        <v>0.2966601179</v>
      </c>
      <c r="L395" s="10">
        <f>'Precinct Vote Data'!H1569</f>
        <v>0.2705167173</v>
      </c>
    </row>
    <row r="396" ht="15.0" customHeight="1">
      <c r="A396" s="5" t="s">
        <v>327</v>
      </c>
      <c r="B396" s="5" t="s">
        <v>377</v>
      </c>
      <c r="C396" s="5" t="s">
        <v>245</v>
      </c>
      <c r="D396" s="11">
        <f>MAX(0, 2*'Precinct Vote Data'!G1572 - 'Precinct Vote Data'!G1570)</f>
        <v>535</v>
      </c>
      <c r="E396" s="10">
        <f t="shared" si="1"/>
        <v>0.2898568562</v>
      </c>
      <c r="F396" s="11">
        <f t="shared" si="2"/>
        <v>155</v>
      </c>
      <c r="G396" s="11">
        <f t="shared" si="3"/>
        <v>380</v>
      </c>
      <c r="H396" s="5" t="str">
        <f t="shared" si="4"/>
        <v>Republican</v>
      </c>
      <c r="I396" s="10">
        <f>'Precinct Vote Data'!H1570</f>
        <v>0.3493975904</v>
      </c>
      <c r="J396" s="10">
        <f>'Precinct Vote Data'!H1571</f>
        <v>0.3316498316</v>
      </c>
      <c r="K396" s="10">
        <f>'Precinct Vote Data'!H1572</f>
        <v>0.3389473684</v>
      </c>
      <c r="L396" s="10">
        <f>'Precinct Vote Data'!H1573</f>
        <v>0.2950819672</v>
      </c>
    </row>
    <row r="397" ht="15.0" customHeight="1">
      <c r="A397" s="5" t="s">
        <v>327</v>
      </c>
      <c r="B397" s="5" t="s">
        <v>377</v>
      </c>
      <c r="C397" s="5" t="s">
        <v>246</v>
      </c>
      <c r="D397" s="11">
        <f>MAX(0, 2*'Precinct Vote Data'!G1576 - 'Precinct Vote Data'!G1574)</f>
        <v>805</v>
      </c>
      <c r="E397" s="10">
        <f t="shared" si="1"/>
        <v>0.3660582658</v>
      </c>
      <c r="F397" s="11">
        <f t="shared" si="2"/>
        <v>295</v>
      </c>
      <c r="G397" s="11">
        <f t="shared" si="3"/>
        <v>510</v>
      </c>
      <c r="H397" s="5" t="str">
        <f t="shared" si="4"/>
        <v>Republican</v>
      </c>
      <c r="I397" s="10">
        <f>'Precinct Vote Data'!H1574</f>
        <v>0.4090202177</v>
      </c>
      <c r="J397" s="10">
        <f>'Precinct Vote Data'!H1575</f>
        <v>0.3680175246</v>
      </c>
      <c r="K397" s="10">
        <f>'Precinct Vote Data'!H1576</f>
        <v>0.3895027624</v>
      </c>
      <c r="L397" s="10">
        <f>'Precinct Vote Data'!H1577</f>
        <v>0.3758169935</v>
      </c>
    </row>
    <row r="398" ht="15.0" customHeight="1">
      <c r="A398" s="5" t="s">
        <v>327</v>
      </c>
      <c r="B398" s="5" t="s">
        <v>378</v>
      </c>
      <c r="C398" s="5" t="s">
        <v>247</v>
      </c>
      <c r="D398" s="11">
        <f>MAX(0, 2*'Precinct Vote Data'!G1580 - 'Precinct Vote Data'!G1578)</f>
        <v>2255</v>
      </c>
      <c r="E398" s="10">
        <f t="shared" si="1"/>
        <v>0.4806327285</v>
      </c>
      <c r="F398" s="11">
        <f t="shared" si="2"/>
        <v>1084</v>
      </c>
      <c r="G398" s="11">
        <f t="shared" si="3"/>
        <v>1171</v>
      </c>
      <c r="H398" s="5" t="str">
        <f t="shared" si="4"/>
        <v>Republican</v>
      </c>
      <c r="I398" s="10">
        <f>'Precinct Vote Data'!H1578</f>
        <v>0.5010893246</v>
      </c>
      <c r="J398" s="10">
        <f>'Precinct Vote Data'!H1579</f>
        <v>0.4569719282</v>
      </c>
      <c r="K398" s="10">
        <f>'Precinct Vote Data'!H1580</f>
        <v>0.5077092511</v>
      </c>
      <c r="L398" s="10">
        <f>'Precinct Vote Data'!H1581</f>
        <v>0.4773227653</v>
      </c>
    </row>
    <row r="399" ht="15.0" customHeight="1">
      <c r="A399" s="5" t="s">
        <v>327</v>
      </c>
      <c r="B399" s="5" t="s">
        <v>378</v>
      </c>
      <c r="C399" s="5" t="s">
        <v>248</v>
      </c>
      <c r="D399" s="11">
        <f>MAX(0, 2*'Precinct Vote Data'!G1584 - 'Precinct Vote Data'!G1582)</f>
        <v>1548</v>
      </c>
      <c r="E399" s="10">
        <f t="shared" si="1"/>
        <v>0.4715239673</v>
      </c>
      <c r="F399" s="11">
        <f t="shared" si="2"/>
        <v>730</v>
      </c>
      <c r="G399" s="11">
        <f t="shared" si="3"/>
        <v>818</v>
      </c>
      <c r="H399" s="5" t="str">
        <f t="shared" si="4"/>
        <v>Republican</v>
      </c>
      <c r="I399" s="10">
        <f>'Precinct Vote Data'!H1582</f>
        <v>0.4982547993</v>
      </c>
      <c r="J399" s="10">
        <f>'Precinct Vote Data'!H1583</f>
        <v>0.4755205402</v>
      </c>
      <c r="K399" s="10">
        <f>'Precinct Vote Data'!H1584</f>
        <v>0.4847809948</v>
      </c>
      <c r="L399" s="10">
        <f>'Precinct Vote Data'!H1585</f>
        <v>0.4782608696</v>
      </c>
    </row>
    <row r="400" ht="15.0" customHeight="1">
      <c r="A400" s="5" t="s">
        <v>327</v>
      </c>
      <c r="B400" s="5" t="s">
        <v>379</v>
      </c>
      <c r="C400" s="5" t="s">
        <v>254</v>
      </c>
      <c r="D400" s="11">
        <f>MAX(0, 2*'Precinct Vote Data'!G1588 - 'Precinct Vote Data'!G1586)</f>
        <v>854</v>
      </c>
      <c r="E400" s="10">
        <f t="shared" si="1"/>
        <v>0.3875347064</v>
      </c>
      <c r="F400" s="11">
        <f t="shared" si="2"/>
        <v>331</v>
      </c>
      <c r="G400" s="11">
        <f t="shared" si="3"/>
        <v>523</v>
      </c>
      <c r="H400" s="5" t="str">
        <f t="shared" si="4"/>
        <v>Republican</v>
      </c>
      <c r="I400" s="10">
        <f>'Precinct Vote Data'!H1586</f>
        <v>0.4208754209</v>
      </c>
      <c r="J400" s="10">
        <f>'Precinct Vote Data'!H1587</f>
        <v>0.3851626016</v>
      </c>
      <c r="K400" s="10">
        <f>'Precinct Vote Data'!H1588</f>
        <v>0.4212707182</v>
      </c>
      <c r="L400" s="10">
        <f>'Precinct Vote Data'!H1589</f>
        <v>0.3873370577</v>
      </c>
    </row>
    <row r="401" ht="15.0" customHeight="1">
      <c r="A401" s="5" t="s">
        <v>327</v>
      </c>
      <c r="B401" s="5" t="s">
        <v>263</v>
      </c>
      <c r="C401" s="5" t="s">
        <v>255</v>
      </c>
      <c r="D401" s="11">
        <f>MAX(0, 2*'Precinct Vote Data'!G1592 - 'Precinct Vote Data'!G1590)</f>
        <v>2178</v>
      </c>
      <c r="E401" s="10">
        <f t="shared" si="1"/>
        <v>0.3098846029</v>
      </c>
      <c r="F401" s="11">
        <f t="shared" si="2"/>
        <v>675</v>
      </c>
      <c r="G401" s="11">
        <f t="shared" si="3"/>
        <v>1503</v>
      </c>
      <c r="H401" s="5" t="str">
        <f t="shared" si="4"/>
        <v>Republican</v>
      </c>
      <c r="I401" s="10">
        <f>'Precinct Vote Data'!H1590</f>
        <v>0.3864598025</v>
      </c>
      <c r="J401" s="10">
        <f>'Precinct Vote Data'!H1591</f>
        <v>0.3404071026</v>
      </c>
      <c r="K401" s="10">
        <f>'Precinct Vote Data'!H1592</f>
        <v>0.3492769744</v>
      </c>
      <c r="L401" s="10">
        <f>'Precinct Vote Data'!H1593</f>
        <v>0.328476017</v>
      </c>
    </row>
    <row r="402" ht="15.0" customHeight="1">
      <c r="A402" s="5" t="s">
        <v>327</v>
      </c>
      <c r="B402" s="5" t="s">
        <v>263</v>
      </c>
      <c r="C402" s="5" t="s">
        <v>257</v>
      </c>
      <c r="D402" s="11">
        <f>MAX(0, 2*'Precinct Vote Data'!G1596 - 'Precinct Vote Data'!G1594)</f>
        <v>706</v>
      </c>
      <c r="E402" s="10">
        <f t="shared" si="1"/>
        <v>0.3235315442</v>
      </c>
      <c r="F402" s="11">
        <f t="shared" si="2"/>
        <v>228</v>
      </c>
      <c r="G402" s="11">
        <f t="shared" si="3"/>
        <v>478</v>
      </c>
      <c r="H402" s="5" t="str">
        <f t="shared" si="4"/>
        <v>Republican</v>
      </c>
      <c r="I402" s="10">
        <f>'Precinct Vote Data'!H1594</f>
        <v>0.3963963964</v>
      </c>
      <c r="J402" s="10">
        <f>'Precinct Vote Data'!H1595</f>
        <v>0.3544668588</v>
      </c>
      <c r="K402" s="10">
        <f>'Precinct Vote Data'!H1596</f>
        <v>0.3686956522</v>
      </c>
      <c r="L402" s="10">
        <f>'Precinct Vote Data'!H1597</f>
        <v>0.3373819163</v>
      </c>
    </row>
    <row r="403" ht="15.0" customHeight="1">
      <c r="A403" s="5" t="s">
        <v>327</v>
      </c>
      <c r="B403" s="5" t="s">
        <v>380</v>
      </c>
      <c r="C403" s="5" t="s">
        <v>258</v>
      </c>
      <c r="D403" s="11">
        <f>MAX(0, 2*'Precinct Vote Data'!G1600 - 'Precinct Vote Data'!G1598)</f>
        <v>473</v>
      </c>
      <c r="E403" s="10">
        <f t="shared" si="1"/>
        <v>0.4481978435</v>
      </c>
      <c r="F403" s="11">
        <f t="shared" si="2"/>
        <v>212</v>
      </c>
      <c r="G403" s="11">
        <f t="shared" si="3"/>
        <v>261</v>
      </c>
      <c r="H403" s="5" t="str">
        <f t="shared" si="4"/>
        <v>Republican</v>
      </c>
      <c r="I403" s="10">
        <f>'Precinct Vote Data'!H1598</f>
        <v>0.5352112676</v>
      </c>
      <c r="J403" s="10">
        <f>'Precinct Vote Data'!H1599</f>
        <v>0.4330434783</v>
      </c>
      <c r="K403" s="10">
        <f>'Precinct Vote Data'!H1600</f>
        <v>0.4806763285</v>
      </c>
      <c r="L403" s="10">
        <f>'Precinct Vote Data'!H1601</f>
        <v>0.475465313</v>
      </c>
    </row>
    <row r="404" ht="15.0" customHeight="1">
      <c r="A404" s="5" t="s">
        <v>327</v>
      </c>
      <c r="B404" s="5" t="s">
        <v>381</v>
      </c>
      <c r="C404" s="5" t="s">
        <v>259</v>
      </c>
      <c r="D404" s="11">
        <f>MAX(0, 2*'Precinct Vote Data'!G1604 - 'Precinct Vote Data'!G1602)</f>
        <v>1156</v>
      </c>
      <c r="E404" s="10">
        <f t="shared" si="1"/>
        <v>0.4054217647</v>
      </c>
      <c r="F404" s="11">
        <f t="shared" si="2"/>
        <v>469</v>
      </c>
      <c r="G404" s="11">
        <f t="shared" si="3"/>
        <v>687</v>
      </c>
      <c r="H404" s="5" t="str">
        <f t="shared" si="4"/>
        <v>Republican</v>
      </c>
      <c r="I404" s="10">
        <f>'Precinct Vote Data'!H1602</f>
        <v>0.4626865672</v>
      </c>
      <c r="J404" s="10">
        <f>'Precinct Vote Data'!H1603</f>
        <v>0.4057341442</v>
      </c>
      <c r="K404" s="10">
        <f>'Precinct Vote Data'!H1604</f>
        <v>0.4357142857</v>
      </c>
      <c r="L404" s="10">
        <f>'Precinct Vote Data'!H1605</f>
        <v>0.4189079055</v>
      </c>
    </row>
    <row r="405" ht="15.0" customHeight="1">
      <c r="A405" s="5" t="s">
        <v>327</v>
      </c>
      <c r="B405" s="5" t="s">
        <v>381</v>
      </c>
      <c r="C405" s="5" t="s">
        <v>260</v>
      </c>
      <c r="D405" s="11">
        <f>MAX(0, 2*'Precinct Vote Data'!G1608 - 'Precinct Vote Data'!G1606)</f>
        <v>990</v>
      </c>
      <c r="E405" s="10">
        <f t="shared" si="1"/>
        <v>0.384583058</v>
      </c>
      <c r="F405" s="11">
        <f t="shared" si="2"/>
        <v>381</v>
      </c>
      <c r="G405" s="11">
        <f t="shared" si="3"/>
        <v>609</v>
      </c>
      <c r="H405" s="5" t="str">
        <f t="shared" si="4"/>
        <v>Republican</v>
      </c>
      <c r="I405" s="10">
        <f>'Precinct Vote Data'!H1606</f>
        <v>0.4171428571</v>
      </c>
      <c r="J405" s="10">
        <f>'Precinct Vote Data'!H1607</f>
        <v>0.3698366955</v>
      </c>
      <c r="K405" s="10">
        <f>'Precinct Vote Data'!H1608</f>
        <v>0.4</v>
      </c>
      <c r="L405" s="10">
        <f>'Precinct Vote Data'!H1609</f>
        <v>0.3931544866</v>
      </c>
    </row>
    <row r="406" ht="15.0" customHeight="1">
      <c r="A406" s="5" t="s">
        <v>327</v>
      </c>
      <c r="B406" s="5" t="s">
        <v>381</v>
      </c>
      <c r="C406" s="5" t="s">
        <v>264</v>
      </c>
      <c r="D406" s="11">
        <f>MAX(0, 2*'Precinct Vote Data'!G1612 - 'Precinct Vote Data'!G1610)</f>
        <v>1020</v>
      </c>
      <c r="E406" s="10">
        <f t="shared" si="1"/>
        <v>0.5073256587</v>
      </c>
      <c r="F406" s="11">
        <f t="shared" si="2"/>
        <v>517</v>
      </c>
      <c r="G406" s="11">
        <f t="shared" si="3"/>
        <v>503</v>
      </c>
      <c r="H406" s="5" t="str">
        <f t="shared" si="4"/>
        <v>Democrat</v>
      </c>
      <c r="I406" s="10">
        <f>'Precinct Vote Data'!H1610</f>
        <v>0.4775561097</v>
      </c>
      <c r="J406" s="10">
        <f>'Precinct Vote Data'!H1611</f>
        <v>0.4893449092</v>
      </c>
      <c r="K406" s="10">
        <f>'Precinct Vote Data'!H1612</f>
        <v>0.4873765093</v>
      </c>
      <c r="L406" s="10">
        <f>'Precinct Vote Data'!H1613</f>
        <v>0.5024154589</v>
      </c>
    </row>
    <row r="407" ht="15.0" customHeight="1">
      <c r="A407" s="5" t="s">
        <v>327</v>
      </c>
      <c r="B407" s="5" t="s">
        <v>381</v>
      </c>
      <c r="C407" s="5" t="s">
        <v>265</v>
      </c>
      <c r="D407" s="11">
        <f>MAX(0, 2*'Precinct Vote Data'!G1616 - 'Precinct Vote Data'!G1614)</f>
        <v>636</v>
      </c>
      <c r="E407" s="10">
        <f t="shared" si="1"/>
        <v>0.3822124055</v>
      </c>
      <c r="F407" s="11">
        <f t="shared" si="2"/>
        <v>243</v>
      </c>
      <c r="G407" s="11">
        <f t="shared" si="3"/>
        <v>393</v>
      </c>
      <c r="H407" s="5" t="str">
        <f t="shared" si="4"/>
        <v>Republican</v>
      </c>
      <c r="I407" s="10">
        <f>'Precinct Vote Data'!H1614</f>
        <v>0.4751908397</v>
      </c>
      <c r="J407" s="10">
        <f>'Precinct Vote Data'!H1615</f>
        <v>0.4294032023</v>
      </c>
      <c r="K407" s="10">
        <f>'Precinct Vote Data'!H1616</f>
        <v>0.425862069</v>
      </c>
      <c r="L407" s="10">
        <f>'Precinct Vote Data'!H1617</f>
        <v>0.4068767908</v>
      </c>
    </row>
    <row r="408" ht="15.0" customHeight="1">
      <c r="A408" s="5" t="s">
        <v>327</v>
      </c>
      <c r="B408" s="5" t="s">
        <v>382</v>
      </c>
      <c r="C408" s="5" t="s">
        <v>266</v>
      </c>
      <c r="D408" s="11">
        <f>MAX(0, 2*'Precinct Vote Data'!G1620 - 'Precinct Vote Data'!G1618)</f>
        <v>837</v>
      </c>
      <c r="E408" s="10">
        <f t="shared" si="1"/>
        <v>0.5800727219</v>
      </c>
      <c r="F408" s="11">
        <f t="shared" si="2"/>
        <v>486</v>
      </c>
      <c r="G408" s="11">
        <f t="shared" si="3"/>
        <v>351</v>
      </c>
      <c r="H408" s="5" t="str">
        <f t="shared" si="4"/>
        <v>Democrat</v>
      </c>
      <c r="I408" s="10">
        <f>'Precinct Vote Data'!H1618</f>
        <v>0.6224961479</v>
      </c>
      <c r="J408" s="10">
        <f>'Precinct Vote Data'!H1619</f>
        <v>0.5830223881</v>
      </c>
      <c r="K408" s="10">
        <f>'Precinct Vote Data'!H1620</f>
        <v>0.6150740242</v>
      </c>
      <c r="L408" s="10">
        <f>'Precinct Vote Data'!H1621</f>
        <v>0.5837837838</v>
      </c>
    </row>
    <row r="409" ht="15.0" customHeight="1">
      <c r="A409" s="5" t="s">
        <v>327</v>
      </c>
      <c r="B409" s="5" t="s">
        <v>382</v>
      </c>
      <c r="C409" s="5" t="s">
        <v>268</v>
      </c>
      <c r="D409" s="11">
        <f>MAX(0, 2*'Precinct Vote Data'!G1624 - 'Precinct Vote Data'!G1622)</f>
        <v>670</v>
      </c>
      <c r="E409" s="10">
        <f t="shared" si="1"/>
        <v>0.5204892316</v>
      </c>
      <c r="F409" s="11">
        <f t="shared" si="2"/>
        <v>349</v>
      </c>
      <c r="G409" s="11">
        <f t="shared" si="3"/>
        <v>321</v>
      </c>
      <c r="H409" s="5" t="str">
        <f t="shared" si="4"/>
        <v>Democrat</v>
      </c>
      <c r="I409" s="10">
        <f>'Precinct Vote Data'!H1622</f>
        <v>0.6431226766</v>
      </c>
      <c r="J409" s="10">
        <f>'Precinct Vote Data'!H1623</f>
        <v>0.5742793792</v>
      </c>
      <c r="K409" s="10">
        <f>'Precinct Vote Data'!H1624</f>
        <v>0.5844370861</v>
      </c>
      <c r="L409" s="10">
        <f>'Precinct Vote Data'!H1625</f>
        <v>0.5498320269</v>
      </c>
    </row>
    <row r="410" ht="15.0" customHeight="1">
      <c r="A410" s="5" t="s">
        <v>327</v>
      </c>
      <c r="B410" s="5" t="s">
        <v>382</v>
      </c>
      <c r="C410" s="5" t="s">
        <v>270</v>
      </c>
      <c r="D410" s="11">
        <f>MAX(0, 2*'Precinct Vote Data'!G1628 - 'Precinct Vote Data'!G1626)</f>
        <v>1022</v>
      </c>
      <c r="E410" s="10">
        <f t="shared" si="1"/>
        <v>0.5238242749</v>
      </c>
      <c r="F410" s="11">
        <f t="shared" si="2"/>
        <v>535</v>
      </c>
      <c r="G410" s="11">
        <f t="shared" si="3"/>
        <v>487</v>
      </c>
      <c r="H410" s="5" t="str">
        <f t="shared" si="4"/>
        <v>Democrat</v>
      </c>
      <c r="I410" s="10">
        <f>'Precinct Vote Data'!H1626</f>
        <v>0.5712643678</v>
      </c>
      <c r="J410" s="10">
        <f>'Precinct Vote Data'!H1627</f>
        <v>0.5168776371</v>
      </c>
      <c r="K410" s="10">
        <f>'Precinct Vote Data'!H1628</f>
        <v>0.5602536998</v>
      </c>
      <c r="L410" s="10">
        <f>'Precinct Vote Data'!H1629</f>
        <v>0.5293296089</v>
      </c>
    </row>
    <row r="411" ht="15.0" customHeight="1">
      <c r="A411" s="5" t="s">
        <v>327</v>
      </c>
      <c r="B411" s="5" t="s">
        <v>383</v>
      </c>
      <c r="C411" s="5" t="s">
        <v>271</v>
      </c>
      <c r="D411" s="11">
        <f>MAX(0, 2*'Precinct Vote Data'!G1632 - 'Precinct Vote Data'!G1630)</f>
        <v>1391</v>
      </c>
      <c r="E411" s="10">
        <f t="shared" si="1"/>
        <v>0.4245409655</v>
      </c>
      <c r="F411" s="11">
        <f t="shared" si="2"/>
        <v>591</v>
      </c>
      <c r="G411" s="11">
        <f t="shared" si="3"/>
        <v>800</v>
      </c>
      <c r="H411" s="5" t="str">
        <f t="shared" si="4"/>
        <v>Republican</v>
      </c>
      <c r="I411" s="10">
        <f>'Precinct Vote Data'!H1630</f>
        <v>0.4530663329</v>
      </c>
      <c r="J411" s="10">
        <f>'Precinct Vote Data'!H1631</f>
        <v>0.3910700539</v>
      </c>
      <c r="K411" s="10">
        <f>'Precinct Vote Data'!H1632</f>
        <v>0.4511415525</v>
      </c>
      <c r="L411" s="10">
        <f>'Precinct Vote Data'!H1633</f>
        <v>0.4255033557</v>
      </c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ht="15.0" customHeight="1">
      <c r="A413" s="2" t="s">
        <v>412</v>
      </c>
      <c r="B413" s="9"/>
      <c r="C413" s="9"/>
      <c r="D413" s="9"/>
      <c r="E413" s="9"/>
      <c r="F413" s="18">
        <f t="shared" ref="F413:G413" si="5">SUM(F4:F411)</f>
        <v>181073</v>
      </c>
      <c r="G413" s="18">
        <f t="shared" si="5"/>
        <v>193722</v>
      </c>
      <c r="H413" s="9"/>
      <c r="I413" s="9"/>
      <c r="J413" s="9"/>
      <c r="K413" s="9"/>
      <c r="L413" s="9"/>
    </row>
    <row r="414" ht="15.0" customHeight="1">
      <c r="A414" s="2" t="s">
        <v>413</v>
      </c>
      <c r="B414" s="19">
        <f>F413/(F413+G413)</f>
        <v>0.4831254419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ht="15.0" customHeight="1">
      <c r="A415" s="2" t="s">
        <v>414</v>
      </c>
      <c r="B415" s="20" t="str">
        <f>IF(B414&gt;0.5,"Democrat","Republican")</f>
        <v>Republican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0"/>
    <col customWidth="1" min="2" max="2" width="25.71"/>
    <col customWidth="1" min="3" max="3" width="9.43"/>
    <col customWidth="1" min="4" max="4" width="22.29"/>
    <col customWidth="1" min="5" max="5" width="22.14"/>
    <col customWidth="1" min="6" max="6" width="22.0"/>
    <col customWidth="1" min="7" max="7" width="21.29"/>
    <col customWidth="1" min="8" max="8" width="18.29"/>
    <col customWidth="1" min="9" max="26" width="8.71"/>
  </cols>
  <sheetData>
    <row r="1" ht="15.75" customHeight="1">
      <c r="A1" s="8" t="s">
        <v>409</v>
      </c>
    </row>
    <row r="2">
      <c r="A2" s="9"/>
      <c r="B2" s="9"/>
      <c r="C2" s="9"/>
      <c r="D2" s="9"/>
      <c r="E2" s="9"/>
      <c r="F2" s="9"/>
      <c r="G2" s="9"/>
      <c r="H2" s="9"/>
    </row>
    <row r="3" ht="15.0" customHeight="1">
      <c r="A3" s="2" t="s">
        <v>3</v>
      </c>
      <c r="B3" s="2" t="s">
        <v>4</v>
      </c>
      <c r="C3" s="2" t="s">
        <v>385</v>
      </c>
      <c r="D3" s="2" t="s">
        <v>404</v>
      </c>
      <c r="E3" s="2" t="s">
        <v>405</v>
      </c>
      <c r="F3" s="2" t="s">
        <v>406</v>
      </c>
      <c r="G3" s="2" t="s">
        <v>407</v>
      </c>
      <c r="H3" s="2" t="s">
        <v>408</v>
      </c>
    </row>
    <row r="4" ht="15.0" customHeight="1">
      <c r="A4" s="5" t="s">
        <v>16</v>
      </c>
      <c r="B4" s="5" t="s">
        <v>17</v>
      </c>
      <c r="C4" s="5" t="s">
        <v>18</v>
      </c>
      <c r="D4" s="11">
        <f>MAX(0, 2*'Precinct Vote Data'!G4 - 'Precinct Vote Data'!G2)</f>
        <v>391</v>
      </c>
      <c r="E4" s="10">
        <f t="array" ref="E4">MIN(1,MAX(0, 'Precinct Vote Data'!H5 + INDEX('Beta Coefficients'!$D:$D, MATCH(A4&amp;"|"&amp;B4&amp;"|"&amp;C4,'Beta Coefficients'!$Q:$Q,0))*(0.483125441908243-0.502219913195008) ))</f>
        <v>0.3610233083</v>
      </c>
      <c r="F4" s="11">
        <f t="shared" ref="F4:F411" si="1">ROUND(D4*E4,0)</f>
        <v>141</v>
      </c>
      <c r="G4" s="11">
        <f t="shared" ref="G4:G411" si="2">ROUND(D4*(1-E4),0)</f>
        <v>250</v>
      </c>
      <c r="H4" s="5" t="str">
        <f t="shared" ref="H4:H411" si="3">IF(E4&gt;0.5,"Democrat","Republican")</f>
        <v>Republican</v>
      </c>
    </row>
    <row r="5" ht="15.0" customHeight="1">
      <c r="A5" s="5" t="s">
        <v>16</v>
      </c>
      <c r="B5" s="5" t="s">
        <v>54</v>
      </c>
      <c r="C5" s="5" t="s">
        <v>55</v>
      </c>
      <c r="D5" s="11">
        <f>MAX(0, 2*'Precinct Vote Data'!G8 - 'Precinct Vote Data'!G6)</f>
        <v>341</v>
      </c>
      <c r="E5" s="10">
        <f t="array" ref="E5">MIN(1,MAX(0, 'Precinct Vote Data'!H9 + INDEX('Beta Coefficients'!$D:$D, MATCH(A5&amp;"|"&amp;B5&amp;"|"&amp;C5,'Beta Coefficients'!$Q:$Q,0))*(0.483125441908243-0.502219913195008) ))</f>
        <v>0.2489255468</v>
      </c>
      <c r="F5" s="11">
        <f t="shared" si="1"/>
        <v>85</v>
      </c>
      <c r="G5" s="11">
        <f t="shared" si="2"/>
        <v>256</v>
      </c>
      <c r="H5" s="5" t="str">
        <f t="shared" si="3"/>
        <v>Republican</v>
      </c>
    </row>
    <row r="6" ht="15.0" customHeight="1">
      <c r="A6" s="5" t="s">
        <v>16</v>
      </c>
      <c r="B6" s="5" t="s">
        <v>56</v>
      </c>
      <c r="C6" s="5" t="s">
        <v>57</v>
      </c>
      <c r="D6" s="11">
        <f>MAX(0, 2*'Precinct Vote Data'!G12 - 'Precinct Vote Data'!G10)</f>
        <v>411</v>
      </c>
      <c r="E6" s="10">
        <f t="array" ref="E6">MIN(1,MAX(0, 'Precinct Vote Data'!H13 + INDEX('Beta Coefficients'!$D:$D, MATCH(A6&amp;"|"&amp;B6&amp;"|"&amp;C6,'Beta Coefficients'!$Q:$Q,0))*(0.483125441908243-0.502219913195008) ))</f>
        <v>0.2689687874</v>
      </c>
      <c r="F6" s="11">
        <f t="shared" si="1"/>
        <v>111</v>
      </c>
      <c r="G6" s="11">
        <f t="shared" si="2"/>
        <v>300</v>
      </c>
      <c r="H6" s="5" t="str">
        <f t="shared" si="3"/>
        <v>Republican</v>
      </c>
    </row>
    <row r="7" ht="15.0" customHeight="1">
      <c r="A7" s="5" t="s">
        <v>16</v>
      </c>
      <c r="B7" s="5" t="s">
        <v>58</v>
      </c>
      <c r="C7" s="5" t="s">
        <v>59</v>
      </c>
      <c r="D7" s="11">
        <f>MAX(0, 2*'Precinct Vote Data'!G16 - 'Precinct Vote Data'!G14)</f>
        <v>786</v>
      </c>
      <c r="E7" s="10">
        <f t="array" ref="E7">MIN(1,MAX(0, 'Precinct Vote Data'!H17 + INDEX('Beta Coefficients'!$D:$D, MATCH(A7&amp;"|"&amp;B7&amp;"|"&amp;C7,'Beta Coefficients'!$Q:$Q,0))*(0.483125441908243-0.502219913195008) ))</f>
        <v>0.1958553806</v>
      </c>
      <c r="F7" s="11">
        <f t="shared" si="1"/>
        <v>154</v>
      </c>
      <c r="G7" s="11">
        <f t="shared" si="2"/>
        <v>632</v>
      </c>
      <c r="H7" s="5" t="str">
        <f t="shared" si="3"/>
        <v>Republican</v>
      </c>
    </row>
    <row r="8" ht="15.0" customHeight="1">
      <c r="A8" s="5" t="s">
        <v>16</v>
      </c>
      <c r="B8" s="5" t="s">
        <v>58</v>
      </c>
      <c r="C8" s="5" t="s">
        <v>60</v>
      </c>
      <c r="D8" s="11">
        <f>MAX(0, 2*'Precinct Vote Data'!G20 - 'Precinct Vote Data'!G18)</f>
        <v>697</v>
      </c>
      <c r="E8" s="10">
        <f t="array" ref="E8">MIN(1,MAX(0, 'Precinct Vote Data'!H21 + INDEX('Beta Coefficients'!$D:$D, MATCH(A8&amp;"|"&amp;B8&amp;"|"&amp;C8,'Beta Coefficients'!$Q:$Q,0))*(0.483125441908243-0.502219913195008) ))</f>
        <v>0.2400378715</v>
      </c>
      <c r="F8" s="11">
        <f t="shared" si="1"/>
        <v>167</v>
      </c>
      <c r="G8" s="11">
        <f t="shared" si="2"/>
        <v>530</v>
      </c>
      <c r="H8" s="5" t="str">
        <f t="shared" si="3"/>
        <v>Republican</v>
      </c>
    </row>
    <row r="9" ht="15.0" customHeight="1">
      <c r="A9" s="5" t="s">
        <v>16</v>
      </c>
      <c r="B9" s="5" t="s">
        <v>62</v>
      </c>
      <c r="C9" s="5" t="s">
        <v>63</v>
      </c>
      <c r="D9" s="11">
        <f>MAX(0, 2*'Precinct Vote Data'!G24 - 'Precinct Vote Data'!G22)</f>
        <v>111</v>
      </c>
      <c r="E9" s="10">
        <f t="array" ref="E9">MIN(1,MAX(0, 'Precinct Vote Data'!H25 + INDEX('Beta Coefficients'!$D:$D, MATCH(A9&amp;"|"&amp;B9&amp;"|"&amp;C9,'Beta Coefficients'!$Q:$Q,0))*(0.483125441908243-0.502219913195008) ))</f>
        <v>0.2794364938</v>
      </c>
      <c r="F9" s="11">
        <f t="shared" si="1"/>
        <v>31</v>
      </c>
      <c r="G9" s="11">
        <f t="shared" si="2"/>
        <v>80</v>
      </c>
      <c r="H9" s="5" t="str">
        <f t="shared" si="3"/>
        <v>Republican</v>
      </c>
    </row>
    <row r="10" ht="15.0" customHeight="1">
      <c r="A10" s="5" t="s">
        <v>16</v>
      </c>
      <c r="B10" s="5" t="s">
        <v>72</v>
      </c>
      <c r="C10" s="5" t="s">
        <v>73</v>
      </c>
      <c r="D10" s="11">
        <f>MAX(0, 2*'Precinct Vote Data'!G28 - 'Precinct Vote Data'!G26)</f>
        <v>522</v>
      </c>
      <c r="E10" s="10">
        <f t="array" ref="E10">MIN(1,MAX(0, 'Precinct Vote Data'!H29 + INDEX('Beta Coefficients'!$D:$D, MATCH(A10&amp;"|"&amp;B10&amp;"|"&amp;C10,'Beta Coefficients'!$Q:$Q,0))*(0.483125441908243-0.502219913195008) ))</f>
        <v>0.2271736221</v>
      </c>
      <c r="F10" s="11">
        <f t="shared" si="1"/>
        <v>119</v>
      </c>
      <c r="G10" s="11">
        <f t="shared" si="2"/>
        <v>403</v>
      </c>
      <c r="H10" s="5" t="str">
        <f t="shared" si="3"/>
        <v>Republican</v>
      </c>
    </row>
    <row r="11" ht="15.0" customHeight="1">
      <c r="A11" s="5" t="s">
        <v>16</v>
      </c>
      <c r="B11" s="5" t="s">
        <v>72</v>
      </c>
      <c r="C11" s="5" t="s">
        <v>74</v>
      </c>
      <c r="D11" s="11">
        <f>MAX(0, 2*'Precinct Vote Data'!G32 - 'Precinct Vote Data'!G30)</f>
        <v>960</v>
      </c>
      <c r="E11" s="10">
        <f t="array" ref="E11">MIN(1,MAX(0, 'Precinct Vote Data'!H33 + INDEX('Beta Coefficients'!$D:$D, MATCH(A11&amp;"|"&amp;B11&amp;"|"&amp;C11,'Beta Coefficients'!$Q:$Q,0))*(0.483125441908243-0.502219913195008) ))</f>
        <v>0.2539689438</v>
      </c>
      <c r="F11" s="11">
        <f t="shared" si="1"/>
        <v>244</v>
      </c>
      <c r="G11" s="11">
        <f t="shared" si="2"/>
        <v>716</v>
      </c>
      <c r="H11" s="5" t="str">
        <f t="shared" si="3"/>
        <v>Republican</v>
      </c>
    </row>
    <row r="12" ht="15.0" customHeight="1">
      <c r="A12" s="5" t="s">
        <v>16</v>
      </c>
      <c r="B12" s="5" t="s">
        <v>72</v>
      </c>
      <c r="C12" s="5" t="s">
        <v>76</v>
      </c>
      <c r="D12" s="11">
        <f>MAX(0, 2*'Precinct Vote Data'!G36 - 'Precinct Vote Data'!G34)</f>
        <v>776</v>
      </c>
      <c r="E12" s="10">
        <f t="array" ref="E12">MIN(1,MAX(0, 'Precinct Vote Data'!H37 + INDEX('Beta Coefficients'!$D:$D, MATCH(A12&amp;"|"&amp;B12&amp;"|"&amp;C12,'Beta Coefficients'!$Q:$Q,0))*(0.483125441908243-0.502219913195008) ))</f>
        <v>0.2569168222</v>
      </c>
      <c r="F12" s="11">
        <f t="shared" si="1"/>
        <v>199</v>
      </c>
      <c r="G12" s="11">
        <f t="shared" si="2"/>
        <v>577</v>
      </c>
      <c r="H12" s="5" t="str">
        <f t="shared" si="3"/>
        <v>Republican</v>
      </c>
    </row>
    <row r="13" ht="15.0" customHeight="1">
      <c r="A13" s="5" t="s">
        <v>16</v>
      </c>
      <c r="B13" s="5" t="s">
        <v>77</v>
      </c>
      <c r="C13" s="5" t="s">
        <v>78</v>
      </c>
      <c r="D13" s="11">
        <f>MAX(0, 2*'Precinct Vote Data'!G40 - 'Precinct Vote Data'!G38)</f>
        <v>480</v>
      </c>
      <c r="E13" s="10">
        <f t="array" ref="E13">MIN(1,MAX(0, 'Precinct Vote Data'!H41 + INDEX('Beta Coefficients'!$D:$D, MATCH(A13&amp;"|"&amp;B13&amp;"|"&amp;C13,'Beta Coefficients'!$Q:$Q,0))*(0.483125441908243-0.502219913195008) ))</f>
        <v>0.3805765736</v>
      </c>
      <c r="F13" s="11">
        <f t="shared" si="1"/>
        <v>183</v>
      </c>
      <c r="G13" s="11">
        <f t="shared" si="2"/>
        <v>297</v>
      </c>
      <c r="H13" s="5" t="str">
        <f t="shared" si="3"/>
        <v>Republican</v>
      </c>
    </row>
    <row r="14" ht="15.0" customHeight="1">
      <c r="A14" s="5" t="s">
        <v>16</v>
      </c>
      <c r="B14" s="5" t="s">
        <v>77</v>
      </c>
      <c r="C14" s="5" t="s">
        <v>79</v>
      </c>
      <c r="D14" s="11">
        <f>MAX(0, 2*'Precinct Vote Data'!G44 - 'Precinct Vote Data'!G42)</f>
        <v>338</v>
      </c>
      <c r="E14" s="10">
        <f t="array" ref="E14">MIN(1,MAX(0, 'Precinct Vote Data'!H45 + INDEX('Beta Coefficients'!$D:$D, MATCH(A14&amp;"|"&amp;B14&amp;"|"&amp;C14,'Beta Coefficients'!$Q:$Q,0))*(0.483125441908243-0.502219913195008) ))</f>
        <v>0.405703147</v>
      </c>
      <c r="F14" s="11">
        <f t="shared" si="1"/>
        <v>137</v>
      </c>
      <c r="G14" s="11">
        <f t="shared" si="2"/>
        <v>201</v>
      </c>
      <c r="H14" s="5" t="str">
        <f t="shared" si="3"/>
        <v>Republican</v>
      </c>
    </row>
    <row r="15" ht="15.0" customHeight="1">
      <c r="A15" s="5" t="s">
        <v>16</v>
      </c>
      <c r="B15" s="5" t="s">
        <v>77</v>
      </c>
      <c r="C15" s="5" t="s">
        <v>87</v>
      </c>
      <c r="D15" s="11">
        <f>MAX(0, 2*'Precinct Vote Data'!G48 - 'Precinct Vote Data'!G46)</f>
        <v>690</v>
      </c>
      <c r="E15" s="10">
        <f t="array" ref="E15">MIN(1,MAX(0, 'Precinct Vote Data'!H49 + INDEX('Beta Coefficients'!$D:$D, MATCH(A15&amp;"|"&amp;B15&amp;"|"&amp;C15,'Beta Coefficients'!$Q:$Q,0))*(0.483125441908243-0.502219913195008) ))</f>
        <v>0.3404870767</v>
      </c>
      <c r="F15" s="11">
        <f t="shared" si="1"/>
        <v>235</v>
      </c>
      <c r="G15" s="11">
        <f t="shared" si="2"/>
        <v>455</v>
      </c>
      <c r="H15" s="5" t="str">
        <f t="shared" si="3"/>
        <v>Republican</v>
      </c>
    </row>
    <row r="16" ht="15.0" customHeight="1">
      <c r="A16" s="5" t="s">
        <v>16</v>
      </c>
      <c r="B16" s="5" t="s">
        <v>77</v>
      </c>
      <c r="C16" s="5" t="s">
        <v>88</v>
      </c>
      <c r="D16" s="11">
        <f>MAX(0, 2*'Precinct Vote Data'!G52 - 'Precinct Vote Data'!G50)</f>
        <v>271</v>
      </c>
      <c r="E16" s="10">
        <f t="array" ref="E16">MIN(1,MAX(0, 'Precinct Vote Data'!H53 + INDEX('Beta Coefficients'!$D:$D, MATCH(A16&amp;"|"&amp;B16&amp;"|"&amp;C16,'Beta Coefficients'!$Q:$Q,0))*(0.483125441908243-0.502219913195008) ))</f>
        <v>0.4700283749</v>
      </c>
      <c r="F16" s="11">
        <f t="shared" si="1"/>
        <v>127</v>
      </c>
      <c r="G16" s="11">
        <f t="shared" si="2"/>
        <v>144</v>
      </c>
      <c r="H16" s="5" t="str">
        <f t="shared" si="3"/>
        <v>Republican</v>
      </c>
    </row>
    <row r="17" ht="15.0" customHeight="1">
      <c r="A17" s="5" t="s">
        <v>16</v>
      </c>
      <c r="B17" s="5" t="s">
        <v>77</v>
      </c>
      <c r="C17" s="5" t="s">
        <v>89</v>
      </c>
      <c r="D17" s="11">
        <f>MAX(0, 2*'Precinct Vote Data'!G56 - 'Precinct Vote Data'!G54)</f>
        <v>632</v>
      </c>
      <c r="E17" s="10">
        <f t="array" ref="E17">MIN(1,MAX(0, 'Precinct Vote Data'!H57 + INDEX('Beta Coefficients'!$D:$D, MATCH(A17&amp;"|"&amp;B17&amp;"|"&amp;C17,'Beta Coefficients'!$Q:$Q,0))*(0.483125441908243-0.502219913195008) ))</f>
        <v>0.4202801762</v>
      </c>
      <c r="F17" s="11">
        <f t="shared" si="1"/>
        <v>266</v>
      </c>
      <c r="G17" s="11">
        <f t="shared" si="2"/>
        <v>366</v>
      </c>
      <c r="H17" s="5" t="str">
        <f t="shared" si="3"/>
        <v>Republican</v>
      </c>
    </row>
    <row r="18" ht="15.0" customHeight="1">
      <c r="A18" s="5" t="s">
        <v>16</v>
      </c>
      <c r="B18" s="5" t="s">
        <v>90</v>
      </c>
      <c r="C18" s="5" t="s">
        <v>91</v>
      </c>
      <c r="D18" s="11">
        <f>MAX(0, 2*'Precinct Vote Data'!G60 - 'Precinct Vote Data'!G58)</f>
        <v>287</v>
      </c>
      <c r="E18" s="10">
        <f t="array" ref="E18">MIN(1,MAX(0, 'Precinct Vote Data'!H61 + INDEX('Beta Coefficients'!$D:$D, MATCH(A18&amp;"|"&amp;B18&amp;"|"&amp;C18,'Beta Coefficients'!$Q:$Q,0))*(0.483125441908243-0.502219913195008) ))</f>
        <v>0.3545282123</v>
      </c>
      <c r="F18" s="11">
        <f t="shared" si="1"/>
        <v>102</v>
      </c>
      <c r="G18" s="11">
        <f t="shared" si="2"/>
        <v>185</v>
      </c>
      <c r="H18" s="5" t="str">
        <f t="shared" si="3"/>
        <v>Republican</v>
      </c>
    </row>
    <row r="19" ht="15.0" customHeight="1">
      <c r="A19" s="5" t="s">
        <v>16</v>
      </c>
      <c r="B19" s="5" t="s">
        <v>90</v>
      </c>
      <c r="C19" s="5" t="s">
        <v>92</v>
      </c>
      <c r="D19" s="11">
        <f>MAX(0, 2*'Precinct Vote Data'!G64 - 'Precinct Vote Data'!G62)</f>
        <v>625</v>
      </c>
      <c r="E19" s="10">
        <f t="array" ref="E19">MIN(1,MAX(0, 'Precinct Vote Data'!H65 + INDEX('Beta Coefficients'!$D:$D, MATCH(A19&amp;"|"&amp;B19&amp;"|"&amp;C19,'Beta Coefficients'!$Q:$Q,0))*(0.483125441908243-0.502219913195008) ))</f>
        <v>0.3039104186</v>
      </c>
      <c r="F19" s="11">
        <f t="shared" si="1"/>
        <v>190</v>
      </c>
      <c r="G19" s="11">
        <f t="shared" si="2"/>
        <v>435</v>
      </c>
      <c r="H19" s="5" t="str">
        <f t="shared" si="3"/>
        <v>Republican</v>
      </c>
    </row>
    <row r="20" ht="15.0" customHeight="1">
      <c r="A20" s="5" t="s">
        <v>16</v>
      </c>
      <c r="B20" s="5" t="s">
        <v>93</v>
      </c>
      <c r="C20" s="5" t="s">
        <v>94</v>
      </c>
      <c r="D20" s="11">
        <f>MAX(0, 2*'Precinct Vote Data'!G68 - 'Precinct Vote Data'!G66)</f>
        <v>546</v>
      </c>
      <c r="E20" s="10">
        <f t="array" ref="E20">MIN(1,MAX(0, 'Precinct Vote Data'!H69 + INDEX('Beta Coefficients'!$D:$D, MATCH(A20&amp;"|"&amp;B20&amp;"|"&amp;C20,'Beta Coefficients'!$Q:$Q,0))*(0.483125441908243-0.502219913195008) ))</f>
        <v>0.3368595182</v>
      </c>
      <c r="F20" s="11">
        <f t="shared" si="1"/>
        <v>184</v>
      </c>
      <c r="G20" s="11">
        <f t="shared" si="2"/>
        <v>362</v>
      </c>
      <c r="H20" s="5" t="str">
        <f t="shared" si="3"/>
        <v>Republican</v>
      </c>
    </row>
    <row r="21" ht="15.0" customHeight="1">
      <c r="A21" s="5" t="s">
        <v>16</v>
      </c>
      <c r="B21" s="5" t="s">
        <v>93</v>
      </c>
      <c r="C21" s="5" t="s">
        <v>95</v>
      </c>
      <c r="D21" s="11">
        <f>MAX(0, 2*'Precinct Vote Data'!G72 - 'Precinct Vote Data'!G70)</f>
        <v>295</v>
      </c>
      <c r="E21" s="10">
        <f t="array" ref="E21">MIN(1,MAX(0, 'Precinct Vote Data'!H73 + INDEX('Beta Coefficients'!$D:$D, MATCH(A21&amp;"|"&amp;B21&amp;"|"&amp;C21,'Beta Coefficients'!$Q:$Q,0))*(0.483125441908243-0.502219913195008) ))</f>
        <v>0.3516022115</v>
      </c>
      <c r="F21" s="11">
        <f t="shared" si="1"/>
        <v>104</v>
      </c>
      <c r="G21" s="11">
        <f t="shared" si="2"/>
        <v>191</v>
      </c>
      <c r="H21" s="5" t="str">
        <f t="shared" si="3"/>
        <v>Republican</v>
      </c>
    </row>
    <row r="22" ht="15.0" customHeight="1">
      <c r="A22" s="5" t="s">
        <v>16</v>
      </c>
      <c r="B22" s="5" t="s">
        <v>93</v>
      </c>
      <c r="C22" s="5" t="s">
        <v>96</v>
      </c>
      <c r="D22" s="11">
        <f>MAX(0, 2*'Precinct Vote Data'!G76 - 'Precinct Vote Data'!G74)</f>
        <v>237</v>
      </c>
      <c r="E22" s="10">
        <f t="array" ref="E22">MIN(1,MAX(0, 'Precinct Vote Data'!H77 + INDEX('Beta Coefficients'!$D:$D, MATCH(A22&amp;"|"&amp;B22&amp;"|"&amp;C22,'Beta Coefficients'!$Q:$Q,0))*(0.483125441908243-0.502219913195008) ))</f>
        <v>0.3609697288</v>
      </c>
      <c r="F22" s="11">
        <f t="shared" si="1"/>
        <v>86</v>
      </c>
      <c r="G22" s="11">
        <f t="shared" si="2"/>
        <v>151</v>
      </c>
      <c r="H22" s="5" t="str">
        <f t="shared" si="3"/>
        <v>Republican</v>
      </c>
    </row>
    <row r="23" ht="15.0" customHeight="1">
      <c r="A23" s="5" t="s">
        <v>16</v>
      </c>
      <c r="B23" s="5" t="s">
        <v>97</v>
      </c>
      <c r="C23" s="5" t="s">
        <v>98</v>
      </c>
      <c r="D23" s="11">
        <f>MAX(0, 2*'Precinct Vote Data'!G80 - 'Precinct Vote Data'!G78)</f>
        <v>142</v>
      </c>
      <c r="E23" s="10">
        <f t="array" ref="E23">MIN(1,MAX(0, 'Precinct Vote Data'!H81 + INDEX('Beta Coefficients'!$D:$D, MATCH(A23&amp;"|"&amp;B23&amp;"|"&amp;C23,'Beta Coefficients'!$Q:$Q,0))*(0.483125441908243-0.502219913195008) ))</f>
        <v>0.2340441035</v>
      </c>
      <c r="F23" s="11">
        <f t="shared" si="1"/>
        <v>33</v>
      </c>
      <c r="G23" s="11">
        <f t="shared" si="2"/>
        <v>109</v>
      </c>
      <c r="H23" s="5" t="str">
        <f t="shared" si="3"/>
        <v>Republican</v>
      </c>
    </row>
    <row r="24" ht="15.0" customHeight="1">
      <c r="A24" s="5" t="s">
        <v>16</v>
      </c>
      <c r="B24" s="5" t="s">
        <v>99</v>
      </c>
      <c r="C24" s="5" t="s">
        <v>100</v>
      </c>
      <c r="D24" s="11">
        <f>MAX(0, 2*'Precinct Vote Data'!G84 - 'Precinct Vote Data'!G82)</f>
        <v>278</v>
      </c>
      <c r="E24" s="10">
        <f t="array" ref="E24">MIN(1,MAX(0, 'Precinct Vote Data'!H85 + INDEX('Beta Coefficients'!$D:$D, MATCH(A24&amp;"|"&amp;B24&amp;"|"&amp;C24,'Beta Coefficients'!$Q:$Q,0))*(0.483125441908243-0.502219913195008) ))</f>
        <v>0.2121870885</v>
      </c>
      <c r="F24" s="11">
        <f t="shared" si="1"/>
        <v>59</v>
      </c>
      <c r="G24" s="11">
        <f t="shared" si="2"/>
        <v>219</v>
      </c>
      <c r="H24" s="5" t="str">
        <f t="shared" si="3"/>
        <v>Republican</v>
      </c>
    </row>
    <row r="25" ht="15.0" customHeight="1">
      <c r="A25" s="5" t="s">
        <v>16</v>
      </c>
      <c r="B25" s="5" t="s">
        <v>101</v>
      </c>
      <c r="C25" s="5" t="s">
        <v>102</v>
      </c>
      <c r="D25" s="11">
        <f>MAX(0, 2*'Precinct Vote Data'!G88 - 'Precinct Vote Data'!G86)</f>
        <v>634</v>
      </c>
      <c r="E25" s="10">
        <f t="array" ref="E25">MIN(1,MAX(0, 'Precinct Vote Data'!H89 + INDEX('Beta Coefficients'!$D:$D, MATCH(A25&amp;"|"&amp;B25&amp;"|"&amp;C25,'Beta Coefficients'!$Q:$Q,0))*(0.483125441908243-0.502219913195008) ))</f>
        <v>0.3592864522</v>
      </c>
      <c r="F25" s="11">
        <f t="shared" si="1"/>
        <v>228</v>
      </c>
      <c r="G25" s="11">
        <f t="shared" si="2"/>
        <v>406</v>
      </c>
      <c r="H25" s="5" t="str">
        <f t="shared" si="3"/>
        <v>Republican</v>
      </c>
    </row>
    <row r="26" ht="15.0" customHeight="1">
      <c r="A26" s="5" t="s">
        <v>16</v>
      </c>
      <c r="B26" s="5" t="s">
        <v>101</v>
      </c>
      <c r="C26" s="5" t="s">
        <v>103</v>
      </c>
      <c r="D26" s="11">
        <f>MAX(0, 2*'Precinct Vote Data'!G92 - 'Precinct Vote Data'!G90)</f>
        <v>597</v>
      </c>
      <c r="E26" s="10">
        <f t="array" ref="E26">MIN(1,MAX(0, 'Precinct Vote Data'!H93 + INDEX('Beta Coefficients'!$D:$D, MATCH(A26&amp;"|"&amp;B26&amp;"|"&amp;C26,'Beta Coefficients'!$Q:$Q,0))*(0.483125441908243-0.502219913195008) ))</f>
        <v>0.3639384213</v>
      </c>
      <c r="F26" s="11">
        <f t="shared" si="1"/>
        <v>217</v>
      </c>
      <c r="G26" s="11">
        <f t="shared" si="2"/>
        <v>380</v>
      </c>
      <c r="H26" s="5" t="str">
        <f t="shared" si="3"/>
        <v>Republican</v>
      </c>
    </row>
    <row r="27" ht="15.0" customHeight="1">
      <c r="A27" s="5" t="s">
        <v>16</v>
      </c>
      <c r="B27" s="5" t="s">
        <v>101</v>
      </c>
      <c r="C27" s="5" t="s">
        <v>104</v>
      </c>
      <c r="D27" s="11">
        <f>MAX(0, 2*'Precinct Vote Data'!G96 - 'Precinct Vote Data'!G94)</f>
        <v>669</v>
      </c>
      <c r="E27" s="10">
        <f t="array" ref="E27">MIN(1,MAX(0, 'Precinct Vote Data'!H97 + INDEX('Beta Coefficients'!$D:$D, MATCH(A27&amp;"|"&amp;B27&amp;"|"&amp;C27,'Beta Coefficients'!$Q:$Q,0))*(0.483125441908243-0.502219913195008) ))</f>
        <v>0.3120598087</v>
      </c>
      <c r="F27" s="11">
        <f t="shared" si="1"/>
        <v>209</v>
      </c>
      <c r="G27" s="11">
        <f t="shared" si="2"/>
        <v>460</v>
      </c>
      <c r="H27" s="5" t="str">
        <f t="shared" si="3"/>
        <v>Republican</v>
      </c>
    </row>
    <row r="28" ht="15.0" customHeight="1">
      <c r="A28" s="5" t="s">
        <v>16</v>
      </c>
      <c r="B28" s="5" t="s">
        <v>105</v>
      </c>
      <c r="C28" s="5" t="s">
        <v>106</v>
      </c>
      <c r="D28" s="11">
        <f>MAX(0, 2*'Precinct Vote Data'!G100 - 'Precinct Vote Data'!G98)</f>
        <v>957</v>
      </c>
      <c r="E28" s="10">
        <f t="array" ref="E28">MIN(1,MAX(0, 'Precinct Vote Data'!H101 + INDEX('Beta Coefficients'!$D:$D, MATCH(A28&amp;"|"&amp;B28&amp;"|"&amp;C28,'Beta Coefficients'!$Q:$Q,0))*(0.483125441908243-0.502219913195008) ))</f>
        <v>0.2302800129</v>
      </c>
      <c r="F28" s="11">
        <f t="shared" si="1"/>
        <v>220</v>
      </c>
      <c r="G28" s="11">
        <f t="shared" si="2"/>
        <v>737</v>
      </c>
      <c r="H28" s="5" t="str">
        <f t="shared" si="3"/>
        <v>Republican</v>
      </c>
    </row>
    <row r="29" ht="15.0" customHeight="1">
      <c r="A29" s="5" t="s">
        <v>16</v>
      </c>
      <c r="B29" s="5" t="s">
        <v>105</v>
      </c>
      <c r="C29" s="5" t="s">
        <v>107</v>
      </c>
      <c r="D29" s="11">
        <f>MAX(0, 2*'Precinct Vote Data'!G104 - 'Precinct Vote Data'!G102)</f>
        <v>647</v>
      </c>
      <c r="E29" s="10">
        <f t="array" ref="E29">MIN(1,MAX(0, 'Precinct Vote Data'!H105 + INDEX('Beta Coefficients'!$D:$D, MATCH(A29&amp;"|"&amp;B29&amp;"|"&amp;C29,'Beta Coefficients'!$Q:$Q,0))*(0.483125441908243-0.502219913195008) ))</f>
        <v>0.2588933058</v>
      </c>
      <c r="F29" s="11">
        <f t="shared" si="1"/>
        <v>168</v>
      </c>
      <c r="G29" s="11">
        <f t="shared" si="2"/>
        <v>479</v>
      </c>
      <c r="H29" s="5" t="str">
        <f t="shared" si="3"/>
        <v>Republican</v>
      </c>
    </row>
    <row r="30" ht="15.0" customHeight="1">
      <c r="A30" s="5" t="s">
        <v>16</v>
      </c>
      <c r="B30" s="5" t="s">
        <v>108</v>
      </c>
      <c r="C30" s="5" t="s">
        <v>109</v>
      </c>
      <c r="D30" s="11">
        <f>MAX(0, 2*'Precinct Vote Data'!G108 - 'Precinct Vote Data'!G106)</f>
        <v>1242</v>
      </c>
      <c r="E30" s="10">
        <f t="array" ref="E30">MIN(1,MAX(0, 'Precinct Vote Data'!H109 + INDEX('Beta Coefficients'!$D:$D, MATCH(A30&amp;"|"&amp;B30&amp;"|"&amp;C30,'Beta Coefficients'!$Q:$Q,0))*(0.483125441908243-0.502219913195008) ))</f>
        <v>0.2671784662</v>
      </c>
      <c r="F30" s="11">
        <f t="shared" si="1"/>
        <v>332</v>
      </c>
      <c r="G30" s="11">
        <f t="shared" si="2"/>
        <v>910</v>
      </c>
      <c r="H30" s="5" t="str">
        <f t="shared" si="3"/>
        <v>Republican</v>
      </c>
    </row>
    <row r="31" ht="15.0" customHeight="1">
      <c r="A31" s="5" t="s">
        <v>16</v>
      </c>
      <c r="B31" s="5" t="s">
        <v>108</v>
      </c>
      <c r="C31" s="5" t="s">
        <v>110</v>
      </c>
      <c r="D31" s="11">
        <f>MAX(0, 2*'Precinct Vote Data'!G112 - 'Precinct Vote Data'!G110)</f>
        <v>458</v>
      </c>
      <c r="E31" s="10">
        <f t="array" ref="E31">MIN(1,MAX(0, 'Precinct Vote Data'!H113 + INDEX('Beta Coefficients'!$D:$D, MATCH(A31&amp;"|"&amp;B31&amp;"|"&amp;C31,'Beta Coefficients'!$Q:$Q,0))*(0.483125441908243-0.502219913195008) ))</f>
        <v>0.2295531045</v>
      </c>
      <c r="F31" s="11">
        <f t="shared" si="1"/>
        <v>105</v>
      </c>
      <c r="G31" s="11">
        <f t="shared" si="2"/>
        <v>353</v>
      </c>
      <c r="H31" s="5" t="str">
        <f t="shared" si="3"/>
        <v>Republican</v>
      </c>
    </row>
    <row r="32" ht="15.0" customHeight="1">
      <c r="A32" s="5" t="s">
        <v>16</v>
      </c>
      <c r="B32" s="5" t="s">
        <v>108</v>
      </c>
      <c r="C32" s="5" t="s">
        <v>111</v>
      </c>
      <c r="D32" s="11">
        <f>MAX(0, 2*'Precinct Vote Data'!G116 - 'Precinct Vote Data'!G114)</f>
        <v>376</v>
      </c>
      <c r="E32" s="10">
        <f t="array" ref="E32">MIN(1,MAX(0, 'Precinct Vote Data'!H117 + INDEX('Beta Coefficients'!$D:$D, MATCH(A32&amp;"|"&amp;B32&amp;"|"&amp;C32,'Beta Coefficients'!$Q:$Q,0))*(0.483125441908243-0.502219913195008) ))</f>
        <v>0.2490750203</v>
      </c>
      <c r="F32" s="11">
        <f t="shared" si="1"/>
        <v>94</v>
      </c>
      <c r="G32" s="11">
        <f t="shared" si="2"/>
        <v>282</v>
      </c>
      <c r="H32" s="5" t="str">
        <f t="shared" si="3"/>
        <v>Republican</v>
      </c>
    </row>
    <row r="33" ht="15.0" customHeight="1">
      <c r="A33" s="5" t="s">
        <v>16</v>
      </c>
      <c r="B33" s="5" t="s">
        <v>112</v>
      </c>
      <c r="C33" s="5" t="s">
        <v>113</v>
      </c>
      <c r="D33" s="11">
        <f>MAX(0, 2*'Precinct Vote Data'!G120 - 'Precinct Vote Data'!G118)</f>
        <v>625</v>
      </c>
      <c r="E33" s="10">
        <f t="array" ref="E33">MIN(1,MAX(0, 'Precinct Vote Data'!H121 + INDEX('Beta Coefficients'!$D:$D, MATCH(A33&amp;"|"&amp;B33&amp;"|"&amp;C33,'Beta Coefficients'!$Q:$Q,0))*(0.483125441908243-0.502219913195008) ))</f>
        <v>0.3361033262</v>
      </c>
      <c r="F33" s="11">
        <f t="shared" si="1"/>
        <v>210</v>
      </c>
      <c r="G33" s="11">
        <f t="shared" si="2"/>
        <v>415</v>
      </c>
      <c r="H33" s="5" t="str">
        <f t="shared" si="3"/>
        <v>Republican</v>
      </c>
    </row>
    <row r="34" ht="15.0" customHeight="1">
      <c r="A34" s="5" t="s">
        <v>16</v>
      </c>
      <c r="B34" s="5" t="s">
        <v>112</v>
      </c>
      <c r="C34" s="5" t="s">
        <v>114</v>
      </c>
      <c r="D34" s="11">
        <f>MAX(0, 2*'Precinct Vote Data'!G124 - 'Precinct Vote Data'!G122)</f>
        <v>717</v>
      </c>
      <c r="E34" s="10">
        <f t="array" ref="E34">MIN(1,MAX(0, 'Precinct Vote Data'!H125 + INDEX('Beta Coefficients'!$D:$D, MATCH(A34&amp;"|"&amp;B34&amp;"|"&amp;C34,'Beta Coefficients'!$Q:$Q,0))*(0.483125441908243-0.502219913195008) ))</f>
        <v>0.3335405047</v>
      </c>
      <c r="F34" s="11">
        <f t="shared" si="1"/>
        <v>239</v>
      </c>
      <c r="G34" s="11">
        <f t="shared" si="2"/>
        <v>478</v>
      </c>
      <c r="H34" s="5" t="str">
        <f t="shared" si="3"/>
        <v>Republican</v>
      </c>
    </row>
    <row r="35" ht="15.0" customHeight="1">
      <c r="A35" s="5" t="s">
        <v>16</v>
      </c>
      <c r="B35" s="5" t="s">
        <v>115</v>
      </c>
      <c r="C35" s="5" t="s">
        <v>116</v>
      </c>
      <c r="D35" s="11">
        <f>MAX(0, 2*'Precinct Vote Data'!G128 - 'Precinct Vote Data'!G126)</f>
        <v>597</v>
      </c>
      <c r="E35" s="10">
        <f t="array" ref="E35">MIN(1,MAX(0, 'Precinct Vote Data'!H129 + INDEX('Beta Coefficients'!$D:$D, MATCH(A35&amp;"|"&amp;B35&amp;"|"&amp;C35,'Beta Coefficients'!$Q:$Q,0))*(0.483125441908243-0.502219913195008) ))</f>
        <v>0.190330454</v>
      </c>
      <c r="F35" s="11">
        <f t="shared" si="1"/>
        <v>114</v>
      </c>
      <c r="G35" s="11">
        <f t="shared" si="2"/>
        <v>483</v>
      </c>
      <c r="H35" s="5" t="str">
        <f t="shared" si="3"/>
        <v>Republican</v>
      </c>
    </row>
    <row r="36" ht="15.0" customHeight="1">
      <c r="A36" s="5" t="s">
        <v>16</v>
      </c>
      <c r="B36" s="5" t="s">
        <v>117</v>
      </c>
      <c r="C36" s="5" t="s">
        <v>118</v>
      </c>
      <c r="D36" s="11">
        <f>MAX(0, 2*'Precinct Vote Data'!G132 - 'Precinct Vote Data'!G130)</f>
        <v>758</v>
      </c>
      <c r="E36" s="10">
        <f t="array" ref="E36">MIN(1,MAX(0, 'Precinct Vote Data'!H133 + INDEX('Beta Coefficients'!$D:$D, MATCH(A36&amp;"|"&amp;B36&amp;"|"&amp;C36,'Beta Coefficients'!$Q:$Q,0))*(0.483125441908243-0.502219913195008) ))</f>
        <v>0.3073060465</v>
      </c>
      <c r="F36" s="11">
        <f t="shared" si="1"/>
        <v>233</v>
      </c>
      <c r="G36" s="11">
        <f t="shared" si="2"/>
        <v>525</v>
      </c>
      <c r="H36" s="5" t="str">
        <f t="shared" si="3"/>
        <v>Republican</v>
      </c>
    </row>
    <row r="37" ht="15.0" customHeight="1">
      <c r="A37" s="5" t="s">
        <v>16</v>
      </c>
      <c r="B37" s="5" t="s">
        <v>117</v>
      </c>
      <c r="C37" s="5" t="s">
        <v>119</v>
      </c>
      <c r="D37" s="11">
        <f>MAX(0, 2*'Precinct Vote Data'!G136 - 'Precinct Vote Data'!G134)</f>
        <v>1053</v>
      </c>
      <c r="E37" s="10">
        <f t="array" ref="E37">MIN(1,MAX(0, 'Precinct Vote Data'!H137 + INDEX('Beta Coefficients'!$D:$D, MATCH(A37&amp;"|"&amp;B37&amp;"|"&amp;C37,'Beta Coefficients'!$Q:$Q,0))*(0.483125441908243-0.502219913195008) ))</f>
        <v>0.3495195876</v>
      </c>
      <c r="F37" s="11">
        <f t="shared" si="1"/>
        <v>368</v>
      </c>
      <c r="G37" s="11">
        <f t="shared" si="2"/>
        <v>685</v>
      </c>
      <c r="H37" s="5" t="str">
        <f t="shared" si="3"/>
        <v>Republican</v>
      </c>
    </row>
    <row r="38" ht="15.0" customHeight="1">
      <c r="A38" s="5" t="s">
        <v>16</v>
      </c>
      <c r="B38" s="5" t="s">
        <v>117</v>
      </c>
      <c r="C38" s="5" t="s">
        <v>120</v>
      </c>
      <c r="D38" s="11">
        <f>MAX(0, 2*'Precinct Vote Data'!G140 - 'Precinct Vote Data'!G138)</f>
        <v>342</v>
      </c>
      <c r="E38" s="10">
        <f t="array" ref="E38">MIN(1,MAX(0, 'Precinct Vote Data'!H141 + INDEX('Beta Coefficients'!$D:$D, MATCH(A38&amp;"|"&amp;B38&amp;"|"&amp;C38,'Beta Coefficients'!$Q:$Q,0))*(0.483125441908243-0.502219913195008) ))</f>
        <v>0.3087044694</v>
      </c>
      <c r="F38" s="11">
        <f t="shared" si="1"/>
        <v>106</v>
      </c>
      <c r="G38" s="11">
        <f t="shared" si="2"/>
        <v>236</v>
      </c>
      <c r="H38" s="5" t="str">
        <f t="shared" si="3"/>
        <v>Republican</v>
      </c>
    </row>
    <row r="39" ht="15.0" customHeight="1">
      <c r="A39" s="5" t="s">
        <v>16</v>
      </c>
      <c r="B39" s="5" t="s">
        <v>121</v>
      </c>
      <c r="C39" s="5" t="s">
        <v>122</v>
      </c>
      <c r="D39" s="11">
        <f>MAX(0, 2*'Precinct Vote Data'!G144 - 'Precinct Vote Data'!G142)</f>
        <v>209</v>
      </c>
      <c r="E39" s="10">
        <f t="array" ref="E39">MIN(1,MAX(0, 'Precinct Vote Data'!H145 + INDEX('Beta Coefficients'!$D:$D, MATCH(A39&amp;"|"&amp;B39&amp;"|"&amp;C39,'Beta Coefficients'!$Q:$Q,0))*(0.483125441908243-0.502219913195008) ))</f>
        <v>0.2931423212</v>
      </c>
      <c r="F39" s="11">
        <f t="shared" si="1"/>
        <v>61</v>
      </c>
      <c r="G39" s="11">
        <f t="shared" si="2"/>
        <v>148</v>
      </c>
      <c r="H39" s="5" t="str">
        <f t="shared" si="3"/>
        <v>Republican</v>
      </c>
    </row>
    <row r="40" ht="15.0" customHeight="1">
      <c r="A40" s="5" t="s">
        <v>16</v>
      </c>
      <c r="B40" s="5" t="s">
        <v>123</v>
      </c>
      <c r="C40" s="5" t="s">
        <v>124</v>
      </c>
      <c r="D40" s="11">
        <f>MAX(0, 2*'Precinct Vote Data'!G148 - 'Precinct Vote Data'!G146)</f>
        <v>1050</v>
      </c>
      <c r="E40" s="10">
        <f t="array" ref="E40">MIN(1,MAX(0, 'Precinct Vote Data'!H149 + INDEX('Beta Coefficients'!$D:$D, MATCH(A40&amp;"|"&amp;B40&amp;"|"&amp;C40,'Beta Coefficients'!$Q:$Q,0))*(0.483125441908243-0.502219913195008) ))</f>
        <v>0.3460410704</v>
      </c>
      <c r="F40" s="11">
        <f t="shared" si="1"/>
        <v>363</v>
      </c>
      <c r="G40" s="11">
        <f t="shared" si="2"/>
        <v>687</v>
      </c>
      <c r="H40" s="5" t="str">
        <f t="shared" si="3"/>
        <v>Republican</v>
      </c>
    </row>
    <row r="41" ht="15.0" customHeight="1">
      <c r="A41" s="5" t="s">
        <v>16</v>
      </c>
      <c r="B41" s="5" t="s">
        <v>123</v>
      </c>
      <c r="C41" s="5" t="s">
        <v>125</v>
      </c>
      <c r="D41" s="11">
        <f>MAX(0, 2*'Precinct Vote Data'!G152 - 'Precinct Vote Data'!G150)</f>
        <v>1267</v>
      </c>
      <c r="E41" s="10">
        <f t="array" ref="E41">MIN(1,MAX(0, 'Precinct Vote Data'!H153 + INDEX('Beta Coefficients'!$D:$D, MATCH(A41&amp;"|"&amp;B41&amp;"|"&amp;C41,'Beta Coefficients'!$Q:$Q,0))*(0.483125441908243-0.502219913195008) ))</f>
        <v>0.2790237029</v>
      </c>
      <c r="F41" s="11">
        <f t="shared" si="1"/>
        <v>354</v>
      </c>
      <c r="G41" s="11">
        <f t="shared" si="2"/>
        <v>913</v>
      </c>
      <c r="H41" s="5" t="str">
        <f t="shared" si="3"/>
        <v>Republican</v>
      </c>
    </row>
    <row r="42" ht="15.0" customHeight="1">
      <c r="A42" s="5" t="s">
        <v>16</v>
      </c>
      <c r="B42" s="5" t="s">
        <v>123</v>
      </c>
      <c r="C42" s="5" t="s">
        <v>126</v>
      </c>
      <c r="D42" s="11">
        <f>MAX(0, 2*'Precinct Vote Data'!G156 - 'Precinct Vote Data'!G154)</f>
        <v>977</v>
      </c>
      <c r="E42" s="10">
        <f t="array" ref="E42">MIN(1,MAX(0, 'Precinct Vote Data'!H157 + INDEX('Beta Coefficients'!$D:$D, MATCH(A42&amp;"|"&amp;B42&amp;"|"&amp;C42,'Beta Coefficients'!$Q:$Q,0))*(0.483125441908243-0.502219913195008) ))</f>
        <v>0.3525091959</v>
      </c>
      <c r="F42" s="11">
        <f t="shared" si="1"/>
        <v>344</v>
      </c>
      <c r="G42" s="11">
        <f t="shared" si="2"/>
        <v>633</v>
      </c>
      <c r="H42" s="5" t="str">
        <f t="shared" si="3"/>
        <v>Republican</v>
      </c>
    </row>
    <row r="43" ht="15.0" customHeight="1">
      <c r="A43" s="5" t="s">
        <v>16</v>
      </c>
      <c r="B43" s="5" t="s">
        <v>123</v>
      </c>
      <c r="C43" s="5" t="s">
        <v>127</v>
      </c>
      <c r="D43" s="11">
        <f>MAX(0, 2*'Precinct Vote Data'!G160 - 'Precinct Vote Data'!G158)</f>
        <v>729</v>
      </c>
      <c r="E43" s="10">
        <f t="array" ref="E43">MIN(1,MAX(0, 'Precinct Vote Data'!H161 + INDEX('Beta Coefficients'!$D:$D, MATCH(A43&amp;"|"&amp;B43&amp;"|"&amp;C43,'Beta Coefficients'!$Q:$Q,0))*(0.483125441908243-0.502219913195008) ))</f>
        <v>0.3391595822</v>
      </c>
      <c r="F43" s="11">
        <f t="shared" si="1"/>
        <v>247</v>
      </c>
      <c r="G43" s="11">
        <f t="shared" si="2"/>
        <v>482</v>
      </c>
      <c r="H43" s="5" t="str">
        <f t="shared" si="3"/>
        <v>Republican</v>
      </c>
    </row>
    <row r="44" ht="15.0" customHeight="1">
      <c r="A44" s="5" t="s">
        <v>16</v>
      </c>
      <c r="B44" s="5" t="s">
        <v>123</v>
      </c>
      <c r="C44" s="5" t="s">
        <v>128</v>
      </c>
      <c r="D44" s="11">
        <f>MAX(0, 2*'Precinct Vote Data'!G164 - 'Precinct Vote Data'!G162)</f>
        <v>1092</v>
      </c>
      <c r="E44" s="10">
        <f t="array" ref="E44">MIN(1,MAX(0, 'Precinct Vote Data'!H165 + INDEX('Beta Coefficients'!$D:$D, MATCH(A44&amp;"|"&amp;B44&amp;"|"&amp;C44,'Beta Coefficients'!$Q:$Q,0))*(0.483125441908243-0.502219913195008) ))</f>
        <v>0.3348975628</v>
      </c>
      <c r="F44" s="11">
        <f t="shared" si="1"/>
        <v>366</v>
      </c>
      <c r="G44" s="11">
        <f t="shared" si="2"/>
        <v>726</v>
      </c>
      <c r="H44" s="5" t="str">
        <f t="shared" si="3"/>
        <v>Republican</v>
      </c>
    </row>
    <row r="45" ht="15.0" customHeight="1">
      <c r="A45" s="5" t="s">
        <v>16</v>
      </c>
      <c r="B45" s="5" t="s">
        <v>129</v>
      </c>
      <c r="C45" s="5" t="s">
        <v>130</v>
      </c>
      <c r="D45" s="11">
        <f>MAX(0, 2*'Precinct Vote Data'!G168 - 'Precinct Vote Data'!G166)</f>
        <v>295</v>
      </c>
      <c r="E45" s="10">
        <f t="array" ref="E45">MIN(1,MAX(0, 'Precinct Vote Data'!H169 + INDEX('Beta Coefficients'!$D:$D, MATCH(A45&amp;"|"&amp;B45&amp;"|"&amp;C45,'Beta Coefficients'!$Q:$Q,0))*(0.483125441908243-0.502219913195008) ))</f>
        <v>0.3888585659</v>
      </c>
      <c r="F45" s="11">
        <f t="shared" si="1"/>
        <v>115</v>
      </c>
      <c r="G45" s="11">
        <f t="shared" si="2"/>
        <v>180</v>
      </c>
      <c r="H45" s="5" t="str">
        <f t="shared" si="3"/>
        <v>Republican</v>
      </c>
    </row>
    <row r="46" ht="15.0" customHeight="1">
      <c r="A46" s="5" t="s">
        <v>16</v>
      </c>
      <c r="B46" s="5" t="s">
        <v>129</v>
      </c>
      <c r="C46" s="5" t="s">
        <v>131</v>
      </c>
      <c r="D46" s="11">
        <f>MAX(0, 2*'Precinct Vote Data'!G172 - 'Precinct Vote Data'!G170)</f>
        <v>323</v>
      </c>
      <c r="E46" s="10">
        <f t="array" ref="E46">MIN(1,MAX(0, 'Precinct Vote Data'!H173 + INDEX('Beta Coefficients'!$D:$D, MATCH(A46&amp;"|"&amp;B46&amp;"|"&amp;C46,'Beta Coefficients'!$Q:$Q,0))*(0.483125441908243-0.502219913195008) ))</f>
        <v>0.4228307149</v>
      </c>
      <c r="F46" s="11">
        <f t="shared" si="1"/>
        <v>137</v>
      </c>
      <c r="G46" s="11">
        <f t="shared" si="2"/>
        <v>186</v>
      </c>
      <c r="H46" s="5" t="str">
        <f t="shared" si="3"/>
        <v>Republican</v>
      </c>
    </row>
    <row r="47" ht="15.0" customHeight="1">
      <c r="A47" s="5" t="s">
        <v>16</v>
      </c>
      <c r="B47" s="5" t="s">
        <v>129</v>
      </c>
      <c r="C47" s="5" t="s">
        <v>132</v>
      </c>
      <c r="D47" s="11">
        <f>MAX(0, 2*'Precinct Vote Data'!G176 - 'Precinct Vote Data'!G174)</f>
        <v>446</v>
      </c>
      <c r="E47" s="10">
        <f t="array" ref="E47">MIN(1,MAX(0, 'Precinct Vote Data'!H177 + INDEX('Beta Coefficients'!$D:$D, MATCH(A47&amp;"|"&amp;B47&amp;"|"&amp;C47,'Beta Coefficients'!$Q:$Q,0))*(0.483125441908243-0.502219913195008) ))</f>
        <v>0.3364856227</v>
      </c>
      <c r="F47" s="11">
        <f t="shared" si="1"/>
        <v>150</v>
      </c>
      <c r="G47" s="11">
        <f t="shared" si="2"/>
        <v>296</v>
      </c>
      <c r="H47" s="5" t="str">
        <f t="shared" si="3"/>
        <v>Republican</v>
      </c>
    </row>
    <row r="48" ht="15.0" customHeight="1">
      <c r="A48" s="5" t="s">
        <v>16</v>
      </c>
      <c r="B48" s="5" t="s">
        <v>129</v>
      </c>
      <c r="C48" s="5" t="s">
        <v>133</v>
      </c>
      <c r="D48" s="11">
        <f>MAX(0, 2*'Precinct Vote Data'!G180 - 'Precinct Vote Data'!G178)</f>
        <v>270</v>
      </c>
      <c r="E48" s="10">
        <f t="array" ref="E48">MIN(1,MAX(0, 'Precinct Vote Data'!H181 + INDEX('Beta Coefficients'!$D:$D, MATCH(A48&amp;"|"&amp;B48&amp;"|"&amp;C48,'Beta Coefficients'!$Q:$Q,0))*(0.483125441908243-0.502219913195008) ))</f>
        <v>0.3315537198</v>
      </c>
      <c r="F48" s="11">
        <f t="shared" si="1"/>
        <v>90</v>
      </c>
      <c r="G48" s="11">
        <f t="shared" si="2"/>
        <v>180</v>
      </c>
      <c r="H48" s="5" t="str">
        <f t="shared" si="3"/>
        <v>Republican</v>
      </c>
    </row>
    <row r="49" ht="15.0" customHeight="1">
      <c r="A49" s="5" t="s">
        <v>16</v>
      </c>
      <c r="B49" s="5" t="s">
        <v>134</v>
      </c>
      <c r="C49" s="5" t="s">
        <v>135</v>
      </c>
      <c r="D49" s="11">
        <f>MAX(0, 2*'Precinct Vote Data'!G184 - 'Precinct Vote Data'!G182)</f>
        <v>842</v>
      </c>
      <c r="E49" s="10">
        <f t="array" ref="E49">MIN(1,MAX(0, 'Precinct Vote Data'!H185 + INDEX('Beta Coefficients'!$D:$D, MATCH(A49&amp;"|"&amp;B49&amp;"|"&amp;C49,'Beta Coefficients'!$Q:$Q,0))*(0.483125441908243-0.502219913195008) ))</f>
        <v>0.2995917086</v>
      </c>
      <c r="F49" s="11">
        <f t="shared" si="1"/>
        <v>252</v>
      </c>
      <c r="G49" s="11">
        <f t="shared" si="2"/>
        <v>590</v>
      </c>
      <c r="H49" s="5" t="str">
        <f t="shared" si="3"/>
        <v>Republican</v>
      </c>
    </row>
    <row r="50" ht="15.0" customHeight="1">
      <c r="A50" s="5" t="s">
        <v>16</v>
      </c>
      <c r="B50" s="5" t="s">
        <v>134</v>
      </c>
      <c r="C50" s="5" t="s">
        <v>136</v>
      </c>
      <c r="D50" s="11">
        <f>MAX(0, 2*'Precinct Vote Data'!G188 - 'Precinct Vote Data'!G186)</f>
        <v>882</v>
      </c>
      <c r="E50" s="10">
        <f t="array" ref="E50">MIN(1,MAX(0, 'Precinct Vote Data'!H189 + INDEX('Beta Coefficients'!$D:$D, MATCH(A50&amp;"|"&amp;B50&amp;"|"&amp;C50,'Beta Coefficients'!$Q:$Q,0))*(0.483125441908243-0.502219913195008) ))</f>
        <v>0.2104848006</v>
      </c>
      <c r="F50" s="11">
        <f t="shared" si="1"/>
        <v>186</v>
      </c>
      <c r="G50" s="11">
        <f t="shared" si="2"/>
        <v>696</v>
      </c>
      <c r="H50" s="5" t="str">
        <f t="shared" si="3"/>
        <v>Republican</v>
      </c>
    </row>
    <row r="51" ht="15.0" customHeight="1">
      <c r="A51" s="5" t="s">
        <v>16</v>
      </c>
      <c r="B51" s="5" t="s">
        <v>134</v>
      </c>
      <c r="C51" s="5" t="s">
        <v>137</v>
      </c>
      <c r="D51" s="11">
        <f>MAX(0, 2*'Precinct Vote Data'!G192 - 'Precinct Vote Data'!G190)</f>
        <v>789</v>
      </c>
      <c r="E51" s="10">
        <f t="array" ref="E51">MIN(1,MAX(0, 'Precinct Vote Data'!H193 + INDEX('Beta Coefficients'!$D:$D, MATCH(A51&amp;"|"&amp;B51&amp;"|"&amp;C51,'Beta Coefficients'!$Q:$Q,0))*(0.483125441908243-0.502219913195008) ))</f>
        <v>0.259133994</v>
      </c>
      <c r="F51" s="11">
        <f t="shared" si="1"/>
        <v>204</v>
      </c>
      <c r="G51" s="11">
        <f t="shared" si="2"/>
        <v>585</v>
      </c>
      <c r="H51" s="5" t="str">
        <f t="shared" si="3"/>
        <v>Republican</v>
      </c>
    </row>
    <row r="52" ht="15.0" customHeight="1">
      <c r="A52" s="5" t="s">
        <v>16</v>
      </c>
      <c r="B52" s="5" t="s">
        <v>138</v>
      </c>
      <c r="C52" s="5" t="s">
        <v>139</v>
      </c>
      <c r="D52" s="11">
        <f>MAX(0, 2*'Precinct Vote Data'!G196 - 'Precinct Vote Data'!G194)</f>
        <v>644</v>
      </c>
      <c r="E52" s="10">
        <f t="array" ref="E52">MIN(1,MAX(0, 'Precinct Vote Data'!H197 + INDEX('Beta Coefficients'!$D:$D, MATCH(A52&amp;"|"&amp;B52&amp;"|"&amp;C52,'Beta Coefficients'!$Q:$Q,0))*(0.483125441908243-0.502219913195008) ))</f>
        <v>0.2874837376</v>
      </c>
      <c r="F52" s="11">
        <f t="shared" si="1"/>
        <v>185</v>
      </c>
      <c r="G52" s="11">
        <f t="shared" si="2"/>
        <v>459</v>
      </c>
      <c r="H52" s="5" t="str">
        <f t="shared" si="3"/>
        <v>Republican</v>
      </c>
    </row>
    <row r="53" ht="15.0" customHeight="1">
      <c r="A53" s="5" t="s">
        <v>16</v>
      </c>
      <c r="B53" s="5" t="s">
        <v>138</v>
      </c>
      <c r="C53" s="5" t="s">
        <v>140</v>
      </c>
      <c r="D53" s="11">
        <f>MAX(0, 2*'Precinct Vote Data'!G200 - 'Precinct Vote Data'!G198)</f>
        <v>311</v>
      </c>
      <c r="E53" s="10">
        <f t="array" ref="E53">MIN(1,MAX(0, 'Precinct Vote Data'!H201 + INDEX('Beta Coefficients'!$D:$D, MATCH(A53&amp;"|"&amp;B53&amp;"|"&amp;C53,'Beta Coefficients'!$Q:$Q,0))*(0.483125441908243-0.502219913195008) ))</f>
        <v>0.2376783753</v>
      </c>
      <c r="F53" s="11">
        <f t="shared" si="1"/>
        <v>74</v>
      </c>
      <c r="G53" s="11">
        <f t="shared" si="2"/>
        <v>237</v>
      </c>
      <c r="H53" s="5" t="str">
        <f t="shared" si="3"/>
        <v>Republican</v>
      </c>
    </row>
    <row r="54" ht="15.0" customHeight="1">
      <c r="A54" s="5" t="s">
        <v>16</v>
      </c>
      <c r="B54" s="5" t="s">
        <v>141</v>
      </c>
      <c r="C54" s="5" t="s">
        <v>142</v>
      </c>
      <c r="D54" s="11">
        <f>MAX(0, 2*'Precinct Vote Data'!G204 - 'Precinct Vote Data'!G202)</f>
        <v>102</v>
      </c>
      <c r="E54" s="10">
        <f t="array" ref="E54">MIN(1,MAX(0, 'Precinct Vote Data'!H205 + INDEX('Beta Coefficients'!$D:$D, MATCH(A54&amp;"|"&amp;B54&amp;"|"&amp;C54,'Beta Coefficients'!$Q:$Q,0))*(0.483125441908243-0.502219913195008) ))</f>
        <v>0.2848130391</v>
      </c>
      <c r="F54" s="11">
        <f t="shared" si="1"/>
        <v>29</v>
      </c>
      <c r="G54" s="11">
        <f t="shared" si="2"/>
        <v>73</v>
      </c>
      <c r="H54" s="5" t="str">
        <f t="shared" si="3"/>
        <v>Republican</v>
      </c>
    </row>
    <row r="55" ht="15.0" customHeight="1">
      <c r="A55" s="5" t="s">
        <v>143</v>
      </c>
      <c r="B55" s="5" t="s">
        <v>144</v>
      </c>
      <c r="C55" s="5" t="s">
        <v>18</v>
      </c>
      <c r="D55" s="11">
        <f>MAX(0, 2*'Precinct Vote Data'!G208 - 'Precinct Vote Data'!G206)</f>
        <v>1166</v>
      </c>
      <c r="E55" s="10">
        <f t="array" ref="E55">MIN(1,MAX(0, 'Precinct Vote Data'!H209 + INDEX('Beta Coefficients'!$D:$D, MATCH(A55&amp;"|"&amp;B55&amp;"|"&amp;C55,'Beta Coefficients'!$Q:$Q,0))*(0.483125441908243-0.502219913195008) ))</f>
        <v>0.3987014306</v>
      </c>
      <c r="F55" s="11">
        <f t="shared" si="1"/>
        <v>465</v>
      </c>
      <c r="G55" s="11">
        <f t="shared" si="2"/>
        <v>701</v>
      </c>
      <c r="H55" s="5" t="str">
        <f t="shared" si="3"/>
        <v>Republican</v>
      </c>
    </row>
    <row r="56" ht="15.0" customHeight="1">
      <c r="A56" s="5" t="s">
        <v>143</v>
      </c>
      <c r="B56" s="5" t="s">
        <v>145</v>
      </c>
      <c r="C56" s="5" t="s">
        <v>146</v>
      </c>
      <c r="D56" s="11">
        <f>MAX(0, 2*'Precinct Vote Data'!G212 - 'Precinct Vote Data'!G210)</f>
        <v>216</v>
      </c>
      <c r="E56" s="10">
        <f t="array" ref="E56">MIN(1,MAX(0, 'Precinct Vote Data'!H213 + INDEX('Beta Coefficients'!$D:$D, MATCH(A56&amp;"|"&amp;B56&amp;"|"&amp;C56,'Beta Coefficients'!$Q:$Q,0))*(0.483125441908243-0.502219913195008) ))</f>
        <v>0.6311988854</v>
      </c>
      <c r="F56" s="11">
        <f t="shared" si="1"/>
        <v>136</v>
      </c>
      <c r="G56" s="11">
        <f t="shared" si="2"/>
        <v>80</v>
      </c>
      <c r="H56" s="5" t="str">
        <f t="shared" si="3"/>
        <v>Democrat</v>
      </c>
    </row>
    <row r="57" ht="15.0" customHeight="1">
      <c r="A57" s="5" t="s">
        <v>143</v>
      </c>
      <c r="B57" s="5" t="s">
        <v>145</v>
      </c>
      <c r="C57" s="5" t="s">
        <v>147</v>
      </c>
      <c r="D57" s="11">
        <f>MAX(0, 2*'Precinct Vote Data'!G216 - 'Precinct Vote Data'!G214)</f>
        <v>317</v>
      </c>
      <c r="E57" s="10">
        <f t="array" ref="E57">MIN(1,MAX(0, 'Precinct Vote Data'!H217 + INDEX('Beta Coefficients'!$D:$D, MATCH(A57&amp;"|"&amp;B57&amp;"|"&amp;C57,'Beta Coefficients'!$Q:$Q,0))*(0.483125441908243-0.502219913195008) ))</f>
        <v>0.6246055417</v>
      </c>
      <c r="F57" s="11">
        <f t="shared" si="1"/>
        <v>198</v>
      </c>
      <c r="G57" s="11">
        <f t="shared" si="2"/>
        <v>119</v>
      </c>
      <c r="H57" s="5" t="str">
        <f t="shared" si="3"/>
        <v>Democrat</v>
      </c>
    </row>
    <row r="58" ht="15.0" customHeight="1">
      <c r="A58" s="5" t="s">
        <v>143</v>
      </c>
      <c r="B58" s="5" t="s">
        <v>145</v>
      </c>
      <c r="C58" s="5" t="s">
        <v>55</v>
      </c>
      <c r="D58" s="11">
        <f>MAX(0, 2*'Precinct Vote Data'!G220 - 'Precinct Vote Data'!G218)</f>
        <v>492</v>
      </c>
      <c r="E58" s="10">
        <f t="array" ref="E58">MIN(1,MAX(0, 'Precinct Vote Data'!H221 + INDEX('Beta Coefficients'!$D:$D, MATCH(A58&amp;"|"&amp;B58&amp;"|"&amp;C58,'Beta Coefficients'!$Q:$Q,0))*(0.483125441908243-0.502219913195008) ))</f>
        <v>0.649179662</v>
      </c>
      <c r="F58" s="11">
        <f t="shared" si="1"/>
        <v>319</v>
      </c>
      <c r="G58" s="11">
        <f t="shared" si="2"/>
        <v>173</v>
      </c>
      <c r="H58" s="5" t="str">
        <f t="shared" si="3"/>
        <v>Democrat</v>
      </c>
    </row>
    <row r="59" ht="15.0" customHeight="1">
      <c r="A59" s="5" t="s">
        <v>143</v>
      </c>
      <c r="B59" s="5" t="s">
        <v>145</v>
      </c>
      <c r="C59" s="5" t="s">
        <v>57</v>
      </c>
      <c r="D59" s="11">
        <f>MAX(0, 2*'Precinct Vote Data'!G224 - 'Precinct Vote Data'!G222)</f>
        <v>195</v>
      </c>
      <c r="E59" s="10">
        <f t="array" ref="E59">MIN(1,MAX(0, 'Precinct Vote Data'!H225 + INDEX('Beta Coefficients'!$D:$D, MATCH(A59&amp;"|"&amp;B59&amp;"|"&amp;C59,'Beta Coefficients'!$Q:$Q,0))*(0.483125441908243-0.502219913195008) ))</f>
        <v>0.6124171192</v>
      </c>
      <c r="F59" s="11">
        <f t="shared" si="1"/>
        <v>119</v>
      </c>
      <c r="G59" s="11">
        <f t="shared" si="2"/>
        <v>76</v>
      </c>
      <c r="H59" s="5" t="str">
        <f t="shared" si="3"/>
        <v>Democrat</v>
      </c>
    </row>
    <row r="60" ht="15.0" customHeight="1">
      <c r="A60" s="5" t="s">
        <v>143</v>
      </c>
      <c r="B60" s="5" t="s">
        <v>145</v>
      </c>
      <c r="C60" s="5" t="s">
        <v>59</v>
      </c>
      <c r="D60" s="11">
        <f>MAX(0, 2*'Precinct Vote Data'!G228 - 'Precinct Vote Data'!G226)</f>
        <v>231</v>
      </c>
      <c r="E60" s="10">
        <f t="array" ref="E60">MIN(1,MAX(0, 'Precinct Vote Data'!H229 + INDEX('Beta Coefficients'!$D:$D, MATCH(A60&amp;"|"&amp;B60&amp;"|"&amp;C60,'Beta Coefficients'!$Q:$Q,0))*(0.483125441908243-0.502219913195008) ))</f>
        <v>0.7009699503</v>
      </c>
      <c r="F60" s="11">
        <f t="shared" si="1"/>
        <v>162</v>
      </c>
      <c r="G60" s="11">
        <f t="shared" si="2"/>
        <v>69</v>
      </c>
      <c r="H60" s="5" t="str">
        <f t="shared" si="3"/>
        <v>Democrat</v>
      </c>
    </row>
    <row r="61" ht="15.0" customHeight="1">
      <c r="A61" s="5" t="s">
        <v>143</v>
      </c>
      <c r="B61" s="5" t="s">
        <v>145</v>
      </c>
      <c r="C61" s="5" t="s">
        <v>63</v>
      </c>
      <c r="D61" s="11">
        <f>MAX(0, 2*'Precinct Vote Data'!G232 - 'Precinct Vote Data'!G230)</f>
        <v>44</v>
      </c>
      <c r="E61" s="10">
        <f t="array" ref="E61">MIN(1,MAX(0, 'Precinct Vote Data'!H233 + INDEX('Beta Coefficients'!$D:$D, MATCH(A61&amp;"|"&amp;B61&amp;"|"&amp;C61,'Beta Coefficients'!$Q:$Q,0))*(0.483125441908243-0.502219913195008) ))</f>
        <v>0.5350807734</v>
      </c>
      <c r="F61" s="11">
        <f t="shared" si="1"/>
        <v>24</v>
      </c>
      <c r="G61" s="11">
        <f t="shared" si="2"/>
        <v>20</v>
      </c>
      <c r="H61" s="5" t="str">
        <f t="shared" si="3"/>
        <v>Democrat</v>
      </c>
    </row>
    <row r="62" ht="15.0" customHeight="1">
      <c r="A62" s="5" t="s">
        <v>143</v>
      </c>
      <c r="B62" s="5" t="s">
        <v>145</v>
      </c>
      <c r="C62" s="5" t="s">
        <v>73</v>
      </c>
      <c r="D62" s="11">
        <f>MAX(0, 2*'Precinct Vote Data'!G236 - 'Precinct Vote Data'!G234)</f>
        <v>269</v>
      </c>
      <c r="E62" s="10">
        <f t="array" ref="E62">MIN(1,MAX(0, 'Precinct Vote Data'!H237 + INDEX('Beta Coefficients'!$D:$D, MATCH(A62&amp;"|"&amp;B62&amp;"|"&amp;C62,'Beta Coefficients'!$Q:$Q,0))*(0.483125441908243-0.502219913195008) ))</f>
        <v>0.5532363432</v>
      </c>
      <c r="F62" s="11">
        <f t="shared" si="1"/>
        <v>149</v>
      </c>
      <c r="G62" s="11">
        <f t="shared" si="2"/>
        <v>120</v>
      </c>
      <c r="H62" s="5" t="str">
        <f t="shared" si="3"/>
        <v>Democrat</v>
      </c>
    </row>
    <row r="63" ht="15.0" customHeight="1">
      <c r="A63" s="5" t="s">
        <v>143</v>
      </c>
      <c r="B63" s="5" t="s">
        <v>145</v>
      </c>
      <c r="C63" s="5" t="s">
        <v>74</v>
      </c>
      <c r="D63" s="11">
        <f>MAX(0, 2*'Precinct Vote Data'!G240 - 'Precinct Vote Data'!G238)</f>
        <v>331</v>
      </c>
      <c r="E63" s="10">
        <f t="array" ref="E63">MIN(1,MAX(0, 'Precinct Vote Data'!H241 + INDEX('Beta Coefficients'!$D:$D, MATCH(A63&amp;"|"&amp;B63&amp;"|"&amp;C63,'Beta Coefficients'!$Q:$Q,0))*(0.483125441908243-0.502219913195008) ))</f>
        <v>0.6738253637</v>
      </c>
      <c r="F63" s="11">
        <f t="shared" si="1"/>
        <v>223</v>
      </c>
      <c r="G63" s="11">
        <f t="shared" si="2"/>
        <v>108</v>
      </c>
      <c r="H63" s="5" t="str">
        <f t="shared" si="3"/>
        <v>Democrat</v>
      </c>
    </row>
    <row r="64" ht="15.0" customHeight="1">
      <c r="A64" s="5" t="s">
        <v>143</v>
      </c>
      <c r="B64" s="5" t="s">
        <v>145</v>
      </c>
      <c r="C64" s="5" t="s">
        <v>78</v>
      </c>
      <c r="D64" s="11">
        <f>MAX(0, 2*'Precinct Vote Data'!G244 - 'Precinct Vote Data'!G242)</f>
        <v>93</v>
      </c>
      <c r="E64" s="10">
        <f t="array" ref="E64">MIN(1,MAX(0, 'Precinct Vote Data'!H245 + INDEX('Beta Coefficients'!$D:$D, MATCH(A64&amp;"|"&amp;B64&amp;"|"&amp;C64,'Beta Coefficients'!$Q:$Q,0))*(0.483125441908243-0.502219913195008) ))</f>
        <v>0.6535073154</v>
      </c>
      <c r="F64" s="11">
        <f t="shared" si="1"/>
        <v>61</v>
      </c>
      <c r="G64" s="11">
        <f t="shared" si="2"/>
        <v>32</v>
      </c>
      <c r="H64" s="5" t="str">
        <f t="shared" si="3"/>
        <v>Democrat</v>
      </c>
    </row>
    <row r="65" ht="15.0" customHeight="1">
      <c r="A65" s="5" t="s">
        <v>143</v>
      </c>
      <c r="B65" s="5" t="s">
        <v>145</v>
      </c>
      <c r="C65" s="5" t="s">
        <v>79</v>
      </c>
      <c r="D65" s="11">
        <f>MAX(0, 2*'Precinct Vote Data'!G248 - 'Precinct Vote Data'!G246)</f>
        <v>90</v>
      </c>
      <c r="E65" s="10">
        <f t="array" ref="E65">MIN(1,MAX(0, 'Precinct Vote Data'!H249 + INDEX('Beta Coefficients'!$D:$D, MATCH(A65&amp;"|"&amp;B65&amp;"|"&amp;C65,'Beta Coefficients'!$Q:$Q,0))*(0.483125441908243-0.502219913195008) ))</f>
        <v>0.6385058006</v>
      </c>
      <c r="F65" s="11">
        <f t="shared" si="1"/>
        <v>57</v>
      </c>
      <c r="G65" s="11">
        <f t="shared" si="2"/>
        <v>33</v>
      </c>
      <c r="H65" s="5" t="str">
        <f t="shared" si="3"/>
        <v>Democrat</v>
      </c>
    </row>
    <row r="66" ht="15.0" customHeight="1">
      <c r="A66" s="5" t="s">
        <v>143</v>
      </c>
      <c r="B66" s="5" t="s">
        <v>145</v>
      </c>
      <c r="C66" s="5" t="s">
        <v>87</v>
      </c>
      <c r="D66" s="11">
        <f>MAX(0, 2*'Precinct Vote Data'!G252 - 'Precinct Vote Data'!G250)</f>
        <v>218</v>
      </c>
      <c r="E66" s="10">
        <f t="array" ref="E66">MIN(1,MAX(0, 'Precinct Vote Data'!H253 + INDEX('Beta Coefficients'!$D:$D, MATCH(A66&amp;"|"&amp;B66&amp;"|"&amp;C66,'Beta Coefficients'!$Q:$Q,0))*(0.483125441908243-0.502219913195008) ))</f>
        <v>0.6736377234</v>
      </c>
      <c r="F66" s="11">
        <f t="shared" si="1"/>
        <v>147</v>
      </c>
      <c r="G66" s="11">
        <f t="shared" si="2"/>
        <v>71</v>
      </c>
      <c r="H66" s="5" t="str">
        <f t="shared" si="3"/>
        <v>Democrat</v>
      </c>
    </row>
    <row r="67" ht="15.0" customHeight="1">
      <c r="A67" s="5" t="s">
        <v>143</v>
      </c>
      <c r="B67" s="5" t="s">
        <v>145</v>
      </c>
      <c r="C67" s="5" t="s">
        <v>88</v>
      </c>
      <c r="D67" s="11">
        <f>MAX(0, 2*'Precinct Vote Data'!G256 - 'Precinct Vote Data'!G254)</f>
        <v>441</v>
      </c>
      <c r="E67" s="10">
        <f t="array" ref="E67">MIN(1,MAX(0, 'Precinct Vote Data'!H257 + INDEX('Beta Coefficients'!$D:$D, MATCH(A67&amp;"|"&amp;B67&amp;"|"&amp;C67,'Beta Coefficients'!$Q:$Q,0))*(0.483125441908243-0.502219913195008) ))</f>
        <v>0.6247691054</v>
      </c>
      <c r="F67" s="11">
        <f t="shared" si="1"/>
        <v>276</v>
      </c>
      <c r="G67" s="11">
        <f t="shared" si="2"/>
        <v>165</v>
      </c>
      <c r="H67" s="5" t="str">
        <f t="shared" si="3"/>
        <v>Democrat</v>
      </c>
    </row>
    <row r="68" ht="15.0" customHeight="1">
      <c r="A68" s="5" t="s">
        <v>143</v>
      </c>
      <c r="B68" s="5" t="s">
        <v>145</v>
      </c>
      <c r="C68" s="5" t="s">
        <v>89</v>
      </c>
      <c r="D68" s="11">
        <f>MAX(0, 2*'Precinct Vote Data'!G260 - 'Precinct Vote Data'!G258)</f>
        <v>171</v>
      </c>
      <c r="E68" s="10">
        <f t="array" ref="E68">MIN(1,MAX(0, 'Precinct Vote Data'!H261 + INDEX('Beta Coefficients'!$D:$D, MATCH(A68&amp;"|"&amp;B68&amp;"|"&amp;C68,'Beta Coefficients'!$Q:$Q,0))*(0.483125441908243-0.502219913195008) ))</f>
        <v>0.6311225604</v>
      </c>
      <c r="F68" s="11">
        <f t="shared" si="1"/>
        <v>108</v>
      </c>
      <c r="G68" s="11">
        <f t="shared" si="2"/>
        <v>63</v>
      </c>
      <c r="H68" s="5" t="str">
        <f t="shared" si="3"/>
        <v>Democrat</v>
      </c>
    </row>
    <row r="69" ht="15.0" customHeight="1">
      <c r="A69" s="5" t="s">
        <v>143</v>
      </c>
      <c r="B69" s="5" t="s">
        <v>145</v>
      </c>
      <c r="C69" s="5" t="s">
        <v>91</v>
      </c>
      <c r="D69" s="11">
        <f>MAX(0, 2*'Precinct Vote Data'!G264 - 'Precinct Vote Data'!G262)</f>
        <v>135</v>
      </c>
      <c r="E69" s="10">
        <f t="array" ref="E69">MIN(1,MAX(0, 'Precinct Vote Data'!H265 + INDEX('Beta Coefficients'!$D:$D, MATCH(A69&amp;"|"&amp;B69&amp;"|"&amp;C69,'Beta Coefficients'!$Q:$Q,0))*(0.483125441908243-0.502219913195008) ))</f>
        <v>0.5947564833</v>
      </c>
      <c r="F69" s="11">
        <f t="shared" si="1"/>
        <v>80</v>
      </c>
      <c r="G69" s="11">
        <f t="shared" si="2"/>
        <v>55</v>
      </c>
      <c r="H69" s="5" t="str">
        <f t="shared" si="3"/>
        <v>Democrat</v>
      </c>
    </row>
    <row r="70" ht="15.0" customHeight="1">
      <c r="A70" s="5" t="s">
        <v>143</v>
      </c>
      <c r="B70" s="5" t="s">
        <v>145</v>
      </c>
      <c r="C70" s="5" t="s">
        <v>92</v>
      </c>
      <c r="D70" s="11">
        <f>MAX(0, 2*'Precinct Vote Data'!G268 - 'Precinct Vote Data'!G266)</f>
        <v>331</v>
      </c>
      <c r="E70" s="10">
        <f t="array" ref="E70">MIN(1,MAX(0, 'Precinct Vote Data'!H269 + INDEX('Beta Coefficients'!$D:$D, MATCH(A70&amp;"|"&amp;B70&amp;"|"&amp;C70,'Beta Coefficients'!$Q:$Q,0))*(0.483125441908243-0.502219913195008) ))</f>
        <v>0.6026839077</v>
      </c>
      <c r="F70" s="11">
        <f t="shared" si="1"/>
        <v>199</v>
      </c>
      <c r="G70" s="11">
        <f t="shared" si="2"/>
        <v>132</v>
      </c>
      <c r="H70" s="5" t="str">
        <f t="shared" si="3"/>
        <v>Democrat</v>
      </c>
    </row>
    <row r="71" ht="15.0" customHeight="1">
      <c r="A71" s="5" t="s">
        <v>143</v>
      </c>
      <c r="B71" s="5" t="s">
        <v>145</v>
      </c>
      <c r="C71" s="5" t="s">
        <v>94</v>
      </c>
      <c r="D71" s="11">
        <f>MAX(0, 2*'Precinct Vote Data'!G272 - 'Precinct Vote Data'!G270)</f>
        <v>247</v>
      </c>
      <c r="E71" s="10">
        <f t="array" ref="E71">MIN(1,MAX(0, 'Precinct Vote Data'!H273 + INDEX('Beta Coefficients'!$D:$D, MATCH(A71&amp;"|"&amp;B71&amp;"|"&amp;C71,'Beta Coefficients'!$Q:$Q,0))*(0.483125441908243-0.502219913195008) ))</f>
        <v>0.6087995392</v>
      </c>
      <c r="F71" s="11">
        <f t="shared" si="1"/>
        <v>150</v>
      </c>
      <c r="G71" s="11">
        <f t="shared" si="2"/>
        <v>97</v>
      </c>
      <c r="H71" s="5" t="str">
        <f t="shared" si="3"/>
        <v>Democrat</v>
      </c>
    </row>
    <row r="72" ht="15.0" customHeight="1">
      <c r="A72" s="5" t="s">
        <v>143</v>
      </c>
      <c r="B72" s="5" t="s">
        <v>145</v>
      </c>
      <c r="C72" s="5" t="s">
        <v>95</v>
      </c>
      <c r="D72" s="11">
        <f>MAX(0, 2*'Precinct Vote Data'!G276 - 'Precinct Vote Data'!G274)</f>
        <v>279</v>
      </c>
      <c r="E72" s="10">
        <f t="array" ref="E72">MIN(1,MAX(0, 'Precinct Vote Data'!H277 + INDEX('Beta Coefficients'!$D:$D, MATCH(A72&amp;"|"&amp;B72&amp;"|"&amp;C72,'Beta Coefficients'!$Q:$Q,0))*(0.483125441908243-0.502219913195008) ))</f>
        <v>0.6472467957</v>
      </c>
      <c r="F72" s="11">
        <f t="shared" si="1"/>
        <v>181</v>
      </c>
      <c r="G72" s="11">
        <f t="shared" si="2"/>
        <v>98</v>
      </c>
      <c r="H72" s="5" t="str">
        <f t="shared" si="3"/>
        <v>Democrat</v>
      </c>
    </row>
    <row r="73" ht="15.0" customHeight="1">
      <c r="A73" s="5" t="s">
        <v>143</v>
      </c>
      <c r="B73" s="5" t="s">
        <v>145</v>
      </c>
      <c r="C73" s="5" t="s">
        <v>96</v>
      </c>
      <c r="D73" s="11">
        <f>MAX(0, 2*'Precinct Vote Data'!G280 - 'Precinct Vote Data'!G278)</f>
        <v>99</v>
      </c>
      <c r="E73" s="10">
        <f t="array" ref="E73">MIN(1,MAX(0, 'Precinct Vote Data'!H281 + INDEX('Beta Coefficients'!$D:$D, MATCH(A73&amp;"|"&amp;B73&amp;"|"&amp;C73,'Beta Coefficients'!$Q:$Q,0))*(0.483125441908243-0.502219913195008) ))</f>
        <v>0.5980659251</v>
      </c>
      <c r="F73" s="11">
        <f t="shared" si="1"/>
        <v>59</v>
      </c>
      <c r="G73" s="11">
        <f t="shared" si="2"/>
        <v>40</v>
      </c>
      <c r="H73" s="5" t="str">
        <f t="shared" si="3"/>
        <v>Democrat</v>
      </c>
    </row>
    <row r="74" ht="15.0" customHeight="1">
      <c r="A74" s="5" t="s">
        <v>143</v>
      </c>
      <c r="B74" s="5" t="s">
        <v>145</v>
      </c>
      <c r="C74" s="5" t="s">
        <v>98</v>
      </c>
      <c r="D74" s="11">
        <f>MAX(0, 2*'Precinct Vote Data'!G284 - 'Precinct Vote Data'!G282)</f>
        <v>163</v>
      </c>
      <c r="E74" s="10">
        <f t="array" ref="E74">MIN(1,MAX(0, 'Precinct Vote Data'!H285 + INDEX('Beta Coefficients'!$D:$D, MATCH(A74&amp;"|"&amp;B74&amp;"|"&amp;C74,'Beta Coefficients'!$Q:$Q,0))*(0.483125441908243-0.502219913195008) ))</f>
        <v>0.6407500998</v>
      </c>
      <c r="F74" s="11">
        <f t="shared" si="1"/>
        <v>104</v>
      </c>
      <c r="G74" s="11">
        <f t="shared" si="2"/>
        <v>59</v>
      </c>
      <c r="H74" s="5" t="str">
        <f t="shared" si="3"/>
        <v>Democrat</v>
      </c>
    </row>
    <row r="75" ht="15.0" customHeight="1">
      <c r="A75" s="5" t="s">
        <v>143</v>
      </c>
      <c r="B75" s="5" t="s">
        <v>145</v>
      </c>
      <c r="C75" s="5" t="s">
        <v>100</v>
      </c>
      <c r="D75" s="11">
        <f>MAX(0, 2*'Precinct Vote Data'!G288 - 'Precinct Vote Data'!G286)</f>
        <v>173</v>
      </c>
      <c r="E75" s="10">
        <f t="array" ref="E75">MIN(1,MAX(0, 'Precinct Vote Data'!H289 + INDEX('Beta Coefficients'!$D:$D, MATCH(A75&amp;"|"&amp;B75&amp;"|"&amp;C75,'Beta Coefficients'!$Q:$Q,0))*(0.483125441908243-0.502219913195008) ))</f>
        <v>0.6391130074</v>
      </c>
      <c r="F75" s="11">
        <f t="shared" si="1"/>
        <v>111</v>
      </c>
      <c r="G75" s="11">
        <f t="shared" si="2"/>
        <v>62</v>
      </c>
      <c r="H75" s="5" t="str">
        <f t="shared" si="3"/>
        <v>Democrat</v>
      </c>
    </row>
    <row r="76" ht="15.0" customHeight="1">
      <c r="A76" s="5" t="s">
        <v>143</v>
      </c>
      <c r="B76" s="5" t="s">
        <v>145</v>
      </c>
      <c r="C76" s="5" t="s">
        <v>102</v>
      </c>
      <c r="D76" s="11">
        <f>MAX(0, 2*'Precinct Vote Data'!G292 - 'Precinct Vote Data'!G290)</f>
        <v>109</v>
      </c>
      <c r="E76" s="10">
        <f t="array" ref="E76">MIN(1,MAX(0, 'Precinct Vote Data'!H293 + INDEX('Beta Coefficients'!$D:$D, MATCH(A76&amp;"|"&amp;B76&amp;"|"&amp;C76,'Beta Coefficients'!$Q:$Q,0))*(0.483125441908243-0.502219913195008) ))</f>
        <v>0.6773959814</v>
      </c>
      <c r="F76" s="11">
        <f t="shared" si="1"/>
        <v>74</v>
      </c>
      <c r="G76" s="11">
        <f t="shared" si="2"/>
        <v>35</v>
      </c>
      <c r="H76" s="5" t="str">
        <f t="shared" si="3"/>
        <v>Democrat</v>
      </c>
    </row>
    <row r="77" ht="15.0" customHeight="1">
      <c r="A77" s="5" t="s">
        <v>143</v>
      </c>
      <c r="B77" s="5" t="s">
        <v>145</v>
      </c>
      <c r="C77" s="5" t="s">
        <v>103</v>
      </c>
      <c r="D77" s="11">
        <f>MAX(0, 2*'Precinct Vote Data'!G296 - 'Precinct Vote Data'!G294)</f>
        <v>258</v>
      </c>
      <c r="E77" s="10">
        <f t="array" ref="E77">MIN(1,MAX(0, 'Precinct Vote Data'!H297 + INDEX('Beta Coefficients'!$D:$D, MATCH(A77&amp;"|"&amp;B77&amp;"|"&amp;C77,'Beta Coefficients'!$Q:$Q,0))*(0.483125441908243-0.502219913195008) ))</f>
        <v>0.6534996076</v>
      </c>
      <c r="F77" s="11">
        <f t="shared" si="1"/>
        <v>169</v>
      </c>
      <c r="G77" s="11">
        <f t="shared" si="2"/>
        <v>89</v>
      </c>
      <c r="H77" s="5" t="str">
        <f t="shared" si="3"/>
        <v>Democrat</v>
      </c>
    </row>
    <row r="78" ht="15.0" customHeight="1">
      <c r="A78" s="5" t="s">
        <v>143</v>
      </c>
      <c r="B78" s="5" t="s">
        <v>145</v>
      </c>
      <c r="C78" s="5" t="s">
        <v>104</v>
      </c>
      <c r="D78" s="11">
        <f>MAX(0, 2*'Precinct Vote Data'!G300 - 'Precinct Vote Data'!G298)</f>
        <v>606</v>
      </c>
      <c r="E78" s="10">
        <f t="array" ref="E78">MIN(1,MAX(0, 'Precinct Vote Data'!H301 + INDEX('Beta Coefficients'!$D:$D, MATCH(A78&amp;"|"&amp;B78&amp;"|"&amp;C78,'Beta Coefficients'!$Q:$Q,0))*(0.483125441908243-0.502219913195008) ))</f>
        <v>0.7615760481</v>
      </c>
      <c r="F78" s="11">
        <f t="shared" si="1"/>
        <v>462</v>
      </c>
      <c r="G78" s="11">
        <f t="shared" si="2"/>
        <v>144</v>
      </c>
      <c r="H78" s="5" t="str">
        <f t="shared" si="3"/>
        <v>Democrat</v>
      </c>
    </row>
    <row r="79" ht="15.0" customHeight="1">
      <c r="A79" s="5" t="s">
        <v>143</v>
      </c>
      <c r="B79" s="5" t="s">
        <v>145</v>
      </c>
      <c r="C79" s="5" t="s">
        <v>106</v>
      </c>
      <c r="D79" s="11">
        <f>MAX(0, 2*'Precinct Vote Data'!G304 - 'Precinct Vote Data'!G302)</f>
        <v>369</v>
      </c>
      <c r="E79" s="10">
        <f t="array" ref="E79">MIN(1,MAX(0, 'Precinct Vote Data'!H305 + INDEX('Beta Coefficients'!$D:$D, MATCH(A79&amp;"|"&amp;B79&amp;"|"&amp;C79,'Beta Coefficients'!$Q:$Q,0))*(0.483125441908243-0.502219913195008) ))</f>
        <v>0.6410682558</v>
      </c>
      <c r="F79" s="11">
        <f t="shared" si="1"/>
        <v>237</v>
      </c>
      <c r="G79" s="11">
        <f t="shared" si="2"/>
        <v>132</v>
      </c>
      <c r="H79" s="5" t="str">
        <f t="shared" si="3"/>
        <v>Democrat</v>
      </c>
    </row>
    <row r="80" ht="15.0" customHeight="1">
      <c r="A80" s="5" t="s">
        <v>143</v>
      </c>
      <c r="B80" s="5" t="s">
        <v>145</v>
      </c>
      <c r="C80" s="5" t="s">
        <v>109</v>
      </c>
      <c r="D80" s="11">
        <f>MAX(0, 2*'Precinct Vote Data'!G308 - 'Precinct Vote Data'!G306)</f>
        <v>643</v>
      </c>
      <c r="E80" s="10">
        <f t="array" ref="E80">MIN(1,MAX(0, 'Precinct Vote Data'!H309 + INDEX('Beta Coefficients'!$D:$D, MATCH(A80&amp;"|"&amp;B80&amp;"|"&amp;C80,'Beta Coefficients'!$Q:$Q,0))*(0.483125441908243-0.502219913195008) ))</f>
        <v>0.5843361112</v>
      </c>
      <c r="F80" s="11">
        <f t="shared" si="1"/>
        <v>376</v>
      </c>
      <c r="G80" s="11">
        <f t="shared" si="2"/>
        <v>267</v>
      </c>
      <c r="H80" s="5" t="str">
        <f t="shared" si="3"/>
        <v>Democrat</v>
      </c>
    </row>
    <row r="81" ht="15.0" customHeight="1">
      <c r="A81" s="5" t="s">
        <v>143</v>
      </c>
      <c r="B81" s="5" t="s">
        <v>145</v>
      </c>
      <c r="C81" s="5" t="s">
        <v>110</v>
      </c>
      <c r="D81" s="11">
        <f>MAX(0, 2*'Precinct Vote Data'!G312 - 'Precinct Vote Data'!G310)</f>
        <v>543</v>
      </c>
      <c r="E81" s="10">
        <f t="array" ref="E81">MIN(1,MAX(0, 'Precinct Vote Data'!H313 + INDEX('Beta Coefficients'!$D:$D, MATCH(A81&amp;"|"&amp;B81&amp;"|"&amp;C81,'Beta Coefficients'!$Q:$Q,0))*(0.483125441908243-0.502219913195008) ))</f>
        <v>0.6163766625</v>
      </c>
      <c r="F81" s="11">
        <f t="shared" si="1"/>
        <v>335</v>
      </c>
      <c r="G81" s="11">
        <f t="shared" si="2"/>
        <v>208</v>
      </c>
      <c r="H81" s="5" t="str">
        <f t="shared" si="3"/>
        <v>Democrat</v>
      </c>
    </row>
    <row r="82" ht="15.0" customHeight="1">
      <c r="A82" s="5" t="s">
        <v>143</v>
      </c>
      <c r="B82" s="5" t="s">
        <v>145</v>
      </c>
      <c r="C82" s="5" t="s">
        <v>111</v>
      </c>
      <c r="D82" s="11">
        <f>MAX(0, 2*'Precinct Vote Data'!G316 - 'Precinct Vote Data'!G314)</f>
        <v>297</v>
      </c>
      <c r="E82" s="10">
        <f t="array" ref="E82">MIN(1,MAX(0, 'Precinct Vote Data'!H317 + INDEX('Beta Coefficients'!$D:$D, MATCH(A82&amp;"|"&amp;B82&amp;"|"&amp;C82,'Beta Coefficients'!$Q:$Q,0))*(0.483125441908243-0.502219913195008) ))</f>
        <v>0.649038421</v>
      </c>
      <c r="F82" s="11">
        <f t="shared" si="1"/>
        <v>193</v>
      </c>
      <c r="G82" s="11">
        <f t="shared" si="2"/>
        <v>104</v>
      </c>
      <c r="H82" s="5" t="str">
        <f t="shared" si="3"/>
        <v>Democrat</v>
      </c>
    </row>
    <row r="83" ht="15.0" customHeight="1">
      <c r="A83" s="5" t="s">
        <v>143</v>
      </c>
      <c r="B83" s="5" t="s">
        <v>145</v>
      </c>
      <c r="C83" s="5" t="s">
        <v>113</v>
      </c>
      <c r="D83" s="11">
        <f>MAX(0, 2*'Precinct Vote Data'!G320 - 'Precinct Vote Data'!G318)</f>
        <v>375</v>
      </c>
      <c r="E83" s="10">
        <f t="array" ref="E83">MIN(1,MAX(0, 'Precinct Vote Data'!H321 + INDEX('Beta Coefficients'!$D:$D, MATCH(A83&amp;"|"&amp;B83&amp;"|"&amp;C83,'Beta Coefficients'!$Q:$Q,0))*(0.483125441908243-0.502219913195008) ))</f>
        <v>0.5854411981</v>
      </c>
      <c r="F83" s="11">
        <f t="shared" si="1"/>
        <v>220</v>
      </c>
      <c r="G83" s="11">
        <f t="shared" si="2"/>
        <v>155</v>
      </c>
      <c r="H83" s="5" t="str">
        <f t="shared" si="3"/>
        <v>Democrat</v>
      </c>
    </row>
    <row r="84" ht="15.0" customHeight="1">
      <c r="A84" s="5" t="s">
        <v>143</v>
      </c>
      <c r="B84" s="5" t="s">
        <v>145</v>
      </c>
      <c r="C84" s="5" t="s">
        <v>114</v>
      </c>
      <c r="D84" s="11">
        <f>MAX(0, 2*'Precinct Vote Data'!G324 - 'Precinct Vote Data'!G322)</f>
        <v>491</v>
      </c>
      <c r="E84" s="10">
        <f t="array" ref="E84">MIN(1,MAX(0, 'Precinct Vote Data'!H325 + INDEX('Beta Coefficients'!$D:$D, MATCH(A84&amp;"|"&amp;B84&amp;"|"&amp;C84,'Beta Coefficients'!$Q:$Q,0))*(0.483125441908243-0.502219913195008) ))</f>
        <v>0.6241384857</v>
      </c>
      <c r="F84" s="11">
        <f t="shared" si="1"/>
        <v>306</v>
      </c>
      <c r="G84" s="11">
        <f t="shared" si="2"/>
        <v>185</v>
      </c>
      <c r="H84" s="5" t="str">
        <f t="shared" si="3"/>
        <v>Democrat</v>
      </c>
    </row>
    <row r="85" ht="15.0" customHeight="1">
      <c r="A85" s="5" t="s">
        <v>143</v>
      </c>
      <c r="B85" s="5" t="s">
        <v>145</v>
      </c>
      <c r="C85" s="5" t="s">
        <v>116</v>
      </c>
      <c r="D85" s="11">
        <f>MAX(0, 2*'Precinct Vote Data'!G328 - 'Precinct Vote Data'!G326)</f>
        <v>632</v>
      </c>
      <c r="E85" s="10">
        <f t="array" ref="E85">MIN(1,MAX(0, 'Precinct Vote Data'!H329 + INDEX('Beta Coefficients'!$D:$D, MATCH(A85&amp;"|"&amp;B85&amp;"|"&amp;C85,'Beta Coefficients'!$Q:$Q,0))*(0.483125441908243-0.502219913195008) ))</f>
        <v>0.5375513896</v>
      </c>
      <c r="F85" s="11">
        <f t="shared" si="1"/>
        <v>340</v>
      </c>
      <c r="G85" s="11">
        <f t="shared" si="2"/>
        <v>292</v>
      </c>
      <c r="H85" s="5" t="str">
        <f t="shared" si="3"/>
        <v>Democrat</v>
      </c>
    </row>
    <row r="86" ht="15.0" customHeight="1">
      <c r="A86" s="5" t="s">
        <v>143</v>
      </c>
      <c r="B86" s="5" t="s">
        <v>145</v>
      </c>
      <c r="C86" s="5" t="s">
        <v>118</v>
      </c>
      <c r="D86" s="11">
        <f>MAX(0, 2*'Precinct Vote Data'!G332 - 'Precinct Vote Data'!G330)</f>
        <v>354</v>
      </c>
      <c r="E86" s="10">
        <f t="array" ref="E86">MIN(1,MAX(0, 'Precinct Vote Data'!H333 + INDEX('Beta Coefficients'!$D:$D, MATCH(A86&amp;"|"&amp;B86&amp;"|"&amp;C86,'Beta Coefficients'!$Q:$Q,0))*(0.483125441908243-0.502219913195008) ))</f>
        <v>0.550583598</v>
      </c>
      <c r="F86" s="11">
        <f t="shared" si="1"/>
        <v>195</v>
      </c>
      <c r="G86" s="11">
        <f t="shared" si="2"/>
        <v>159</v>
      </c>
      <c r="H86" s="5" t="str">
        <f t="shared" si="3"/>
        <v>Democrat</v>
      </c>
    </row>
    <row r="87" ht="15.0" customHeight="1">
      <c r="A87" s="5" t="s">
        <v>143</v>
      </c>
      <c r="B87" s="5" t="s">
        <v>145</v>
      </c>
      <c r="C87" s="5" t="s">
        <v>119</v>
      </c>
      <c r="D87" s="11">
        <f>MAX(0, 2*'Precinct Vote Data'!G336 - 'Precinct Vote Data'!G334)</f>
        <v>263</v>
      </c>
      <c r="E87" s="10">
        <f t="array" ref="E87">MIN(1,MAX(0, 'Precinct Vote Data'!H337 + INDEX('Beta Coefficients'!$D:$D, MATCH(A87&amp;"|"&amp;B87&amp;"|"&amp;C87,'Beta Coefficients'!$Q:$Q,0))*(0.483125441908243-0.502219913195008) ))</f>
        <v>0.6326792064</v>
      </c>
      <c r="F87" s="11">
        <f t="shared" si="1"/>
        <v>166</v>
      </c>
      <c r="G87" s="11">
        <f t="shared" si="2"/>
        <v>97</v>
      </c>
      <c r="H87" s="5" t="str">
        <f t="shared" si="3"/>
        <v>Democrat</v>
      </c>
    </row>
    <row r="88" ht="15.0" customHeight="1">
      <c r="A88" s="5" t="s">
        <v>143</v>
      </c>
      <c r="B88" s="5" t="s">
        <v>145</v>
      </c>
      <c r="C88" s="5" t="s">
        <v>120</v>
      </c>
      <c r="D88" s="11">
        <f>MAX(0, 2*'Precinct Vote Data'!G340 - 'Precinct Vote Data'!G338)</f>
        <v>204</v>
      </c>
      <c r="E88" s="10">
        <f t="array" ref="E88">MIN(1,MAX(0, 'Precinct Vote Data'!H341 + INDEX('Beta Coefficients'!$D:$D, MATCH(A88&amp;"|"&amp;B88&amp;"|"&amp;C88,'Beta Coefficients'!$Q:$Q,0))*(0.483125441908243-0.502219913195008) ))</f>
        <v>0.5828384011</v>
      </c>
      <c r="F88" s="11">
        <f t="shared" si="1"/>
        <v>119</v>
      </c>
      <c r="G88" s="11">
        <f t="shared" si="2"/>
        <v>85</v>
      </c>
      <c r="H88" s="5" t="str">
        <f t="shared" si="3"/>
        <v>Democrat</v>
      </c>
    </row>
    <row r="89" ht="15.0" customHeight="1">
      <c r="A89" s="5" t="s">
        <v>143</v>
      </c>
      <c r="B89" s="5" t="s">
        <v>145</v>
      </c>
      <c r="C89" s="5" t="s">
        <v>122</v>
      </c>
      <c r="D89" s="11">
        <f>MAX(0, 2*'Precinct Vote Data'!G344 - 'Precinct Vote Data'!G342)</f>
        <v>297</v>
      </c>
      <c r="E89" s="10">
        <f t="array" ref="E89">MIN(1,MAX(0, 'Precinct Vote Data'!H345 + INDEX('Beta Coefficients'!$D:$D, MATCH(A89&amp;"|"&amp;B89&amp;"|"&amp;C89,'Beta Coefficients'!$Q:$Q,0))*(0.483125441908243-0.502219913195008) ))</f>
        <v>0.6154944752</v>
      </c>
      <c r="F89" s="11">
        <f t="shared" si="1"/>
        <v>183</v>
      </c>
      <c r="G89" s="11">
        <f t="shared" si="2"/>
        <v>114</v>
      </c>
      <c r="H89" s="5" t="str">
        <f t="shared" si="3"/>
        <v>Democrat</v>
      </c>
    </row>
    <row r="90" ht="15.0" customHeight="1">
      <c r="A90" s="5" t="s">
        <v>143</v>
      </c>
      <c r="B90" s="5" t="s">
        <v>145</v>
      </c>
      <c r="C90" s="5" t="s">
        <v>124</v>
      </c>
      <c r="D90" s="11">
        <f>MAX(0, 2*'Precinct Vote Data'!G348 - 'Precinct Vote Data'!G346)</f>
        <v>245</v>
      </c>
      <c r="E90" s="10">
        <f t="array" ref="E90">MIN(1,MAX(0, 'Precinct Vote Data'!H349 + INDEX('Beta Coefficients'!$D:$D, MATCH(A90&amp;"|"&amp;B90&amp;"|"&amp;C90,'Beta Coefficients'!$Q:$Q,0))*(0.483125441908243-0.502219913195008) ))</f>
        <v>0.6566685225</v>
      </c>
      <c r="F90" s="11">
        <f t="shared" si="1"/>
        <v>161</v>
      </c>
      <c r="G90" s="11">
        <f t="shared" si="2"/>
        <v>84</v>
      </c>
      <c r="H90" s="5" t="str">
        <f t="shared" si="3"/>
        <v>Democrat</v>
      </c>
    </row>
    <row r="91" ht="15.0" customHeight="1">
      <c r="A91" s="5" t="s">
        <v>143</v>
      </c>
      <c r="B91" s="5" t="s">
        <v>145</v>
      </c>
      <c r="C91" s="5" t="s">
        <v>130</v>
      </c>
      <c r="D91" s="11">
        <f>MAX(0, 2*'Precinct Vote Data'!G352 - 'Precinct Vote Data'!G350)</f>
        <v>493</v>
      </c>
      <c r="E91" s="10">
        <f t="array" ref="E91">MIN(1,MAX(0, 'Precinct Vote Data'!H353 + INDEX('Beta Coefficients'!$D:$D, MATCH(A91&amp;"|"&amp;B91&amp;"|"&amp;C91,'Beta Coefficients'!$Q:$Q,0))*(0.483125441908243-0.502219913195008) ))</f>
        <v>0.5919922274</v>
      </c>
      <c r="F91" s="11">
        <f t="shared" si="1"/>
        <v>292</v>
      </c>
      <c r="G91" s="11">
        <f t="shared" si="2"/>
        <v>201</v>
      </c>
      <c r="H91" s="5" t="str">
        <f t="shared" si="3"/>
        <v>Democrat</v>
      </c>
    </row>
    <row r="92" ht="15.0" customHeight="1">
      <c r="A92" s="5" t="s">
        <v>143</v>
      </c>
      <c r="B92" s="5" t="s">
        <v>145</v>
      </c>
      <c r="C92" s="5" t="s">
        <v>131</v>
      </c>
      <c r="D92" s="11">
        <f>MAX(0, 2*'Precinct Vote Data'!G356 - 'Precinct Vote Data'!G354)</f>
        <v>485</v>
      </c>
      <c r="E92" s="10">
        <f t="array" ref="E92">MIN(1,MAX(0, 'Precinct Vote Data'!H357 + INDEX('Beta Coefficients'!$D:$D, MATCH(A92&amp;"|"&amp;B92&amp;"|"&amp;C92,'Beta Coefficients'!$Q:$Q,0))*(0.483125441908243-0.502219913195008) ))</f>
        <v>0.5709740717</v>
      </c>
      <c r="F92" s="11">
        <f t="shared" si="1"/>
        <v>277</v>
      </c>
      <c r="G92" s="11">
        <f t="shared" si="2"/>
        <v>208</v>
      </c>
      <c r="H92" s="5" t="str">
        <f t="shared" si="3"/>
        <v>Democrat</v>
      </c>
    </row>
    <row r="93" ht="15.0" customHeight="1">
      <c r="A93" s="5" t="s">
        <v>143</v>
      </c>
      <c r="B93" s="5" t="s">
        <v>145</v>
      </c>
      <c r="C93" s="5" t="s">
        <v>132</v>
      </c>
      <c r="D93" s="11">
        <f>MAX(0, 2*'Precinct Vote Data'!G360 - 'Precinct Vote Data'!G358)</f>
        <v>529</v>
      </c>
      <c r="E93" s="10">
        <f t="array" ref="E93">MIN(1,MAX(0, 'Precinct Vote Data'!H361 + INDEX('Beta Coefficients'!$D:$D, MATCH(A93&amp;"|"&amp;B93&amp;"|"&amp;C93,'Beta Coefficients'!$Q:$Q,0))*(0.483125441908243-0.502219913195008) ))</f>
        <v>0.4848231401</v>
      </c>
      <c r="F93" s="11">
        <f t="shared" si="1"/>
        <v>256</v>
      </c>
      <c r="G93" s="11">
        <f t="shared" si="2"/>
        <v>273</v>
      </c>
      <c r="H93" s="5" t="str">
        <f t="shared" si="3"/>
        <v>Republican</v>
      </c>
    </row>
    <row r="94" ht="15.0" customHeight="1">
      <c r="A94" s="5" t="s">
        <v>143</v>
      </c>
      <c r="B94" s="5" t="s">
        <v>145</v>
      </c>
      <c r="C94" s="5" t="s">
        <v>133</v>
      </c>
      <c r="D94" s="11">
        <f>MAX(0, 2*'Precinct Vote Data'!G364 - 'Precinct Vote Data'!G362)</f>
        <v>611</v>
      </c>
      <c r="E94" s="10">
        <f t="array" ref="E94">MIN(1,MAX(0, 'Precinct Vote Data'!H365 + INDEX('Beta Coefficients'!$D:$D, MATCH(A94&amp;"|"&amp;B94&amp;"|"&amp;C94,'Beta Coefficients'!$Q:$Q,0))*(0.483125441908243-0.502219913195008) ))</f>
        <v>0.5896655166</v>
      </c>
      <c r="F94" s="11">
        <f t="shared" si="1"/>
        <v>360</v>
      </c>
      <c r="G94" s="11">
        <f t="shared" si="2"/>
        <v>251</v>
      </c>
      <c r="H94" s="5" t="str">
        <f t="shared" si="3"/>
        <v>Democrat</v>
      </c>
    </row>
    <row r="95" ht="15.0" customHeight="1">
      <c r="A95" s="5" t="s">
        <v>143</v>
      </c>
      <c r="B95" s="5" t="s">
        <v>145</v>
      </c>
      <c r="C95" s="5" t="s">
        <v>135</v>
      </c>
      <c r="D95" s="11">
        <f>MAX(0, 2*'Precinct Vote Data'!G368 - 'Precinct Vote Data'!G366)</f>
        <v>612</v>
      </c>
      <c r="E95" s="10">
        <f t="array" ref="E95">MIN(1,MAX(0, 'Precinct Vote Data'!H369 + INDEX('Beta Coefficients'!$D:$D, MATCH(A95&amp;"|"&amp;B95&amp;"|"&amp;C95,'Beta Coefficients'!$Q:$Q,0))*(0.483125441908243-0.502219913195008) ))</f>
        <v>0.5819499212</v>
      </c>
      <c r="F95" s="11">
        <f t="shared" si="1"/>
        <v>356</v>
      </c>
      <c r="G95" s="11">
        <f t="shared" si="2"/>
        <v>256</v>
      </c>
      <c r="H95" s="5" t="str">
        <f t="shared" si="3"/>
        <v>Democrat</v>
      </c>
    </row>
    <row r="96" ht="15.0" customHeight="1">
      <c r="A96" s="5" t="s">
        <v>143</v>
      </c>
      <c r="B96" s="5" t="s">
        <v>145</v>
      </c>
      <c r="C96" s="5" t="s">
        <v>136</v>
      </c>
      <c r="D96" s="11">
        <f>MAX(0, 2*'Precinct Vote Data'!G372 - 'Precinct Vote Data'!G370)</f>
        <v>451</v>
      </c>
      <c r="E96" s="10">
        <f t="array" ref="E96">MIN(1,MAX(0, 'Precinct Vote Data'!H373 + INDEX('Beta Coefficients'!$D:$D, MATCH(A96&amp;"|"&amp;B96&amp;"|"&amp;C96,'Beta Coefficients'!$Q:$Q,0))*(0.483125441908243-0.502219913195008) ))</f>
        <v>0.5159587675</v>
      </c>
      <c r="F96" s="11">
        <f t="shared" si="1"/>
        <v>233</v>
      </c>
      <c r="G96" s="11">
        <f t="shared" si="2"/>
        <v>218</v>
      </c>
      <c r="H96" s="5" t="str">
        <f t="shared" si="3"/>
        <v>Democrat</v>
      </c>
    </row>
    <row r="97" ht="15.0" customHeight="1">
      <c r="A97" s="5" t="s">
        <v>143</v>
      </c>
      <c r="B97" s="5" t="s">
        <v>145</v>
      </c>
      <c r="C97" s="5" t="s">
        <v>139</v>
      </c>
      <c r="D97" s="11">
        <f>MAX(0, 2*'Precinct Vote Data'!G376 - 'Precinct Vote Data'!G374)</f>
        <v>341</v>
      </c>
      <c r="E97" s="10">
        <f t="array" ref="E97">MIN(1,MAX(0, 'Precinct Vote Data'!H377 + INDEX('Beta Coefficients'!$D:$D, MATCH(A97&amp;"|"&amp;B97&amp;"|"&amp;C97,'Beta Coefficients'!$Q:$Q,0))*(0.483125441908243-0.502219913195008) ))</f>
        <v>0.5875062794</v>
      </c>
      <c r="F97" s="11">
        <f t="shared" si="1"/>
        <v>200</v>
      </c>
      <c r="G97" s="11">
        <f t="shared" si="2"/>
        <v>141</v>
      </c>
      <c r="H97" s="5" t="str">
        <f t="shared" si="3"/>
        <v>Democrat</v>
      </c>
    </row>
    <row r="98" ht="15.0" customHeight="1">
      <c r="A98" s="5" t="s">
        <v>143</v>
      </c>
      <c r="B98" s="5" t="s">
        <v>145</v>
      </c>
      <c r="C98" s="5" t="s">
        <v>140</v>
      </c>
      <c r="D98" s="11">
        <f>MAX(0, 2*'Precinct Vote Data'!G380 - 'Precinct Vote Data'!G378)</f>
        <v>734</v>
      </c>
      <c r="E98" s="10">
        <f t="array" ref="E98">MIN(1,MAX(0, 'Precinct Vote Data'!H381 + INDEX('Beta Coefficients'!$D:$D, MATCH(A98&amp;"|"&amp;B98&amp;"|"&amp;C98,'Beta Coefficients'!$Q:$Q,0))*(0.483125441908243-0.502219913195008) ))</f>
        <v>0.5340175338</v>
      </c>
      <c r="F98" s="11">
        <f t="shared" si="1"/>
        <v>392</v>
      </c>
      <c r="G98" s="11">
        <f t="shared" si="2"/>
        <v>342</v>
      </c>
      <c r="H98" s="5" t="str">
        <f t="shared" si="3"/>
        <v>Democrat</v>
      </c>
    </row>
    <row r="99" ht="15.0" customHeight="1">
      <c r="A99" s="5" t="s">
        <v>143</v>
      </c>
      <c r="B99" s="5" t="s">
        <v>145</v>
      </c>
      <c r="C99" s="5" t="s">
        <v>142</v>
      </c>
      <c r="D99" s="11">
        <f>MAX(0, 2*'Precinct Vote Data'!G384 - 'Precinct Vote Data'!G382)</f>
        <v>486</v>
      </c>
      <c r="E99" s="10">
        <f t="array" ref="E99">MIN(1,MAX(0, 'Precinct Vote Data'!H385 + INDEX('Beta Coefficients'!$D:$D, MATCH(A99&amp;"|"&amp;B99&amp;"|"&amp;C99,'Beta Coefficients'!$Q:$Q,0))*(0.483125441908243-0.502219913195008) ))</f>
        <v>0.672035675</v>
      </c>
      <c r="F99" s="11">
        <f t="shared" si="1"/>
        <v>327</v>
      </c>
      <c r="G99" s="11">
        <f t="shared" si="2"/>
        <v>159</v>
      </c>
      <c r="H99" s="5" t="str">
        <f t="shared" si="3"/>
        <v>Democrat</v>
      </c>
    </row>
    <row r="100" ht="15.0" customHeight="1">
      <c r="A100" s="5" t="s">
        <v>143</v>
      </c>
      <c r="B100" s="5" t="s">
        <v>145</v>
      </c>
      <c r="C100" s="5" t="s">
        <v>148</v>
      </c>
      <c r="D100" s="11">
        <f>MAX(0, 2*'Precinct Vote Data'!G388 - 'Precinct Vote Data'!G386)</f>
        <v>657</v>
      </c>
      <c r="E100" s="10">
        <f t="array" ref="E100">MIN(1,MAX(0, 'Precinct Vote Data'!H389 + INDEX('Beta Coefficients'!$D:$D, MATCH(A100&amp;"|"&amp;B100&amp;"|"&amp;C100,'Beta Coefficients'!$Q:$Q,0))*(0.483125441908243-0.502219913195008) ))</f>
        <v>0.6387662381</v>
      </c>
      <c r="F100" s="11">
        <f t="shared" si="1"/>
        <v>420</v>
      </c>
      <c r="G100" s="11">
        <f t="shared" si="2"/>
        <v>237</v>
      </c>
      <c r="H100" s="5" t="str">
        <f t="shared" si="3"/>
        <v>Democrat</v>
      </c>
    </row>
    <row r="101" ht="15.0" customHeight="1">
      <c r="A101" s="5" t="s">
        <v>143</v>
      </c>
      <c r="B101" s="5" t="s">
        <v>145</v>
      </c>
      <c r="C101" s="5" t="s">
        <v>149</v>
      </c>
      <c r="D101" s="11">
        <f>MAX(0, 2*'Precinct Vote Data'!G392 - 'Precinct Vote Data'!G390)</f>
        <v>720</v>
      </c>
      <c r="E101" s="10">
        <f t="array" ref="E101">MIN(1,MAX(0, 'Precinct Vote Data'!H393 + INDEX('Beta Coefficients'!$D:$D, MATCH(A101&amp;"|"&amp;B101&amp;"|"&amp;C101,'Beta Coefficients'!$Q:$Q,0))*(0.483125441908243-0.502219913195008) ))</f>
        <v>0.6366540729</v>
      </c>
      <c r="F101" s="11">
        <f t="shared" si="1"/>
        <v>458</v>
      </c>
      <c r="G101" s="11">
        <f t="shared" si="2"/>
        <v>262</v>
      </c>
      <c r="H101" s="5" t="str">
        <f t="shared" si="3"/>
        <v>Democrat</v>
      </c>
    </row>
    <row r="102" ht="15.0" customHeight="1">
      <c r="A102" s="5" t="s">
        <v>143</v>
      </c>
      <c r="B102" s="5" t="s">
        <v>145</v>
      </c>
      <c r="C102" s="5" t="s">
        <v>150</v>
      </c>
      <c r="D102" s="11">
        <f>MAX(0, 2*'Precinct Vote Data'!G396 - 'Precinct Vote Data'!G394)</f>
        <v>585</v>
      </c>
      <c r="E102" s="10">
        <f t="array" ref="E102">MIN(1,MAX(0, 'Precinct Vote Data'!H397 + INDEX('Beta Coefficients'!$D:$D, MATCH(A102&amp;"|"&amp;B102&amp;"|"&amp;C102,'Beta Coefficients'!$Q:$Q,0))*(0.483125441908243-0.502219913195008) ))</f>
        <v>0.6397281156</v>
      </c>
      <c r="F102" s="11">
        <f t="shared" si="1"/>
        <v>374</v>
      </c>
      <c r="G102" s="11">
        <f t="shared" si="2"/>
        <v>211</v>
      </c>
      <c r="H102" s="5" t="str">
        <f t="shared" si="3"/>
        <v>Democrat</v>
      </c>
    </row>
    <row r="103" ht="15.0" customHeight="1">
      <c r="A103" s="5" t="s">
        <v>143</v>
      </c>
      <c r="B103" s="5" t="s">
        <v>145</v>
      </c>
      <c r="C103" s="5" t="s">
        <v>151</v>
      </c>
      <c r="D103" s="11">
        <f>MAX(0, 2*'Precinct Vote Data'!G400 - 'Precinct Vote Data'!G398)</f>
        <v>353</v>
      </c>
      <c r="E103" s="10">
        <f t="array" ref="E103">MIN(1,MAX(0, 'Precinct Vote Data'!H401 + INDEX('Beta Coefficients'!$D:$D, MATCH(A103&amp;"|"&amp;B103&amp;"|"&amp;C103,'Beta Coefficients'!$Q:$Q,0))*(0.483125441908243-0.502219913195008) ))</f>
        <v>0.4931490683</v>
      </c>
      <c r="F103" s="11">
        <f t="shared" si="1"/>
        <v>174</v>
      </c>
      <c r="G103" s="11">
        <f t="shared" si="2"/>
        <v>179</v>
      </c>
      <c r="H103" s="5" t="str">
        <f t="shared" si="3"/>
        <v>Republican</v>
      </c>
    </row>
    <row r="104" ht="15.0" customHeight="1">
      <c r="A104" s="5" t="s">
        <v>143</v>
      </c>
      <c r="B104" s="5" t="s">
        <v>145</v>
      </c>
      <c r="C104" s="5" t="s">
        <v>152</v>
      </c>
      <c r="D104" s="11">
        <f>MAX(0, 2*'Precinct Vote Data'!G404 - 'Precinct Vote Data'!G402)</f>
        <v>443</v>
      </c>
      <c r="E104" s="10">
        <f t="array" ref="E104">MIN(1,MAX(0, 'Precinct Vote Data'!H405 + INDEX('Beta Coefficients'!$D:$D, MATCH(A104&amp;"|"&amp;B104&amp;"|"&amp;C104,'Beta Coefficients'!$Q:$Q,0))*(0.483125441908243-0.502219913195008) ))</f>
        <v>0.5976760017</v>
      </c>
      <c r="F104" s="11">
        <f t="shared" si="1"/>
        <v>265</v>
      </c>
      <c r="G104" s="11">
        <f t="shared" si="2"/>
        <v>178</v>
      </c>
      <c r="H104" s="5" t="str">
        <f t="shared" si="3"/>
        <v>Democrat</v>
      </c>
    </row>
    <row r="105" ht="15.0" customHeight="1">
      <c r="A105" s="5" t="s">
        <v>143</v>
      </c>
      <c r="B105" s="5" t="s">
        <v>145</v>
      </c>
      <c r="C105" s="5" t="s">
        <v>153</v>
      </c>
      <c r="D105" s="11">
        <f>MAX(0, 2*'Precinct Vote Data'!G408 - 'Precinct Vote Data'!G406)</f>
        <v>418</v>
      </c>
      <c r="E105" s="10">
        <f t="array" ref="E105">MIN(1,MAX(0, 'Precinct Vote Data'!H409 + INDEX('Beta Coefficients'!$D:$D, MATCH(A105&amp;"|"&amp;B105&amp;"|"&amp;C105,'Beta Coefficients'!$Q:$Q,0))*(0.483125441908243-0.502219913195008) ))</f>
        <v>0.5666364441</v>
      </c>
      <c r="F105" s="11">
        <f t="shared" si="1"/>
        <v>237</v>
      </c>
      <c r="G105" s="11">
        <f t="shared" si="2"/>
        <v>181</v>
      </c>
      <c r="H105" s="5" t="str">
        <f t="shared" si="3"/>
        <v>Democrat</v>
      </c>
    </row>
    <row r="106" ht="15.0" customHeight="1">
      <c r="A106" s="5" t="s">
        <v>143</v>
      </c>
      <c r="B106" s="5" t="s">
        <v>145</v>
      </c>
      <c r="C106" s="5" t="s">
        <v>154</v>
      </c>
      <c r="D106" s="11">
        <f>MAX(0, 2*'Precinct Vote Data'!G412 - 'Precinct Vote Data'!G410)</f>
        <v>361</v>
      </c>
      <c r="E106" s="10">
        <f t="array" ref="E106">MIN(1,MAX(0, 'Precinct Vote Data'!H413 + INDEX('Beta Coefficients'!$D:$D, MATCH(A106&amp;"|"&amp;B106&amp;"|"&amp;C106,'Beta Coefficients'!$Q:$Q,0))*(0.483125441908243-0.502219913195008) ))</f>
        <v>0.5940988546</v>
      </c>
      <c r="F106" s="11">
        <f t="shared" si="1"/>
        <v>214</v>
      </c>
      <c r="G106" s="11">
        <f t="shared" si="2"/>
        <v>147</v>
      </c>
      <c r="H106" s="5" t="str">
        <f t="shared" si="3"/>
        <v>Democrat</v>
      </c>
    </row>
    <row r="107" ht="15.0" customHeight="1">
      <c r="A107" s="5" t="s">
        <v>143</v>
      </c>
      <c r="B107" s="5" t="s">
        <v>145</v>
      </c>
      <c r="C107" s="5" t="s">
        <v>155</v>
      </c>
      <c r="D107" s="11">
        <f>MAX(0, 2*'Precinct Vote Data'!G416 - 'Precinct Vote Data'!G414)</f>
        <v>595</v>
      </c>
      <c r="E107" s="10">
        <f t="array" ref="E107">MIN(1,MAX(0, 'Precinct Vote Data'!H417 + INDEX('Beta Coefficients'!$D:$D, MATCH(A107&amp;"|"&amp;B107&amp;"|"&amp;C107,'Beta Coefficients'!$Q:$Q,0))*(0.483125441908243-0.502219913195008) ))</f>
        <v>0.5966243639</v>
      </c>
      <c r="F107" s="11">
        <f t="shared" si="1"/>
        <v>355</v>
      </c>
      <c r="G107" s="11">
        <f t="shared" si="2"/>
        <v>240</v>
      </c>
      <c r="H107" s="5" t="str">
        <f t="shared" si="3"/>
        <v>Democrat</v>
      </c>
    </row>
    <row r="108" ht="15.0" customHeight="1">
      <c r="A108" s="5" t="s">
        <v>143</v>
      </c>
      <c r="B108" s="5" t="s">
        <v>145</v>
      </c>
      <c r="C108" s="5" t="s">
        <v>156</v>
      </c>
      <c r="D108" s="11">
        <f>MAX(0, 2*'Precinct Vote Data'!G420 - 'Precinct Vote Data'!G418)</f>
        <v>698</v>
      </c>
      <c r="E108" s="10">
        <f t="array" ref="E108">MIN(1,MAX(0, 'Precinct Vote Data'!H421 + INDEX('Beta Coefficients'!$D:$D, MATCH(A108&amp;"|"&amp;B108&amp;"|"&amp;C108,'Beta Coefficients'!$Q:$Q,0))*(0.483125441908243-0.502219913195008) ))</f>
        <v>0.5805367859</v>
      </c>
      <c r="F108" s="11">
        <f t="shared" si="1"/>
        <v>405</v>
      </c>
      <c r="G108" s="11">
        <f t="shared" si="2"/>
        <v>293</v>
      </c>
      <c r="H108" s="5" t="str">
        <f t="shared" si="3"/>
        <v>Democrat</v>
      </c>
    </row>
    <row r="109" ht="15.0" customHeight="1">
      <c r="A109" s="5" t="s">
        <v>143</v>
      </c>
      <c r="B109" s="5" t="s">
        <v>157</v>
      </c>
      <c r="C109" s="5" t="s">
        <v>158</v>
      </c>
      <c r="D109" s="11">
        <f>MAX(0, 2*'Precinct Vote Data'!G424 - 'Precinct Vote Data'!G422)</f>
        <v>700</v>
      </c>
      <c r="E109" s="10">
        <f t="array" ref="E109">MIN(1,MAX(0, 'Precinct Vote Data'!H425 + INDEX('Beta Coefficients'!$D:$D, MATCH(A109&amp;"|"&amp;B109&amp;"|"&amp;C109,'Beta Coefficients'!$Q:$Q,0))*(0.483125441908243-0.502219913195008) ))</f>
        <v>0.6797765646</v>
      </c>
      <c r="F109" s="11">
        <f t="shared" si="1"/>
        <v>476</v>
      </c>
      <c r="G109" s="11">
        <f t="shared" si="2"/>
        <v>224</v>
      </c>
      <c r="H109" s="5" t="str">
        <f t="shared" si="3"/>
        <v>Democrat</v>
      </c>
    </row>
    <row r="110" ht="15.0" customHeight="1">
      <c r="A110" s="5" t="s">
        <v>143</v>
      </c>
      <c r="B110" s="5" t="s">
        <v>157</v>
      </c>
      <c r="C110" s="5" t="s">
        <v>159</v>
      </c>
      <c r="D110" s="11">
        <f>MAX(0, 2*'Precinct Vote Data'!G428 - 'Precinct Vote Data'!G426)</f>
        <v>493</v>
      </c>
      <c r="E110" s="10">
        <f t="array" ref="E110">MIN(1,MAX(0, 'Precinct Vote Data'!H429 + INDEX('Beta Coefficients'!$D:$D, MATCH(A110&amp;"|"&amp;B110&amp;"|"&amp;C110,'Beta Coefficients'!$Q:$Q,0))*(0.483125441908243-0.502219913195008) ))</f>
        <v>0.6128373243</v>
      </c>
      <c r="F110" s="11">
        <f t="shared" si="1"/>
        <v>302</v>
      </c>
      <c r="G110" s="11">
        <f t="shared" si="2"/>
        <v>191</v>
      </c>
      <c r="H110" s="5" t="str">
        <f t="shared" si="3"/>
        <v>Democrat</v>
      </c>
    </row>
    <row r="111" ht="15.0" customHeight="1">
      <c r="A111" s="5" t="s">
        <v>143</v>
      </c>
      <c r="B111" s="5" t="s">
        <v>157</v>
      </c>
      <c r="C111" s="5" t="s">
        <v>160</v>
      </c>
      <c r="D111" s="11">
        <f>MAX(0, 2*'Precinct Vote Data'!G432 - 'Precinct Vote Data'!G430)</f>
        <v>543</v>
      </c>
      <c r="E111" s="10">
        <f t="array" ref="E111">MIN(1,MAX(0, 'Precinct Vote Data'!H433 + INDEX('Beta Coefficients'!$D:$D, MATCH(A111&amp;"|"&amp;B111&amp;"|"&amp;C111,'Beta Coefficients'!$Q:$Q,0))*(0.483125441908243-0.502219913195008) ))</f>
        <v>0.6917726293</v>
      </c>
      <c r="F111" s="11">
        <f t="shared" si="1"/>
        <v>376</v>
      </c>
      <c r="G111" s="11">
        <f t="shared" si="2"/>
        <v>167</v>
      </c>
      <c r="H111" s="5" t="str">
        <f t="shared" si="3"/>
        <v>Democrat</v>
      </c>
    </row>
    <row r="112" ht="15.0" customHeight="1">
      <c r="A112" s="5" t="s">
        <v>143</v>
      </c>
      <c r="B112" s="5" t="s">
        <v>157</v>
      </c>
      <c r="C112" s="5" t="s">
        <v>161</v>
      </c>
      <c r="D112" s="11">
        <f>MAX(0, 2*'Precinct Vote Data'!G436 - 'Precinct Vote Data'!G434)</f>
        <v>674</v>
      </c>
      <c r="E112" s="10">
        <f t="array" ref="E112">MIN(1,MAX(0, 'Precinct Vote Data'!H437 + INDEX('Beta Coefficients'!$D:$D, MATCH(A112&amp;"|"&amp;B112&amp;"|"&amp;C112,'Beta Coefficients'!$Q:$Q,0))*(0.483125441908243-0.502219913195008) ))</f>
        <v>0.6514917428</v>
      </c>
      <c r="F112" s="11">
        <f t="shared" si="1"/>
        <v>439</v>
      </c>
      <c r="G112" s="11">
        <f t="shared" si="2"/>
        <v>235</v>
      </c>
      <c r="H112" s="5" t="str">
        <f t="shared" si="3"/>
        <v>Democrat</v>
      </c>
    </row>
    <row r="113" ht="15.0" customHeight="1">
      <c r="A113" s="5" t="s">
        <v>143</v>
      </c>
      <c r="B113" s="5" t="s">
        <v>157</v>
      </c>
      <c r="C113" s="5" t="s">
        <v>162</v>
      </c>
      <c r="D113" s="11">
        <f>MAX(0, 2*'Precinct Vote Data'!G440 - 'Precinct Vote Data'!G438)</f>
        <v>932</v>
      </c>
      <c r="E113" s="10">
        <f t="array" ref="E113">MIN(1,MAX(0, 'Precinct Vote Data'!H441 + INDEX('Beta Coefficients'!$D:$D, MATCH(A113&amp;"|"&amp;B113&amp;"|"&amp;C113,'Beta Coefficients'!$Q:$Q,0))*(0.483125441908243-0.502219913195008) ))</f>
        <v>0.6439080638</v>
      </c>
      <c r="F113" s="11">
        <f t="shared" si="1"/>
        <v>600</v>
      </c>
      <c r="G113" s="11">
        <f t="shared" si="2"/>
        <v>332</v>
      </c>
      <c r="H113" s="5" t="str">
        <f t="shared" si="3"/>
        <v>Democrat</v>
      </c>
    </row>
    <row r="114" ht="15.0" customHeight="1">
      <c r="A114" s="5" t="s">
        <v>143</v>
      </c>
      <c r="B114" s="5" t="s">
        <v>157</v>
      </c>
      <c r="C114" s="5" t="s">
        <v>163</v>
      </c>
      <c r="D114" s="11">
        <f>MAX(0, 2*'Precinct Vote Data'!G444 - 'Precinct Vote Data'!G442)</f>
        <v>681</v>
      </c>
      <c r="E114" s="10">
        <f t="array" ref="E114">MIN(1,MAX(0, 'Precinct Vote Data'!H445 + INDEX('Beta Coefficients'!$D:$D, MATCH(A114&amp;"|"&amp;B114&amp;"|"&amp;C114,'Beta Coefficients'!$Q:$Q,0))*(0.483125441908243-0.502219913195008) ))</f>
        <v>0.5878290961</v>
      </c>
      <c r="F114" s="11">
        <f t="shared" si="1"/>
        <v>400</v>
      </c>
      <c r="G114" s="11">
        <f t="shared" si="2"/>
        <v>281</v>
      </c>
      <c r="H114" s="5" t="str">
        <f t="shared" si="3"/>
        <v>Democrat</v>
      </c>
    </row>
    <row r="115" ht="15.0" customHeight="1">
      <c r="A115" s="5" t="s">
        <v>143</v>
      </c>
      <c r="B115" s="5" t="s">
        <v>157</v>
      </c>
      <c r="C115" s="5" t="s">
        <v>164</v>
      </c>
      <c r="D115" s="11">
        <f>MAX(0, 2*'Precinct Vote Data'!G448 - 'Precinct Vote Data'!G446)</f>
        <v>810</v>
      </c>
      <c r="E115" s="10">
        <f t="array" ref="E115">MIN(1,MAX(0, 'Precinct Vote Data'!H449 + INDEX('Beta Coefficients'!$D:$D, MATCH(A115&amp;"|"&amp;B115&amp;"|"&amp;C115,'Beta Coefficients'!$Q:$Q,0))*(0.483125441908243-0.502219913195008) ))</f>
        <v>0.5986144995</v>
      </c>
      <c r="F115" s="11">
        <f t="shared" si="1"/>
        <v>485</v>
      </c>
      <c r="G115" s="11">
        <f t="shared" si="2"/>
        <v>325</v>
      </c>
      <c r="H115" s="5" t="str">
        <f t="shared" si="3"/>
        <v>Democrat</v>
      </c>
    </row>
    <row r="116" ht="15.0" customHeight="1">
      <c r="A116" s="5" t="s">
        <v>143</v>
      </c>
      <c r="B116" s="5" t="s">
        <v>157</v>
      </c>
      <c r="C116" s="5" t="s">
        <v>165</v>
      </c>
      <c r="D116" s="11">
        <f>MAX(0, 2*'Precinct Vote Data'!G452 - 'Precinct Vote Data'!G450)</f>
        <v>1034</v>
      </c>
      <c r="E116" s="10">
        <f t="array" ref="E116">MIN(1,MAX(0, 'Precinct Vote Data'!H453 + INDEX('Beta Coefficients'!$D:$D, MATCH(A116&amp;"|"&amp;B116&amp;"|"&amp;C116,'Beta Coefficients'!$Q:$Q,0))*(0.483125441908243-0.502219913195008) ))</f>
        <v>0.5839909174</v>
      </c>
      <c r="F116" s="11">
        <f t="shared" si="1"/>
        <v>604</v>
      </c>
      <c r="G116" s="11">
        <f t="shared" si="2"/>
        <v>430</v>
      </c>
      <c r="H116" s="5" t="str">
        <f t="shared" si="3"/>
        <v>Democrat</v>
      </c>
    </row>
    <row r="117" ht="15.0" customHeight="1">
      <c r="A117" s="5" t="s">
        <v>143</v>
      </c>
      <c r="B117" s="5" t="s">
        <v>157</v>
      </c>
      <c r="C117" s="5" t="s">
        <v>166</v>
      </c>
      <c r="D117" s="11">
        <f>MAX(0, 2*'Precinct Vote Data'!G456 - 'Precinct Vote Data'!G454)</f>
        <v>696</v>
      </c>
      <c r="E117" s="10">
        <f t="array" ref="E117">MIN(1,MAX(0, 'Precinct Vote Data'!H457 + INDEX('Beta Coefficients'!$D:$D, MATCH(A117&amp;"|"&amp;B117&amp;"|"&amp;C117,'Beta Coefficients'!$Q:$Q,0))*(0.483125441908243-0.502219913195008) ))</f>
        <v>0.5825585152</v>
      </c>
      <c r="F117" s="11">
        <f t="shared" si="1"/>
        <v>405</v>
      </c>
      <c r="G117" s="11">
        <f t="shared" si="2"/>
        <v>291</v>
      </c>
      <c r="H117" s="5" t="str">
        <f t="shared" si="3"/>
        <v>Democrat</v>
      </c>
    </row>
    <row r="118" ht="15.0" customHeight="1">
      <c r="A118" s="5" t="s">
        <v>143</v>
      </c>
      <c r="B118" s="5" t="s">
        <v>157</v>
      </c>
      <c r="C118" s="5" t="s">
        <v>167</v>
      </c>
      <c r="D118" s="11">
        <f>MAX(0, 2*'Precinct Vote Data'!G460 - 'Precinct Vote Data'!G458)</f>
        <v>684</v>
      </c>
      <c r="E118" s="10">
        <f t="array" ref="E118">MIN(1,MAX(0, 'Precinct Vote Data'!H461 + INDEX('Beta Coefficients'!$D:$D, MATCH(A118&amp;"|"&amp;B118&amp;"|"&amp;C118,'Beta Coefficients'!$Q:$Q,0))*(0.483125441908243-0.502219913195008) ))</f>
        <v>0.5376357608</v>
      </c>
      <c r="F118" s="11">
        <f t="shared" si="1"/>
        <v>368</v>
      </c>
      <c r="G118" s="11">
        <f t="shared" si="2"/>
        <v>316</v>
      </c>
      <c r="H118" s="5" t="str">
        <f t="shared" si="3"/>
        <v>Democrat</v>
      </c>
    </row>
    <row r="119" ht="15.0" customHeight="1">
      <c r="A119" s="5" t="s">
        <v>143</v>
      </c>
      <c r="B119" s="5" t="s">
        <v>157</v>
      </c>
      <c r="C119" s="5" t="s">
        <v>168</v>
      </c>
      <c r="D119" s="11">
        <f>MAX(0, 2*'Precinct Vote Data'!G464 - 'Precinct Vote Data'!G462)</f>
        <v>715</v>
      </c>
      <c r="E119" s="10">
        <f t="array" ref="E119">MIN(1,MAX(0, 'Precinct Vote Data'!H465 + INDEX('Beta Coefficients'!$D:$D, MATCH(A119&amp;"|"&amp;B119&amp;"|"&amp;C119,'Beta Coefficients'!$Q:$Q,0))*(0.483125441908243-0.502219913195008) ))</f>
        <v>0.6137664005</v>
      </c>
      <c r="F119" s="11">
        <f t="shared" si="1"/>
        <v>439</v>
      </c>
      <c r="G119" s="11">
        <f t="shared" si="2"/>
        <v>276</v>
      </c>
      <c r="H119" s="5" t="str">
        <f t="shared" si="3"/>
        <v>Democrat</v>
      </c>
    </row>
    <row r="120" ht="15.0" customHeight="1">
      <c r="A120" s="5" t="s">
        <v>143</v>
      </c>
      <c r="B120" s="5" t="s">
        <v>157</v>
      </c>
      <c r="C120" s="5" t="s">
        <v>169</v>
      </c>
      <c r="D120" s="11">
        <f>MAX(0, 2*'Precinct Vote Data'!G468 - 'Precinct Vote Data'!G466)</f>
        <v>820</v>
      </c>
      <c r="E120" s="10">
        <f t="array" ref="E120">MIN(1,MAX(0, 'Precinct Vote Data'!H469 + INDEX('Beta Coefficients'!$D:$D, MATCH(A120&amp;"|"&amp;B120&amp;"|"&amp;C120,'Beta Coefficients'!$Q:$Q,0))*(0.483125441908243-0.502219913195008) ))</f>
        <v>0.5952089517</v>
      </c>
      <c r="F120" s="11">
        <f t="shared" si="1"/>
        <v>488</v>
      </c>
      <c r="G120" s="11">
        <f t="shared" si="2"/>
        <v>332</v>
      </c>
      <c r="H120" s="5" t="str">
        <f t="shared" si="3"/>
        <v>Democrat</v>
      </c>
    </row>
    <row r="121" ht="15.0" customHeight="1">
      <c r="A121" s="5" t="s">
        <v>143</v>
      </c>
      <c r="B121" s="5" t="s">
        <v>170</v>
      </c>
      <c r="C121" s="5" t="s">
        <v>171</v>
      </c>
      <c r="D121" s="11">
        <f>MAX(0, 2*'Precinct Vote Data'!G472 - 'Precinct Vote Data'!G470)</f>
        <v>745</v>
      </c>
      <c r="E121" s="10">
        <f t="array" ref="E121">MIN(1,MAX(0, 'Precinct Vote Data'!H473 + INDEX('Beta Coefficients'!$D:$D, MATCH(A121&amp;"|"&amp;B121&amp;"|"&amp;C121,'Beta Coefficients'!$Q:$Q,0))*(0.483125441908243-0.502219913195008) ))</f>
        <v>0.5065435445</v>
      </c>
      <c r="F121" s="11">
        <f t="shared" si="1"/>
        <v>377</v>
      </c>
      <c r="G121" s="11">
        <f t="shared" si="2"/>
        <v>368</v>
      </c>
      <c r="H121" s="5" t="str">
        <f t="shared" si="3"/>
        <v>Democrat</v>
      </c>
    </row>
    <row r="122" ht="15.0" customHeight="1">
      <c r="A122" s="5" t="s">
        <v>143</v>
      </c>
      <c r="B122" s="5" t="s">
        <v>170</v>
      </c>
      <c r="C122" s="5" t="s">
        <v>172</v>
      </c>
      <c r="D122" s="11">
        <f>MAX(0, 2*'Precinct Vote Data'!G476 - 'Precinct Vote Data'!G474)</f>
        <v>691</v>
      </c>
      <c r="E122" s="10">
        <f t="array" ref="E122">MIN(1,MAX(0, 'Precinct Vote Data'!H477 + INDEX('Beta Coefficients'!$D:$D, MATCH(A122&amp;"|"&amp;B122&amp;"|"&amp;C122,'Beta Coefficients'!$Q:$Q,0))*(0.483125441908243-0.502219913195008) ))</f>
        <v>0.4570622136</v>
      </c>
      <c r="F122" s="11">
        <f t="shared" si="1"/>
        <v>316</v>
      </c>
      <c r="G122" s="11">
        <f t="shared" si="2"/>
        <v>375</v>
      </c>
      <c r="H122" s="5" t="str">
        <f t="shared" si="3"/>
        <v>Republican</v>
      </c>
    </row>
    <row r="123" ht="15.0" customHeight="1">
      <c r="A123" s="5" t="s">
        <v>143</v>
      </c>
      <c r="B123" s="5" t="s">
        <v>170</v>
      </c>
      <c r="C123" s="5" t="s">
        <v>173</v>
      </c>
      <c r="D123" s="11">
        <f>MAX(0, 2*'Precinct Vote Data'!G480 - 'Precinct Vote Data'!G478)</f>
        <v>826</v>
      </c>
      <c r="E123" s="10">
        <f t="array" ref="E123">MIN(1,MAX(0, 'Precinct Vote Data'!H481 + INDEX('Beta Coefficients'!$D:$D, MATCH(A123&amp;"|"&amp;B123&amp;"|"&amp;C123,'Beta Coefficients'!$Q:$Q,0))*(0.483125441908243-0.502219913195008) ))</f>
        <v>0.4597656414</v>
      </c>
      <c r="F123" s="11">
        <f t="shared" si="1"/>
        <v>380</v>
      </c>
      <c r="G123" s="11">
        <f t="shared" si="2"/>
        <v>446</v>
      </c>
      <c r="H123" s="5" t="str">
        <f t="shared" si="3"/>
        <v>Republican</v>
      </c>
    </row>
    <row r="124" ht="15.0" customHeight="1">
      <c r="A124" s="5" t="s">
        <v>143</v>
      </c>
      <c r="B124" s="5" t="s">
        <v>174</v>
      </c>
      <c r="C124" s="5" t="s">
        <v>175</v>
      </c>
      <c r="D124" s="11">
        <f>MAX(0, 2*'Precinct Vote Data'!G484 - 'Precinct Vote Data'!G482)</f>
        <v>1479</v>
      </c>
      <c r="E124" s="10">
        <f t="array" ref="E124">MIN(1,MAX(0, 'Precinct Vote Data'!H485 + INDEX('Beta Coefficients'!$D:$D, MATCH(A124&amp;"|"&amp;B124&amp;"|"&amp;C124,'Beta Coefficients'!$Q:$Q,0))*(0.483125441908243-0.502219913195008) ))</f>
        <v>0.4459288331</v>
      </c>
      <c r="F124" s="11">
        <f t="shared" si="1"/>
        <v>660</v>
      </c>
      <c r="G124" s="11">
        <f t="shared" si="2"/>
        <v>819</v>
      </c>
      <c r="H124" s="5" t="str">
        <f t="shared" si="3"/>
        <v>Republican</v>
      </c>
    </row>
    <row r="125" ht="15.0" customHeight="1">
      <c r="A125" s="5" t="s">
        <v>143</v>
      </c>
      <c r="B125" s="5" t="s">
        <v>176</v>
      </c>
      <c r="C125" s="5" t="s">
        <v>177</v>
      </c>
      <c r="D125" s="11">
        <f>MAX(0, 2*'Precinct Vote Data'!G488 - 'Precinct Vote Data'!G486)</f>
        <v>584</v>
      </c>
      <c r="E125" s="10">
        <f t="array" ref="E125">MIN(1,MAX(0, 'Precinct Vote Data'!H489 + INDEX('Beta Coefficients'!$D:$D, MATCH(A125&amp;"|"&amp;B125&amp;"|"&amp;C125,'Beta Coefficients'!$Q:$Q,0))*(0.483125441908243-0.502219913195008) ))</f>
        <v>0.4532579779</v>
      </c>
      <c r="F125" s="11">
        <f t="shared" si="1"/>
        <v>265</v>
      </c>
      <c r="G125" s="11">
        <f t="shared" si="2"/>
        <v>319</v>
      </c>
      <c r="H125" s="5" t="str">
        <f t="shared" si="3"/>
        <v>Republican</v>
      </c>
    </row>
    <row r="126" ht="15.0" customHeight="1">
      <c r="A126" s="5" t="s">
        <v>143</v>
      </c>
      <c r="B126" s="5" t="s">
        <v>176</v>
      </c>
      <c r="C126" s="5" t="s">
        <v>178</v>
      </c>
      <c r="D126" s="11">
        <f>MAX(0, 2*'Precinct Vote Data'!G492 - 'Precinct Vote Data'!G490)</f>
        <v>835</v>
      </c>
      <c r="E126" s="10">
        <f t="array" ref="E126">MIN(1,MAX(0, 'Precinct Vote Data'!H493 + INDEX('Beta Coefficients'!$D:$D, MATCH(A126&amp;"|"&amp;B126&amp;"|"&amp;C126,'Beta Coefficients'!$Q:$Q,0))*(0.483125441908243-0.502219913195008) ))</f>
        <v>0.4794506634</v>
      </c>
      <c r="F126" s="11">
        <f t="shared" si="1"/>
        <v>400</v>
      </c>
      <c r="G126" s="11">
        <f t="shared" si="2"/>
        <v>435</v>
      </c>
      <c r="H126" s="5" t="str">
        <f t="shared" si="3"/>
        <v>Republican</v>
      </c>
    </row>
    <row r="127" ht="15.0" customHeight="1">
      <c r="A127" s="5" t="s">
        <v>143</v>
      </c>
      <c r="B127" s="5" t="s">
        <v>179</v>
      </c>
      <c r="C127" s="5" t="s">
        <v>180</v>
      </c>
      <c r="D127" s="11">
        <f>MAX(0, 2*'Precinct Vote Data'!G496 - 'Precinct Vote Data'!G494)</f>
        <v>954</v>
      </c>
      <c r="E127" s="10">
        <f t="array" ref="E127">MIN(1,MAX(0, 'Precinct Vote Data'!H497 + INDEX('Beta Coefficients'!$D:$D, MATCH(A127&amp;"|"&amp;B127&amp;"|"&amp;C127,'Beta Coefficients'!$Q:$Q,0))*(0.483125441908243-0.502219913195008) ))</f>
        <v>0.5125850745</v>
      </c>
      <c r="F127" s="11">
        <f t="shared" si="1"/>
        <v>489</v>
      </c>
      <c r="G127" s="11">
        <f t="shared" si="2"/>
        <v>465</v>
      </c>
      <c r="H127" s="5" t="str">
        <f t="shared" si="3"/>
        <v>Democrat</v>
      </c>
    </row>
    <row r="128" ht="15.0" customHeight="1">
      <c r="A128" s="5" t="s">
        <v>143</v>
      </c>
      <c r="B128" s="5" t="s">
        <v>179</v>
      </c>
      <c r="C128" s="5" t="s">
        <v>181</v>
      </c>
      <c r="D128" s="11">
        <f>MAX(0, 2*'Precinct Vote Data'!G500 - 'Precinct Vote Data'!G498)</f>
        <v>890</v>
      </c>
      <c r="E128" s="10">
        <f t="array" ref="E128">MIN(1,MAX(0, 'Precinct Vote Data'!H501 + INDEX('Beta Coefficients'!$D:$D, MATCH(A128&amp;"|"&amp;B128&amp;"|"&amp;C128,'Beta Coefficients'!$Q:$Q,0))*(0.483125441908243-0.502219913195008) ))</f>
        <v>0.5195423089</v>
      </c>
      <c r="F128" s="11">
        <f t="shared" si="1"/>
        <v>462</v>
      </c>
      <c r="G128" s="11">
        <f t="shared" si="2"/>
        <v>428</v>
      </c>
      <c r="H128" s="5" t="str">
        <f t="shared" si="3"/>
        <v>Democrat</v>
      </c>
    </row>
    <row r="129" ht="15.0" customHeight="1">
      <c r="A129" s="5" t="s">
        <v>143</v>
      </c>
      <c r="B129" s="5" t="s">
        <v>179</v>
      </c>
      <c r="C129" s="5" t="s">
        <v>182</v>
      </c>
      <c r="D129" s="11">
        <f>MAX(0, 2*'Precinct Vote Data'!G504 - 'Precinct Vote Data'!G502)</f>
        <v>1176</v>
      </c>
      <c r="E129" s="10">
        <f t="array" ref="E129">MIN(1,MAX(0, 'Precinct Vote Data'!H505 + INDEX('Beta Coefficients'!$D:$D, MATCH(A129&amp;"|"&amp;B129&amp;"|"&amp;C129,'Beta Coefficients'!$Q:$Q,0))*(0.483125441908243-0.502219913195008) ))</f>
        <v>0.5037344299</v>
      </c>
      <c r="F129" s="11">
        <f t="shared" si="1"/>
        <v>592</v>
      </c>
      <c r="G129" s="11">
        <f t="shared" si="2"/>
        <v>584</v>
      </c>
      <c r="H129" s="5" t="str">
        <f t="shared" si="3"/>
        <v>Democrat</v>
      </c>
    </row>
    <row r="130" ht="15.0" customHeight="1">
      <c r="A130" s="5" t="s">
        <v>143</v>
      </c>
      <c r="B130" s="5" t="s">
        <v>179</v>
      </c>
      <c r="C130" s="5" t="s">
        <v>183</v>
      </c>
      <c r="D130" s="11">
        <f>MAX(0, 2*'Precinct Vote Data'!G508 - 'Precinct Vote Data'!G506)</f>
        <v>1034</v>
      </c>
      <c r="E130" s="10">
        <f t="array" ref="E130">MIN(1,MAX(0, 'Precinct Vote Data'!H509 + INDEX('Beta Coefficients'!$D:$D, MATCH(A130&amp;"|"&amp;B130&amp;"|"&amp;C130,'Beta Coefficients'!$Q:$Q,0))*(0.483125441908243-0.502219913195008) ))</f>
        <v>0.5167618218</v>
      </c>
      <c r="F130" s="11">
        <f t="shared" si="1"/>
        <v>534</v>
      </c>
      <c r="G130" s="11">
        <f t="shared" si="2"/>
        <v>500</v>
      </c>
      <c r="H130" s="5" t="str">
        <f t="shared" si="3"/>
        <v>Democrat</v>
      </c>
    </row>
    <row r="131" ht="15.0" customHeight="1">
      <c r="A131" s="5" t="s">
        <v>143</v>
      </c>
      <c r="B131" s="5" t="s">
        <v>179</v>
      </c>
      <c r="C131" s="5" t="s">
        <v>184</v>
      </c>
      <c r="D131" s="11">
        <f>MAX(0, 2*'Precinct Vote Data'!G512 - 'Precinct Vote Data'!G510)</f>
        <v>618</v>
      </c>
      <c r="E131" s="10">
        <f t="array" ref="E131">MIN(1,MAX(0, 'Precinct Vote Data'!H513 + INDEX('Beta Coefficients'!$D:$D, MATCH(A131&amp;"|"&amp;B131&amp;"|"&amp;C131,'Beta Coefficients'!$Q:$Q,0))*(0.483125441908243-0.502219913195008) ))</f>
        <v>0.4758906701</v>
      </c>
      <c r="F131" s="11">
        <f t="shared" si="1"/>
        <v>294</v>
      </c>
      <c r="G131" s="11">
        <f t="shared" si="2"/>
        <v>324</v>
      </c>
      <c r="H131" s="5" t="str">
        <f t="shared" si="3"/>
        <v>Republican</v>
      </c>
    </row>
    <row r="132" ht="15.0" customHeight="1">
      <c r="A132" s="5" t="s">
        <v>143</v>
      </c>
      <c r="B132" s="5" t="s">
        <v>179</v>
      </c>
      <c r="C132" s="5" t="s">
        <v>185</v>
      </c>
      <c r="D132" s="11">
        <f>MAX(0, 2*'Precinct Vote Data'!G516 - 'Precinct Vote Data'!G514)</f>
        <v>1107</v>
      </c>
      <c r="E132" s="10">
        <f t="array" ref="E132">MIN(1,MAX(0, 'Precinct Vote Data'!H517 + INDEX('Beta Coefficients'!$D:$D, MATCH(A132&amp;"|"&amp;B132&amp;"|"&amp;C132,'Beta Coefficients'!$Q:$Q,0))*(0.483125441908243-0.502219913195008) ))</f>
        <v>0.5642781716</v>
      </c>
      <c r="F132" s="11">
        <f t="shared" si="1"/>
        <v>625</v>
      </c>
      <c r="G132" s="11">
        <f t="shared" si="2"/>
        <v>482</v>
      </c>
      <c r="H132" s="5" t="str">
        <f t="shared" si="3"/>
        <v>Democrat</v>
      </c>
    </row>
    <row r="133" ht="15.0" customHeight="1">
      <c r="A133" s="5" t="s">
        <v>143</v>
      </c>
      <c r="B133" s="5" t="s">
        <v>186</v>
      </c>
      <c r="C133" s="5" t="s">
        <v>187</v>
      </c>
      <c r="D133" s="11">
        <f>MAX(0, 2*'Precinct Vote Data'!G520 - 'Precinct Vote Data'!G518)</f>
        <v>575</v>
      </c>
      <c r="E133" s="10">
        <f t="array" ref="E133">MIN(1,MAX(0, 'Precinct Vote Data'!H521 + INDEX('Beta Coefficients'!$D:$D, MATCH(A133&amp;"|"&amp;B133&amp;"|"&amp;C133,'Beta Coefficients'!$Q:$Q,0))*(0.483125441908243-0.502219913195008) ))</f>
        <v>0.6354925764</v>
      </c>
      <c r="F133" s="11">
        <f t="shared" si="1"/>
        <v>365</v>
      </c>
      <c r="G133" s="11">
        <f t="shared" si="2"/>
        <v>210</v>
      </c>
      <c r="H133" s="5" t="str">
        <f t="shared" si="3"/>
        <v>Democrat</v>
      </c>
    </row>
    <row r="134" ht="15.0" customHeight="1">
      <c r="A134" s="5" t="s">
        <v>143</v>
      </c>
      <c r="B134" s="5" t="s">
        <v>186</v>
      </c>
      <c r="C134" s="5" t="s">
        <v>188</v>
      </c>
      <c r="D134" s="11">
        <f>MAX(0, 2*'Precinct Vote Data'!G524 - 'Precinct Vote Data'!G522)</f>
        <v>445</v>
      </c>
      <c r="E134" s="10">
        <f t="array" ref="E134">MIN(1,MAX(0, 'Precinct Vote Data'!H525 + INDEX('Beta Coefficients'!$D:$D, MATCH(A134&amp;"|"&amp;B134&amp;"|"&amp;C134,'Beta Coefficients'!$Q:$Q,0))*(0.483125441908243-0.502219913195008) ))</f>
        <v>0.6095910369</v>
      </c>
      <c r="F134" s="11">
        <f t="shared" si="1"/>
        <v>271</v>
      </c>
      <c r="G134" s="11">
        <f t="shared" si="2"/>
        <v>174</v>
      </c>
      <c r="H134" s="5" t="str">
        <f t="shared" si="3"/>
        <v>Democrat</v>
      </c>
    </row>
    <row r="135" ht="15.0" customHeight="1">
      <c r="A135" s="5" t="s">
        <v>143</v>
      </c>
      <c r="B135" s="5" t="s">
        <v>186</v>
      </c>
      <c r="C135" s="5" t="s">
        <v>189</v>
      </c>
      <c r="D135" s="11">
        <f>MAX(0, 2*'Precinct Vote Data'!G528 - 'Precinct Vote Data'!G526)</f>
        <v>538</v>
      </c>
      <c r="E135" s="10">
        <f t="array" ref="E135">MIN(1,MAX(0, 'Precinct Vote Data'!H529 + INDEX('Beta Coefficients'!$D:$D, MATCH(A135&amp;"|"&amp;B135&amp;"|"&amp;C135,'Beta Coefficients'!$Q:$Q,0))*(0.483125441908243-0.502219913195008) ))</f>
        <v>0.6068691852</v>
      </c>
      <c r="F135" s="11">
        <f t="shared" si="1"/>
        <v>326</v>
      </c>
      <c r="G135" s="11">
        <f t="shared" si="2"/>
        <v>212</v>
      </c>
      <c r="H135" s="5" t="str">
        <f t="shared" si="3"/>
        <v>Democrat</v>
      </c>
    </row>
    <row r="136" ht="15.0" customHeight="1">
      <c r="A136" s="5" t="s">
        <v>143</v>
      </c>
      <c r="B136" s="5" t="s">
        <v>190</v>
      </c>
      <c r="C136" s="5" t="s">
        <v>191</v>
      </c>
      <c r="D136" s="11">
        <f>MAX(0, 2*'Precinct Vote Data'!G532 - 'Precinct Vote Data'!G530)</f>
        <v>442</v>
      </c>
      <c r="E136" s="10">
        <f t="array" ref="E136">MIN(1,MAX(0, 'Precinct Vote Data'!H533 + INDEX('Beta Coefficients'!$D:$D, MATCH(A136&amp;"|"&amp;B136&amp;"|"&amp;C136,'Beta Coefficients'!$Q:$Q,0))*(0.483125441908243-0.502219913195008) ))</f>
        <v>0.5087575052</v>
      </c>
      <c r="F136" s="11">
        <f t="shared" si="1"/>
        <v>225</v>
      </c>
      <c r="G136" s="11">
        <f t="shared" si="2"/>
        <v>217</v>
      </c>
      <c r="H136" s="5" t="str">
        <f t="shared" si="3"/>
        <v>Democrat</v>
      </c>
    </row>
    <row r="137" ht="15.0" customHeight="1">
      <c r="A137" s="5" t="s">
        <v>143</v>
      </c>
      <c r="B137" s="5" t="s">
        <v>192</v>
      </c>
      <c r="C137" s="5" t="s">
        <v>193</v>
      </c>
      <c r="D137" s="11">
        <f>MAX(0, 2*'Precinct Vote Data'!G536 - 'Precinct Vote Data'!G534)</f>
        <v>1826</v>
      </c>
      <c r="E137" s="10">
        <f t="array" ref="E137">MIN(1,MAX(0, 'Precinct Vote Data'!H537 + INDEX('Beta Coefficients'!$D:$D, MATCH(A137&amp;"|"&amp;B137&amp;"|"&amp;C137,'Beta Coefficients'!$Q:$Q,0))*(0.483125441908243-0.502219913195008) ))</f>
        <v>0.285500071</v>
      </c>
      <c r="F137" s="11">
        <f t="shared" si="1"/>
        <v>521</v>
      </c>
      <c r="G137" s="11">
        <f t="shared" si="2"/>
        <v>1305</v>
      </c>
      <c r="H137" s="5" t="str">
        <f t="shared" si="3"/>
        <v>Republican</v>
      </c>
    </row>
    <row r="138" ht="15.0" customHeight="1">
      <c r="A138" s="5" t="s">
        <v>143</v>
      </c>
      <c r="B138" s="5" t="s">
        <v>194</v>
      </c>
      <c r="C138" s="5" t="s">
        <v>195</v>
      </c>
      <c r="D138" s="11">
        <f>MAX(0, 2*'Precinct Vote Data'!G540 - 'Precinct Vote Data'!G538)</f>
        <v>1804</v>
      </c>
      <c r="E138" s="10">
        <f t="array" ref="E138">MIN(1,MAX(0, 'Precinct Vote Data'!H541 + INDEX('Beta Coefficients'!$D:$D, MATCH(A138&amp;"|"&amp;B138&amp;"|"&amp;C138,'Beta Coefficients'!$Q:$Q,0))*(0.483125441908243-0.502219913195008) ))</f>
        <v>0.4917432445</v>
      </c>
      <c r="F138" s="11">
        <f t="shared" si="1"/>
        <v>887</v>
      </c>
      <c r="G138" s="11">
        <f t="shared" si="2"/>
        <v>917</v>
      </c>
      <c r="H138" s="5" t="str">
        <f t="shared" si="3"/>
        <v>Republican</v>
      </c>
    </row>
    <row r="139" ht="15.0" customHeight="1">
      <c r="A139" s="5" t="s">
        <v>143</v>
      </c>
      <c r="B139" s="5" t="s">
        <v>194</v>
      </c>
      <c r="C139" s="5" t="s">
        <v>196</v>
      </c>
      <c r="D139" s="11">
        <f>MAX(0, 2*'Precinct Vote Data'!G544 - 'Precinct Vote Data'!G542)</f>
        <v>3248</v>
      </c>
      <c r="E139" s="10">
        <f t="array" ref="E139">MIN(1,MAX(0, 'Precinct Vote Data'!H545 + INDEX('Beta Coefficients'!$D:$D, MATCH(A139&amp;"|"&amp;B139&amp;"|"&amp;C139,'Beta Coefficients'!$Q:$Q,0))*(0.483125441908243-0.502219913195008) ))</f>
        <v>0.493199191</v>
      </c>
      <c r="F139" s="11">
        <f t="shared" si="1"/>
        <v>1602</v>
      </c>
      <c r="G139" s="11">
        <f t="shared" si="2"/>
        <v>1646</v>
      </c>
      <c r="H139" s="5" t="str">
        <f t="shared" si="3"/>
        <v>Republican</v>
      </c>
    </row>
    <row r="140" ht="15.0" customHeight="1">
      <c r="A140" s="5" t="s">
        <v>143</v>
      </c>
      <c r="B140" s="5" t="s">
        <v>194</v>
      </c>
      <c r="C140" s="5" t="s">
        <v>197</v>
      </c>
      <c r="D140" s="11">
        <f>MAX(0, 2*'Precinct Vote Data'!G548 - 'Precinct Vote Data'!G546)</f>
        <v>1699</v>
      </c>
      <c r="E140" s="10">
        <f t="array" ref="E140">MIN(1,MAX(0, 'Precinct Vote Data'!H549 + INDEX('Beta Coefficients'!$D:$D, MATCH(A140&amp;"|"&amp;B140&amp;"|"&amp;C140,'Beta Coefficients'!$Q:$Q,0))*(0.483125441908243-0.502219913195008) ))</f>
        <v>0.4674107665</v>
      </c>
      <c r="F140" s="11">
        <f t="shared" si="1"/>
        <v>794</v>
      </c>
      <c r="G140" s="11">
        <f t="shared" si="2"/>
        <v>905</v>
      </c>
      <c r="H140" s="5" t="str">
        <f t="shared" si="3"/>
        <v>Republican</v>
      </c>
    </row>
    <row r="141" ht="15.0" customHeight="1">
      <c r="A141" s="5" t="s">
        <v>143</v>
      </c>
      <c r="B141" s="5" t="s">
        <v>194</v>
      </c>
      <c r="C141" s="5" t="s">
        <v>198</v>
      </c>
      <c r="D141" s="11">
        <f>MAX(0, 2*'Precinct Vote Data'!G552 - 'Precinct Vote Data'!G550)</f>
        <v>1440</v>
      </c>
      <c r="E141" s="10">
        <f t="array" ref="E141">MIN(1,MAX(0, 'Precinct Vote Data'!H553 + INDEX('Beta Coefficients'!$D:$D, MATCH(A141&amp;"|"&amp;B141&amp;"|"&amp;C141,'Beta Coefficients'!$Q:$Q,0))*(0.483125441908243-0.502219913195008) ))</f>
        <v>0.4683936493</v>
      </c>
      <c r="F141" s="11">
        <f t="shared" si="1"/>
        <v>674</v>
      </c>
      <c r="G141" s="11">
        <f t="shared" si="2"/>
        <v>766</v>
      </c>
      <c r="H141" s="5" t="str">
        <f t="shared" si="3"/>
        <v>Republican</v>
      </c>
    </row>
    <row r="142" ht="15.0" customHeight="1">
      <c r="A142" s="5" t="s">
        <v>143</v>
      </c>
      <c r="B142" s="5" t="s">
        <v>194</v>
      </c>
      <c r="C142" s="5" t="s">
        <v>199</v>
      </c>
      <c r="D142" s="11">
        <f>MAX(0, 2*'Precinct Vote Data'!G556 - 'Precinct Vote Data'!G554)</f>
        <v>1337</v>
      </c>
      <c r="E142" s="10">
        <f t="array" ref="E142">MIN(1,MAX(0, 'Precinct Vote Data'!H557 + INDEX('Beta Coefficients'!$D:$D, MATCH(A142&amp;"|"&amp;B142&amp;"|"&amp;C142,'Beta Coefficients'!$Q:$Q,0))*(0.483125441908243-0.502219913195008) ))</f>
        <v>0.5190991244</v>
      </c>
      <c r="F142" s="11">
        <f t="shared" si="1"/>
        <v>694</v>
      </c>
      <c r="G142" s="11">
        <f t="shared" si="2"/>
        <v>643</v>
      </c>
      <c r="H142" s="5" t="str">
        <f t="shared" si="3"/>
        <v>Democrat</v>
      </c>
    </row>
    <row r="143" ht="15.0" customHeight="1">
      <c r="A143" s="5" t="s">
        <v>143</v>
      </c>
      <c r="B143" s="5" t="s">
        <v>194</v>
      </c>
      <c r="C143" s="5" t="s">
        <v>200</v>
      </c>
      <c r="D143" s="11">
        <f>MAX(0, 2*'Precinct Vote Data'!G560 - 'Precinct Vote Data'!G558)</f>
        <v>2641</v>
      </c>
      <c r="E143" s="10">
        <f t="array" ref="E143">MIN(1,MAX(0, 'Precinct Vote Data'!H561 + INDEX('Beta Coefficients'!$D:$D, MATCH(A143&amp;"|"&amp;B143&amp;"|"&amp;C143,'Beta Coefficients'!$Q:$Q,0))*(0.483125441908243-0.502219913195008) ))</f>
        <v>0.4442619758</v>
      </c>
      <c r="F143" s="11">
        <f t="shared" si="1"/>
        <v>1173</v>
      </c>
      <c r="G143" s="11">
        <f t="shared" si="2"/>
        <v>1468</v>
      </c>
      <c r="H143" s="5" t="str">
        <f t="shared" si="3"/>
        <v>Republican</v>
      </c>
    </row>
    <row r="144" ht="15.0" customHeight="1">
      <c r="A144" s="5" t="s">
        <v>143</v>
      </c>
      <c r="B144" s="5" t="s">
        <v>194</v>
      </c>
      <c r="C144" s="5" t="s">
        <v>201</v>
      </c>
      <c r="D144" s="11">
        <f>MAX(0, 2*'Precinct Vote Data'!G564 - 'Precinct Vote Data'!G562)</f>
        <v>1453</v>
      </c>
      <c r="E144" s="10">
        <f t="array" ref="E144">MIN(1,MAX(0, 'Precinct Vote Data'!H565 + INDEX('Beta Coefficients'!$D:$D, MATCH(A144&amp;"|"&amp;B144&amp;"|"&amp;C144,'Beta Coefficients'!$Q:$Q,0))*(0.483125441908243-0.502219913195008) ))</f>
        <v>0.5278437694</v>
      </c>
      <c r="F144" s="11">
        <f t="shared" si="1"/>
        <v>767</v>
      </c>
      <c r="G144" s="11">
        <f t="shared" si="2"/>
        <v>686</v>
      </c>
      <c r="H144" s="5" t="str">
        <f t="shared" si="3"/>
        <v>Democrat</v>
      </c>
    </row>
    <row r="145" ht="15.0" customHeight="1">
      <c r="A145" s="5" t="s">
        <v>143</v>
      </c>
      <c r="B145" s="5" t="s">
        <v>194</v>
      </c>
      <c r="C145" s="5" t="s">
        <v>202</v>
      </c>
      <c r="D145" s="11">
        <f>MAX(0, 2*'Precinct Vote Data'!G568 - 'Precinct Vote Data'!G566)</f>
        <v>1559</v>
      </c>
      <c r="E145" s="10">
        <f t="array" ref="E145">MIN(1,MAX(0, 'Precinct Vote Data'!H569 + INDEX('Beta Coefficients'!$D:$D, MATCH(A145&amp;"|"&amp;B145&amp;"|"&amp;C145,'Beta Coefficients'!$Q:$Q,0))*(0.483125441908243-0.502219913195008) ))</f>
        <v>0.5135930649</v>
      </c>
      <c r="F145" s="11">
        <f t="shared" si="1"/>
        <v>801</v>
      </c>
      <c r="G145" s="11">
        <f t="shared" si="2"/>
        <v>758</v>
      </c>
      <c r="H145" s="5" t="str">
        <f t="shared" si="3"/>
        <v>Democrat</v>
      </c>
    </row>
    <row r="146" ht="15.0" customHeight="1">
      <c r="A146" s="5" t="s">
        <v>143</v>
      </c>
      <c r="B146" s="5" t="s">
        <v>194</v>
      </c>
      <c r="C146" s="5" t="s">
        <v>203</v>
      </c>
      <c r="D146" s="11">
        <f>MAX(0, 2*'Precinct Vote Data'!G572 - 'Precinct Vote Data'!G570)</f>
        <v>949</v>
      </c>
      <c r="E146" s="10">
        <f t="array" ref="E146">MIN(1,MAX(0, 'Precinct Vote Data'!H573 + INDEX('Beta Coefficients'!$D:$D, MATCH(A146&amp;"|"&amp;B146&amp;"|"&amp;C146,'Beta Coefficients'!$Q:$Q,0))*(0.483125441908243-0.502219913195008) ))</f>
        <v>0.4907317213</v>
      </c>
      <c r="F146" s="11">
        <f t="shared" si="1"/>
        <v>466</v>
      </c>
      <c r="G146" s="11">
        <f t="shared" si="2"/>
        <v>483</v>
      </c>
      <c r="H146" s="5" t="str">
        <f t="shared" si="3"/>
        <v>Republican</v>
      </c>
    </row>
    <row r="147" ht="15.0" customHeight="1">
      <c r="A147" s="5" t="s">
        <v>143</v>
      </c>
      <c r="B147" s="5" t="s">
        <v>194</v>
      </c>
      <c r="C147" s="5" t="s">
        <v>204</v>
      </c>
      <c r="D147" s="11">
        <f>MAX(0, 2*'Precinct Vote Data'!G576 - 'Precinct Vote Data'!G574)</f>
        <v>1694</v>
      </c>
      <c r="E147" s="10">
        <f t="array" ref="E147">MIN(1,MAX(0, 'Precinct Vote Data'!H577 + INDEX('Beta Coefficients'!$D:$D, MATCH(A147&amp;"|"&amp;B147&amp;"|"&amp;C147,'Beta Coefficients'!$Q:$Q,0))*(0.483125441908243-0.502219913195008) ))</f>
        <v>0.4715067091</v>
      </c>
      <c r="F147" s="11">
        <f t="shared" si="1"/>
        <v>799</v>
      </c>
      <c r="G147" s="11">
        <f t="shared" si="2"/>
        <v>895</v>
      </c>
      <c r="H147" s="5" t="str">
        <f t="shared" si="3"/>
        <v>Republican</v>
      </c>
    </row>
    <row r="148" ht="15.0" customHeight="1">
      <c r="A148" s="5" t="s">
        <v>143</v>
      </c>
      <c r="B148" s="5" t="s">
        <v>205</v>
      </c>
      <c r="C148" s="5" t="s">
        <v>206</v>
      </c>
      <c r="D148" s="11">
        <f>MAX(0, 2*'Precinct Vote Data'!G580 - 'Precinct Vote Data'!G578)</f>
        <v>2470</v>
      </c>
      <c r="E148" s="10">
        <f t="array" ref="E148">MIN(1,MAX(0, 'Precinct Vote Data'!H581 + INDEX('Beta Coefficients'!$D:$D, MATCH(A148&amp;"|"&amp;B148&amp;"|"&amp;C148,'Beta Coefficients'!$Q:$Q,0))*(0.483125441908243-0.502219913195008) ))</f>
        <v>0.3714209964</v>
      </c>
      <c r="F148" s="11">
        <f t="shared" si="1"/>
        <v>917</v>
      </c>
      <c r="G148" s="11">
        <f t="shared" si="2"/>
        <v>1553</v>
      </c>
      <c r="H148" s="5" t="str">
        <f t="shared" si="3"/>
        <v>Republican</v>
      </c>
    </row>
    <row r="149" ht="15.0" customHeight="1">
      <c r="A149" s="5" t="s">
        <v>143</v>
      </c>
      <c r="B149" s="5" t="s">
        <v>207</v>
      </c>
      <c r="C149" s="5" t="s">
        <v>208</v>
      </c>
      <c r="D149" s="11">
        <f>MAX(0, 2*'Precinct Vote Data'!G584 - 'Precinct Vote Data'!G582)</f>
        <v>1343</v>
      </c>
      <c r="E149" s="10">
        <f t="array" ref="E149">MIN(1,MAX(0, 'Precinct Vote Data'!H585 + INDEX('Beta Coefficients'!$D:$D, MATCH(A149&amp;"|"&amp;B149&amp;"|"&amp;C149,'Beta Coefficients'!$Q:$Q,0))*(0.483125441908243-0.502219913195008) ))</f>
        <v>0.3432748252</v>
      </c>
      <c r="F149" s="11">
        <f t="shared" si="1"/>
        <v>461</v>
      </c>
      <c r="G149" s="11">
        <f t="shared" si="2"/>
        <v>882</v>
      </c>
      <c r="H149" s="5" t="str">
        <f t="shared" si="3"/>
        <v>Republican</v>
      </c>
    </row>
    <row r="150" ht="15.0" customHeight="1">
      <c r="A150" s="5" t="s">
        <v>143</v>
      </c>
      <c r="B150" s="5" t="s">
        <v>209</v>
      </c>
      <c r="C150" s="5" t="s">
        <v>210</v>
      </c>
      <c r="D150" s="11">
        <f>MAX(0, 2*'Precinct Vote Data'!G588 - 'Precinct Vote Data'!G586)</f>
        <v>655</v>
      </c>
      <c r="E150" s="10">
        <f t="array" ref="E150">MIN(1,MAX(0, 'Precinct Vote Data'!H589 + INDEX('Beta Coefficients'!$D:$D, MATCH(A150&amp;"|"&amp;B150&amp;"|"&amp;C150,'Beta Coefficients'!$Q:$Q,0))*(0.483125441908243-0.502219913195008) ))</f>
        <v>0.2731175135</v>
      </c>
      <c r="F150" s="11">
        <f t="shared" si="1"/>
        <v>179</v>
      </c>
      <c r="G150" s="11">
        <f t="shared" si="2"/>
        <v>476</v>
      </c>
      <c r="H150" s="5" t="str">
        <f t="shared" si="3"/>
        <v>Republican</v>
      </c>
    </row>
    <row r="151" ht="15.0" customHeight="1">
      <c r="A151" s="5" t="s">
        <v>143</v>
      </c>
      <c r="B151" s="5" t="s">
        <v>209</v>
      </c>
      <c r="C151" s="5" t="s">
        <v>211</v>
      </c>
      <c r="D151" s="11">
        <f>MAX(0, 2*'Precinct Vote Data'!G592 - 'Precinct Vote Data'!G590)</f>
        <v>369</v>
      </c>
      <c r="E151" s="10">
        <f t="array" ref="E151">MIN(1,MAX(0, 'Precinct Vote Data'!H593 + INDEX('Beta Coefficients'!$D:$D, MATCH(A151&amp;"|"&amp;B151&amp;"|"&amp;C151,'Beta Coefficients'!$Q:$Q,0))*(0.483125441908243-0.502219913195008) ))</f>
        <v>0.3051478134</v>
      </c>
      <c r="F151" s="11">
        <f t="shared" si="1"/>
        <v>113</v>
      </c>
      <c r="G151" s="11">
        <f t="shared" si="2"/>
        <v>256</v>
      </c>
      <c r="H151" s="5" t="str">
        <f t="shared" si="3"/>
        <v>Republican</v>
      </c>
    </row>
    <row r="152" ht="15.0" customHeight="1">
      <c r="A152" s="5" t="s">
        <v>143</v>
      </c>
      <c r="B152" s="5" t="s">
        <v>209</v>
      </c>
      <c r="C152" s="5" t="s">
        <v>212</v>
      </c>
      <c r="D152" s="11">
        <f>MAX(0, 2*'Precinct Vote Data'!G596 - 'Precinct Vote Data'!G594)</f>
        <v>1426</v>
      </c>
      <c r="E152" s="10">
        <f t="array" ref="E152">MIN(1,MAX(0, 'Precinct Vote Data'!H597 + INDEX('Beta Coefficients'!$D:$D, MATCH(A152&amp;"|"&amp;B152&amp;"|"&amp;C152,'Beta Coefficients'!$Q:$Q,0))*(0.483125441908243-0.502219913195008) ))</f>
        <v>0.318075826</v>
      </c>
      <c r="F152" s="11">
        <f t="shared" si="1"/>
        <v>454</v>
      </c>
      <c r="G152" s="11">
        <f t="shared" si="2"/>
        <v>972</v>
      </c>
      <c r="H152" s="5" t="str">
        <f t="shared" si="3"/>
        <v>Republican</v>
      </c>
    </row>
    <row r="153" ht="15.0" customHeight="1">
      <c r="A153" s="5" t="s">
        <v>143</v>
      </c>
      <c r="B153" s="5" t="s">
        <v>213</v>
      </c>
      <c r="C153" s="5" t="s">
        <v>214</v>
      </c>
      <c r="D153" s="11">
        <f>MAX(0, 2*'Precinct Vote Data'!G600 - 'Precinct Vote Data'!G598)</f>
        <v>1557</v>
      </c>
      <c r="E153" s="10">
        <f t="array" ref="E153">MIN(1,MAX(0, 'Precinct Vote Data'!H601 + INDEX('Beta Coefficients'!$D:$D, MATCH(A153&amp;"|"&amp;B153&amp;"|"&amp;C153,'Beta Coefficients'!$Q:$Q,0))*(0.483125441908243-0.502219913195008) ))</f>
        <v>0.5242849259</v>
      </c>
      <c r="F153" s="11">
        <f t="shared" si="1"/>
        <v>816</v>
      </c>
      <c r="G153" s="11">
        <f t="shared" si="2"/>
        <v>741</v>
      </c>
      <c r="H153" s="5" t="str">
        <f t="shared" si="3"/>
        <v>Democrat</v>
      </c>
    </row>
    <row r="154" ht="15.0" customHeight="1">
      <c r="A154" s="5" t="s">
        <v>143</v>
      </c>
      <c r="B154" s="5" t="s">
        <v>215</v>
      </c>
      <c r="C154" s="5" t="s">
        <v>216</v>
      </c>
      <c r="D154" s="11">
        <f>MAX(0, 2*'Precinct Vote Data'!G604 - 'Precinct Vote Data'!G602)</f>
        <v>2087</v>
      </c>
      <c r="E154" s="10">
        <f t="array" ref="E154">MIN(1,MAX(0, 'Precinct Vote Data'!H605 + INDEX('Beta Coefficients'!$D:$D, MATCH(A154&amp;"|"&amp;B154&amp;"|"&amp;C154,'Beta Coefficients'!$Q:$Q,0))*(0.483125441908243-0.502219913195008) ))</f>
        <v>0.4221313909</v>
      </c>
      <c r="F154" s="11">
        <f t="shared" si="1"/>
        <v>881</v>
      </c>
      <c r="G154" s="11">
        <f t="shared" si="2"/>
        <v>1206</v>
      </c>
      <c r="H154" s="5" t="str">
        <f t="shared" si="3"/>
        <v>Republican</v>
      </c>
    </row>
    <row r="155" ht="15.0" customHeight="1">
      <c r="A155" s="5" t="s">
        <v>143</v>
      </c>
      <c r="B155" s="5" t="s">
        <v>215</v>
      </c>
      <c r="C155" s="5" t="s">
        <v>217</v>
      </c>
      <c r="D155" s="11">
        <f>MAX(0, 2*'Precinct Vote Data'!G608 - 'Precinct Vote Data'!G606)</f>
        <v>1923</v>
      </c>
      <c r="E155" s="10">
        <f t="array" ref="E155">MIN(1,MAX(0, 'Precinct Vote Data'!H609 + INDEX('Beta Coefficients'!$D:$D, MATCH(A155&amp;"|"&amp;B155&amp;"|"&amp;C155,'Beta Coefficients'!$Q:$Q,0))*(0.483125441908243-0.502219913195008) ))</f>
        <v>0.3764993355</v>
      </c>
      <c r="F155" s="11">
        <f t="shared" si="1"/>
        <v>724</v>
      </c>
      <c r="G155" s="11">
        <f t="shared" si="2"/>
        <v>1199</v>
      </c>
      <c r="H155" s="5" t="str">
        <f t="shared" si="3"/>
        <v>Republican</v>
      </c>
    </row>
    <row r="156" ht="15.0" customHeight="1">
      <c r="A156" s="5" t="s">
        <v>143</v>
      </c>
      <c r="B156" s="5" t="s">
        <v>215</v>
      </c>
      <c r="C156" s="5" t="s">
        <v>218</v>
      </c>
      <c r="D156" s="11">
        <f>MAX(0, 2*'Precinct Vote Data'!G612 - 'Precinct Vote Data'!G610)</f>
        <v>996</v>
      </c>
      <c r="E156" s="10">
        <f t="array" ref="E156">MIN(1,MAX(0, 'Precinct Vote Data'!H613 + INDEX('Beta Coefficients'!$D:$D, MATCH(A156&amp;"|"&amp;B156&amp;"|"&amp;C156,'Beta Coefficients'!$Q:$Q,0))*(0.483125441908243-0.502219913195008) ))</f>
        <v>0.383945429</v>
      </c>
      <c r="F156" s="11">
        <f t="shared" si="1"/>
        <v>382</v>
      </c>
      <c r="G156" s="11">
        <f t="shared" si="2"/>
        <v>614</v>
      </c>
      <c r="H156" s="5" t="str">
        <f t="shared" si="3"/>
        <v>Republican</v>
      </c>
    </row>
    <row r="157" ht="15.0" customHeight="1">
      <c r="A157" s="5" t="s">
        <v>143</v>
      </c>
      <c r="B157" s="5" t="s">
        <v>215</v>
      </c>
      <c r="C157" s="5" t="s">
        <v>219</v>
      </c>
      <c r="D157" s="11">
        <f>MAX(0, 2*'Precinct Vote Data'!G616 - 'Precinct Vote Data'!G614)</f>
        <v>1512</v>
      </c>
      <c r="E157" s="10">
        <f t="array" ref="E157">MIN(1,MAX(0, 'Precinct Vote Data'!H617 + INDEX('Beta Coefficients'!$D:$D, MATCH(A157&amp;"|"&amp;B157&amp;"|"&amp;C157,'Beta Coefficients'!$Q:$Q,0))*(0.483125441908243-0.502219913195008) ))</f>
        <v>0.4020850434</v>
      </c>
      <c r="F157" s="11">
        <f t="shared" si="1"/>
        <v>608</v>
      </c>
      <c r="G157" s="11">
        <f t="shared" si="2"/>
        <v>904</v>
      </c>
      <c r="H157" s="5" t="str">
        <f t="shared" si="3"/>
        <v>Republican</v>
      </c>
    </row>
    <row r="158" ht="15.0" customHeight="1">
      <c r="A158" s="5" t="s">
        <v>143</v>
      </c>
      <c r="B158" s="5" t="s">
        <v>215</v>
      </c>
      <c r="C158" s="5" t="s">
        <v>220</v>
      </c>
      <c r="D158" s="11">
        <f>MAX(0, 2*'Precinct Vote Data'!G620 - 'Precinct Vote Data'!G618)</f>
        <v>1358</v>
      </c>
      <c r="E158" s="10">
        <f t="array" ref="E158">MIN(1,MAX(0, 'Precinct Vote Data'!H621 + INDEX('Beta Coefficients'!$D:$D, MATCH(A158&amp;"|"&amp;B158&amp;"|"&amp;C158,'Beta Coefficients'!$Q:$Q,0))*(0.483125441908243-0.502219913195008) ))</f>
        <v>0.3896097377</v>
      </c>
      <c r="F158" s="11">
        <f t="shared" si="1"/>
        <v>529</v>
      </c>
      <c r="G158" s="11">
        <f t="shared" si="2"/>
        <v>829</v>
      </c>
      <c r="H158" s="5" t="str">
        <f t="shared" si="3"/>
        <v>Republican</v>
      </c>
    </row>
    <row r="159" ht="15.0" customHeight="1">
      <c r="A159" s="5" t="s">
        <v>143</v>
      </c>
      <c r="B159" s="5" t="s">
        <v>215</v>
      </c>
      <c r="C159" s="5" t="s">
        <v>221</v>
      </c>
      <c r="D159" s="11">
        <f>MAX(0, 2*'Precinct Vote Data'!G624 - 'Precinct Vote Data'!G622)</f>
        <v>929</v>
      </c>
      <c r="E159" s="10">
        <f t="array" ref="E159">MIN(1,MAX(0, 'Precinct Vote Data'!H625 + INDEX('Beta Coefficients'!$D:$D, MATCH(A159&amp;"|"&amp;B159&amp;"|"&amp;C159,'Beta Coefficients'!$Q:$Q,0))*(0.483125441908243-0.502219913195008) ))</f>
        <v>0.391158925</v>
      </c>
      <c r="F159" s="11">
        <f t="shared" si="1"/>
        <v>363</v>
      </c>
      <c r="G159" s="11">
        <f t="shared" si="2"/>
        <v>566</v>
      </c>
      <c r="H159" s="5" t="str">
        <f t="shared" si="3"/>
        <v>Republican</v>
      </c>
    </row>
    <row r="160" ht="15.0" customHeight="1">
      <c r="A160" s="5" t="s">
        <v>143</v>
      </c>
      <c r="B160" s="5" t="s">
        <v>222</v>
      </c>
      <c r="C160" s="5" t="s">
        <v>223</v>
      </c>
      <c r="D160" s="11">
        <f>MAX(0, 2*'Precinct Vote Data'!G628 - 'Precinct Vote Data'!G626)</f>
        <v>1080</v>
      </c>
      <c r="E160" s="10">
        <f t="array" ref="E160">MIN(1,MAX(0, 'Precinct Vote Data'!H629 + INDEX('Beta Coefficients'!$D:$D, MATCH(A160&amp;"|"&amp;B160&amp;"|"&amp;C160,'Beta Coefficients'!$Q:$Q,0))*(0.483125441908243-0.502219913195008) ))</f>
        <v>0.465570626</v>
      </c>
      <c r="F160" s="11">
        <f t="shared" si="1"/>
        <v>503</v>
      </c>
      <c r="G160" s="11">
        <f t="shared" si="2"/>
        <v>577</v>
      </c>
      <c r="H160" s="5" t="str">
        <f t="shared" si="3"/>
        <v>Republican</v>
      </c>
    </row>
    <row r="161" ht="15.0" customHeight="1">
      <c r="A161" s="5" t="s">
        <v>143</v>
      </c>
      <c r="B161" s="5" t="s">
        <v>222</v>
      </c>
      <c r="C161" s="5" t="s">
        <v>224</v>
      </c>
      <c r="D161" s="11">
        <f>MAX(0, 2*'Precinct Vote Data'!G632 - 'Precinct Vote Data'!G630)</f>
        <v>1318</v>
      </c>
      <c r="E161" s="10">
        <f t="array" ref="E161">MIN(1,MAX(0, 'Precinct Vote Data'!H633 + INDEX('Beta Coefficients'!$D:$D, MATCH(A161&amp;"|"&amp;B161&amp;"|"&amp;C161,'Beta Coefficients'!$Q:$Q,0))*(0.483125441908243-0.502219913195008) ))</f>
        <v>0.4712763132</v>
      </c>
      <c r="F161" s="11">
        <f t="shared" si="1"/>
        <v>621</v>
      </c>
      <c r="G161" s="11">
        <f t="shared" si="2"/>
        <v>697</v>
      </c>
      <c r="H161" s="5" t="str">
        <f t="shared" si="3"/>
        <v>Republican</v>
      </c>
    </row>
    <row r="162" ht="15.0" customHeight="1">
      <c r="A162" s="5" t="s">
        <v>143</v>
      </c>
      <c r="B162" s="5" t="s">
        <v>222</v>
      </c>
      <c r="C162" s="5" t="s">
        <v>225</v>
      </c>
      <c r="D162" s="11">
        <f>MAX(0, 2*'Precinct Vote Data'!G636 - 'Precinct Vote Data'!G634)</f>
        <v>633</v>
      </c>
      <c r="E162" s="10">
        <f t="array" ref="E162">MIN(1,MAX(0, 'Precinct Vote Data'!H637 + INDEX('Beta Coefficients'!$D:$D, MATCH(A162&amp;"|"&amp;B162&amp;"|"&amp;C162,'Beta Coefficients'!$Q:$Q,0))*(0.483125441908243-0.502219913195008) ))</f>
        <v>0.4739608195</v>
      </c>
      <c r="F162" s="11">
        <f t="shared" si="1"/>
        <v>300</v>
      </c>
      <c r="G162" s="11">
        <f t="shared" si="2"/>
        <v>333</v>
      </c>
      <c r="H162" s="5" t="str">
        <f t="shared" si="3"/>
        <v>Republican</v>
      </c>
    </row>
    <row r="163" ht="15.0" customHeight="1">
      <c r="A163" s="5" t="s">
        <v>143</v>
      </c>
      <c r="B163" s="5" t="s">
        <v>222</v>
      </c>
      <c r="C163" s="5" t="s">
        <v>226</v>
      </c>
      <c r="D163" s="11">
        <f>MAX(0, 2*'Precinct Vote Data'!G640 - 'Precinct Vote Data'!G638)</f>
        <v>727</v>
      </c>
      <c r="E163" s="10">
        <f t="array" ref="E163">MIN(1,MAX(0, 'Precinct Vote Data'!H641 + INDEX('Beta Coefficients'!$D:$D, MATCH(A163&amp;"|"&amp;B163&amp;"|"&amp;C163,'Beta Coefficients'!$Q:$Q,0))*(0.483125441908243-0.502219913195008) ))</f>
        <v>0.4853045883</v>
      </c>
      <c r="F163" s="11">
        <f t="shared" si="1"/>
        <v>353</v>
      </c>
      <c r="G163" s="11">
        <f t="shared" si="2"/>
        <v>374</v>
      </c>
      <c r="H163" s="5" t="str">
        <f t="shared" si="3"/>
        <v>Republican</v>
      </c>
    </row>
    <row r="164" ht="15.0" customHeight="1">
      <c r="A164" s="5" t="s">
        <v>143</v>
      </c>
      <c r="B164" s="5" t="s">
        <v>222</v>
      </c>
      <c r="C164" s="5" t="s">
        <v>227</v>
      </c>
      <c r="D164" s="11">
        <f>MAX(0, 2*'Precinct Vote Data'!G644 - 'Precinct Vote Data'!G642)</f>
        <v>913</v>
      </c>
      <c r="E164" s="10">
        <f t="array" ref="E164">MIN(1,MAX(0, 'Precinct Vote Data'!H645 + INDEX('Beta Coefficients'!$D:$D, MATCH(A164&amp;"|"&amp;B164&amp;"|"&amp;C164,'Beta Coefficients'!$Q:$Q,0))*(0.483125441908243-0.502219913195008) ))</f>
        <v>0.4930282752</v>
      </c>
      <c r="F164" s="11">
        <f t="shared" si="1"/>
        <v>450</v>
      </c>
      <c r="G164" s="11">
        <f t="shared" si="2"/>
        <v>463</v>
      </c>
      <c r="H164" s="5" t="str">
        <f t="shared" si="3"/>
        <v>Republican</v>
      </c>
    </row>
    <row r="165" ht="15.0" customHeight="1">
      <c r="A165" s="5" t="s">
        <v>143</v>
      </c>
      <c r="B165" s="5" t="s">
        <v>222</v>
      </c>
      <c r="C165" s="5" t="s">
        <v>228</v>
      </c>
      <c r="D165" s="11">
        <f>MAX(0, 2*'Precinct Vote Data'!G648 - 'Precinct Vote Data'!G646)</f>
        <v>620</v>
      </c>
      <c r="E165" s="10">
        <f t="array" ref="E165">MIN(1,MAX(0, 'Precinct Vote Data'!H649 + INDEX('Beta Coefficients'!$D:$D, MATCH(A165&amp;"|"&amp;B165&amp;"|"&amp;C165,'Beta Coefficients'!$Q:$Q,0))*(0.483125441908243-0.502219913195008) ))</f>
        <v>0.4564433735</v>
      </c>
      <c r="F165" s="11">
        <f t="shared" si="1"/>
        <v>283</v>
      </c>
      <c r="G165" s="11">
        <f t="shared" si="2"/>
        <v>337</v>
      </c>
      <c r="H165" s="5" t="str">
        <f t="shared" si="3"/>
        <v>Republican</v>
      </c>
    </row>
    <row r="166" ht="15.0" customHeight="1">
      <c r="A166" s="5" t="s">
        <v>143</v>
      </c>
      <c r="B166" s="5" t="s">
        <v>222</v>
      </c>
      <c r="C166" s="5" t="s">
        <v>229</v>
      </c>
      <c r="D166" s="11">
        <f>MAX(0, 2*'Precinct Vote Data'!G652 - 'Precinct Vote Data'!G650)</f>
        <v>700</v>
      </c>
      <c r="E166" s="10">
        <f t="array" ref="E166">MIN(1,MAX(0, 'Precinct Vote Data'!H653 + INDEX('Beta Coefficients'!$D:$D, MATCH(A166&amp;"|"&amp;B166&amp;"|"&amp;C166,'Beta Coefficients'!$Q:$Q,0))*(0.483125441908243-0.502219913195008) ))</f>
        <v>0.549274069</v>
      </c>
      <c r="F166" s="11">
        <f t="shared" si="1"/>
        <v>384</v>
      </c>
      <c r="G166" s="11">
        <f t="shared" si="2"/>
        <v>316</v>
      </c>
      <c r="H166" s="5" t="str">
        <f t="shared" si="3"/>
        <v>Democrat</v>
      </c>
    </row>
    <row r="167" ht="15.0" customHeight="1">
      <c r="A167" s="5" t="s">
        <v>143</v>
      </c>
      <c r="B167" s="5" t="s">
        <v>222</v>
      </c>
      <c r="C167" s="5" t="s">
        <v>230</v>
      </c>
      <c r="D167" s="11">
        <f>MAX(0, 2*'Precinct Vote Data'!G656 - 'Precinct Vote Data'!G654)</f>
        <v>956</v>
      </c>
      <c r="E167" s="10">
        <f t="array" ref="E167">MIN(1,MAX(0, 'Precinct Vote Data'!H657 + INDEX('Beta Coefficients'!$D:$D, MATCH(A167&amp;"|"&amp;B167&amp;"|"&amp;C167,'Beta Coefficients'!$Q:$Q,0))*(0.483125441908243-0.502219913195008) ))</f>
        <v>0.5022418107</v>
      </c>
      <c r="F167" s="11">
        <f t="shared" si="1"/>
        <v>480</v>
      </c>
      <c r="G167" s="11">
        <f t="shared" si="2"/>
        <v>476</v>
      </c>
      <c r="H167" s="5" t="str">
        <f t="shared" si="3"/>
        <v>Democrat</v>
      </c>
    </row>
    <row r="168" ht="15.0" customHeight="1">
      <c r="A168" s="5" t="s">
        <v>143</v>
      </c>
      <c r="B168" s="5" t="s">
        <v>231</v>
      </c>
      <c r="C168" s="5" t="s">
        <v>232</v>
      </c>
      <c r="D168" s="11">
        <f>MAX(0, 2*'Precinct Vote Data'!G660 - 'Precinct Vote Data'!G658)</f>
        <v>442</v>
      </c>
      <c r="E168" s="10">
        <f t="array" ref="E168">MIN(1,MAX(0, 'Precinct Vote Data'!H661 + INDEX('Beta Coefficients'!$D:$D, MATCH(A168&amp;"|"&amp;B168&amp;"|"&amp;C168,'Beta Coefficients'!$Q:$Q,0))*(0.483125441908243-0.502219913195008) ))</f>
        <v>0.386127312</v>
      </c>
      <c r="F168" s="11">
        <f t="shared" si="1"/>
        <v>171</v>
      </c>
      <c r="G168" s="11">
        <f t="shared" si="2"/>
        <v>271</v>
      </c>
      <c r="H168" s="5" t="str">
        <f t="shared" si="3"/>
        <v>Republican</v>
      </c>
    </row>
    <row r="169" ht="15.0" customHeight="1">
      <c r="A169" s="5" t="s">
        <v>143</v>
      </c>
      <c r="B169" s="5" t="s">
        <v>231</v>
      </c>
      <c r="C169" s="5" t="s">
        <v>233</v>
      </c>
      <c r="D169" s="11">
        <f>MAX(0, 2*'Precinct Vote Data'!G664 - 'Precinct Vote Data'!G662)</f>
        <v>324</v>
      </c>
      <c r="E169" s="10">
        <f t="array" ref="E169">MIN(1,MAX(0, 'Precinct Vote Data'!H665 + INDEX('Beta Coefficients'!$D:$D, MATCH(A169&amp;"|"&amp;B169&amp;"|"&amp;C169,'Beta Coefficients'!$Q:$Q,0))*(0.483125441908243-0.502219913195008) ))</f>
        <v>0.3469869764</v>
      </c>
      <c r="F169" s="11">
        <f t="shared" si="1"/>
        <v>112</v>
      </c>
      <c r="G169" s="11">
        <f t="shared" si="2"/>
        <v>212</v>
      </c>
      <c r="H169" s="5" t="str">
        <f t="shared" si="3"/>
        <v>Republican</v>
      </c>
    </row>
    <row r="170" ht="15.0" customHeight="1">
      <c r="A170" s="5" t="s">
        <v>143</v>
      </c>
      <c r="B170" s="5" t="s">
        <v>231</v>
      </c>
      <c r="C170" s="5" t="s">
        <v>234</v>
      </c>
      <c r="D170" s="11">
        <f>MAX(0, 2*'Precinct Vote Data'!G668 - 'Precinct Vote Data'!G666)</f>
        <v>773</v>
      </c>
      <c r="E170" s="10">
        <f t="array" ref="E170">MIN(1,MAX(0, 'Precinct Vote Data'!H669 + INDEX('Beta Coefficients'!$D:$D, MATCH(A170&amp;"|"&amp;B170&amp;"|"&amp;C170,'Beta Coefficients'!$Q:$Q,0))*(0.483125441908243-0.502219913195008) ))</f>
        <v>0.3896999643</v>
      </c>
      <c r="F170" s="11">
        <f t="shared" si="1"/>
        <v>301</v>
      </c>
      <c r="G170" s="11">
        <f t="shared" si="2"/>
        <v>472</v>
      </c>
      <c r="H170" s="5" t="str">
        <f t="shared" si="3"/>
        <v>Republican</v>
      </c>
    </row>
    <row r="171" ht="15.0" customHeight="1">
      <c r="A171" s="5" t="s">
        <v>143</v>
      </c>
      <c r="B171" s="5" t="s">
        <v>235</v>
      </c>
      <c r="C171" s="5" t="s">
        <v>236</v>
      </c>
      <c r="D171" s="11">
        <f>MAX(0, 2*'Precinct Vote Data'!G672 - 'Precinct Vote Data'!G670)</f>
        <v>1565</v>
      </c>
      <c r="E171" s="10">
        <f t="array" ref="E171">MIN(1,MAX(0, 'Precinct Vote Data'!H673 + INDEX('Beta Coefficients'!$D:$D, MATCH(A171&amp;"|"&amp;B171&amp;"|"&amp;C171,'Beta Coefficients'!$Q:$Q,0))*(0.483125441908243-0.502219913195008) ))</f>
        <v>0.4541212509</v>
      </c>
      <c r="F171" s="11">
        <f t="shared" si="1"/>
        <v>711</v>
      </c>
      <c r="G171" s="11">
        <f t="shared" si="2"/>
        <v>854</v>
      </c>
      <c r="H171" s="5" t="str">
        <f t="shared" si="3"/>
        <v>Republican</v>
      </c>
    </row>
    <row r="172" ht="15.0" customHeight="1">
      <c r="A172" s="5" t="s">
        <v>143</v>
      </c>
      <c r="B172" s="5" t="s">
        <v>235</v>
      </c>
      <c r="C172" s="5" t="s">
        <v>237</v>
      </c>
      <c r="D172" s="11">
        <f>MAX(0, 2*'Precinct Vote Data'!G676 - 'Precinct Vote Data'!G674)</f>
        <v>679</v>
      </c>
      <c r="E172" s="10">
        <f t="array" ref="E172">MIN(1,MAX(0, 'Precinct Vote Data'!H677 + INDEX('Beta Coefficients'!$D:$D, MATCH(A172&amp;"|"&amp;B172&amp;"|"&amp;C172,'Beta Coefficients'!$Q:$Q,0))*(0.483125441908243-0.502219913195008) ))</f>
        <v>0.4585198775</v>
      </c>
      <c r="F172" s="11">
        <f t="shared" si="1"/>
        <v>311</v>
      </c>
      <c r="G172" s="11">
        <f t="shared" si="2"/>
        <v>368</v>
      </c>
      <c r="H172" s="5" t="str">
        <f t="shared" si="3"/>
        <v>Republican</v>
      </c>
    </row>
    <row r="173" ht="15.0" customHeight="1">
      <c r="A173" s="5" t="s">
        <v>143</v>
      </c>
      <c r="B173" s="5" t="s">
        <v>235</v>
      </c>
      <c r="C173" s="5" t="s">
        <v>238</v>
      </c>
      <c r="D173" s="11">
        <f>MAX(0, 2*'Precinct Vote Data'!G680 - 'Precinct Vote Data'!G678)</f>
        <v>1823</v>
      </c>
      <c r="E173" s="10">
        <f t="array" ref="E173">MIN(1,MAX(0, 'Precinct Vote Data'!H681 + INDEX('Beta Coefficients'!$D:$D, MATCH(A173&amp;"|"&amp;B173&amp;"|"&amp;C173,'Beta Coefficients'!$Q:$Q,0))*(0.483125441908243-0.502219913195008) ))</f>
        <v>0.5566370717</v>
      </c>
      <c r="F173" s="11">
        <f t="shared" si="1"/>
        <v>1015</v>
      </c>
      <c r="G173" s="11">
        <f t="shared" si="2"/>
        <v>808</v>
      </c>
      <c r="H173" s="5" t="str">
        <f t="shared" si="3"/>
        <v>Democrat</v>
      </c>
    </row>
    <row r="174" ht="15.0" customHeight="1">
      <c r="A174" s="5" t="s">
        <v>143</v>
      </c>
      <c r="B174" s="5" t="s">
        <v>235</v>
      </c>
      <c r="C174" s="5" t="s">
        <v>239</v>
      </c>
      <c r="D174" s="11">
        <f>MAX(0, 2*'Precinct Vote Data'!G684 - 'Precinct Vote Data'!G682)</f>
        <v>893</v>
      </c>
      <c r="E174" s="10">
        <f t="array" ref="E174">MIN(1,MAX(0, 'Precinct Vote Data'!H685 + INDEX('Beta Coefficients'!$D:$D, MATCH(A174&amp;"|"&amp;B174&amp;"|"&amp;C174,'Beta Coefficients'!$Q:$Q,0))*(0.483125441908243-0.502219913195008) ))</f>
        <v>0.4619785189</v>
      </c>
      <c r="F174" s="11">
        <f t="shared" si="1"/>
        <v>413</v>
      </c>
      <c r="G174" s="11">
        <f t="shared" si="2"/>
        <v>480</v>
      </c>
      <c r="H174" s="5" t="str">
        <f t="shared" si="3"/>
        <v>Republican</v>
      </c>
    </row>
    <row r="175" ht="15.0" customHeight="1">
      <c r="A175" s="5" t="s">
        <v>143</v>
      </c>
      <c r="B175" s="5" t="s">
        <v>235</v>
      </c>
      <c r="C175" s="5" t="s">
        <v>240</v>
      </c>
      <c r="D175" s="11">
        <f>MAX(0, 2*'Precinct Vote Data'!G688 - 'Precinct Vote Data'!G686)</f>
        <v>1498</v>
      </c>
      <c r="E175" s="10">
        <f t="array" ref="E175">MIN(1,MAX(0, 'Precinct Vote Data'!H689 + INDEX('Beta Coefficients'!$D:$D, MATCH(A175&amp;"|"&amp;B175&amp;"|"&amp;C175,'Beta Coefficients'!$Q:$Q,0))*(0.483125441908243-0.502219913195008) ))</f>
        <v>0.5921541683</v>
      </c>
      <c r="F175" s="11">
        <f t="shared" si="1"/>
        <v>887</v>
      </c>
      <c r="G175" s="11">
        <f t="shared" si="2"/>
        <v>611</v>
      </c>
      <c r="H175" s="5" t="str">
        <f t="shared" si="3"/>
        <v>Democrat</v>
      </c>
    </row>
    <row r="176" ht="15.0" customHeight="1">
      <c r="A176" s="5" t="s">
        <v>143</v>
      </c>
      <c r="B176" s="5" t="s">
        <v>235</v>
      </c>
      <c r="C176" s="5" t="s">
        <v>241</v>
      </c>
      <c r="D176" s="11">
        <f>MAX(0, 2*'Precinct Vote Data'!G692 - 'Precinct Vote Data'!G690)</f>
        <v>1582</v>
      </c>
      <c r="E176" s="10">
        <f t="array" ref="E176">MIN(1,MAX(0, 'Precinct Vote Data'!H693 + INDEX('Beta Coefficients'!$D:$D, MATCH(A176&amp;"|"&amp;B176&amp;"|"&amp;C176,'Beta Coefficients'!$Q:$Q,0))*(0.483125441908243-0.502219913195008) ))</f>
        <v>0.590564459</v>
      </c>
      <c r="F176" s="11">
        <f t="shared" si="1"/>
        <v>934</v>
      </c>
      <c r="G176" s="11">
        <f t="shared" si="2"/>
        <v>648</v>
      </c>
      <c r="H176" s="5" t="str">
        <f t="shared" si="3"/>
        <v>Democrat</v>
      </c>
    </row>
    <row r="177" ht="15.0" customHeight="1">
      <c r="A177" s="5" t="s">
        <v>143</v>
      </c>
      <c r="B177" s="5" t="s">
        <v>235</v>
      </c>
      <c r="C177" s="5" t="s">
        <v>242</v>
      </c>
      <c r="D177" s="11">
        <f>MAX(0, 2*'Precinct Vote Data'!G696 - 'Precinct Vote Data'!G694)</f>
        <v>863</v>
      </c>
      <c r="E177" s="10">
        <f t="array" ref="E177">MIN(1,MAX(0, 'Precinct Vote Data'!H697 + INDEX('Beta Coefficients'!$D:$D, MATCH(A177&amp;"|"&amp;B177&amp;"|"&amp;C177,'Beta Coefficients'!$Q:$Q,0))*(0.483125441908243-0.502219913195008) ))</f>
        <v>0.4824742061</v>
      </c>
      <c r="F177" s="11">
        <f t="shared" si="1"/>
        <v>416</v>
      </c>
      <c r="G177" s="11">
        <f t="shared" si="2"/>
        <v>447</v>
      </c>
      <c r="H177" s="5" t="str">
        <f t="shared" si="3"/>
        <v>Republican</v>
      </c>
    </row>
    <row r="178" ht="15.0" customHeight="1">
      <c r="A178" s="5" t="s">
        <v>143</v>
      </c>
      <c r="B178" s="5" t="s">
        <v>235</v>
      </c>
      <c r="C178" s="5" t="s">
        <v>243</v>
      </c>
      <c r="D178" s="11">
        <f>MAX(0, 2*'Precinct Vote Data'!G700 - 'Precinct Vote Data'!G698)</f>
        <v>2487</v>
      </c>
      <c r="E178" s="10">
        <f t="array" ref="E178">MIN(1,MAX(0, 'Precinct Vote Data'!H701 + INDEX('Beta Coefficients'!$D:$D, MATCH(A178&amp;"|"&amp;B178&amp;"|"&amp;C178,'Beta Coefficients'!$Q:$Q,0))*(0.483125441908243-0.502219913195008) ))</f>
        <v>0.4897783145</v>
      </c>
      <c r="F178" s="11">
        <f t="shared" si="1"/>
        <v>1218</v>
      </c>
      <c r="G178" s="11">
        <f t="shared" si="2"/>
        <v>1269</v>
      </c>
      <c r="H178" s="5" t="str">
        <f t="shared" si="3"/>
        <v>Republican</v>
      </c>
    </row>
    <row r="179" ht="15.0" customHeight="1">
      <c r="A179" s="5" t="s">
        <v>143</v>
      </c>
      <c r="B179" s="5" t="s">
        <v>244</v>
      </c>
      <c r="C179" s="5" t="s">
        <v>245</v>
      </c>
      <c r="D179" s="11">
        <f>MAX(0, 2*'Precinct Vote Data'!G704 - 'Precinct Vote Data'!G702)</f>
        <v>1633</v>
      </c>
      <c r="E179" s="10">
        <f t="array" ref="E179">MIN(1,MAX(0, 'Precinct Vote Data'!H705 + INDEX('Beta Coefficients'!$D:$D, MATCH(A179&amp;"|"&amp;B179&amp;"|"&amp;C179,'Beta Coefficients'!$Q:$Q,0))*(0.483125441908243-0.502219913195008) ))</f>
        <v>0.4940839844</v>
      </c>
      <c r="F179" s="11">
        <f t="shared" si="1"/>
        <v>807</v>
      </c>
      <c r="G179" s="11">
        <f t="shared" si="2"/>
        <v>826</v>
      </c>
      <c r="H179" s="5" t="str">
        <f t="shared" si="3"/>
        <v>Republican</v>
      </c>
    </row>
    <row r="180" ht="15.0" customHeight="1">
      <c r="A180" s="5" t="s">
        <v>143</v>
      </c>
      <c r="B180" s="5" t="s">
        <v>244</v>
      </c>
      <c r="C180" s="5" t="s">
        <v>246</v>
      </c>
      <c r="D180" s="11">
        <f>MAX(0, 2*'Precinct Vote Data'!G708 - 'Precinct Vote Data'!G706)</f>
        <v>2245</v>
      </c>
      <c r="E180" s="10">
        <f t="array" ref="E180">MIN(1,MAX(0, 'Precinct Vote Data'!H709 + INDEX('Beta Coefficients'!$D:$D, MATCH(A180&amp;"|"&amp;B180&amp;"|"&amp;C180,'Beta Coefficients'!$Q:$Q,0))*(0.483125441908243-0.502219913195008) ))</f>
        <v>0.5041474646</v>
      </c>
      <c r="F180" s="11">
        <f t="shared" si="1"/>
        <v>1132</v>
      </c>
      <c r="G180" s="11">
        <f t="shared" si="2"/>
        <v>1113</v>
      </c>
      <c r="H180" s="5" t="str">
        <f t="shared" si="3"/>
        <v>Democrat</v>
      </c>
    </row>
    <row r="181" ht="15.0" customHeight="1">
      <c r="A181" s="5" t="s">
        <v>143</v>
      </c>
      <c r="B181" s="5" t="s">
        <v>244</v>
      </c>
      <c r="C181" s="5" t="s">
        <v>247</v>
      </c>
      <c r="D181" s="11">
        <f>MAX(0, 2*'Precinct Vote Data'!G712 - 'Precinct Vote Data'!G710)</f>
        <v>1549</v>
      </c>
      <c r="E181" s="10">
        <f t="array" ref="E181">MIN(1,MAX(0, 'Precinct Vote Data'!H713 + INDEX('Beta Coefficients'!$D:$D, MATCH(A181&amp;"|"&amp;B181&amp;"|"&amp;C181,'Beta Coefficients'!$Q:$Q,0))*(0.483125441908243-0.502219913195008) ))</f>
        <v>0.4433454631</v>
      </c>
      <c r="F181" s="11">
        <f t="shared" si="1"/>
        <v>687</v>
      </c>
      <c r="G181" s="11">
        <f t="shared" si="2"/>
        <v>862</v>
      </c>
      <c r="H181" s="5" t="str">
        <f t="shared" si="3"/>
        <v>Republican</v>
      </c>
    </row>
    <row r="182" ht="15.0" customHeight="1">
      <c r="A182" s="5" t="s">
        <v>143</v>
      </c>
      <c r="B182" s="5" t="s">
        <v>244</v>
      </c>
      <c r="C182" s="5" t="s">
        <v>248</v>
      </c>
      <c r="D182" s="11">
        <f>MAX(0, 2*'Precinct Vote Data'!G716 - 'Precinct Vote Data'!G714)</f>
        <v>1100</v>
      </c>
      <c r="E182" s="10">
        <f t="array" ref="E182">MIN(1,MAX(0, 'Precinct Vote Data'!H717 + INDEX('Beta Coefficients'!$D:$D, MATCH(A182&amp;"|"&amp;B182&amp;"|"&amp;C182,'Beta Coefficients'!$Q:$Q,0))*(0.483125441908243-0.502219913195008) ))</f>
        <v>0.4899452414</v>
      </c>
      <c r="F182" s="11">
        <f t="shared" si="1"/>
        <v>539</v>
      </c>
      <c r="G182" s="11">
        <f t="shared" si="2"/>
        <v>561</v>
      </c>
      <c r="H182" s="5" t="str">
        <f t="shared" si="3"/>
        <v>Republican</v>
      </c>
    </row>
    <row r="183" ht="15.0" customHeight="1">
      <c r="A183" s="5" t="s">
        <v>143</v>
      </c>
      <c r="B183" s="5" t="s">
        <v>244</v>
      </c>
      <c r="C183" s="5" t="s">
        <v>249</v>
      </c>
      <c r="D183" s="11">
        <f>MAX(0, 2*'Precinct Vote Data'!G720 - 'Precinct Vote Data'!G718)</f>
        <v>3095</v>
      </c>
      <c r="E183" s="10">
        <f t="array" ref="E183">MIN(1,MAX(0, 'Precinct Vote Data'!H721 + INDEX('Beta Coefficients'!$D:$D, MATCH(A183&amp;"|"&amp;B183&amp;"|"&amp;C183,'Beta Coefficients'!$Q:$Q,0))*(0.483125441908243-0.502219913195008) ))</f>
        <v>0.5382987917</v>
      </c>
      <c r="F183" s="11">
        <f t="shared" si="1"/>
        <v>1666</v>
      </c>
      <c r="G183" s="11">
        <f t="shared" si="2"/>
        <v>1429</v>
      </c>
      <c r="H183" s="5" t="str">
        <f t="shared" si="3"/>
        <v>Democrat</v>
      </c>
    </row>
    <row r="184" ht="15.0" customHeight="1">
      <c r="A184" s="5" t="s">
        <v>143</v>
      </c>
      <c r="B184" s="5" t="s">
        <v>244</v>
      </c>
      <c r="C184" s="5" t="s">
        <v>250</v>
      </c>
      <c r="D184" s="11">
        <f>MAX(0, 2*'Precinct Vote Data'!G724 - 'Precinct Vote Data'!G722)</f>
        <v>1114</v>
      </c>
      <c r="E184" s="10">
        <f t="array" ref="E184">MIN(1,MAX(0, 'Precinct Vote Data'!H725 + INDEX('Beta Coefficients'!$D:$D, MATCH(A184&amp;"|"&amp;B184&amp;"|"&amp;C184,'Beta Coefficients'!$Q:$Q,0))*(0.483125441908243-0.502219913195008) ))</f>
        <v>0.484905593</v>
      </c>
      <c r="F184" s="11">
        <f t="shared" si="1"/>
        <v>540</v>
      </c>
      <c r="G184" s="11">
        <f t="shared" si="2"/>
        <v>574</v>
      </c>
      <c r="H184" s="5" t="str">
        <f t="shared" si="3"/>
        <v>Republican</v>
      </c>
    </row>
    <row r="185" ht="15.0" customHeight="1">
      <c r="A185" s="5" t="s">
        <v>143</v>
      </c>
      <c r="B185" s="5" t="s">
        <v>244</v>
      </c>
      <c r="C185" s="5" t="s">
        <v>251</v>
      </c>
      <c r="D185" s="11">
        <f>MAX(0, 2*'Precinct Vote Data'!G728 - 'Precinct Vote Data'!G726)</f>
        <v>997</v>
      </c>
      <c r="E185" s="10">
        <f t="array" ref="E185">MIN(1,MAX(0, 'Precinct Vote Data'!H729 + INDEX('Beta Coefficients'!$D:$D, MATCH(A185&amp;"|"&amp;B185&amp;"|"&amp;C185,'Beta Coefficients'!$Q:$Q,0))*(0.483125441908243-0.502219913195008) ))</f>
        <v>0.5354821428</v>
      </c>
      <c r="F185" s="11">
        <f t="shared" si="1"/>
        <v>534</v>
      </c>
      <c r="G185" s="11">
        <f t="shared" si="2"/>
        <v>463</v>
      </c>
      <c r="H185" s="5" t="str">
        <f t="shared" si="3"/>
        <v>Democrat</v>
      </c>
    </row>
    <row r="186" ht="15.0" customHeight="1">
      <c r="A186" s="5" t="s">
        <v>143</v>
      </c>
      <c r="B186" s="5" t="s">
        <v>244</v>
      </c>
      <c r="C186" s="5" t="s">
        <v>252</v>
      </c>
      <c r="D186" s="11">
        <f>MAX(0, 2*'Precinct Vote Data'!G732 - 'Precinct Vote Data'!G730)</f>
        <v>1167</v>
      </c>
      <c r="E186" s="10">
        <f t="array" ref="E186">MIN(1,MAX(0, 'Precinct Vote Data'!H733 + INDEX('Beta Coefficients'!$D:$D, MATCH(A186&amp;"|"&amp;B186&amp;"|"&amp;C186,'Beta Coefficients'!$Q:$Q,0))*(0.483125441908243-0.502219913195008) ))</f>
        <v>0.5014963306</v>
      </c>
      <c r="F186" s="11">
        <f t="shared" si="1"/>
        <v>585</v>
      </c>
      <c r="G186" s="11">
        <f t="shared" si="2"/>
        <v>582</v>
      </c>
      <c r="H186" s="5" t="str">
        <f t="shared" si="3"/>
        <v>Democrat</v>
      </c>
    </row>
    <row r="187" ht="15.0" customHeight="1">
      <c r="A187" s="5" t="s">
        <v>143</v>
      </c>
      <c r="B187" s="5" t="s">
        <v>253</v>
      </c>
      <c r="C187" s="5" t="s">
        <v>254</v>
      </c>
      <c r="D187" s="11">
        <f>MAX(0, 2*'Precinct Vote Data'!G736 - 'Precinct Vote Data'!G734)</f>
        <v>3091</v>
      </c>
      <c r="E187" s="10">
        <f t="array" ref="E187">MIN(1,MAX(0, 'Precinct Vote Data'!H737 + INDEX('Beta Coefficients'!$D:$D, MATCH(A187&amp;"|"&amp;B187&amp;"|"&amp;C187,'Beta Coefficients'!$Q:$Q,0))*(0.483125441908243-0.502219913195008) ))</f>
        <v>0.4525520286</v>
      </c>
      <c r="F187" s="11">
        <f t="shared" si="1"/>
        <v>1399</v>
      </c>
      <c r="G187" s="11">
        <f t="shared" si="2"/>
        <v>1692</v>
      </c>
      <c r="H187" s="5" t="str">
        <f t="shared" si="3"/>
        <v>Republican</v>
      </c>
    </row>
    <row r="188" ht="15.0" customHeight="1">
      <c r="A188" s="5" t="s">
        <v>143</v>
      </c>
      <c r="B188" s="5" t="s">
        <v>253</v>
      </c>
      <c r="C188" s="5" t="s">
        <v>255</v>
      </c>
      <c r="D188" s="11">
        <f>MAX(0, 2*'Precinct Vote Data'!G740 - 'Precinct Vote Data'!G738)</f>
        <v>2236</v>
      </c>
      <c r="E188" s="10">
        <f t="array" ref="E188">MIN(1,MAX(0, 'Precinct Vote Data'!H741 + INDEX('Beta Coefficients'!$D:$D, MATCH(A188&amp;"|"&amp;B188&amp;"|"&amp;C188,'Beta Coefficients'!$Q:$Q,0))*(0.483125441908243-0.502219913195008) ))</f>
        <v>0.3671141775</v>
      </c>
      <c r="F188" s="11">
        <f t="shared" si="1"/>
        <v>821</v>
      </c>
      <c r="G188" s="11">
        <f t="shared" si="2"/>
        <v>1415</v>
      </c>
      <c r="H188" s="5" t="str">
        <f t="shared" si="3"/>
        <v>Republican</v>
      </c>
    </row>
    <row r="189" ht="15.0" customHeight="1">
      <c r="A189" s="5" t="s">
        <v>143</v>
      </c>
      <c r="B189" s="5" t="s">
        <v>256</v>
      </c>
      <c r="C189" s="5" t="s">
        <v>257</v>
      </c>
      <c r="D189" s="11">
        <f>MAX(0, 2*'Precinct Vote Data'!G744 - 'Precinct Vote Data'!G742)</f>
        <v>1924</v>
      </c>
      <c r="E189" s="10">
        <f t="array" ref="E189">MIN(1,MAX(0, 'Precinct Vote Data'!H745 + INDEX('Beta Coefficients'!$D:$D, MATCH(A189&amp;"|"&amp;B189&amp;"|"&amp;C189,'Beta Coefficients'!$Q:$Q,0))*(0.483125441908243-0.502219913195008) ))</f>
        <v>0.4845789458</v>
      </c>
      <c r="F189" s="11">
        <f t="shared" si="1"/>
        <v>932</v>
      </c>
      <c r="G189" s="11">
        <f t="shared" si="2"/>
        <v>992</v>
      </c>
      <c r="H189" s="5" t="str">
        <f t="shared" si="3"/>
        <v>Republican</v>
      </c>
    </row>
    <row r="190" ht="15.0" customHeight="1">
      <c r="A190" s="5" t="s">
        <v>143</v>
      </c>
      <c r="B190" s="5" t="s">
        <v>256</v>
      </c>
      <c r="C190" s="5" t="s">
        <v>258</v>
      </c>
      <c r="D190" s="11">
        <f>MAX(0, 2*'Precinct Vote Data'!G748 - 'Precinct Vote Data'!G746)</f>
        <v>1475</v>
      </c>
      <c r="E190" s="10">
        <f t="array" ref="E190">MIN(1,MAX(0, 'Precinct Vote Data'!H749 + INDEX('Beta Coefficients'!$D:$D, MATCH(A190&amp;"|"&amp;B190&amp;"|"&amp;C190,'Beta Coefficients'!$Q:$Q,0))*(0.483125441908243-0.502219913195008) ))</f>
        <v>0.4593573109</v>
      </c>
      <c r="F190" s="11">
        <f t="shared" si="1"/>
        <v>678</v>
      </c>
      <c r="G190" s="11">
        <f t="shared" si="2"/>
        <v>797</v>
      </c>
      <c r="H190" s="5" t="str">
        <f t="shared" si="3"/>
        <v>Republican</v>
      </c>
    </row>
    <row r="191" ht="15.0" customHeight="1">
      <c r="A191" s="5" t="s">
        <v>143</v>
      </c>
      <c r="B191" s="5" t="s">
        <v>256</v>
      </c>
      <c r="C191" s="5" t="s">
        <v>259</v>
      </c>
      <c r="D191" s="11">
        <f>MAX(0, 2*'Precinct Vote Data'!G752 - 'Precinct Vote Data'!G750)</f>
        <v>1216</v>
      </c>
      <c r="E191" s="10">
        <f t="array" ref="E191">MIN(1,MAX(0, 'Precinct Vote Data'!H753 + INDEX('Beta Coefficients'!$D:$D, MATCH(A191&amp;"|"&amp;B191&amp;"|"&amp;C191,'Beta Coefficients'!$Q:$Q,0))*(0.483125441908243-0.502219913195008) ))</f>
        <v>0.4690626345</v>
      </c>
      <c r="F191" s="11">
        <f t="shared" si="1"/>
        <v>570</v>
      </c>
      <c r="G191" s="11">
        <f t="shared" si="2"/>
        <v>646</v>
      </c>
      <c r="H191" s="5" t="str">
        <f t="shared" si="3"/>
        <v>Republican</v>
      </c>
    </row>
    <row r="192" ht="15.0" customHeight="1">
      <c r="A192" s="5" t="s">
        <v>143</v>
      </c>
      <c r="B192" s="5" t="s">
        <v>256</v>
      </c>
      <c r="C192" s="5" t="s">
        <v>260</v>
      </c>
      <c r="D192" s="11">
        <f>MAX(0, 2*'Precinct Vote Data'!G756 - 'Precinct Vote Data'!G754)</f>
        <v>3093</v>
      </c>
      <c r="E192" s="10">
        <f t="array" ref="E192">MIN(1,MAX(0, 'Precinct Vote Data'!H757 + INDEX('Beta Coefficients'!$D:$D, MATCH(A192&amp;"|"&amp;B192&amp;"|"&amp;C192,'Beta Coefficients'!$Q:$Q,0))*(0.483125441908243-0.502219913195008) ))</f>
        <v>0.4743184371</v>
      </c>
      <c r="F192" s="11">
        <f t="shared" si="1"/>
        <v>1467</v>
      </c>
      <c r="G192" s="11">
        <f t="shared" si="2"/>
        <v>1626</v>
      </c>
      <c r="H192" s="5" t="str">
        <f t="shared" si="3"/>
        <v>Republican</v>
      </c>
    </row>
    <row r="193" ht="15.0" customHeight="1">
      <c r="A193" s="5" t="s">
        <v>143</v>
      </c>
      <c r="B193" s="5" t="s">
        <v>256</v>
      </c>
      <c r="C193" s="5" t="s">
        <v>261</v>
      </c>
      <c r="D193" s="11">
        <f>MAX(0, 2*'Precinct Vote Data'!G760 - 'Precinct Vote Data'!G758)</f>
        <v>1192</v>
      </c>
      <c r="E193" s="10">
        <f t="array" ref="E193">MIN(1,MAX(0, 'Precinct Vote Data'!H761 + INDEX('Beta Coefficients'!$D:$D, MATCH(A193&amp;"|"&amp;B193&amp;"|"&amp;C193,'Beta Coefficients'!$Q:$Q,0))*(0.483125441908243-0.502219913195008) ))</f>
        <v>0.5104565441</v>
      </c>
      <c r="F193" s="11">
        <f t="shared" si="1"/>
        <v>608</v>
      </c>
      <c r="G193" s="11">
        <f t="shared" si="2"/>
        <v>584</v>
      </c>
      <c r="H193" s="5" t="str">
        <f t="shared" si="3"/>
        <v>Democrat</v>
      </c>
    </row>
    <row r="194" ht="15.0" customHeight="1">
      <c r="A194" s="5" t="s">
        <v>143</v>
      </c>
      <c r="B194" s="5" t="s">
        <v>256</v>
      </c>
      <c r="C194" s="5" t="s">
        <v>262</v>
      </c>
      <c r="D194" s="11">
        <f>MAX(0, 2*'Precinct Vote Data'!G764 - 'Precinct Vote Data'!G762)</f>
        <v>1230</v>
      </c>
      <c r="E194" s="10">
        <f t="array" ref="E194">MIN(1,MAX(0, 'Precinct Vote Data'!H765 + INDEX('Beta Coefficients'!$D:$D, MATCH(A194&amp;"|"&amp;B194&amp;"|"&amp;C194,'Beta Coefficients'!$Q:$Q,0))*(0.483125441908243-0.502219913195008) ))</f>
        <v>0.5080779703</v>
      </c>
      <c r="F194" s="11">
        <f t="shared" si="1"/>
        <v>625</v>
      </c>
      <c r="G194" s="11">
        <f t="shared" si="2"/>
        <v>605</v>
      </c>
      <c r="H194" s="5" t="str">
        <f t="shared" si="3"/>
        <v>Democrat</v>
      </c>
    </row>
    <row r="195" ht="15.0" customHeight="1">
      <c r="A195" s="5" t="s">
        <v>143</v>
      </c>
      <c r="B195" s="5" t="s">
        <v>263</v>
      </c>
      <c r="C195" s="5" t="s">
        <v>264</v>
      </c>
      <c r="D195" s="11">
        <f>MAX(0, 2*'Precinct Vote Data'!G768 - 'Precinct Vote Data'!G766)</f>
        <v>705</v>
      </c>
      <c r="E195" s="10">
        <f t="array" ref="E195">MIN(1,MAX(0, 'Precinct Vote Data'!H769 + INDEX('Beta Coefficients'!$D:$D, MATCH(A195&amp;"|"&amp;B195&amp;"|"&amp;C195,'Beta Coefficients'!$Q:$Q,0))*(0.483125441908243-0.502219913195008) ))</f>
        <v>0.3053848072</v>
      </c>
      <c r="F195" s="11">
        <f t="shared" si="1"/>
        <v>215</v>
      </c>
      <c r="G195" s="11">
        <f t="shared" si="2"/>
        <v>490</v>
      </c>
      <c r="H195" s="5" t="str">
        <f t="shared" si="3"/>
        <v>Republican</v>
      </c>
    </row>
    <row r="196" ht="15.0" customHeight="1">
      <c r="A196" s="5" t="s">
        <v>143</v>
      </c>
      <c r="B196" s="5" t="s">
        <v>263</v>
      </c>
      <c r="C196" s="5" t="s">
        <v>265</v>
      </c>
      <c r="D196" s="11">
        <f>MAX(0, 2*'Precinct Vote Data'!G772 - 'Precinct Vote Data'!G770)</f>
        <v>2230</v>
      </c>
      <c r="E196" s="10">
        <f t="array" ref="E196">MIN(1,MAX(0, 'Precinct Vote Data'!H773 + INDEX('Beta Coefficients'!$D:$D, MATCH(A196&amp;"|"&amp;B196&amp;"|"&amp;C196,'Beta Coefficients'!$Q:$Q,0))*(0.483125441908243-0.502219913195008) ))</f>
        <v>0.3183867984</v>
      </c>
      <c r="F196" s="11">
        <f t="shared" si="1"/>
        <v>710</v>
      </c>
      <c r="G196" s="11">
        <f t="shared" si="2"/>
        <v>1520</v>
      </c>
      <c r="H196" s="5" t="str">
        <f t="shared" si="3"/>
        <v>Republican</v>
      </c>
    </row>
    <row r="197" ht="15.0" customHeight="1">
      <c r="A197" s="5" t="s">
        <v>143</v>
      </c>
      <c r="B197" s="5" t="s">
        <v>263</v>
      </c>
      <c r="C197" s="5" t="s">
        <v>266</v>
      </c>
      <c r="D197" s="11">
        <f>MAX(0, 2*'Precinct Vote Data'!G776 - 'Precinct Vote Data'!G774)</f>
        <v>610</v>
      </c>
      <c r="E197" s="10">
        <f t="array" ref="E197">MIN(1,MAX(0, 'Precinct Vote Data'!H777 + INDEX('Beta Coefficients'!$D:$D, MATCH(A197&amp;"|"&amp;B197&amp;"|"&amp;C197,'Beta Coefficients'!$Q:$Q,0))*(0.483125441908243-0.502219913195008) ))</f>
        <v>0.2547744044</v>
      </c>
      <c r="F197" s="11">
        <f t="shared" si="1"/>
        <v>155</v>
      </c>
      <c r="G197" s="11">
        <f t="shared" si="2"/>
        <v>455</v>
      </c>
      <c r="H197" s="5" t="str">
        <f t="shared" si="3"/>
        <v>Republican</v>
      </c>
    </row>
    <row r="198" ht="15.0" customHeight="1">
      <c r="A198" s="5" t="s">
        <v>143</v>
      </c>
      <c r="B198" s="5" t="s">
        <v>267</v>
      </c>
      <c r="C198" s="5" t="s">
        <v>268</v>
      </c>
      <c r="D198" s="11">
        <f>MAX(0, 2*'Precinct Vote Data'!G780 - 'Precinct Vote Data'!G778)</f>
        <v>3043</v>
      </c>
      <c r="E198" s="10">
        <f t="array" ref="E198">MIN(1,MAX(0, 'Precinct Vote Data'!H781 + INDEX('Beta Coefficients'!$D:$D, MATCH(A198&amp;"|"&amp;B198&amp;"|"&amp;C198,'Beta Coefficients'!$Q:$Q,0))*(0.483125441908243-0.502219913195008) ))</f>
        <v>0.342606473</v>
      </c>
      <c r="F198" s="11">
        <f t="shared" si="1"/>
        <v>1043</v>
      </c>
      <c r="G198" s="11">
        <f t="shared" si="2"/>
        <v>2000</v>
      </c>
      <c r="H198" s="5" t="str">
        <f t="shared" si="3"/>
        <v>Republican</v>
      </c>
    </row>
    <row r="199" ht="15.0" customHeight="1">
      <c r="A199" s="5" t="s">
        <v>143</v>
      </c>
      <c r="B199" s="5" t="s">
        <v>269</v>
      </c>
      <c r="C199" s="5" t="s">
        <v>270</v>
      </c>
      <c r="D199" s="11">
        <f>MAX(0, 2*'Precinct Vote Data'!G784 - 'Precinct Vote Data'!G782)</f>
        <v>1044</v>
      </c>
      <c r="E199" s="10">
        <f t="array" ref="E199">MIN(1,MAX(0, 'Precinct Vote Data'!H785 + INDEX('Beta Coefficients'!$D:$D, MATCH(A199&amp;"|"&amp;B199&amp;"|"&amp;C199,'Beta Coefficients'!$Q:$Q,0))*(0.483125441908243-0.502219913195008) ))</f>
        <v>0.5537029373</v>
      </c>
      <c r="F199" s="11">
        <f t="shared" si="1"/>
        <v>578</v>
      </c>
      <c r="G199" s="11">
        <f t="shared" si="2"/>
        <v>466</v>
      </c>
      <c r="H199" s="5" t="str">
        <f t="shared" si="3"/>
        <v>Democrat</v>
      </c>
    </row>
    <row r="200" ht="15.0" customHeight="1">
      <c r="A200" s="5" t="s">
        <v>143</v>
      </c>
      <c r="B200" s="5" t="s">
        <v>269</v>
      </c>
      <c r="C200" s="5" t="s">
        <v>271</v>
      </c>
      <c r="D200" s="11">
        <f>MAX(0, 2*'Precinct Vote Data'!G788 - 'Precinct Vote Data'!G786)</f>
        <v>373</v>
      </c>
      <c r="E200" s="10">
        <f t="array" ref="E200">MIN(1,MAX(0, 'Precinct Vote Data'!H789 + INDEX('Beta Coefficients'!$D:$D, MATCH(A200&amp;"|"&amp;B200&amp;"|"&amp;C200,'Beta Coefficients'!$Q:$Q,0))*(0.483125441908243-0.502219913195008) ))</f>
        <v>0.5079006696</v>
      </c>
      <c r="F200" s="11">
        <f t="shared" si="1"/>
        <v>189</v>
      </c>
      <c r="G200" s="11">
        <f t="shared" si="2"/>
        <v>184</v>
      </c>
      <c r="H200" s="5" t="str">
        <f t="shared" si="3"/>
        <v>Democrat</v>
      </c>
    </row>
    <row r="201" ht="15.0" customHeight="1">
      <c r="A201" s="5" t="s">
        <v>143</v>
      </c>
      <c r="B201" s="5" t="s">
        <v>269</v>
      </c>
      <c r="C201" s="5" t="s">
        <v>272</v>
      </c>
      <c r="D201" s="11">
        <f>MAX(0, 2*'Precinct Vote Data'!G792 - 'Precinct Vote Data'!G790)</f>
        <v>547</v>
      </c>
      <c r="E201" s="10">
        <f t="array" ref="E201">MIN(1,MAX(0, 'Precinct Vote Data'!H793 + INDEX('Beta Coefficients'!$D:$D, MATCH(A201&amp;"|"&amp;B201&amp;"|"&amp;C201,'Beta Coefficients'!$Q:$Q,0))*(0.483125441908243-0.502219913195008) ))</f>
        <v>0.5525221981</v>
      </c>
      <c r="F201" s="11">
        <f t="shared" si="1"/>
        <v>302</v>
      </c>
      <c r="G201" s="11">
        <f t="shared" si="2"/>
        <v>245</v>
      </c>
      <c r="H201" s="5" t="str">
        <f t="shared" si="3"/>
        <v>Democrat</v>
      </c>
    </row>
    <row r="202" ht="15.0" customHeight="1">
      <c r="A202" s="5" t="s">
        <v>143</v>
      </c>
      <c r="B202" s="5" t="s">
        <v>269</v>
      </c>
      <c r="C202" s="5" t="s">
        <v>273</v>
      </c>
      <c r="D202" s="11">
        <f>MAX(0, 2*'Precinct Vote Data'!G796 - 'Precinct Vote Data'!G794)</f>
        <v>757</v>
      </c>
      <c r="E202" s="10">
        <f t="array" ref="E202">MIN(1,MAX(0, 'Precinct Vote Data'!H797 + INDEX('Beta Coefficients'!$D:$D, MATCH(A202&amp;"|"&amp;B202&amp;"|"&amp;C202,'Beta Coefficients'!$Q:$Q,0))*(0.483125441908243-0.502219913195008) ))</f>
        <v>0.5357758086</v>
      </c>
      <c r="F202" s="11">
        <f t="shared" si="1"/>
        <v>406</v>
      </c>
      <c r="G202" s="11">
        <f t="shared" si="2"/>
        <v>351</v>
      </c>
      <c r="H202" s="5" t="str">
        <f t="shared" si="3"/>
        <v>Democrat</v>
      </c>
    </row>
    <row r="203" ht="15.0" customHeight="1">
      <c r="A203" s="5" t="s">
        <v>143</v>
      </c>
      <c r="B203" s="5" t="s">
        <v>269</v>
      </c>
      <c r="C203" s="5" t="s">
        <v>274</v>
      </c>
      <c r="D203" s="11">
        <f>MAX(0, 2*'Precinct Vote Data'!G800 - 'Precinct Vote Data'!G798)</f>
        <v>464</v>
      </c>
      <c r="E203" s="10">
        <f t="array" ref="E203">MIN(1,MAX(0, 'Precinct Vote Data'!H801 + INDEX('Beta Coefficients'!$D:$D, MATCH(A203&amp;"|"&amp;B203&amp;"|"&amp;C203,'Beta Coefficients'!$Q:$Q,0))*(0.483125441908243-0.502219913195008) ))</f>
        <v>0.4183098728</v>
      </c>
      <c r="F203" s="11">
        <f t="shared" si="1"/>
        <v>194</v>
      </c>
      <c r="G203" s="11">
        <f t="shared" si="2"/>
        <v>270</v>
      </c>
      <c r="H203" s="5" t="str">
        <f t="shared" si="3"/>
        <v>Republican</v>
      </c>
    </row>
    <row r="204" ht="15.0" customHeight="1">
      <c r="A204" s="5" t="s">
        <v>143</v>
      </c>
      <c r="B204" s="5" t="s">
        <v>269</v>
      </c>
      <c r="C204" s="5" t="s">
        <v>275</v>
      </c>
      <c r="D204" s="11">
        <f>MAX(0, 2*'Precinct Vote Data'!G804 - 'Precinct Vote Data'!G802)</f>
        <v>823</v>
      </c>
      <c r="E204" s="10">
        <f t="array" ref="E204">MIN(1,MAX(0, 'Precinct Vote Data'!H805 + INDEX('Beta Coefficients'!$D:$D, MATCH(A204&amp;"|"&amp;B204&amp;"|"&amp;C204,'Beta Coefficients'!$Q:$Q,0))*(0.483125441908243-0.502219913195008) ))</f>
        <v>0.4872135773</v>
      </c>
      <c r="F204" s="11">
        <f t="shared" si="1"/>
        <v>401</v>
      </c>
      <c r="G204" s="11">
        <f t="shared" si="2"/>
        <v>422</v>
      </c>
      <c r="H204" s="5" t="str">
        <f t="shared" si="3"/>
        <v>Republican</v>
      </c>
    </row>
    <row r="205" ht="15.0" customHeight="1">
      <c r="A205" s="5" t="s">
        <v>143</v>
      </c>
      <c r="B205" s="5" t="s">
        <v>269</v>
      </c>
      <c r="C205" s="5" t="s">
        <v>276</v>
      </c>
      <c r="D205" s="11">
        <f>MAX(0, 2*'Precinct Vote Data'!G808 - 'Precinct Vote Data'!G806)</f>
        <v>1522</v>
      </c>
      <c r="E205" s="10">
        <f t="array" ref="E205">MIN(1,MAX(0, 'Precinct Vote Data'!H809 + INDEX('Beta Coefficients'!$D:$D, MATCH(A205&amp;"|"&amp;B205&amp;"|"&amp;C205,'Beta Coefficients'!$Q:$Q,0))*(0.483125441908243-0.502219913195008) ))</f>
        <v>0.4445421012</v>
      </c>
      <c r="F205" s="11">
        <f t="shared" si="1"/>
        <v>677</v>
      </c>
      <c r="G205" s="11">
        <f t="shared" si="2"/>
        <v>845</v>
      </c>
      <c r="H205" s="5" t="str">
        <f t="shared" si="3"/>
        <v>Republican</v>
      </c>
    </row>
    <row r="206" ht="15.0" customHeight="1">
      <c r="A206" s="5" t="s">
        <v>143</v>
      </c>
      <c r="B206" s="5" t="s">
        <v>269</v>
      </c>
      <c r="C206" s="5" t="s">
        <v>277</v>
      </c>
      <c r="D206" s="11">
        <f>MAX(0, 2*'Precinct Vote Data'!G812 - 'Precinct Vote Data'!G810)</f>
        <v>1339</v>
      </c>
      <c r="E206" s="10">
        <f t="array" ref="E206">MIN(1,MAX(0, 'Precinct Vote Data'!H813 + INDEX('Beta Coefficients'!$D:$D, MATCH(A206&amp;"|"&amp;B206&amp;"|"&amp;C206,'Beta Coefficients'!$Q:$Q,0))*(0.483125441908243-0.502219913195008) ))</f>
        <v>0.4608436348</v>
      </c>
      <c r="F206" s="11">
        <f t="shared" si="1"/>
        <v>617</v>
      </c>
      <c r="G206" s="11">
        <f t="shared" si="2"/>
        <v>722</v>
      </c>
      <c r="H206" s="5" t="str">
        <f t="shared" si="3"/>
        <v>Republican</v>
      </c>
    </row>
    <row r="207" ht="15.0" customHeight="1">
      <c r="A207" s="5" t="s">
        <v>143</v>
      </c>
      <c r="B207" s="5" t="s">
        <v>269</v>
      </c>
      <c r="C207" s="5" t="s">
        <v>278</v>
      </c>
      <c r="D207" s="11">
        <f>MAX(0, 2*'Precinct Vote Data'!G816 - 'Precinct Vote Data'!G814)</f>
        <v>897</v>
      </c>
      <c r="E207" s="10">
        <f t="array" ref="E207">MIN(1,MAX(0, 'Precinct Vote Data'!H817 + INDEX('Beta Coefficients'!$D:$D, MATCH(A207&amp;"|"&amp;B207&amp;"|"&amp;C207,'Beta Coefficients'!$Q:$Q,0))*(0.483125441908243-0.502219913195008) ))</f>
        <v>0.4861017244</v>
      </c>
      <c r="F207" s="11">
        <f t="shared" si="1"/>
        <v>436</v>
      </c>
      <c r="G207" s="11">
        <f t="shared" si="2"/>
        <v>461</v>
      </c>
      <c r="H207" s="5" t="str">
        <f t="shared" si="3"/>
        <v>Republican</v>
      </c>
    </row>
    <row r="208" ht="15.0" customHeight="1">
      <c r="A208" s="5" t="s">
        <v>143</v>
      </c>
      <c r="B208" s="5" t="s">
        <v>269</v>
      </c>
      <c r="C208" s="5" t="s">
        <v>279</v>
      </c>
      <c r="D208" s="11">
        <f>MAX(0, 2*'Precinct Vote Data'!G820 - 'Precinct Vote Data'!G818)</f>
        <v>1493</v>
      </c>
      <c r="E208" s="10">
        <f t="array" ref="E208">MIN(1,MAX(0, 'Precinct Vote Data'!H821 + INDEX('Beta Coefficients'!$D:$D, MATCH(A208&amp;"|"&amp;B208&amp;"|"&amp;C208,'Beta Coefficients'!$Q:$Q,0))*(0.483125441908243-0.502219913195008) ))</f>
        <v>0.4625181664</v>
      </c>
      <c r="F208" s="11">
        <f t="shared" si="1"/>
        <v>691</v>
      </c>
      <c r="G208" s="11">
        <f t="shared" si="2"/>
        <v>802</v>
      </c>
      <c r="H208" s="5" t="str">
        <f t="shared" si="3"/>
        <v>Republican</v>
      </c>
    </row>
    <row r="209" ht="15.0" customHeight="1">
      <c r="A209" s="5" t="s">
        <v>143</v>
      </c>
      <c r="B209" s="5" t="s">
        <v>269</v>
      </c>
      <c r="C209" s="5" t="s">
        <v>280</v>
      </c>
      <c r="D209" s="11">
        <f>MAX(0, 2*'Precinct Vote Data'!G824 - 'Precinct Vote Data'!G822)</f>
        <v>1141</v>
      </c>
      <c r="E209" s="10">
        <f t="array" ref="E209">MIN(1,MAX(0, 'Precinct Vote Data'!H825 + INDEX('Beta Coefficients'!$D:$D, MATCH(A209&amp;"|"&amp;B209&amp;"|"&amp;C209,'Beta Coefficients'!$Q:$Q,0))*(0.483125441908243-0.502219913195008) ))</f>
        <v>0.4567104684</v>
      </c>
      <c r="F209" s="11">
        <f t="shared" si="1"/>
        <v>521</v>
      </c>
      <c r="G209" s="11">
        <f t="shared" si="2"/>
        <v>620</v>
      </c>
      <c r="H209" s="5" t="str">
        <f t="shared" si="3"/>
        <v>Republican</v>
      </c>
    </row>
    <row r="210" ht="15.0" customHeight="1">
      <c r="A210" s="5" t="s">
        <v>143</v>
      </c>
      <c r="B210" s="5" t="s">
        <v>269</v>
      </c>
      <c r="C210" s="5" t="s">
        <v>281</v>
      </c>
      <c r="D210" s="11">
        <f>MAX(0, 2*'Precinct Vote Data'!G828 - 'Precinct Vote Data'!G826)</f>
        <v>919</v>
      </c>
      <c r="E210" s="10">
        <f t="array" ref="E210">MIN(1,MAX(0, 'Precinct Vote Data'!H829 + INDEX('Beta Coefficients'!$D:$D, MATCH(A210&amp;"|"&amp;B210&amp;"|"&amp;C210,'Beta Coefficients'!$Q:$Q,0))*(0.483125441908243-0.502219913195008) ))</f>
        <v>0.5122054738</v>
      </c>
      <c r="F210" s="11">
        <f t="shared" si="1"/>
        <v>471</v>
      </c>
      <c r="G210" s="11">
        <f t="shared" si="2"/>
        <v>448</v>
      </c>
      <c r="H210" s="5" t="str">
        <f t="shared" si="3"/>
        <v>Democrat</v>
      </c>
    </row>
    <row r="211" ht="15.0" customHeight="1">
      <c r="A211" s="5" t="s">
        <v>282</v>
      </c>
      <c r="B211" s="5" t="s">
        <v>283</v>
      </c>
      <c r="C211" s="5" t="s">
        <v>284</v>
      </c>
      <c r="D211" s="11">
        <f>MAX(0, 2*'Precinct Vote Data'!G832 - 'Precinct Vote Data'!G830)</f>
        <v>784</v>
      </c>
      <c r="E211" s="10">
        <f t="array" ref="E211">MIN(1,MAX(0, 'Precinct Vote Data'!H833 + INDEX('Beta Coefficients'!$D:$D, MATCH(A211&amp;"|"&amp;B211&amp;"|"&amp;C211,'Beta Coefficients'!$Q:$Q,0))*(0.483125441908243-0.502219913195008) ))</f>
        <v>0.4839649207</v>
      </c>
      <c r="F211" s="11">
        <f t="shared" si="1"/>
        <v>379</v>
      </c>
      <c r="G211" s="11">
        <f t="shared" si="2"/>
        <v>405</v>
      </c>
      <c r="H211" s="5" t="str">
        <f t="shared" si="3"/>
        <v>Republican</v>
      </c>
    </row>
    <row r="212" ht="15.0" customHeight="1">
      <c r="A212" s="5" t="s">
        <v>282</v>
      </c>
      <c r="B212" s="5" t="s">
        <v>283</v>
      </c>
      <c r="C212" s="5" t="s">
        <v>285</v>
      </c>
      <c r="D212" s="11">
        <f>MAX(0, 2*'Precinct Vote Data'!G836 - 'Precinct Vote Data'!G834)</f>
        <v>1205</v>
      </c>
      <c r="E212" s="10">
        <f t="array" ref="E212">MIN(1,MAX(0, 'Precinct Vote Data'!H837 + INDEX('Beta Coefficients'!$D:$D, MATCH(A212&amp;"|"&amp;B212&amp;"|"&amp;C212,'Beta Coefficients'!$Q:$Q,0))*(0.483125441908243-0.502219913195008) ))</f>
        <v>0.4452287333</v>
      </c>
      <c r="F212" s="11">
        <f t="shared" si="1"/>
        <v>537</v>
      </c>
      <c r="G212" s="11">
        <f t="shared" si="2"/>
        <v>668</v>
      </c>
      <c r="H212" s="5" t="str">
        <f t="shared" si="3"/>
        <v>Republican</v>
      </c>
    </row>
    <row r="213" ht="15.0" customHeight="1">
      <c r="A213" s="5" t="s">
        <v>282</v>
      </c>
      <c r="B213" s="5" t="s">
        <v>286</v>
      </c>
      <c r="C213" s="5" t="s">
        <v>287</v>
      </c>
      <c r="D213" s="11">
        <f>MAX(0, 2*'Precinct Vote Data'!G840 - 'Precinct Vote Data'!G838)</f>
        <v>2287</v>
      </c>
      <c r="E213" s="10">
        <f t="array" ref="E213">MIN(1,MAX(0, 'Precinct Vote Data'!H841 + INDEX('Beta Coefficients'!$D:$D, MATCH(A213&amp;"|"&amp;B213&amp;"|"&amp;C213,'Beta Coefficients'!$Q:$Q,0))*(0.483125441908243-0.502219913195008) ))</f>
        <v>0.4196589319</v>
      </c>
      <c r="F213" s="11">
        <f t="shared" si="1"/>
        <v>960</v>
      </c>
      <c r="G213" s="11">
        <f t="shared" si="2"/>
        <v>1327</v>
      </c>
      <c r="H213" s="5" t="str">
        <f t="shared" si="3"/>
        <v>Republican</v>
      </c>
    </row>
    <row r="214" ht="15.0" customHeight="1">
      <c r="A214" s="5" t="s">
        <v>282</v>
      </c>
      <c r="B214" s="5" t="s">
        <v>286</v>
      </c>
      <c r="C214" s="5" t="s">
        <v>288</v>
      </c>
      <c r="D214" s="11">
        <f>MAX(0, 2*'Precinct Vote Data'!G844 - 'Precinct Vote Data'!G842)</f>
        <v>1935</v>
      </c>
      <c r="E214" s="10">
        <f t="array" ref="E214">MIN(1,MAX(0, 'Precinct Vote Data'!H845 + INDEX('Beta Coefficients'!$D:$D, MATCH(A214&amp;"|"&amp;B214&amp;"|"&amp;C214,'Beta Coefficients'!$Q:$Q,0))*(0.483125441908243-0.502219913195008) ))</f>
        <v>0.4092669514</v>
      </c>
      <c r="F214" s="11">
        <f t="shared" si="1"/>
        <v>792</v>
      </c>
      <c r="G214" s="11">
        <f t="shared" si="2"/>
        <v>1143</v>
      </c>
      <c r="H214" s="5" t="str">
        <f t="shared" si="3"/>
        <v>Republican</v>
      </c>
    </row>
    <row r="215" ht="15.0" customHeight="1">
      <c r="A215" s="5" t="s">
        <v>282</v>
      </c>
      <c r="B215" s="5" t="s">
        <v>286</v>
      </c>
      <c r="C215" s="5" t="s">
        <v>289</v>
      </c>
      <c r="D215" s="11">
        <f>MAX(0, 2*'Precinct Vote Data'!G848 - 'Precinct Vote Data'!G846)</f>
        <v>1258</v>
      </c>
      <c r="E215" s="10">
        <f t="array" ref="E215">MIN(1,MAX(0, 'Precinct Vote Data'!H849 + INDEX('Beta Coefficients'!$D:$D, MATCH(A215&amp;"|"&amp;B215&amp;"|"&amp;C215,'Beta Coefficients'!$Q:$Q,0))*(0.483125441908243-0.502219913195008) ))</f>
        <v>0.4263115127</v>
      </c>
      <c r="F215" s="11">
        <f t="shared" si="1"/>
        <v>536</v>
      </c>
      <c r="G215" s="11">
        <f t="shared" si="2"/>
        <v>722</v>
      </c>
      <c r="H215" s="5" t="str">
        <f t="shared" si="3"/>
        <v>Republican</v>
      </c>
    </row>
    <row r="216" ht="15.0" customHeight="1">
      <c r="A216" s="5" t="s">
        <v>282</v>
      </c>
      <c r="B216" s="5" t="s">
        <v>286</v>
      </c>
      <c r="C216" s="5" t="s">
        <v>290</v>
      </c>
      <c r="D216" s="11">
        <f>MAX(0, 2*'Precinct Vote Data'!G852 - 'Precinct Vote Data'!G850)</f>
        <v>1565</v>
      </c>
      <c r="E216" s="10">
        <f t="array" ref="E216">MIN(1,MAX(0, 'Precinct Vote Data'!H853 + INDEX('Beta Coefficients'!$D:$D, MATCH(A216&amp;"|"&amp;B216&amp;"|"&amp;C216,'Beta Coefficients'!$Q:$Q,0))*(0.483125441908243-0.502219913195008) ))</f>
        <v>0.3730795134</v>
      </c>
      <c r="F216" s="11">
        <f t="shared" si="1"/>
        <v>584</v>
      </c>
      <c r="G216" s="11">
        <f t="shared" si="2"/>
        <v>981</v>
      </c>
      <c r="H216" s="5" t="str">
        <f t="shared" si="3"/>
        <v>Republican</v>
      </c>
    </row>
    <row r="217" ht="15.0" customHeight="1">
      <c r="A217" s="5" t="s">
        <v>282</v>
      </c>
      <c r="B217" s="5" t="s">
        <v>291</v>
      </c>
      <c r="C217" s="5" t="s">
        <v>292</v>
      </c>
      <c r="D217" s="11">
        <f>MAX(0, 2*'Precinct Vote Data'!G856 - 'Precinct Vote Data'!G854)</f>
        <v>1333</v>
      </c>
      <c r="E217" s="10">
        <f t="array" ref="E217">MIN(1,MAX(0, 'Precinct Vote Data'!H857 + INDEX('Beta Coefficients'!$D:$D, MATCH(A217&amp;"|"&amp;B217&amp;"|"&amp;C217,'Beta Coefficients'!$Q:$Q,0))*(0.483125441908243-0.502219913195008) ))</f>
        <v>0.522338352</v>
      </c>
      <c r="F217" s="11">
        <f t="shared" si="1"/>
        <v>696</v>
      </c>
      <c r="G217" s="11">
        <f t="shared" si="2"/>
        <v>637</v>
      </c>
      <c r="H217" s="5" t="str">
        <f t="shared" si="3"/>
        <v>Democrat</v>
      </c>
    </row>
    <row r="218" ht="15.0" customHeight="1">
      <c r="A218" s="5" t="s">
        <v>282</v>
      </c>
      <c r="B218" s="5" t="s">
        <v>291</v>
      </c>
      <c r="C218" s="5" t="s">
        <v>293</v>
      </c>
      <c r="D218" s="11">
        <f>MAX(0, 2*'Precinct Vote Data'!G860 - 'Precinct Vote Data'!G858)</f>
        <v>839</v>
      </c>
      <c r="E218" s="10">
        <f t="array" ref="E218">MIN(1,MAX(0, 'Precinct Vote Data'!H861 + INDEX('Beta Coefficients'!$D:$D, MATCH(A218&amp;"|"&amp;B218&amp;"|"&amp;C218,'Beta Coefficients'!$Q:$Q,0))*(0.483125441908243-0.502219913195008) ))</f>
        <v>0.5808023562</v>
      </c>
      <c r="F218" s="11">
        <f t="shared" si="1"/>
        <v>487</v>
      </c>
      <c r="G218" s="11">
        <f t="shared" si="2"/>
        <v>352</v>
      </c>
      <c r="H218" s="5" t="str">
        <f t="shared" si="3"/>
        <v>Democrat</v>
      </c>
    </row>
    <row r="219" ht="15.0" customHeight="1">
      <c r="A219" s="5" t="s">
        <v>282</v>
      </c>
      <c r="B219" s="5" t="s">
        <v>291</v>
      </c>
      <c r="C219" s="5" t="s">
        <v>294</v>
      </c>
      <c r="D219" s="11">
        <f>MAX(0, 2*'Precinct Vote Data'!G864 - 'Precinct Vote Data'!G862)</f>
        <v>1610</v>
      </c>
      <c r="E219" s="10">
        <f t="array" ref="E219">MIN(1,MAX(0, 'Precinct Vote Data'!H865 + INDEX('Beta Coefficients'!$D:$D, MATCH(A219&amp;"|"&amp;B219&amp;"|"&amp;C219,'Beta Coefficients'!$Q:$Q,0))*(0.483125441908243-0.502219913195008) ))</f>
        <v>0.6986751772</v>
      </c>
      <c r="F219" s="11">
        <f t="shared" si="1"/>
        <v>1125</v>
      </c>
      <c r="G219" s="11">
        <f t="shared" si="2"/>
        <v>485</v>
      </c>
      <c r="H219" s="5" t="str">
        <f t="shared" si="3"/>
        <v>Democrat</v>
      </c>
    </row>
    <row r="220" ht="15.0" customHeight="1">
      <c r="A220" s="5" t="s">
        <v>282</v>
      </c>
      <c r="B220" s="5" t="s">
        <v>291</v>
      </c>
      <c r="C220" s="5" t="s">
        <v>295</v>
      </c>
      <c r="D220" s="11">
        <f>MAX(0, 2*'Precinct Vote Data'!G868 - 'Precinct Vote Data'!G866)</f>
        <v>1502</v>
      </c>
      <c r="E220" s="10">
        <f t="array" ref="E220">MIN(1,MAX(0, 'Precinct Vote Data'!H869 + INDEX('Beta Coefficients'!$D:$D, MATCH(A220&amp;"|"&amp;B220&amp;"|"&amp;C220,'Beta Coefficients'!$Q:$Q,0))*(0.483125441908243-0.502219913195008) ))</f>
        <v>0.6485703325</v>
      </c>
      <c r="F220" s="11">
        <f t="shared" si="1"/>
        <v>974</v>
      </c>
      <c r="G220" s="11">
        <f t="shared" si="2"/>
        <v>528</v>
      </c>
      <c r="H220" s="5" t="str">
        <f t="shared" si="3"/>
        <v>Democrat</v>
      </c>
    </row>
    <row r="221" ht="15.0" customHeight="1">
      <c r="A221" s="5" t="s">
        <v>282</v>
      </c>
      <c r="B221" s="5" t="s">
        <v>296</v>
      </c>
      <c r="C221" s="5" t="s">
        <v>59</v>
      </c>
      <c r="D221" s="11">
        <f>MAX(0, 2*'Precinct Vote Data'!G872 - 'Precinct Vote Data'!G870)</f>
        <v>296</v>
      </c>
      <c r="E221" s="10">
        <f t="array" ref="E221">MIN(1,MAX(0, 'Precinct Vote Data'!H873 + INDEX('Beta Coefficients'!$D:$D, MATCH(A221&amp;"|"&amp;B221&amp;"|"&amp;C221,'Beta Coefficients'!$Q:$Q,0))*(0.483125441908243-0.502219913195008) ))</f>
        <v>0.6579615774</v>
      </c>
      <c r="F221" s="11">
        <f t="shared" si="1"/>
        <v>195</v>
      </c>
      <c r="G221" s="11">
        <f t="shared" si="2"/>
        <v>101</v>
      </c>
      <c r="H221" s="5" t="str">
        <f t="shared" si="3"/>
        <v>Democrat</v>
      </c>
    </row>
    <row r="222" ht="15.0" customHeight="1">
      <c r="A222" s="5" t="s">
        <v>282</v>
      </c>
      <c r="B222" s="5" t="s">
        <v>297</v>
      </c>
      <c r="C222" s="5" t="s">
        <v>63</v>
      </c>
      <c r="D222" s="11">
        <f>MAX(0, 2*'Precinct Vote Data'!G876 - 'Precinct Vote Data'!G874)</f>
        <v>446</v>
      </c>
      <c r="E222" s="10">
        <f t="array" ref="E222">MIN(1,MAX(0, 'Precinct Vote Data'!H877 + INDEX('Beta Coefficients'!$D:$D, MATCH(A222&amp;"|"&amp;B222&amp;"|"&amp;C222,'Beta Coefficients'!$Q:$Q,0))*(0.483125441908243-0.502219913195008) ))</f>
        <v>0.6638216722</v>
      </c>
      <c r="F222" s="11">
        <f t="shared" si="1"/>
        <v>296</v>
      </c>
      <c r="G222" s="11">
        <f t="shared" si="2"/>
        <v>150</v>
      </c>
      <c r="H222" s="5" t="str">
        <f t="shared" si="3"/>
        <v>Democrat</v>
      </c>
    </row>
    <row r="223" ht="15.0" customHeight="1">
      <c r="A223" s="5" t="s">
        <v>282</v>
      </c>
      <c r="B223" s="5" t="s">
        <v>297</v>
      </c>
      <c r="C223" s="5" t="s">
        <v>73</v>
      </c>
      <c r="D223" s="11">
        <f>MAX(0, 2*'Precinct Vote Data'!G880 - 'Precinct Vote Data'!G878)</f>
        <v>0</v>
      </c>
      <c r="E223" s="10">
        <f t="array" ref="E223">MIN(1,MAX(0, 'Precinct Vote Data'!H881 + INDEX('Beta Coefficients'!$D:$D, MATCH(A223&amp;"|"&amp;B223&amp;"|"&amp;C223,'Beta Coefficients'!$Q:$Q,0))*(0.483125441908243-0.502219913195008) ))</f>
        <v>0.6828885652</v>
      </c>
      <c r="F223" s="11">
        <f t="shared" si="1"/>
        <v>0</v>
      </c>
      <c r="G223" s="11">
        <f t="shared" si="2"/>
        <v>0</v>
      </c>
      <c r="H223" s="5" t="str">
        <f t="shared" si="3"/>
        <v>Democrat</v>
      </c>
    </row>
    <row r="224" ht="15.0" customHeight="1">
      <c r="A224" s="5" t="s">
        <v>282</v>
      </c>
      <c r="B224" s="5" t="s">
        <v>297</v>
      </c>
      <c r="C224" s="5" t="s">
        <v>74</v>
      </c>
      <c r="D224" s="11">
        <f>MAX(0, 2*'Precinct Vote Data'!G884 - 'Precinct Vote Data'!G882)</f>
        <v>181</v>
      </c>
      <c r="E224" s="10">
        <f t="array" ref="E224">MIN(1,MAX(0, 'Precinct Vote Data'!H885 + INDEX('Beta Coefficients'!$D:$D, MATCH(A224&amp;"|"&amp;B224&amp;"|"&amp;C224,'Beta Coefficients'!$Q:$Q,0))*(0.483125441908243-0.502219913195008) ))</f>
        <v>0.5921240039</v>
      </c>
      <c r="F224" s="11">
        <f t="shared" si="1"/>
        <v>107</v>
      </c>
      <c r="G224" s="11">
        <f t="shared" si="2"/>
        <v>74</v>
      </c>
      <c r="H224" s="5" t="str">
        <f t="shared" si="3"/>
        <v>Democrat</v>
      </c>
    </row>
    <row r="225" ht="15.0" customHeight="1">
      <c r="A225" s="5" t="s">
        <v>282</v>
      </c>
      <c r="B225" s="5" t="s">
        <v>297</v>
      </c>
      <c r="C225" s="5" t="s">
        <v>76</v>
      </c>
      <c r="D225" s="11">
        <f>MAX(0, 2*'Precinct Vote Data'!G888 - 'Precinct Vote Data'!G886)</f>
        <v>541</v>
      </c>
      <c r="E225" s="10">
        <f t="array" ref="E225">MIN(1,MAX(0, 'Precinct Vote Data'!H889 + INDEX('Beta Coefficients'!$D:$D, MATCH(A225&amp;"|"&amp;B225&amp;"|"&amp;C225,'Beta Coefficients'!$Q:$Q,0))*(0.483125441908243-0.502219913195008) ))</f>
        <v>0.5672081131</v>
      </c>
      <c r="F225" s="11">
        <f t="shared" si="1"/>
        <v>307</v>
      </c>
      <c r="G225" s="11">
        <f t="shared" si="2"/>
        <v>234</v>
      </c>
      <c r="H225" s="5" t="str">
        <f t="shared" si="3"/>
        <v>Democrat</v>
      </c>
    </row>
    <row r="226" ht="15.0" customHeight="1">
      <c r="A226" s="5" t="s">
        <v>282</v>
      </c>
      <c r="B226" s="5" t="s">
        <v>297</v>
      </c>
      <c r="C226" s="5" t="s">
        <v>78</v>
      </c>
      <c r="D226" s="11">
        <f>MAX(0, 2*'Precinct Vote Data'!G892 - 'Precinct Vote Data'!G890)</f>
        <v>462</v>
      </c>
      <c r="E226" s="10">
        <f t="array" ref="E226">MIN(1,MAX(0, 'Precinct Vote Data'!H893 + INDEX('Beta Coefficients'!$D:$D, MATCH(A226&amp;"|"&amp;B226&amp;"|"&amp;C226,'Beta Coefficients'!$Q:$Q,0))*(0.483125441908243-0.502219913195008) ))</f>
        <v>0.5106964993</v>
      </c>
      <c r="F226" s="11">
        <f t="shared" si="1"/>
        <v>236</v>
      </c>
      <c r="G226" s="11">
        <f t="shared" si="2"/>
        <v>226</v>
      </c>
      <c r="H226" s="5" t="str">
        <f t="shared" si="3"/>
        <v>Democrat</v>
      </c>
    </row>
    <row r="227" ht="15.0" customHeight="1">
      <c r="A227" s="5" t="s">
        <v>282</v>
      </c>
      <c r="B227" s="5" t="s">
        <v>297</v>
      </c>
      <c r="C227" s="5" t="s">
        <v>79</v>
      </c>
      <c r="D227" s="11">
        <f>MAX(0, 2*'Precinct Vote Data'!G896 - 'Precinct Vote Data'!G894)</f>
        <v>569</v>
      </c>
      <c r="E227" s="10">
        <f t="array" ref="E227">MIN(1,MAX(0, 'Precinct Vote Data'!H897 + INDEX('Beta Coefficients'!$D:$D, MATCH(A227&amp;"|"&amp;B227&amp;"|"&amp;C227,'Beta Coefficients'!$Q:$Q,0))*(0.483125441908243-0.502219913195008) ))</f>
        <v>0.5913952869</v>
      </c>
      <c r="F227" s="11">
        <f t="shared" si="1"/>
        <v>337</v>
      </c>
      <c r="G227" s="11">
        <f t="shared" si="2"/>
        <v>232</v>
      </c>
      <c r="H227" s="5" t="str">
        <f t="shared" si="3"/>
        <v>Democrat</v>
      </c>
    </row>
    <row r="228" ht="15.0" customHeight="1">
      <c r="A228" s="5" t="s">
        <v>282</v>
      </c>
      <c r="B228" s="5" t="s">
        <v>298</v>
      </c>
      <c r="C228" s="5" t="s">
        <v>87</v>
      </c>
      <c r="D228" s="11">
        <f>MAX(0, 2*'Precinct Vote Data'!G900 - 'Precinct Vote Data'!G898)</f>
        <v>1408</v>
      </c>
      <c r="E228" s="10">
        <f t="array" ref="E228">MIN(1,MAX(0, 'Precinct Vote Data'!H901 + INDEX('Beta Coefficients'!$D:$D, MATCH(A228&amp;"|"&amp;B228&amp;"|"&amp;C228,'Beta Coefficients'!$Q:$Q,0))*(0.483125441908243-0.502219913195008) ))</f>
        <v>0.2766390682</v>
      </c>
      <c r="F228" s="11">
        <f t="shared" si="1"/>
        <v>390</v>
      </c>
      <c r="G228" s="11">
        <f t="shared" si="2"/>
        <v>1018</v>
      </c>
      <c r="H228" s="5" t="str">
        <f t="shared" si="3"/>
        <v>Republican</v>
      </c>
    </row>
    <row r="229" ht="15.0" customHeight="1">
      <c r="A229" s="5" t="s">
        <v>282</v>
      </c>
      <c r="B229" s="5" t="s">
        <v>299</v>
      </c>
      <c r="C229" s="5" t="s">
        <v>88</v>
      </c>
      <c r="D229" s="11">
        <f>MAX(0, 2*'Precinct Vote Data'!G904 - 'Precinct Vote Data'!G902)</f>
        <v>2376</v>
      </c>
      <c r="E229" s="10">
        <f t="array" ref="E229">MIN(1,MAX(0, 'Precinct Vote Data'!H905 + INDEX('Beta Coefficients'!$D:$D, MATCH(A229&amp;"|"&amp;B229&amp;"|"&amp;C229,'Beta Coefficients'!$Q:$Q,0))*(0.483125441908243-0.502219913195008) ))</f>
        <v>0.4748302305</v>
      </c>
      <c r="F229" s="11">
        <f t="shared" si="1"/>
        <v>1128</v>
      </c>
      <c r="G229" s="11">
        <f t="shared" si="2"/>
        <v>1248</v>
      </c>
      <c r="H229" s="5" t="str">
        <f t="shared" si="3"/>
        <v>Republican</v>
      </c>
    </row>
    <row r="230" ht="15.0" customHeight="1">
      <c r="A230" s="5" t="s">
        <v>282</v>
      </c>
      <c r="B230" s="5" t="s">
        <v>299</v>
      </c>
      <c r="C230" s="5" t="s">
        <v>89</v>
      </c>
      <c r="D230" s="11">
        <f>MAX(0, 2*'Precinct Vote Data'!G908 - 'Precinct Vote Data'!G906)</f>
        <v>1624</v>
      </c>
      <c r="E230" s="10">
        <f t="array" ref="E230">MIN(1,MAX(0, 'Precinct Vote Data'!H909 + INDEX('Beta Coefficients'!$D:$D, MATCH(A230&amp;"|"&amp;B230&amp;"|"&amp;C230,'Beta Coefficients'!$Q:$Q,0))*(0.483125441908243-0.502219913195008) ))</f>
        <v>0.4287402337</v>
      </c>
      <c r="F230" s="11">
        <f t="shared" si="1"/>
        <v>696</v>
      </c>
      <c r="G230" s="11">
        <f t="shared" si="2"/>
        <v>928</v>
      </c>
      <c r="H230" s="5" t="str">
        <f t="shared" si="3"/>
        <v>Republican</v>
      </c>
    </row>
    <row r="231" ht="15.0" customHeight="1">
      <c r="A231" s="5" t="s">
        <v>282</v>
      </c>
      <c r="B231" s="5" t="s">
        <v>300</v>
      </c>
      <c r="C231" s="5" t="s">
        <v>91</v>
      </c>
      <c r="D231" s="11">
        <f>MAX(0, 2*'Precinct Vote Data'!G912 - 'Precinct Vote Data'!G910)</f>
        <v>203</v>
      </c>
      <c r="E231" s="10">
        <f t="array" ref="E231">MIN(1,MAX(0, 'Precinct Vote Data'!H913 + INDEX('Beta Coefficients'!$D:$D, MATCH(A231&amp;"|"&amp;B231&amp;"|"&amp;C231,'Beta Coefficients'!$Q:$Q,0))*(0.483125441908243-0.502219913195008) ))</f>
        <v>0.4683108773</v>
      </c>
      <c r="F231" s="11">
        <f t="shared" si="1"/>
        <v>95</v>
      </c>
      <c r="G231" s="11">
        <f t="shared" si="2"/>
        <v>108</v>
      </c>
      <c r="H231" s="5" t="str">
        <f t="shared" si="3"/>
        <v>Republican</v>
      </c>
    </row>
    <row r="232" ht="15.0" customHeight="1">
      <c r="A232" s="5" t="s">
        <v>282</v>
      </c>
      <c r="B232" s="5" t="s">
        <v>301</v>
      </c>
      <c r="C232" s="5" t="s">
        <v>302</v>
      </c>
      <c r="D232" s="11">
        <f>MAX(0, 2*'Precinct Vote Data'!G916 - 'Precinct Vote Data'!G914)</f>
        <v>2659</v>
      </c>
      <c r="E232" s="10">
        <f t="array" ref="E232">MIN(1,MAX(0, 'Precinct Vote Data'!H917 + INDEX('Beta Coefficients'!$D:$D, MATCH(A232&amp;"|"&amp;B232&amp;"|"&amp;C232,'Beta Coefficients'!$Q:$Q,0))*(0.483125441908243-0.502219913195008) ))</f>
        <v>0.5511234051</v>
      </c>
      <c r="F232" s="11">
        <f t="shared" si="1"/>
        <v>1465</v>
      </c>
      <c r="G232" s="11">
        <f t="shared" si="2"/>
        <v>1194</v>
      </c>
      <c r="H232" s="5" t="str">
        <f t="shared" si="3"/>
        <v>Democrat</v>
      </c>
    </row>
    <row r="233" ht="15.0" customHeight="1">
      <c r="A233" s="5" t="s">
        <v>282</v>
      </c>
      <c r="B233" s="5" t="s">
        <v>303</v>
      </c>
      <c r="C233" s="5" t="s">
        <v>94</v>
      </c>
      <c r="D233" s="11">
        <f>MAX(0, 2*'Precinct Vote Data'!G920 - 'Precinct Vote Data'!G918)</f>
        <v>845</v>
      </c>
      <c r="E233" s="10">
        <f t="array" ref="E233">MIN(1,MAX(0, 'Precinct Vote Data'!H921 + INDEX('Beta Coefficients'!$D:$D, MATCH(A233&amp;"|"&amp;B233&amp;"|"&amp;C233,'Beta Coefficients'!$Q:$Q,0))*(0.483125441908243-0.502219913195008) ))</f>
        <v>0.5988592378</v>
      </c>
      <c r="F233" s="11">
        <f t="shared" si="1"/>
        <v>506</v>
      </c>
      <c r="G233" s="11">
        <f t="shared" si="2"/>
        <v>339</v>
      </c>
      <c r="H233" s="5" t="str">
        <f t="shared" si="3"/>
        <v>Democrat</v>
      </c>
    </row>
    <row r="234" ht="15.0" customHeight="1">
      <c r="A234" s="5" t="s">
        <v>282</v>
      </c>
      <c r="B234" s="5" t="s">
        <v>304</v>
      </c>
      <c r="C234" s="5" t="s">
        <v>95</v>
      </c>
      <c r="D234" s="11">
        <f>MAX(0, 2*'Precinct Vote Data'!G924 - 'Precinct Vote Data'!G922)</f>
        <v>1363</v>
      </c>
      <c r="E234" s="10">
        <f t="array" ref="E234">MIN(1,MAX(0, 'Precinct Vote Data'!H925 + INDEX('Beta Coefficients'!$D:$D, MATCH(A234&amp;"|"&amp;B234&amp;"|"&amp;C234,'Beta Coefficients'!$Q:$Q,0))*(0.483125441908243-0.502219913195008) ))</f>
        <v>0.4446854416</v>
      </c>
      <c r="F234" s="11">
        <f t="shared" si="1"/>
        <v>606</v>
      </c>
      <c r="G234" s="11">
        <f t="shared" si="2"/>
        <v>757</v>
      </c>
      <c r="H234" s="5" t="str">
        <f t="shared" si="3"/>
        <v>Republican</v>
      </c>
    </row>
    <row r="235" ht="15.0" customHeight="1">
      <c r="A235" s="5" t="s">
        <v>282</v>
      </c>
      <c r="B235" s="5" t="s">
        <v>305</v>
      </c>
      <c r="C235" s="5" t="s">
        <v>306</v>
      </c>
      <c r="D235" s="11">
        <f>MAX(0, 2*'Precinct Vote Data'!G928 - 'Precinct Vote Data'!G926)</f>
        <v>865</v>
      </c>
      <c r="E235" s="10">
        <f t="array" ref="E235">MIN(1,MAX(0, 'Precinct Vote Data'!H929 + INDEX('Beta Coefficients'!$D:$D, MATCH(A235&amp;"|"&amp;B235&amp;"|"&amp;C235,'Beta Coefficients'!$Q:$Q,0))*(0.483125441908243-0.502219913195008) ))</f>
        <v>0.5125825541</v>
      </c>
      <c r="F235" s="11">
        <f t="shared" si="1"/>
        <v>443</v>
      </c>
      <c r="G235" s="11">
        <f t="shared" si="2"/>
        <v>422</v>
      </c>
      <c r="H235" s="5" t="str">
        <f t="shared" si="3"/>
        <v>Democrat</v>
      </c>
    </row>
    <row r="236" ht="15.0" customHeight="1">
      <c r="A236" s="5" t="s">
        <v>282</v>
      </c>
      <c r="B236" s="5" t="s">
        <v>305</v>
      </c>
      <c r="C236" s="5" t="s">
        <v>307</v>
      </c>
      <c r="D236" s="11">
        <f>MAX(0, 2*'Precinct Vote Data'!G932 - 'Precinct Vote Data'!G930)</f>
        <v>1078</v>
      </c>
      <c r="E236" s="10">
        <f t="array" ref="E236">MIN(1,MAX(0, 'Precinct Vote Data'!H933 + INDEX('Beta Coefficients'!$D:$D, MATCH(A236&amp;"|"&amp;B236&amp;"|"&amp;C236,'Beta Coefficients'!$Q:$Q,0))*(0.483125441908243-0.502219913195008) ))</f>
        <v>0.5300620809</v>
      </c>
      <c r="F236" s="11">
        <f t="shared" si="1"/>
        <v>571</v>
      </c>
      <c r="G236" s="11">
        <f t="shared" si="2"/>
        <v>507</v>
      </c>
      <c r="H236" s="5" t="str">
        <f t="shared" si="3"/>
        <v>Democrat</v>
      </c>
    </row>
    <row r="237" ht="15.0" customHeight="1">
      <c r="A237" s="5" t="s">
        <v>282</v>
      </c>
      <c r="B237" s="5" t="s">
        <v>305</v>
      </c>
      <c r="C237" s="5" t="s">
        <v>308</v>
      </c>
      <c r="D237" s="11">
        <f>MAX(0, 2*'Precinct Vote Data'!G936 - 'Precinct Vote Data'!G934)</f>
        <v>1052</v>
      </c>
      <c r="E237" s="10">
        <f t="array" ref="E237">MIN(1,MAX(0, 'Precinct Vote Data'!H937 + INDEX('Beta Coefficients'!$D:$D, MATCH(A237&amp;"|"&amp;B237&amp;"|"&amp;C237,'Beta Coefficients'!$Q:$Q,0))*(0.483125441908243-0.502219913195008) ))</f>
        <v>0.49395057</v>
      </c>
      <c r="F237" s="11">
        <f t="shared" si="1"/>
        <v>520</v>
      </c>
      <c r="G237" s="11">
        <f t="shared" si="2"/>
        <v>532</v>
      </c>
      <c r="H237" s="5" t="str">
        <f t="shared" si="3"/>
        <v>Republican</v>
      </c>
    </row>
    <row r="238" ht="15.0" customHeight="1">
      <c r="A238" s="5" t="s">
        <v>282</v>
      </c>
      <c r="B238" s="5" t="s">
        <v>305</v>
      </c>
      <c r="C238" s="5" t="s">
        <v>309</v>
      </c>
      <c r="D238" s="11">
        <f>MAX(0, 2*'Precinct Vote Data'!G940 - 'Precinct Vote Data'!G938)</f>
        <v>1502</v>
      </c>
      <c r="E238" s="10">
        <f t="array" ref="E238">MIN(1,MAX(0, 'Precinct Vote Data'!H941 + INDEX('Beta Coefficients'!$D:$D, MATCH(A238&amp;"|"&amp;B238&amp;"|"&amp;C238,'Beta Coefficients'!$Q:$Q,0))*(0.483125441908243-0.502219913195008) ))</f>
        <v>0.5364037535</v>
      </c>
      <c r="F238" s="11">
        <f t="shared" si="1"/>
        <v>806</v>
      </c>
      <c r="G238" s="11">
        <f t="shared" si="2"/>
        <v>696</v>
      </c>
      <c r="H238" s="5" t="str">
        <f t="shared" si="3"/>
        <v>Democrat</v>
      </c>
    </row>
    <row r="239" ht="15.0" customHeight="1">
      <c r="A239" s="5" t="s">
        <v>282</v>
      </c>
      <c r="B239" s="5" t="s">
        <v>310</v>
      </c>
      <c r="C239" s="5" t="s">
        <v>100</v>
      </c>
      <c r="D239" s="11">
        <f>MAX(0, 2*'Precinct Vote Data'!G944 - 'Precinct Vote Data'!G942)</f>
        <v>3530</v>
      </c>
      <c r="E239" s="10">
        <f t="array" ref="E239">MIN(1,MAX(0, 'Precinct Vote Data'!H945 + INDEX('Beta Coefficients'!$D:$D, MATCH(A239&amp;"|"&amp;B239&amp;"|"&amp;C239,'Beta Coefficients'!$Q:$Q,0))*(0.483125441908243-0.502219913195008) ))</f>
        <v>0.2936377875</v>
      </c>
      <c r="F239" s="11">
        <f t="shared" si="1"/>
        <v>1037</v>
      </c>
      <c r="G239" s="11">
        <f t="shared" si="2"/>
        <v>2493</v>
      </c>
      <c r="H239" s="5" t="str">
        <f t="shared" si="3"/>
        <v>Republican</v>
      </c>
    </row>
    <row r="240" ht="15.0" customHeight="1">
      <c r="A240" s="5" t="s">
        <v>282</v>
      </c>
      <c r="B240" s="5" t="s">
        <v>311</v>
      </c>
      <c r="C240" s="5" t="s">
        <v>102</v>
      </c>
      <c r="D240" s="11">
        <f>MAX(0, 2*'Precinct Vote Data'!G948 - 'Precinct Vote Data'!G946)</f>
        <v>1587</v>
      </c>
      <c r="E240" s="10">
        <f t="array" ref="E240">MIN(1,MAX(0, 'Precinct Vote Data'!H949 + INDEX('Beta Coefficients'!$D:$D, MATCH(A240&amp;"|"&amp;B240&amp;"|"&amp;C240,'Beta Coefficients'!$Q:$Q,0))*(0.483125441908243-0.502219913195008) ))</f>
        <v>0.5123127412</v>
      </c>
      <c r="F240" s="11">
        <f t="shared" si="1"/>
        <v>813</v>
      </c>
      <c r="G240" s="11">
        <f t="shared" si="2"/>
        <v>774</v>
      </c>
      <c r="H240" s="5" t="str">
        <f t="shared" si="3"/>
        <v>Democrat</v>
      </c>
    </row>
    <row r="241" ht="15.0" customHeight="1">
      <c r="A241" s="5" t="s">
        <v>282</v>
      </c>
      <c r="B241" s="5" t="s">
        <v>312</v>
      </c>
      <c r="C241" s="5" t="s">
        <v>313</v>
      </c>
      <c r="D241" s="11">
        <f>MAX(0, 2*'Precinct Vote Data'!G952 - 'Precinct Vote Data'!G950)</f>
        <v>1459</v>
      </c>
      <c r="E241" s="10">
        <f t="array" ref="E241">MIN(1,MAX(0, 'Precinct Vote Data'!H953 + INDEX('Beta Coefficients'!$D:$D, MATCH(A241&amp;"|"&amp;B241&amp;"|"&amp;C241,'Beta Coefficients'!$Q:$Q,0))*(0.483125441908243-0.502219913195008) ))</f>
        <v>0.5955813289</v>
      </c>
      <c r="F241" s="11">
        <f t="shared" si="1"/>
        <v>869</v>
      </c>
      <c r="G241" s="11">
        <f t="shared" si="2"/>
        <v>590</v>
      </c>
      <c r="H241" s="5" t="str">
        <f t="shared" si="3"/>
        <v>Democrat</v>
      </c>
    </row>
    <row r="242" ht="15.0" customHeight="1">
      <c r="A242" s="5" t="s">
        <v>282</v>
      </c>
      <c r="B242" s="5" t="s">
        <v>312</v>
      </c>
      <c r="C242" s="5" t="s">
        <v>314</v>
      </c>
      <c r="D242" s="11">
        <f>MAX(0, 2*'Precinct Vote Data'!G956 - 'Precinct Vote Data'!G954)</f>
        <v>912</v>
      </c>
      <c r="E242" s="10">
        <f t="array" ref="E242">MIN(1,MAX(0, 'Precinct Vote Data'!H957 + INDEX('Beta Coefficients'!$D:$D, MATCH(A242&amp;"|"&amp;B242&amp;"|"&amp;C242,'Beta Coefficients'!$Q:$Q,0))*(0.483125441908243-0.502219913195008) ))</f>
        <v>0.4883099217</v>
      </c>
      <c r="F242" s="11">
        <f t="shared" si="1"/>
        <v>445</v>
      </c>
      <c r="G242" s="11">
        <f t="shared" si="2"/>
        <v>467</v>
      </c>
      <c r="H242" s="5" t="str">
        <f t="shared" si="3"/>
        <v>Republican</v>
      </c>
    </row>
    <row r="243" ht="15.0" customHeight="1">
      <c r="A243" s="5" t="s">
        <v>282</v>
      </c>
      <c r="B243" s="5" t="s">
        <v>312</v>
      </c>
      <c r="C243" s="5" t="s">
        <v>315</v>
      </c>
      <c r="D243" s="11">
        <f>MAX(0, 2*'Precinct Vote Data'!G960 - 'Precinct Vote Data'!G958)</f>
        <v>739</v>
      </c>
      <c r="E243" s="10">
        <f t="array" ref="E243">MIN(1,MAX(0, 'Precinct Vote Data'!H961 + INDEX('Beta Coefficients'!$D:$D, MATCH(A243&amp;"|"&amp;B243&amp;"|"&amp;C243,'Beta Coefficients'!$Q:$Q,0))*(0.483125441908243-0.502219913195008) ))</f>
        <v>0.598352118</v>
      </c>
      <c r="F243" s="11">
        <f t="shared" si="1"/>
        <v>442</v>
      </c>
      <c r="G243" s="11">
        <f t="shared" si="2"/>
        <v>297</v>
      </c>
      <c r="H243" s="5" t="str">
        <f t="shared" si="3"/>
        <v>Democrat</v>
      </c>
    </row>
    <row r="244" ht="15.0" customHeight="1">
      <c r="A244" s="5" t="s">
        <v>282</v>
      </c>
      <c r="B244" s="5" t="s">
        <v>316</v>
      </c>
      <c r="C244" s="5" t="s">
        <v>317</v>
      </c>
      <c r="D244" s="11">
        <f>MAX(0, 2*'Precinct Vote Data'!G964 - 'Precinct Vote Data'!G962)</f>
        <v>1611</v>
      </c>
      <c r="E244" s="10">
        <f t="array" ref="E244">MIN(1,MAX(0, 'Precinct Vote Data'!H965 + INDEX('Beta Coefficients'!$D:$D, MATCH(A244&amp;"|"&amp;B244&amp;"|"&amp;C244,'Beta Coefficients'!$Q:$Q,0))*(0.483125441908243-0.502219913195008) ))</f>
        <v>0.6364365229</v>
      </c>
      <c r="F244" s="11">
        <f t="shared" si="1"/>
        <v>1025</v>
      </c>
      <c r="G244" s="11">
        <f t="shared" si="2"/>
        <v>586</v>
      </c>
      <c r="H244" s="5" t="str">
        <f t="shared" si="3"/>
        <v>Democrat</v>
      </c>
    </row>
    <row r="245" ht="15.0" customHeight="1">
      <c r="A245" s="5" t="s">
        <v>282</v>
      </c>
      <c r="B245" s="5" t="s">
        <v>316</v>
      </c>
      <c r="C245" s="5" t="s">
        <v>318</v>
      </c>
      <c r="D245" s="11">
        <f>MAX(0, 2*'Precinct Vote Data'!G968 - 'Precinct Vote Data'!G966)</f>
        <v>1454</v>
      </c>
      <c r="E245" s="10">
        <f t="array" ref="E245">MIN(1,MAX(0, 'Precinct Vote Data'!H969 + INDEX('Beta Coefficients'!$D:$D, MATCH(A245&amp;"|"&amp;B245&amp;"|"&amp;C245,'Beta Coefficients'!$Q:$Q,0))*(0.483125441908243-0.502219913195008) ))</f>
        <v>0.6538164597</v>
      </c>
      <c r="F245" s="11">
        <f t="shared" si="1"/>
        <v>951</v>
      </c>
      <c r="G245" s="11">
        <f t="shared" si="2"/>
        <v>503</v>
      </c>
      <c r="H245" s="5" t="str">
        <f t="shared" si="3"/>
        <v>Democrat</v>
      </c>
    </row>
    <row r="246" ht="15.0" customHeight="1">
      <c r="A246" s="5" t="s">
        <v>282</v>
      </c>
      <c r="B246" s="5" t="s">
        <v>316</v>
      </c>
      <c r="C246" s="5" t="s">
        <v>319</v>
      </c>
      <c r="D246" s="11">
        <f>MAX(0, 2*'Precinct Vote Data'!G972 - 'Precinct Vote Data'!G970)</f>
        <v>1211</v>
      </c>
      <c r="E246" s="10">
        <f t="array" ref="E246">MIN(1,MAX(0, 'Precinct Vote Data'!H973 + INDEX('Beta Coefficients'!$D:$D, MATCH(A246&amp;"|"&amp;B246&amp;"|"&amp;C246,'Beta Coefficients'!$Q:$Q,0))*(0.483125441908243-0.502219913195008) ))</f>
        <v>0.5774514748</v>
      </c>
      <c r="F246" s="11">
        <f t="shared" si="1"/>
        <v>699</v>
      </c>
      <c r="G246" s="11">
        <f t="shared" si="2"/>
        <v>512</v>
      </c>
      <c r="H246" s="5" t="str">
        <f t="shared" si="3"/>
        <v>Democrat</v>
      </c>
    </row>
    <row r="247" ht="15.0" customHeight="1">
      <c r="A247" s="5" t="s">
        <v>282</v>
      </c>
      <c r="B247" s="5" t="s">
        <v>316</v>
      </c>
      <c r="C247" s="5" t="s">
        <v>320</v>
      </c>
      <c r="D247" s="11">
        <f>MAX(0, 2*'Precinct Vote Data'!G976 - 'Precinct Vote Data'!G974)</f>
        <v>1149</v>
      </c>
      <c r="E247" s="10">
        <f t="array" ref="E247">MIN(1,MAX(0, 'Precinct Vote Data'!H977 + INDEX('Beta Coefficients'!$D:$D, MATCH(A247&amp;"|"&amp;B247&amp;"|"&amp;C247,'Beta Coefficients'!$Q:$Q,0))*(0.483125441908243-0.502219913195008) ))</f>
        <v>0.5275669743</v>
      </c>
      <c r="F247" s="11">
        <f t="shared" si="1"/>
        <v>606</v>
      </c>
      <c r="G247" s="11">
        <f t="shared" si="2"/>
        <v>543</v>
      </c>
      <c r="H247" s="5" t="str">
        <f t="shared" si="3"/>
        <v>Democrat</v>
      </c>
    </row>
    <row r="248" ht="15.0" customHeight="1">
      <c r="A248" s="5" t="s">
        <v>282</v>
      </c>
      <c r="B248" s="5" t="s">
        <v>316</v>
      </c>
      <c r="C248" s="5" t="s">
        <v>321</v>
      </c>
      <c r="D248" s="11">
        <f>MAX(0, 2*'Precinct Vote Data'!G980 - 'Precinct Vote Data'!G978)</f>
        <v>697</v>
      </c>
      <c r="E248" s="10">
        <f t="array" ref="E248">MIN(1,MAX(0, 'Precinct Vote Data'!H981 + INDEX('Beta Coefficients'!$D:$D, MATCH(A248&amp;"|"&amp;B248&amp;"|"&amp;C248,'Beta Coefficients'!$Q:$Q,0))*(0.483125441908243-0.502219913195008) ))</f>
        <v>0.5468797613</v>
      </c>
      <c r="F248" s="11">
        <f t="shared" si="1"/>
        <v>381</v>
      </c>
      <c r="G248" s="11">
        <f t="shared" si="2"/>
        <v>316</v>
      </c>
      <c r="H248" s="5" t="str">
        <f t="shared" si="3"/>
        <v>Democrat</v>
      </c>
    </row>
    <row r="249" ht="15.0" customHeight="1">
      <c r="A249" s="5" t="s">
        <v>282</v>
      </c>
      <c r="B249" s="5" t="s">
        <v>316</v>
      </c>
      <c r="C249" s="5" t="s">
        <v>322</v>
      </c>
      <c r="D249" s="11">
        <f>MAX(0, 2*'Precinct Vote Data'!G984 - 'Precinct Vote Data'!G982)</f>
        <v>971</v>
      </c>
      <c r="E249" s="10">
        <f t="array" ref="E249">MIN(1,MAX(0, 'Precinct Vote Data'!H985 + INDEX('Beta Coefficients'!$D:$D, MATCH(A249&amp;"|"&amp;B249&amp;"|"&amp;C249,'Beta Coefficients'!$Q:$Q,0))*(0.483125441908243-0.502219913195008) ))</f>
        <v>0.5537657406</v>
      </c>
      <c r="F249" s="11">
        <f t="shared" si="1"/>
        <v>538</v>
      </c>
      <c r="G249" s="11">
        <f t="shared" si="2"/>
        <v>433</v>
      </c>
      <c r="H249" s="5" t="str">
        <f t="shared" si="3"/>
        <v>Democrat</v>
      </c>
    </row>
    <row r="250" ht="15.0" customHeight="1">
      <c r="A250" s="5" t="s">
        <v>282</v>
      </c>
      <c r="B250" s="5" t="s">
        <v>316</v>
      </c>
      <c r="C250" s="5" t="s">
        <v>323</v>
      </c>
      <c r="D250" s="11">
        <f>MAX(0, 2*'Precinct Vote Data'!G988 - 'Precinct Vote Data'!G986)</f>
        <v>331</v>
      </c>
      <c r="E250" s="10">
        <f t="array" ref="E250">MIN(1,MAX(0, 'Precinct Vote Data'!H989 + INDEX('Beta Coefficients'!$D:$D, MATCH(A250&amp;"|"&amp;B250&amp;"|"&amp;C250,'Beta Coefficients'!$Q:$Q,0))*(0.483125441908243-0.502219913195008) ))</f>
        <v>0.4629834172</v>
      </c>
      <c r="F250" s="11">
        <f t="shared" si="1"/>
        <v>153</v>
      </c>
      <c r="G250" s="11">
        <f t="shared" si="2"/>
        <v>178</v>
      </c>
      <c r="H250" s="5" t="str">
        <f t="shared" si="3"/>
        <v>Republican</v>
      </c>
    </row>
    <row r="251" ht="15.0" customHeight="1">
      <c r="A251" s="5" t="s">
        <v>282</v>
      </c>
      <c r="B251" s="5" t="s">
        <v>324</v>
      </c>
      <c r="C251" s="5" t="s">
        <v>113</v>
      </c>
      <c r="D251" s="11">
        <f>MAX(0, 2*'Precinct Vote Data'!G992 - 'Precinct Vote Data'!G990)</f>
        <v>121</v>
      </c>
      <c r="E251" s="10">
        <f t="array" ref="E251">MIN(1,MAX(0, 'Precinct Vote Data'!H993 + INDEX('Beta Coefficients'!$D:$D, MATCH(A251&amp;"|"&amp;B251&amp;"|"&amp;C251,'Beta Coefficients'!$Q:$Q,0))*(0.483125441908243-0.502219913195008) ))</f>
        <v>0.7247418718</v>
      </c>
      <c r="F251" s="11">
        <f t="shared" si="1"/>
        <v>88</v>
      </c>
      <c r="G251" s="11">
        <f t="shared" si="2"/>
        <v>33</v>
      </c>
      <c r="H251" s="5" t="str">
        <f t="shared" si="3"/>
        <v>Democrat</v>
      </c>
    </row>
    <row r="252" ht="15.0" customHeight="1">
      <c r="A252" s="5" t="s">
        <v>282</v>
      </c>
      <c r="B252" s="5" t="s">
        <v>324</v>
      </c>
      <c r="C252" s="5" t="s">
        <v>114</v>
      </c>
      <c r="D252" s="11">
        <f>MAX(0, 2*'Precinct Vote Data'!G996 - 'Precinct Vote Data'!G994)</f>
        <v>326</v>
      </c>
      <c r="E252" s="10">
        <f t="array" ref="E252">MIN(1,MAX(0, 'Precinct Vote Data'!H997 + INDEX('Beta Coefficients'!$D:$D, MATCH(A252&amp;"|"&amp;B252&amp;"|"&amp;C252,'Beta Coefficients'!$Q:$Q,0))*(0.483125441908243-0.502219913195008) ))</f>
        <v>0.686451103</v>
      </c>
      <c r="F252" s="11">
        <f t="shared" si="1"/>
        <v>224</v>
      </c>
      <c r="G252" s="11">
        <f t="shared" si="2"/>
        <v>102</v>
      </c>
      <c r="H252" s="5" t="str">
        <f t="shared" si="3"/>
        <v>Democrat</v>
      </c>
    </row>
    <row r="253" ht="15.0" customHeight="1">
      <c r="A253" s="5" t="s">
        <v>282</v>
      </c>
      <c r="B253" s="5" t="s">
        <v>324</v>
      </c>
      <c r="C253" s="5" t="s">
        <v>116</v>
      </c>
      <c r="D253" s="11">
        <f>MAX(0, 2*'Precinct Vote Data'!G1000 - 'Precinct Vote Data'!G998)</f>
        <v>342</v>
      </c>
      <c r="E253" s="10">
        <f t="array" ref="E253">MIN(1,MAX(0, 'Precinct Vote Data'!H1001 + INDEX('Beta Coefficients'!$D:$D, MATCH(A253&amp;"|"&amp;B253&amp;"|"&amp;C253,'Beta Coefficients'!$Q:$Q,0))*(0.483125441908243-0.502219913195008) ))</f>
        <v>0.6183933648</v>
      </c>
      <c r="F253" s="11">
        <f t="shared" si="1"/>
        <v>211</v>
      </c>
      <c r="G253" s="11">
        <f t="shared" si="2"/>
        <v>131</v>
      </c>
      <c r="H253" s="5" t="str">
        <f t="shared" si="3"/>
        <v>Democrat</v>
      </c>
    </row>
    <row r="254" ht="15.0" customHeight="1">
      <c r="A254" s="5" t="s">
        <v>282</v>
      </c>
      <c r="B254" s="5" t="s">
        <v>324</v>
      </c>
      <c r="C254" s="5" t="s">
        <v>118</v>
      </c>
      <c r="D254" s="11">
        <f>MAX(0, 2*'Precinct Vote Data'!G1004 - 'Precinct Vote Data'!G1002)</f>
        <v>484</v>
      </c>
      <c r="E254" s="10">
        <f t="array" ref="E254">MIN(1,MAX(0, 'Precinct Vote Data'!H1005 + INDEX('Beta Coefficients'!$D:$D, MATCH(A254&amp;"|"&amp;B254&amp;"|"&amp;C254,'Beta Coefficients'!$Q:$Q,0))*(0.483125441908243-0.502219913195008) ))</f>
        <v>0.6719270461</v>
      </c>
      <c r="F254" s="11">
        <f t="shared" si="1"/>
        <v>325</v>
      </c>
      <c r="G254" s="11">
        <f t="shared" si="2"/>
        <v>159</v>
      </c>
      <c r="H254" s="5" t="str">
        <f t="shared" si="3"/>
        <v>Democrat</v>
      </c>
    </row>
    <row r="255" ht="15.0" customHeight="1">
      <c r="A255" s="5" t="s">
        <v>282</v>
      </c>
      <c r="B255" s="5" t="s">
        <v>324</v>
      </c>
      <c r="C255" s="5" t="s">
        <v>119</v>
      </c>
      <c r="D255" s="11">
        <f>MAX(0, 2*'Precinct Vote Data'!G1008 - 'Precinct Vote Data'!G1006)</f>
        <v>644</v>
      </c>
      <c r="E255" s="10">
        <f t="array" ref="E255">MIN(1,MAX(0, 'Precinct Vote Data'!H1009 + INDEX('Beta Coefficients'!$D:$D, MATCH(A255&amp;"|"&amp;B255&amp;"|"&amp;C255,'Beta Coefficients'!$Q:$Q,0))*(0.483125441908243-0.502219913195008) ))</f>
        <v>0.6604264075</v>
      </c>
      <c r="F255" s="11">
        <f t="shared" si="1"/>
        <v>425</v>
      </c>
      <c r="G255" s="11">
        <f t="shared" si="2"/>
        <v>219</v>
      </c>
      <c r="H255" s="5" t="str">
        <f t="shared" si="3"/>
        <v>Democrat</v>
      </c>
    </row>
    <row r="256" ht="15.0" customHeight="1">
      <c r="A256" s="5" t="s">
        <v>282</v>
      </c>
      <c r="B256" s="5" t="s">
        <v>325</v>
      </c>
      <c r="C256" s="5" t="s">
        <v>120</v>
      </c>
      <c r="D256" s="11">
        <f>MAX(0, 2*'Precinct Vote Data'!G1012 - 'Precinct Vote Data'!G1010)</f>
        <v>2074</v>
      </c>
      <c r="E256" s="10">
        <f t="array" ref="E256">MIN(1,MAX(0, 'Precinct Vote Data'!H1013 + INDEX('Beta Coefficients'!$D:$D, MATCH(A256&amp;"|"&amp;B256&amp;"|"&amp;C256,'Beta Coefficients'!$Q:$Q,0))*(0.483125441908243-0.502219913195008) ))</f>
        <v>0.5850244516</v>
      </c>
      <c r="F256" s="11">
        <f t="shared" si="1"/>
        <v>1213</v>
      </c>
      <c r="G256" s="11">
        <f t="shared" si="2"/>
        <v>861</v>
      </c>
      <c r="H256" s="5" t="str">
        <f t="shared" si="3"/>
        <v>Democrat</v>
      </c>
    </row>
    <row r="257" ht="15.0" customHeight="1">
      <c r="A257" s="5" t="s">
        <v>282</v>
      </c>
      <c r="B257" s="5" t="s">
        <v>325</v>
      </c>
      <c r="C257" s="5" t="s">
        <v>122</v>
      </c>
      <c r="D257" s="11">
        <f>MAX(0, 2*'Precinct Vote Data'!G1016 - 'Precinct Vote Data'!G1014)</f>
        <v>1266</v>
      </c>
      <c r="E257" s="10">
        <f t="array" ref="E257">MIN(1,MAX(0, 'Precinct Vote Data'!H1017 + INDEX('Beta Coefficients'!$D:$D, MATCH(A257&amp;"|"&amp;B257&amp;"|"&amp;C257,'Beta Coefficients'!$Q:$Q,0))*(0.483125441908243-0.502219913195008) ))</f>
        <v>0.4153286046</v>
      </c>
      <c r="F257" s="11">
        <f t="shared" si="1"/>
        <v>526</v>
      </c>
      <c r="G257" s="11">
        <f t="shared" si="2"/>
        <v>740</v>
      </c>
      <c r="H257" s="5" t="str">
        <f t="shared" si="3"/>
        <v>Republican</v>
      </c>
    </row>
    <row r="258" ht="15.0" customHeight="1">
      <c r="A258" s="5" t="s">
        <v>282</v>
      </c>
      <c r="B258" s="5" t="s">
        <v>326</v>
      </c>
      <c r="C258" s="5" t="s">
        <v>124</v>
      </c>
      <c r="D258" s="11">
        <f>MAX(0, 2*'Precinct Vote Data'!G1020 - 'Precinct Vote Data'!G1018)</f>
        <v>1951</v>
      </c>
      <c r="E258" s="10">
        <f t="array" ref="E258">MIN(1,MAX(0, 'Precinct Vote Data'!H1021 + INDEX('Beta Coefficients'!$D:$D, MATCH(A258&amp;"|"&amp;B258&amp;"|"&amp;C258,'Beta Coefficients'!$Q:$Q,0))*(0.483125441908243-0.502219913195008) ))</f>
        <v>0.4994562885</v>
      </c>
      <c r="F258" s="11">
        <f t="shared" si="1"/>
        <v>974</v>
      </c>
      <c r="G258" s="11">
        <f t="shared" si="2"/>
        <v>977</v>
      </c>
      <c r="H258" s="5" t="str">
        <f t="shared" si="3"/>
        <v>Republican</v>
      </c>
    </row>
    <row r="259" ht="15.0" customHeight="1">
      <c r="A259" s="5" t="s">
        <v>327</v>
      </c>
      <c r="B259" s="5" t="s">
        <v>328</v>
      </c>
      <c r="C259" s="5" t="s">
        <v>18</v>
      </c>
      <c r="D259" s="11">
        <f>MAX(0, 2*'Precinct Vote Data'!G1024 - 'Precinct Vote Data'!G1022)</f>
        <v>442</v>
      </c>
      <c r="E259" s="10">
        <f t="array" ref="E259">MIN(1,MAX(0, 'Precinct Vote Data'!H1025 + INDEX('Beta Coefficients'!$D:$D, MATCH(A259&amp;"|"&amp;B259&amp;"|"&amp;C259,'Beta Coefficients'!$Q:$Q,0))*(0.483125441908243-0.502219913195008) ))</f>
        <v>0.3869696164</v>
      </c>
      <c r="F259" s="11">
        <f t="shared" si="1"/>
        <v>171</v>
      </c>
      <c r="G259" s="11">
        <f t="shared" si="2"/>
        <v>271</v>
      </c>
      <c r="H259" s="5" t="str">
        <f t="shared" si="3"/>
        <v>Republican</v>
      </c>
    </row>
    <row r="260" ht="15.0" customHeight="1">
      <c r="A260" s="5" t="s">
        <v>327</v>
      </c>
      <c r="B260" s="5" t="s">
        <v>329</v>
      </c>
      <c r="C260" s="5" t="s">
        <v>146</v>
      </c>
      <c r="D260" s="11">
        <f>MAX(0, 2*'Precinct Vote Data'!G1028 - 'Precinct Vote Data'!G1026)</f>
        <v>430</v>
      </c>
      <c r="E260" s="10">
        <f t="array" ref="E260">MIN(1,MAX(0, 'Precinct Vote Data'!H1029 + INDEX('Beta Coefficients'!$D:$D, MATCH(A260&amp;"|"&amp;B260&amp;"|"&amp;C260,'Beta Coefficients'!$Q:$Q,0))*(0.483125441908243-0.502219913195008) ))</f>
        <v>0.3753649342</v>
      </c>
      <c r="F260" s="11">
        <f t="shared" si="1"/>
        <v>161</v>
      </c>
      <c r="G260" s="11">
        <f t="shared" si="2"/>
        <v>269</v>
      </c>
      <c r="H260" s="5" t="str">
        <f t="shared" si="3"/>
        <v>Republican</v>
      </c>
    </row>
    <row r="261" ht="15.0" customHeight="1">
      <c r="A261" s="5" t="s">
        <v>327</v>
      </c>
      <c r="B261" s="5" t="s">
        <v>329</v>
      </c>
      <c r="C261" s="5" t="s">
        <v>147</v>
      </c>
      <c r="D261" s="11">
        <f>MAX(0, 2*'Precinct Vote Data'!G1032 - 'Precinct Vote Data'!G1030)</f>
        <v>447</v>
      </c>
      <c r="E261" s="10">
        <f t="array" ref="E261">MIN(1,MAX(0, 'Precinct Vote Data'!H1033 + INDEX('Beta Coefficients'!$D:$D, MATCH(A261&amp;"|"&amp;B261&amp;"|"&amp;C261,'Beta Coefficients'!$Q:$Q,0))*(0.483125441908243-0.502219913195008) ))</f>
        <v>0.375705513</v>
      </c>
      <c r="F261" s="11">
        <f t="shared" si="1"/>
        <v>168</v>
      </c>
      <c r="G261" s="11">
        <f t="shared" si="2"/>
        <v>279</v>
      </c>
      <c r="H261" s="5" t="str">
        <f t="shared" si="3"/>
        <v>Republican</v>
      </c>
    </row>
    <row r="262" ht="15.0" customHeight="1">
      <c r="A262" s="5" t="s">
        <v>327</v>
      </c>
      <c r="B262" s="5" t="s">
        <v>329</v>
      </c>
      <c r="C262" s="5" t="s">
        <v>55</v>
      </c>
      <c r="D262" s="11">
        <f>MAX(0, 2*'Precinct Vote Data'!G1036 - 'Precinct Vote Data'!G1034)</f>
        <v>527</v>
      </c>
      <c r="E262" s="10">
        <f t="array" ref="E262">MIN(1,MAX(0, 'Precinct Vote Data'!H1037 + INDEX('Beta Coefficients'!$D:$D, MATCH(A262&amp;"|"&amp;B262&amp;"|"&amp;C262,'Beta Coefficients'!$Q:$Q,0))*(0.483125441908243-0.502219913195008) ))</f>
        <v>0.3967434825</v>
      </c>
      <c r="F262" s="11">
        <f t="shared" si="1"/>
        <v>209</v>
      </c>
      <c r="G262" s="11">
        <f t="shared" si="2"/>
        <v>318</v>
      </c>
      <c r="H262" s="5" t="str">
        <f t="shared" si="3"/>
        <v>Republican</v>
      </c>
    </row>
    <row r="263" ht="15.0" customHeight="1">
      <c r="A263" s="5" t="s">
        <v>327</v>
      </c>
      <c r="B263" s="5" t="s">
        <v>329</v>
      </c>
      <c r="C263" s="5" t="s">
        <v>57</v>
      </c>
      <c r="D263" s="11">
        <f>MAX(0, 2*'Precinct Vote Data'!G1040 - 'Precinct Vote Data'!G1038)</f>
        <v>429</v>
      </c>
      <c r="E263" s="10">
        <f t="array" ref="E263">MIN(1,MAX(0, 'Precinct Vote Data'!H1041 + INDEX('Beta Coefficients'!$D:$D, MATCH(A263&amp;"|"&amp;B263&amp;"|"&amp;C263,'Beta Coefficients'!$Q:$Q,0))*(0.483125441908243-0.502219913195008) ))</f>
        <v>0.375786565</v>
      </c>
      <c r="F263" s="11">
        <f t="shared" si="1"/>
        <v>161</v>
      </c>
      <c r="G263" s="11">
        <f t="shared" si="2"/>
        <v>268</v>
      </c>
      <c r="H263" s="5" t="str">
        <f t="shared" si="3"/>
        <v>Republican</v>
      </c>
    </row>
    <row r="264" ht="15.0" customHeight="1">
      <c r="A264" s="5" t="s">
        <v>327</v>
      </c>
      <c r="B264" s="5" t="s">
        <v>330</v>
      </c>
      <c r="C264" s="5" t="s">
        <v>59</v>
      </c>
      <c r="D264" s="11">
        <f>MAX(0, 2*'Precinct Vote Data'!G1044 - 'Precinct Vote Data'!G1042)</f>
        <v>1132</v>
      </c>
      <c r="E264" s="10">
        <f t="array" ref="E264">MIN(1,MAX(0, 'Precinct Vote Data'!H1045 + INDEX('Beta Coefficients'!$D:$D, MATCH(A264&amp;"|"&amp;B264&amp;"|"&amp;C264,'Beta Coefficients'!$Q:$Q,0))*(0.483125441908243-0.502219913195008) ))</f>
        <v>0.4536651726</v>
      </c>
      <c r="F264" s="11">
        <f t="shared" si="1"/>
        <v>514</v>
      </c>
      <c r="G264" s="11">
        <f t="shared" si="2"/>
        <v>618</v>
      </c>
      <c r="H264" s="5" t="str">
        <f t="shared" si="3"/>
        <v>Republican</v>
      </c>
    </row>
    <row r="265" ht="15.0" customHeight="1">
      <c r="A265" s="5" t="s">
        <v>327</v>
      </c>
      <c r="B265" s="5" t="s">
        <v>157</v>
      </c>
      <c r="C265" s="5" t="s">
        <v>60</v>
      </c>
      <c r="D265" s="11">
        <f>MAX(0, 2*'Precinct Vote Data'!G1048 - 'Precinct Vote Data'!G1046)</f>
        <v>444</v>
      </c>
      <c r="E265" s="10">
        <f t="array" ref="E265">MIN(1,MAX(0, 'Precinct Vote Data'!H1049 + INDEX('Beta Coefficients'!$D:$D, MATCH(A265&amp;"|"&amp;B265&amp;"|"&amp;C265,'Beta Coefficients'!$Q:$Q,0))*(0.483125441908243-0.502219913195008) ))</f>
        <v>0.6695782863</v>
      </c>
      <c r="F265" s="11">
        <f t="shared" si="1"/>
        <v>297</v>
      </c>
      <c r="G265" s="11">
        <f t="shared" si="2"/>
        <v>147</v>
      </c>
      <c r="H265" s="5" t="str">
        <f t="shared" si="3"/>
        <v>Democrat</v>
      </c>
    </row>
    <row r="266" ht="15.0" customHeight="1">
      <c r="A266" s="5" t="s">
        <v>327</v>
      </c>
      <c r="B266" s="5" t="s">
        <v>157</v>
      </c>
      <c r="C266" s="5" t="s">
        <v>63</v>
      </c>
      <c r="D266" s="11">
        <f>MAX(0, 2*'Precinct Vote Data'!G1052 - 'Precinct Vote Data'!G1050)</f>
        <v>311</v>
      </c>
      <c r="E266" s="10">
        <f t="array" ref="E266">MIN(1,MAX(0, 'Precinct Vote Data'!H1053 + INDEX('Beta Coefficients'!$D:$D, MATCH(A266&amp;"|"&amp;B266&amp;"|"&amp;C266,'Beta Coefficients'!$Q:$Q,0))*(0.483125441908243-0.502219913195008) ))</f>
        <v>0.6971646413</v>
      </c>
      <c r="F266" s="11">
        <f t="shared" si="1"/>
        <v>217</v>
      </c>
      <c r="G266" s="11">
        <f t="shared" si="2"/>
        <v>94</v>
      </c>
      <c r="H266" s="5" t="str">
        <f t="shared" si="3"/>
        <v>Democrat</v>
      </c>
    </row>
    <row r="267" ht="15.0" customHeight="1">
      <c r="A267" s="5" t="s">
        <v>327</v>
      </c>
      <c r="B267" s="5" t="s">
        <v>157</v>
      </c>
      <c r="C267" s="5" t="s">
        <v>331</v>
      </c>
      <c r="D267" s="11">
        <f>MAX(0, 2*'Precinct Vote Data'!G1056 - 'Precinct Vote Data'!G1054)</f>
        <v>516</v>
      </c>
      <c r="E267" s="10">
        <f t="array" ref="E267">MIN(1,MAX(0, 'Precinct Vote Data'!H1057 + INDEX('Beta Coefficients'!$D:$D, MATCH(A267&amp;"|"&amp;B267&amp;"|"&amp;C267,'Beta Coefficients'!$Q:$Q,0))*(0.483125441908243-0.502219913195008) ))</f>
        <v>0.7071197752</v>
      </c>
      <c r="F267" s="11">
        <f t="shared" si="1"/>
        <v>365</v>
      </c>
      <c r="G267" s="11">
        <f t="shared" si="2"/>
        <v>151</v>
      </c>
      <c r="H267" s="5" t="str">
        <f t="shared" si="3"/>
        <v>Democrat</v>
      </c>
    </row>
    <row r="268" ht="15.0" customHeight="1">
      <c r="A268" s="5" t="s">
        <v>327</v>
      </c>
      <c r="B268" s="5" t="s">
        <v>157</v>
      </c>
      <c r="C268" s="5" t="s">
        <v>74</v>
      </c>
      <c r="D268" s="11">
        <f>MAX(0, 2*'Precinct Vote Data'!G1060 - 'Precinct Vote Data'!G1058)</f>
        <v>739</v>
      </c>
      <c r="E268" s="10">
        <f t="array" ref="E268">MIN(1,MAX(0, 'Precinct Vote Data'!H1061 + INDEX('Beta Coefficients'!$D:$D, MATCH(A268&amp;"|"&amp;B268&amp;"|"&amp;C268,'Beta Coefficients'!$Q:$Q,0))*(0.483125441908243-0.502219913195008) ))</f>
        <v>0.7950481765</v>
      </c>
      <c r="F268" s="11">
        <f t="shared" si="1"/>
        <v>588</v>
      </c>
      <c r="G268" s="11">
        <f t="shared" si="2"/>
        <v>151</v>
      </c>
      <c r="H268" s="5" t="str">
        <f t="shared" si="3"/>
        <v>Democrat</v>
      </c>
    </row>
    <row r="269" ht="15.0" customHeight="1">
      <c r="A269" s="5" t="s">
        <v>327</v>
      </c>
      <c r="B269" s="5" t="s">
        <v>157</v>
      </c>
      <c r="C269" s="5" t="s">
        <v>332</v>
      </c>
      <c r="D269" s="11">
        <f>MAX(0, 2*'Precinct Vote Data'!G1064 - 'Precinct Vote Data'!G1062)</f>
        <v>514</v>
      </c>
      <c r="E269" s="10">
        <f t="array" ref="E269">MIN(1,MAX(0, 'Precinct Vote Data'!H1065 + INDEX('Beta Coefficients'!$D:$D, MATCH(A269&amp;"|"&amp;B269&amp;"|"&amp;C269,'Beta Coefficients'!$Q:$Q,0))*(0.483125441908243-0.502219913195008) ))</f>
        <v>0.6778134249</v>
      </c>
      <c r="F269" s="11">
        <f t="shared" si="1"/>
        <v>348</v>
      </c>
      <c r="G269" s="11">
        <f t="shared" si="2"/>
        <v>166</v>
      </c>
      <c r="H269" s="5" t="str">
        <f t="shared" si="3"/>
        <v>Democrat</v>
      </c>
    </row>
    <row r="270" ht="15.0" customHeight="1">
      <c r="A270" s="5" t="s">
        <v>327</v>
      </c>
      <c r="B270" s="5" t="s">
        <v>157</v>
      </c>
      <c r="C270" s="5" t="s">
        <v>87</v>
      </c>
      <c r="D270" s="11">
        <f>MAX(0, 2*'Precinct Vote Data'!G1068 - 'Precinct Vote Data'!G1066)</f>
        <v>420</v>
      </c>
      <c r="E270" s="10">
        <f t="array" ref="E270">MIN(1,MAX(0, 'Precinct Vote Data'!H1069 + INDEX('Beta Coefficients'!$D:$D, MATCH(A270&amp;"|"&amp;B270&amp;"|"&amp;C270,'Beta Coefficients'!$Q:$Q,0))*(0.483125441908243-0.502219913195008) ))</f>
        <v>0.6251526842</v>
      </c>
      <c r="F270" s="11">
        <f t="shared" si="1"/>
        <v>263</v>
      </c>
      <c r="G270" s="11">
        <f t="shared" si="2"/>
        <v>157</v>
      </c>
      <c r="H270" s="5" t="str">
        <f t="shared" si="3"/>
        <v>Democrat</v>
      </c>
    </row>
    <row r="271" ht="15.0" customHeight="1">
      <c r="A271" s="5" t="s">
        <v>327</v>
      </c>
      <c r="B271" s="5" t="s">
        <v>157</v>
      </c>
      <c r="C271" s="5" t="s">
        <v>88</v>
      </c>
      <c r="D271" s="11">
        <f>MAX(0, 2*'Precinct Vote Data'!G1072 - 'Precinct Vote Data'!G1070)</f>
        <v>614</v>
      </c>
      <c r="E271" s="10">
        <f t="array" ref="E271">MIN(1,MAX(0, 'Precinct Vote Data'!H1073 + INDEX('Beta Coefficients'!$D:$D, MATCH(A271&amp;"|"&amp;B271&amp;"|"&amp;C271,'Beta Coefficients'!$Q:$Q,0))*(0.483125441908243-0.502219913195008) ))</f>
        <v>0.7555491176</v>
      </c>
      <c r="F271" s="11">
        <f t="shared" si="1"/>
        <v>464</v>
      </c>
      <c r="G271" s="11">
        <f t="shared" si="2"/>
        <v>150</v>
      </c>
      <c r="H271" s="5" t="str">
        <f t="shared" si="3"/>
        <v>Democrat</v>
      </c>
    </row>
    <row r="272" ht="15.0" customHeight="1">
      <c r="A272" s="5" t="s">
        <v>327</v>
      </c>
      <c r="B272" s="5" t="s">
        <v>157</v>
      </c>
      <c r="C272" s="5" t="s">
        <v>89</v>
      </c>
      <c r="D272" s="11">
        <f>MAX(0, 2*'Precinct Vote Data'!G1076 - 'Precinct Vote Data'!G1074)</f>
        <v>798</v>
      </c>
      <c r="E272" s="10">
        <f t="array" ref="E272">MIN(1,MAX(0, 'Precinct Vote Data'!H1077 + INDEX('Beta Coefficients'!$D:$D, MATCH(A272&amp;"|"&amp;B272&amp;"|"&amp;C272,'Beta Coefficients'!$Q:$Q,0))*(0.483125441908243-0.502219913195008) ))</f>
        <v>0.6842823682</v>
      </c>
      <c r="F272" s="11">
        <f t="shared" si="1"/>
        <v>546</v>
      </c>
      <c r="G272" s="11">
        <f t="shared" si="2"/>
        <v>252</v>
      </c>
      <c r="H272" s="5" t="str">
        <f t="shared" si="3"/>
        <v>Democrat</v>
      </c>
    </row>
    <row r="273" ht="15.0" customHeight="1">
      <c r="A273" s="5" t="s">
        <v>327</v>
      </c>
      <c r="B273" s="5" t="s">
        <v>157</v>
      </c>
      <c r="C273" s="5" t="s">
        <v>91</v>
      </c>
      <c r="D273" s="11">
        <f>MAX(0, 2*'Precinct Vote Data'!G1080 - 'Precinct Vote Data'!G1078)</f>
        <v>680</v>
      </c>
      <c r="E273" s="10">
        <f t="array" ref="E273">MIN(1,MAX(0, 'Precinct Vote Data'!H1081 + INDEX('Beta Coefficients'!$D:$D, MATCH(A273&amp;"|"&amp;B273&amp;"|"&amp;C273,'Beta Coefficients'!$Q:$Q,0))*(0.483125441908243-0.502219913195008) ))</f>
        <v>0.6495581725</v>
      </c>
      <c r="F273" s="11">
        <f t="shared" si="1"/>
        <v>442</v>
      </c>
      <c r="G273" s="11">
        <f t="shared" si="2"/>
        <v>238</v>
      </c>
      <c r="H273" s="5" t="str">
        <f t="shared" si="3"/>
        <v>Democrat</v>
      </c>
    </row>
    <row r="274" ht="15.0" customHeight="1">
      <c r="A274" s="5" t="s">
        <v>327</v>
      </c>
      <c r="B274" s="5" t="s">
        <v>157</v>
      </c>
      <c r="C274" s="5" t="s">
        <v>92</v>
      </c>
      <c r="D274" s="11">
        <f>MAX(0, 2*'Precinct Vote Data'!G1084 - 'Precinct Vote Data'!G1082)</f>
        <v>350</v>
      </c>
      <c r="E274" s="10">
        <f t="array" ref="E274">MIN(1,MAX(0, 'Precinct Vote Data'!H1085 + INDEX('Beta Coefficients'!$D:$D, MATCH(A274&amp;"|"&amp;B274&amp;"|"&amp;C274,'Beta Coefficients'!$Q:$Q,0))*(0.483125441908243-0.502219913195008) ))</f>
        <v>0.6006195122</v>
      </c>
      <c r="F274" s="11">
        <f t="shared" si="1"/>
        <v>210</v>
      </c>
      <c r="G274" s="11">
        <f t="shared" si="2"/>
        <v>140</v>
      </c>
      <c r="H274" s="5" t="str">
        <f t="shared" si="3"/>
        <v>Democrat</v>
      </c>
    </row>
    <row r="275" ht="15.0" customHeight="1">
      <c r="A275" s="5" t="s">
        <v>327</v>
      </c>
      <c r="B275" s="5" t="s">
        <v>157</v>
      </c>
      <c r="C275" s="5" t="s">
        <v>94</v>
      </c>
      <c r="D275" s="11">
        <f>MAX(0, 2*'Precinct Vote Data'!G1088 - 'Precinct Vote Data'!G1086)</f>
        <v>451</v>
      </c>
      <c r="E275" s="10">
        <f t="array" ref="E275">MIN(1,MAX(0, 'Precinct Vote Data'!H1089 + INDEX('Beta Coefficients'!$D:$D, MATCH(A275&amp;"|"&amp;B275&amp;"|"&amp;C275,'Beta Coefficients'!$Q:$Q,0))*(0.483125441908243-0.502219913195008) ))</f>
        <v>0.6697367141</v>
      </c>
      <c r="F275" s="11">
        <f t="shared" si="1"/>
        <v>302</v>
      </c>
      <c r="G275" s="11">
        <f t="shared" si="2"/>
        <v>149</v>
      </c>
      <c r="H275" s="5" t="str">
        <f t="shared" si="3"/>
        <v>Democrat</v>
      </c>
    </row>
    <row r="276" ht="15.0" customHeight="1">
      <c r="A276" s="5" t="s">
        <v>327</v>
      </c>
      <c r="B276" s="5" t="s">
        <v>157</v>
      </c>
      <c r="C276" s="5" t="s">
        <v>95</v>
      </c>
      <c r="D276" s="11">
        <f>MAX(0, 2*'Precinct Vote Data'!G1092 - 'Precinct Vote Data'!G1090)</f>
        <v>917</v>
      </c>
      <c r="E276" s="10">
        <f t="array" ref="E276">MIN(1,MAX(0, 'Precinct Vote Data'!H1093 + INDEX('Beta Coefficients'!$D:$D, MATCH(A276&amp;"|"&amp;B276&amp;"|"&amp;C276,'Beta Coefficients'!$Q:$Q,0))*(0.483125441908243-0.502219913195008) ))</f>
        <v>0.6636126635</v>
      </c>
      <c r="F276" s="11">
        <f t="shared" si="1"/>
        <v>609</v>
      </c>
      <c r="G276" s="11">
        <f t="shared" si="2"/>
        <v>308</v>
      </c>
      <c r="H276" s="5" t="str">
        <f t="shared" si="3"/>
        <v>Democrat</v>
      </c>
    </row>
    <row r="277" ht="15.0" customHeight="1">
      <c r="A277" s="5" t="s">
        <v>327</v>
      </c>
      <c r="B277" s="5" t="s">
        <v>157</v>
      </c>
      <c r="C277" s="5" t="s">
        <v>96</v>
      </c>
      <c r="D277" s="11">
        <f>MAX(0, 2*'Precinct Vote Data'!G1096 - 'Precinct Vote Data'!G1094)</f>
        <v>1045</v>
      </c>
      <c r="E277" s="10">
        <f t="array" ref="E277">MIN(1,MAX(0, 'Precinct Vote Data'!H1097 + INDEX('Beta Coefficients'!$D:$D, MATCH(A277&amp;"|"&amp;B277&amp;"|"&amp;C277,'Beta Coefficients'!$Q:$Q,0))*(0.483125441908243-0.502219913195008) ))</f>
        <v>0.6347609466</v>
      </c>
      <c r="F277" s="11">
        <f t="shared" si="1"/>
        <v>663</v>
      </c>
      <c r="G277" s="11">
        <f t="shared" si="2"/>
        <v>382</v>
      </c>
      <c r="H277" s="5" t="str">
        <f t="shared" si="3"/>
        <v>Democrat</v>
      </c>
    </row>
    <row r="278" ht="15.0" customHeight="1">
      <c r="A278" s="5" t="s">
        <v>327</v>
      </c>
      <c r="B278" s="5" t="s">
        <v>157</v>
      </c>
      <c r="C278" s="5" t="s">
        <v>98</v>
      </c>
      <c r="D278" s="11">
        <f>MAX(0, 2*'Precinct Vote Data'!G1100 - 'Precinct Vote Data'!G1098)</f>
        <v>1555</v>
      </c>
      <c r="E278" s="10">
        <f t="array" ref="E278">MIN(1,MAX(0, 'Precinct Vote Data'!H1101 + INDEX('Beta Coefficients'!$D:$D, MATCH(A278&amp;"|"&amp;B278&amp;"|"&amp;C278,'Beta Coefficients'!$Q:$Q,0))*(0.483125441908243-0.502219913195008) ))</f>
        <v>0.5960827931</v>
      </c>
      <c r="F278" s="11">
        <f t="shared" si="1"/>
        <v>927</v>
      </c>
      <c r="G278" s="11">
        <f t="shared" si="2"/>
        <v>628</v>
      </c>
      <c r="H278" s="5" t="str">
        <f t="shared" si="3"/>
        <v>Democrat</v>
      </c>
    </row>
    <row r="279" ht="15.0" customHeight="1">
      <c r="A279" s="5" t="s">
        <v>327</v>
      </c>
      <c r="B279" s="5" t="s">
        <v>157</v>
      </c>
      <c r="C279" s="5" t="s">
        <v>100</v>
      </c>
      <c r="D279" s="11">
        <f>MAX(0, 2*'Precinct Vote Data'!G1104 - 'Precinct Vote Data'!G1102)</f>
        <v>971</v>
      </c>
      <c r="E279" s="10">
        <f t="array" ref="E279">MIN(1,MAX(0, 'Precinct Vote Data'!H1105 + INDEX('Beta Coefficients'!$D:$D, MATCH(A279&amp;"|"&amp;B279&amp;"|"&amp;C279,'Beta Coefficients'!$Q:$Q,0))*(0.483125441908243-0.502219913195008) ))</f>
        <v>0.6292758435</v>
      </c>
      <c r="F279" s="11">
        <f t="shared" si="1"/>
        <v>611</v>
      </c>
      <c r="G279" s="11">
        <f t="shared" si="2"/>
        <v>360</v>
      </c>
      <c r="H279" s="5" t="str">
        <f t="shared" si="3"/>
        <v>Democrat</v>
      </c>
    </row>
    <row r="280" ht="15.0" customHeight="1">
      <c r="A280" s="5" t="s">
        <v>327</v>
      </c>
      <c r="B280" s="5" t="s">
        <v>157</v>
      </c>
      <c r="C280" s="5" t="s">
        <v>102</v>
      </c>
      <c r="D280" s="11">
        <f>MAX(0, 2*'Precinct Vote Data'!G1108 - 'Precinct Vote Data'!G1106)</f>
        <v>762</v>
      </c>
      <c r="E280" s="10">
        <f t="array" ref="E280">MIN(1,MAX(0, 'Precinct Vote Data'!H1109 + INDEX('Beta Coefficients'!$D:$D, MATCH(A280&amp;"|"&amp;B280&amp;"|"&amp;C280,'Beta Coefficients'!$Q:$Q,0))*(0.483125441908243-0.502219913195008) ))</f>
        <v>0.6146011015</v>
      </c>
      <c r="F280" s="11">
        <f t="shared" si="1"/>
        <v>468</v>
      </c>
      <c r="G280" s="11">
        <f t="shared" si="2"/>
        <v>294</v>
      </c>
      <c r="H280" s="5" t="str">
        <f t="shared" si="3"/>
        <v>Democrat</v>
      </c>
    </row>
    <row r="281" ht="15.0" customHeight="1">
      <c r="A281" s="5" t="s">
        <v>327</v>
      </c>
      <c r="B281" s="5" t="s">
        <v>157</v>
      </c>
      <c r="C281" s="5" t="s">
        <v>103</v>
      </c>
      <c r="D281" s="11">
        <f>MAX(0, 2*'Precinct Vote Data'!G1112 - 'Precinct Vote Data'!G1110)</f>
        <v>1068</v>
      </c>
      <c r="E281" s="10">
        <f t="array" ref="E281">MIN(1,MAX(0, 'Precinct Vote Data'!H1113 + INDEX('Beta Coefficients'!$D:$D, MATCH(A281&amp;"|"&amp;B281&amp;"|"&amp;C281,'Beta Coefficients'!$Q:$Q,0))*(0.483125441908243-0.502219913195008) ))</f>
        <v>0.5697533485</v>
      </c>
      <c r="F281" s="11">
        <f t="shared" si="1"/>
        <v>608</v>
      </c>
      <c r="G281" s="11">
        <f t="shared" si="2"/>
        <v>460</v>
      </c>
      <c r="H281" s="5" t="str">
        <f t="shared" si="3"/>
        <v>Democrat</v>
      </c>
    </row>
    <row r="282" ht="15.0" customHeight="1">
      <c r="A282" s="5" t="s">
        <v>327</v>
      </c>
      <c r="B282" s="5" t="s">
        <v>157</v>
      </c>
      <c r="C282" s="5" t="s">
        <v>104</v>
      </c>
      <c r="D282" s="11">
        <f>MAX(0, 2*'Precinct Vote Data'!G1116 - 'Precinct Vote Data'!G1114)</f>
        <v>1345</v>
      </c>
      <c r="E282" s="10">
        <f t="array" ref="E282">MIN(1,MAX(0, 'Precinct Vote Data'!H1117 + INDEX('Beta Coefficients'!$D:$D, MATCH(A282&amp;"|"&amp;B282&amp;"|"&amp;C282,'Beta Coefficients'!$Q:$Q,0))*(0.483125441908243-0.502219913195008) ))</f>
        <v>0.6229352655</v>
      </c>
      <c r="F282" s="11">
        <f t="shared" si="1"/>
        <v>838</v>
      </c>
      <c r="G282" s="11">
        <f t="shared" si="2"/>
        <v>507</v>
      </c>
      <c r="H282" s="5" t="str">
        <f t="shared" si="3"/>
        <v>Democrat</v>
      </c>
    </row>
    <row r="283" ht="15.0" customHeight="1">
      <c r="A283" s="5" t="s">
        <v>327</v>
      </c>
      <c r="B283" s="5" t="s">
        <v>157</v>
      </c>
      <c r="C283" s="5" t="s">
        <v>333</v>
      </c>
      <c r="D283" s="11">
        <f>MAX(0, 2*'Precinct Vote Data'!G1120 - 'Precinct Vote Data'!G1118)</f>
        <v>1132</v>
      </c>
      <c r="E283" s="10">
        <f t="array" ref="E283">MIN(1,MAX(0, 'Precinct Vote Data'!H1121 + INDEX('Beta Coefficients'!$D:$D, MATCH(A283&amp;"|"&amp;B283&amp;"|"&amp;C283,'Beta Coefficients'!$Q:$Q,0))*(0.483125441908243-0.502219913195008) ))</f>
        <v>0.5644457901</v>
      </c>
      <c r="F283" s="11">
        <f t="shared" si="1"/>
        <v>639</v>
      </c>
      <c r="G283" s="11">
        <f t="shared" si="2"/>
        <v>493</v>
      </c>
      <c r="H283" s="5" t="str">
        <f t="shared" si="3"/>
        <v>Democrat</v>
      </c>
    </row>
    <row r="284" ht="15.0" customHeight="1">
      <c r="A284" s="5" t="s">
        <v>327</v>
      </c>
      <c r="B284" s="5" t="s">
        <v>157</v>
      </c>
      <c r="C284" s="5" t="s">
        <v>106</v>
      </c>
      <c r="D284" s="11">
        <f>MAX(0, 2*'Precinct Vote Data'!G1124 - 'Precinct Vote Data'!G1122)</f>
        <v>770</v>
      </c>
      <c r="E284" s="10">
        <f t="array" ref="E284">MIN(1,MAX(0, 'Precinct Vote Data'!H1125 + INDEX('Beta Coefficients'!$D:$D, MATCH(A284&amp;"|"&amp;B284&amp;"|"&amp;C284,'Beta Coefficients'!$Q:$Q,0))*(0.483125441908243-0.502219913195008) ))</f>
        <v>0.6337718103</v>
      </c>
      <c r="F284" s="11">
        <f t="shared" si="1"/>
        <v>488</v>
      </c>
      <c r="G284" s="11">
        <f t="shared" si="2"/>
        <v>282</v>
      </c>
      <c r="H284" s="5" t="str">
        <f t="shared" si="3"/>
        <v>Democrat</v>
      </c>
    </row>
    <row r="285" ht="15.0" customHeight="1">
      <c r="A285" s="5" t="s">
        <v>327</v>
      </c>
      <c r="B285" s="5" t="s">
        <v>157</v>
      </c>
      <c r="C285" s="5" t="s">
        <v>109</v>
      </c>
      <c r="D285" s="11">
        <f>MAX(0, 2*'Precinct Vote Data'!G1128 - 'Precinct Vote Data'!G1126)</f>
        <v>838</v>
      </c>
      <c r="E285" s="10">
        <f t="array" ref="E285">MIN(1,MAX(0, 'Precinct Vote Data'!H1129 + INDEX('Beta Coefficients'!$D:$D, MATCH(A285&amp;"|"&amp;B285&amp;"|"&amp;C285,'Beta Coefficients'!$Q:$Q,0))*(0.483125441908243-0.502219913195008) ))</f>
        <v>0.6450378619</v>
      </c>
      <c r="F285" s="11">
        <f t="shared" si="1"/>
        <v>541</v>
      </c>
      <c r="G285" s="11">
        <f t="shared" si="2"/>
        <v>297</v>
      </c>
      <c r="H285" s="5" t="str">
        <f t="shared" si="3"/>
        <v>Democrat</v>
      </c>
    </row>
    <row r="286" ht="15.0" customHeight="1">
      <c r="A286" s="5" t="s">
        <v>327</v>
      </c>
      <c r="B286" s="5" t="s">
        <v>157</v>
      </c>
      <c r="C286" s="5" t="s">
        <v>110</v>
      </c>
      <c r="D286" s="11">
        <f>MAX(0, 2*'Precinct Vote Data'!G1132 - 'Precinct Vote Data'!G1130)</f>
        <v>1222</v>
      </c>
      <c r="E286" s="10">
        <f t="array" ref="E286">MIN(1,MAX(0, 'Precinct Vote Data'!H1133 + INDEX('Beta Coefficients'!$D:$D, MATCH(A286&amp;"|"&amp;B286&amp;"|"&amp;C286,'Beta Coefficients'!$Q:$Q,0))*(0.483125441908243-0.502219913195008) ))</f>
        <v>0.5756489941</v>
      </c>
      <c r="F286" s="11">
        <f t="shared" si="1"/>
        <v>703</v>
      </c>
      <c r="G286" s="11">
        <f t="shared" si="2"/>
        <v>519</v>
      </c>
      <c r="H286" s="5" t="str">
        <f t="shared" si="3"/>
        <v>Democrat</v>
      </c>
    </row>
    <row r="287" ht="15.0" customHeight="1">
      <c r="A287" s="5" t="s">
        <v>327</v>
      </c>
      <c r="B287" s="5" t="s">
        <v>157</v>
      </c>
      <c r="C287" s="5" t="s">
        <v>111</v>
      </c>
      <c r="D287" s="11">
        <f>MAX(0, 2*'Precinct Vote Data'!G1136 - 'Precinct Vote Data'!G1134)</f>
        <v>584</v>
      </c>
      <c r="E287" s="10">
        <f t="array" ref="E287">MIN(1,MAX(0, 'Precinct Vote Data'!H1137 + INDEX('Beta Coefficients'!$D:$D, MATCH(A287&amp;"|"&amp;B287&amp;"|"&amp;C287,'Beta Coefficients'!$Q:$Q,0))*(0.483125441908243-0.502219913195008) ))</f>
        <v>0.6321814431</v>
      </c>
      <c r="F287" s="11">
        <f t="shared" si="1"/>
        <v>369</v>
      </c>
      <c r="G287" s="11">
        <f t="shared" si="2"/>
        <v>215</v>
      </c>
      <c r="H287" s="5" t="str">
        <f t="shared" si="3"/>
        <v>Democrat</v>
      </c>
    </row>
    <row r="288" ht="15.0" customHeight="1">
      <c r="A288" s="5" t="s">
        <v>327</v>
      </c>
      <c r="B288" s="5" t="s">
        <v>157</v>
      </c>
      <c r="C288" s="5" t="s">
        <v>113</v>
      </c>
      <c r="D288" s="11">
        <f>MAX(0, 2*'Precinct Vote Data'!G1140 - 'Precinct Vote Data'!G1138)</f>
        <v>915</v>
      </c>
      <c r="E288" s="10">
        <f t="array" ref="E288">MIN(1,MAX(0, 'Precinct Vote Data'!H1141 + INDEX('Beta Coefficients'!$D:$D, MATCH(A288&amp;"|"&amp;B288&amp;"|"&amp;C288,'Beta Coefficients'!$Q:$Q,0))*(0.483125441908243-0.502219913195008) ))</f>
        <v>0.5997782736</v>
      </c>
      <c r="F288" s="11">
        <f t="shared" si="1"/>
        <v>549</v>
      </c>
      <c r="G288" s="11">
        <f t="shared" si="2"/>
        <v>366</v>
      </c>
      <c r="H288" s="5" t="str">
        <f t="shared" si="3"/>
        <v>Democrat</v>
      </c>
    </row>
    <row r="289" ht="15.0" customHeight="1">
      <c r="A289" s="5" t="s">
        <v>327</v>
      </c>
      <c r="B289" s="5" t="s">
        <v>157</v>
      </c>
      <c r="C289" s="5" t="s">
        <v>114</v>
      </c>
      <c r="D289" s="11">
        <f>MAX(0, 2*'Precinct Vote Data'!G1144 - 'Precinct Vote Data'!G1142)</f>
        <v>175</v>
      </c>
      <c r="E289" s="10">
        <f t="array" ref="E289">MIN(1,MAX(0, 'Precinct Vote Data'!H1145 + INDEX('Beta Coefficients'!$D:$D, MATCH(A289&amp;"|"&amp;B289&amp;"|"&amp;C289,'Beta Coefficients'!$Q:$Q,0))*(0.483125441908243-0.502219913195008) ))</f>
        <v>0.6424508452</v>
      </c>
      <c r="F289" s="11">
        <f t="shared" si="1"/>
        <v>112</v>
      </c>
      <c r="G289" s="11">
        <f t="shared" si="2"/>
        <v>63</v>
      </c>
      <c r="H289" s="5" t="str">
        <f t="shared" si="3"/>
        <v>Democrat</v>
      </c>
    </row>
    <row r="290" ht="15.0" customHeight="1">
      <c r="A290" s="5" t="s">
        <v>327</v>
      </c>
      <c r="B290" s="5" t="s">
        <v>157</v>
      </c>
      <c r="C290" s="5" t="s">
        <v>116</v>
      </c>
      <c r="D290" s="11">
        <f>MAX(0, 2*'Precinct Vote Data'!G1148 - 'Precinct Vote Data'!G1146)</f>
        <v>794</v>
      </c>
      <c r="E290" s="10">
        <f t="array" ref="E290">MIN(1,MAX(0, 'Precinct Vote Data'!H1149 + INDEX('Beta Coefficients'!$D:$D, MATCH(A290&amp;"|"&amp;B290&amp;"|"&amp;C290,'Beta Coefficients'!$Q:$Q,0))*(0.483125441908243-0.502219913195008) ))</f>
        <v>0.5437927337</v>
      </c>
      <c r="F290" s="11">
        <f t="shared" si="1"/>
        <v>432</v>
      </c>
      <c r="G290" s="11">
        <f t="shared" si="2"/>
        <v>362</v>
      </c>
      <c r="H290" s="5" t="str">
        <f t="shared" si="3"/>
        <v>Democrat</v>
      </c>
    </row>
    <row r="291" ht="15.0" customHeight="1">
      <c r="A291" s="5" t="s">
        <v>327</v>
      </c>
      <c r="B291" s="5" t="s">
        <v>157</v>
      </c>
      <c r="C291" s="5" t="s">
        <v>118</v>
      </c>
      <c r="D291" s="11">
        <f>MAX(0, 2*'Precinct Vote Data'!G1152 - 'Precinct Vote Data'!G1150)</f>
        <v>1000</v>
      </c>
      <c r="E291" s="10">
        <f t="array" ref="E291">MIN(1,MAX(0, 'Precinct Vote Data'!H1153 + INDEX('Beta Coefficients'!$D:$D, MATCH(A291&amp;"|"&amp;B291&amp;"|"&amp;C291,'Beta Coefficients'!$Q:$Q,0))*(0.483125441908243-0.502219913195008) ))</f>
        <v>0.5222238494</v>
      </c>
      <c r="F291" s="11">
        <f t="shared" si="1"/>
        <v>522</v>
      </c>
      <c r="G291" s="11">
        <f t="shared" si="2"/>
        <v>478</v>
      </c>
      <c r="H291" s="5" t="str">
        <f t="shared" si="3"/>
        <v>Democrat</v>
      </c>
    </row>
    <row r="292" ht="15.0" customHeight="1">
      <c r="A292" s="5" t="s">
        <v>327</v>
      </c>
      <c r="B292" s="5" t="s">
        <v>157</v>
      </c>
      <c r="C292" s="5" t="s">
        <v>334</v>
      </c>
      <c r="D292" s="11">
        <f>MAX(0, 2*'Precinct Vote Data'!G1156 - 'Precinct Vote Data'!G1154)</f>
        <v>1164</v>
      </c>
      <c r="E292" s="10">
        <f t="array" ref="E292">MIN(1,MAX(0, 'Precinct Vote Data'!H1157 + INDEX('Beta Coefficients'!$D:$D, MATCH(A292&amp;"|"&amp;B292&amp;"|"&amp;C292,'Beta Coefficients'!$Q:$Q,0))*(0.483125441908243-0.502219913195008) ))</f>
        <v>0.532999463</v>
      </c>
      <c r="F292" s="11">
        <f t="shared" si="1"/>
        <v>620</v>
      </c>
      <c r="G292" s="11">
        <f t="shared" si="2"/>
        <v>544</v>
      </c>
      <c r="H292" s="5" t="str">
        <f t="shared" si="3"/>
        <v>Democrat</v>
      </c>
    </row>
    <row r="293" ht="15.0" customHeight="1">
      <c r="A293" s="5" t="s">
        <v>327</v>
      </c>
      <c r="B293" s="5" t="s">
        <v>157</v>
      </c>
      <c r="C293" s="5" t="s">
        <v>335</v>
      </c>
      <c r="D293" s="11">
        <f>MAX(0, 2*'Precinct Vote Data'!G1160 - 'Precinct Vote Data'!G1158)</f>
        <v>543</v>
      </c>
      <c r="E293" s="10">
        <f t="array" ref="E293">MIN(1,MAX(0, 'Precinct Vote Data'!H1161 + INDEX('Beta Coefficients'!$D:$D, MATCH(A293&amp;"|"&amp;B293&amp;"|"&amp;C293,'Beta Coefficients'!$Q:$Q,0))*(0.483125441908243-0.502219913195008) ))</f>
        <v>0.4963722733</v>
      </c>
      <c r="F293" s="11">
        <f t="shared" si="1"/>
        <v>270</v>
      </c>
      <c r="G293" s="11">
        <f t="shared" si="2"/>
        <v>273</v>
      </c>
      <c r="H293" s="5" t="str">
        <f t="shared" si="3"/>
        <v>Republican</v>
      </c>
    </row>
    <row r="294" ht="15.0" customHeight="1">
      <c r="A294" s="5" t="s">
        <v>327</v>
      </c>
      <c r="B294" s="5" t="s">
        <v>157</v>
      </c>
      <c r="C294" s="5" t="s">
        <v>119</v>
      </c>
      <c r="D294" s="11">
        <f>MAX(0, 2*'Precinct Vote Data'!G1164 - 'Precinct Vote Data'!G1162)</f>
        <v>830</v>
      </c>
      <c r="E294" s="10">
        <f t="array" ref="E294">MIN(1,MAX(0, 'Precinct Vote Data'!H1165 + INDEX('Beta Coefficients'!$D:$D, MATCH(A294&amp;"|"&amp;B294&amp;"|"&amp;C294,'Beta Coefficients'!$Q:$Q,0))*(0.483125441908243-0.502219913195008) ))</f>
        <v>0.5275055712</v>
      </c>
      <c r="F294" s="11">
        <f t="shared" si="1"/>
        <v>438</v>
      </c>
      <c r="G294" s="11">
        <f t="shared" si="2"/>
        <v>392</v>
      </c>
      <c r="H294" s="5" t="str">
        <f t="shared" si="3"/>
        <v>Democrat</v>
      </c>
    </row>
    <row r="295" ht="15.0" customHeight="1">
      <c r="A295" s="5" t="s">
        <v>327</v>
      </c>
      <c r="B295" s="5" t="s">
        <v>157</v>
      </c>
      <c r="C295" s="5" t="s">
        <v>336</v>
      </c>
      <c r="D295" s="11">
        <f>MAX(0, 2*'Precinct Vote Data'!G1168 - 'Precinct Vote Data'!G1166)</f>
        <v>896</v>
      </c>
      <c r="E295" s="10">
        <f t="array" ref="E295">MIN(1,MAX(0, 'Precinct Vote Data'!H1169 + INDEX('Beta Coefficients'!$D:$D, MATCH(A295&amp;"|"&amp;B295&amp;"|"&amp;C295,'Beta Coefficients'!$Q:$Q,0))*(0.483125441908243-0.502219913195008) ))</f>
        <v>0.479084883</v>
      </c>
      <c r="F295" s="11">
        <f t="shared" si="1"/>
        <v>429</v>
      </c>
      <c r="G295" s="11">
        <f t="shared" si="2"/>
        <v>467</v>
      </c>
      <c r="H295" s="5" t="str">
        <f t="shared" si="3"/>
        <v>Republican</v>
      </c>
    </row>
    <row r="296" ht="15.0" customHeight="1">
      <c r="A296" s="5" t="s">
        <v>327</v>
      </c>
      <c r="B296" s="5" t="s">
        <v>157</v>
      </c>
      <c r="C296" s="5" t="s">
        <v>337</v>
      </c>
      <c r="D296" s="11">
        <f>MAX(0, 2*'Precinct Vote Data'!G1172 - 'Precinct Vote Data'!G1170)</f>
        <v>571</v>
      </c>
      <c r="E296" s="10">
        <f t="array" ref="E296">MIN(1,MAX(0, 'Precinct Vote Data'!H1173 + INDEX('Beta Coefficients'!$D:$D, MATCH(A296&amp;"|"&amp;B296&amp;"|"&amp;C296,'Beta Coefficients'!$Q:$Q,0))*(0.483125441908243-0.502219913195008) ))</f>
        <v>0.5211086861</v>
      </c>
      <c r="F296" s="11">
        <f t="shared" si="1"/>
        <v>298</v>
      </c>
      <c r="G296" s="11">
        <f t="shared" si="2"/>
        <v>273</v>
      </c>
      <c r="H296" s="5" t="str">
        <f t="shared" si="3"/>
        <v>Democrat</v>
      </c>
    </row>
    <row r="297" ht="15.0" customHeight="1">
      <c r="A297" s="5" t="s">
        <v>327</v>
      </c>
      <c r="B297" s="5" t="s">
        <v>157</v>
      </c>
      <c r="C297" s="5" t="s">
        <v>338</v>
      </c>
      <c r="D297" s="11">
        <f>MAX(0, 2*'Precinct Vote Data'!G1176 - 'Precinct Vote Data'!G1174)</f>
        <v>710</v>
      </c>
      <c r="E297" s="10">
        <f t="array" ref="E297">MIN(1,MAX(0, 'Precinct Vote Data'!H1177 + INDEX('Beta Coefficients'!$D:$D, MATCH(A297&amp;"|"&amp;B297&amp;"|"&amp;C297,'Beta Coefficients'!$Q:$Q,0))*(0.483125441908243-0.502219913195008) ))</f>
        <v>0.5621966034</v>
      </c>
      <c r="F297" s="11">
        <f t="shared" si="1"/>
        <v>399</v>
      </c>
      <c r="G297" s="11">
        <f t="shared" si="2"/>
        <v>311</v>
      </c>
      <c r="H297" s="5" t="str">
        <f t="shared" si="3"/>
        <v>Democrat</v>
      </c>
    </row>
    <row r="298" ht="15.0" customHeight="1">
      <c r="A298" s="5" t="s">
        <v>327</v>
      </c>
      <c r="B298" s="5" t="s">
        <v>157</v>
      </c>
      <c r="C298" s="5" t="s">
        <v>120</v>
      </c>
      <c r="D298" s="11">
        <f>MAX(0, 2*'Precinct Vote Data'!G1180 - 'Precinct Vote Data'!G1178)</f>
        <v>436</v>
      </c>
      <c r="E298" s="10">
        <f t="array" ref="E298">MIN(1,MAX(0, 'Precinct Vote Data'!H1181 + INDEX('Beta Coefficients'!$D:$D, MATCH(A298&amp;"|"&amp;B298&amp;"|"&amp;C298,'Beta Coefficients'!$Q:$Q,0))*(0.483125441908243-0.502219913195008) ))</f>
        <v>0.5983371646</v>
      </c>
      <c r="F298" s="11">
        <f t="shared" si="1"/>
        <v>261</v>
      </c>
      <c r="G298" s="11">
        <f t="shared" si="2"/>
        <v>175</v>
      </c>
      <c r="H298" s="5" t="str">
        <f t="shared" si="3"/>
        <v>Democrat</v>
      </c>
    </row>
    <row r="299" ht="15.0" customHeight="1">
      <c r="A299" s="5" t="s">
        <v>327</v>
      </c>
      <c r="B299" s="5" t="s">
        <v>157</v>
      </c>
      <c r="C299" s="5" t="s">
        <v>122</v>
      </c>
      <c r="D299" s="11">
        <f>MAX(0, 2*'Precinct Vote Data'!G1184 - 'Precinct Vote Data'!G1182)</f>
        <v>631</v>
      </c>
      <c r="E299" s="10">
        <f t="array" ref="E299">MIN(1,MAX(0, 'Precinct Vote Data'!H1185 + INDEX('Beta Coefficients'!$D:$D, MATCH(A299&amp;"|"&amp;B299&amp;"|"&amp;C299,'Beta Coefficients'!$Q:$Q,0))*(0.483125441908243-0.502219913195008) ))</f>
        <v>0.5164591083</v>
      </c>
      <c r="F299" s="11">
        <f t="shared" si="1"/>
        <v>326</v>
      </c>
      <c r="G299" s="11">
        <f t="shared" si="2"/>
        <v>305</v>
      </c>
      <c r="H299" s="5" t="str">
        <f t="shared" si="3"/>
        <v>Democrat</v>
      </c>
    </row>
    <row r="300" ht="15.0" customHeight="1">
      <c r="A300" s="5" t="s">
        <v>327</v>
      </c>
      <c r="B300" s="5" t="s">
        <v>157</v>
      </c>
      <c r="C300" s="5" t="s">
        <v>339</v>
      </c>
      <c r="D300" s="11">
        <f>MAX(0, 2*'Precinct Vote Data'!G1188 - 'Precinct Vote Data'!G1186)</f>
        <v>732</v>
      </c>
      <c r="E300" s="10">
        <f t="array" ref="E300">MIN(1,MAX(0, 'Precinct Vote Data'!H1189 + INDEX('Beta Coefficients'!$D:$D, MATCH(A300&amp;"|"&amp;B300&amp;"|"&amp;C300,'Beta Coefficients'!$Q:$Q,0))*(0.483125441908243-0.502219913195008) ))</f>
        <v>0.511492018</v>
      </c>
      <c r="F300" s="11">
        <f t="shared" si="1"/>
        <v>374</v>
      </c>
      <c r="G300" s="11">
        <f t="shared" si="2"/>
        <v>358</v>
      </c>
      <c r="H300" s="5" t="str">
        <f t="shared" si="3"/>
        <v>Democrat</v>
      </c>
    </row>
    <row r="301" ht="15.0" customHeight="1">
      <c r="A301" s="5" t="s">
        <v>327</v>
      </c>
      <c r="B301" s="5" t="s">
        <v>157</v>
      </c>
      <c r="C301" s="5" t="s">
        <v>340</v>
      </c>
      <c r="D301" s="11">
        <f>MAX(0, 2*'Precinct Vote Data'!G1192 - 'Precinct Vote Data'!G1190)</f>
        <v>847</v>
      </c>
      <c r="E301" s="10">
        <f t="array" ref="E301">MIN(1,MAX(0, 'Precinct Vote Data'!H1193 + INDEX('Beta Coefficients'!$D:$D, MATCH(A301&amp;"|"&amp;B301&amp;"|"&amp;C301,'Beta Coefficients'!$Q:$Q,0))*(0.483125441908243-0.502219913195008) ))</f>
        <v>0.5471383795</v>
      </c>
      <c r="F301" s="11">
        <f t="shared" si="1"/>
        <v>463</v>
      </c>
      <c r="G301" s="11">
        <f t="shared" si="2"/>
        <v>384</v>
      </c>
      <c r="H301" s="5" t="str">
        <f t="shared" si="3"/>
        <v>Democrat</v>
      </c>
    </row>
    <row r="302" ht="15.0" customHeight="1">
      <c r="A302" s="5" t="s">
        <v>327</v>
      </c>
      <c r="B302" s="5" t="s">
        <v>157</v>
      </c>
      <c r="C302" s="5" t="s">
        <v>341</v>
      </c>
      <c r="D302" s="11">
        <f>MAX(0, 2*'Precinct Vote Data'!G1196 - 'Precinct Vote Data'!G1194)</f>
        <v>785</v>
      </c>
      <c r="E302" s="10">
        <f t="array" ref="E302">MIN(1,MAX(0, 'Precinct Vote Data'!H1197 + INDEX('Beta Coefficients'!$D:$D, MATCH(A302&amp;"|"&amp;B302&amp;"|"&amp;C302,'Beta Coefficients'!$Q:$Q,0))*(0.483125441908243-0.502219913195008) ))</f>
        <v>0.5070033006</v>
      </c>
      <c r="F302" s="11">
        <f t="shared" si="1"/>
        <v>398</v>
      </c>
      <c r="G302" s="11">
        <f t="shared" si="2"/>
        <v>387</v>
      </c>
      <c r="H302" s="5" t="str">
        <f t="shared" si="3"/>
        <v>Democrat</v>
      </c>
    </row>
    <row r="303" ht="15.0" customHeight="1">
      <c r="A303" s="5" t="s">
        <v>327</v>
      </c>
      <c r="B303" s="5" t="s">
        <v>157</v>
      </c>
      <c r="C303" s="5" t="s">
        <v>124</v>
      </c>
      <c r="D303" s="11">
        <f>MAX(0, 2*'Precinct Vote Data'!G1200 - 'Precinct Vote Data'!G1198)</f>
        <v>1702</v>
      </c>
      <c r="E303" s="10">
        <f t="array" ref="E303">MIN(1,MAX(0, 'Precinct Vote Data'!H1201 + INDEX('Beta Coefficients'!$D:$D, MATCH(A303&amp;"|"&amp;B303&amp;"|"&amp;C303,'Beta Coefficients'!$Q:$Q,0))*(0.483125441908243-0.502219913195008) ))</f>
        <v>0.5727108316</v>
      </c>
      <c r="F303" s="11">
        <f t="shared" si="1"/>
        <v>975</v>
      </c>
      <c r="G303" s="11">
        <f t="shared" si="2"/>
        <v>727</v>
      </c>
      <c r="H303" s="5" t="str">
        <f t="shared" si="3"/>
        <v>Democrat</v>
      </c>
    </row>
    <row r="304" ht="15.0" customHeight="1">
      <c r="A304" s="5" t="s">
        <v>327</v>
      </c>
      <c r="B304" s="5" t="s">
        <v>157</v>
      </c>
      <c r="C304" s="5" t="s">
        <v>126</v>
      </c>
      <c r="D304" s="11">
        <f>MAX(0, 2*'Precinct Vote Data'!G1204 - 'Precinct Vote Data'!G1202)</f>
        <v>890</v>
      </c>
      <c r="E304" s="10">
        <f t="array" ref="E304">MIN(1,MAX(0, 'Precinct Vote Data'!H1205 + INDEX('Beta Coefficients'!$D:$D, MATCH(A304&amp;"|"&amp;B304&amp;"|"&amp;C304,'Beta Coefficients'!$Q:$Q,0))*(0.483125441908243-0.502219913195008) ))</f>
        <v>0.526762106</v>
      </c>
      <c r="F304" s="11">
        <f t="shared" si="1"/>
        <v>469</v>
      </c>
      <c r="G304" s="11">
        <f t="shared" si="2"/>
        <v>421</v>
      </c>
      <c r="H304" s="5" t="str">
        <f t="shared" si="3"/>
        <v>Democrat</v>
      </c>
    </row>
    <row r="305" ht="15.0" customHeight="1">
      <c r="A305" s="5" t="s">
        <v>327</v>
      </c>
      <c r="B305" s="5" t="s">
        <v>157</v>
      </c>
      <c r="C305" s="5" t="s">
        <v>127</v>
      </c>
      <c r="D305" s="11">
        <f>MAX(0, 2*'Precinct Vote Data'!G1208 - 'Precinct Vote Data'!G1206)</f>
        <v>866</v>
      </c>
      <c r="E305" s="10">
        <f t="array" ref="E305">MIN(1,MAX(0, 'Precinct Vote Data'!H1209 + INDEX('Beta Coefficients'!$D:$D, MATCH(A305&amp;"|"&amp;B305&amp;"|"&amp;C305,'Beta Coefficients'!$Q:$Q,0))*(0.483125441908243-0.502219913195008) ))</f>
        <v>0.5214411076</v>
      </c>
      <c r="F305" s="11">
        <f t="shared" si="1"/>
        <v>452</v>
      </c>
      <c r="G305" s="11">
        <f t="shared" si="2"/>
        <v>414</v>
      </c>
      <c r="H305" s="5" t="str">
        <f t="shared" si="3"/>
        <v>Democrat</v>
      </c>
    </row>
    <row r="306" ht="15.0" customHeight="1">
      <c r="A306" s="5" t="s">
        <v>327</v>
      </c>
      <c r="B306" s="5" t="s">
        <v>157</v>
      </c>
      <c r="C306" s="5" t="s">
        <v>342</v>
      </c>
      <c r="D306" s="11">
        <f>MAX(0, 2*'Precinct Vote Data'!G1212 - 'Precinct Vote Data'!G1210)</f>
        <v>840</v>
      </c>
      <c r="E306" s="10">
        <f t="array" ref="E306">MIN(1,MAX(0, 'Precinct Vote Data'!H1213 + INDEX('Beta Coefficients'!$D:$D, MATCH(A306&amp;"|"&amp;B306&amp;"|"&amp;C306,'Beta Coefficients'!$Q:$Q,0))*(0.483125441908243-0.502219913195008) ))</f>
        <v>0.5116772384</v>
      </c>
      <c r="F306" s="11">
        <f t="shared" si="1"/>
        <v>430</v>
      </c>
      <c r="G306" s="11">
        <f t="shared" si="2"/>
        <v>410</v>
      </c>
      <c r="H306" s="5" t="str">
        <f t="shared" si="3"/>
        <v>Democrat</v>
      </c>
    </row>
    <row r="307" ht="15.0" customHeight="1">
      <c r="A307" s="5" t="s">
        <v>327</v>
      </c>
      <c r="B307" s="5" t="s">
        <v>343</v>
      </c>
      <c r="C307" s="5" t="s">
        <v>130</v>
      </c>
      <c r="D307" s="11">
        <f>MAX(0, 2*'Precinct Vote Data'!G1216 - 'Precinct Vote Data'!G1214)</f>
        <v>2225</v>
      </c>
      <c r="E307" s="10">
        <f t="array" ref="E307">MIN(1,MAX(0, 'Precinct Vote Data'!H1217 + INDEX('Beta Coefficients'!$D:$D, MATCH(A307&amp;"|"&amp;B307&amp;"|"&amp;C307,'Beta Coefficients'!$Q:$Q,0))*(0.483125441908243-0.502219913195008) ))</f>
        <v>0.3955980565</v>
      </c>
      <c r="F307" s="11">
        <f t="shared" si="1"/>
        <v>880</v>
      </c>
      <c r="G307" s="11">
        <f t="shared" si="2"/>
        <v>1345</v>
      </c>
      <c r="H307" s="5" t="str">
        <f t="shared" si="3"/>
        <v>Republican</v>
      </c>
    </row>
    <row r="308" ht="15.0" customHeight="1">
      <c r="A308" s="5" t="s">
        <v>327</v>
      </c>
      <c r="B308" s="5" t="s">
        <v>343</v>
      </c>
      <c r="C308" s="5" t="s">
        <v>131</v>
      </c>
      <c r="D308" s="11">
        <f>MAX(0, 2*'Precinct Vote Data'!G1220 - 'Precinct Vote Data'!G1218)</f>
        <v>1964</v>
      </c>
      <c r="E308" s="10">
        <f t="array" ref="E308">MIN(1,MAX(0, 'Precinct Vote Data'!H1221 + INDEX('Beta Coefficients'!$D:$D, MATCH(A308&amp;"|"&amp;B308&amp;"|"&amp;C308,'Beta Coefficients'!$Q:$Q,0))*(0.483125441908243-0.502219913195008) ))</f>
        <v>0.3897837519</v>
      </c>
      <c r="F308" s="11">
        <f t="shared" si="1"/>
        <v>766</v>
      </c>
      <c r="G308" s="11">
        <f t="shared" si="2"/>
        <v>1198</v>
      </c>
      <c r="H308" s="5" t="str">
        <f t="shared" si="3"/>
        <v>Republican</v>
      </c>
    </row>
    <row r="309" ht="15.0" customHeight="1">
      <c r="A309" s="5" t="s">
        <v>327</v>
      </c>
      <c r="B309" s="5" t="s">
        <v>343</v>
      </c>
      <c r="C309" s="5" t="s">
        <v>132</v>
      </c>
      <c r="D309" s="11">
        <f>MAX(0, 2*'Precinct Vote Data'!G1224 - 'Precinct Vote Data'!G1222)</f>
        <v>1096</v>
      </c>
      <c r="E309" s="10">
        <f t="array" ref="E309">MIN(1,MAX(0, 'Precinct Vote Data'!H1225 + INDEX('Beta Coefficients'!$D:$D, MATCH(A309&amp;"|"&amp;B309&amp;"|"&amp;C309,'Beta Coefficients'!$Q:$Q,0))*(0.483125441908243-0.502219913195008) ))</f>
        <v>0.3315433216</v>
      </c>
      <c r="F309" s="11">
        <f t="shared" si="1"/>
        <v>363</v>
      </c>
      <c r="G309" s="11">
        <f t="shared" si="2"/>
        <v>733</v>
      </c>
      <c r="H309" s="5" t="str">
        <f t="shared" si="3"/>
        <v>Republican</v>
      </c>
    </row>
    <row r="310" ht="15.0" customHeight="1">
      <c r="A310" s="5" t="s">
        <v>327</v>
      </c>
      <c r="B310" s="5" t="s">
        <v>344</v>
      </c>
      <c r="C310" s="5" t="s">
        <v>133</v>
      </c>
      <c r="D310" s="11">
        <f>MAX(0, 2*'Precinct Vote Data'!G1228 - 'Precinct Vote Data'!G1226)</f>
        <v>106</v>
      </c>
      <c r="E310" s="10">
        <f t="array" ref="E310">MIN(1,MAX(0, 'Precinct Vote Data'!H1229 + INDEX('Beta Coefficients'!$D:$D, MATCH(A310&amp;"|"&amp;B310&amp;"|"&amp;C310,'Beta Coefficients'!$Q:$Q,0))*(0.483125441908243-0.502219913195008) ))</f>
        <v>0.2575042802</v>
      </c>
      <c r="F310" s="11">
        <f t="shared" si="1"/>
        <v>27</v>
      </c>
      <c r="G310" s="11">
        <f t="shared" si="2"/>
        <v>79</v>
      </c>
      <c r="H310" s="5" t="str">
        <f t="shared" si="3"/>
        <v>Republican</v>
      </c>
    </row>
    <row r="311" ht="15.0" customHeight="1">
      <c r="A311" s="5" t="s">
        <v>327</v>
      </c>
      <c r="B311" s="5" t="s">
        <v>345</v>
      </c>
      <c r="C311" s="5" t="s">
        <v>135</v>
      </c>
      <c r="D311" s="11">
        <f>MAX(0, 2*'Precinct Vote Data'!G1232 - 'Precinct Vote Data'!G1230)</f>
        <v>1665</v>
      </c>
      <c r="E311" s="10">
        <f t="array" ref="E311">MIN(1,MAX(0, 'Precinct Vote Data'!H1233 + INDEX('Beta Coefficients'!$D:$D, MATCH(A311&amp;"|"&amp;B311&amp;"|"&amp;C311,'Beta Coefficients'!$Q:$Q,0))*(0.483125441908243-0.502219913195008) ))</f>
        <v>0.428617779</v>
      </c>
      <c r="F311" s="11">
        <f t="shared" si="1"/>
        <v>714</v>
      </c>
      <c r="G311" s="11">
        <f t="shared" si="2"/>
        <v>951</v>
      </c>
      <c r="H311" s="5" t="str">
        <f t="shared" si="3"/>
        <v>Republican</v>
      </c>
    </row>
    <row r="312" ht="15.0" customHeight="1">
      <c r="A312" s="5" t="s">
        <v>327</v>
      </c>
      <c r="B312" s="5" t="s">
        <v>345</v>
      </c>
      <c r="C312" s="5" t="s">
        <v>136</v>
      </c>
      <c r="D312" s="11">
        <f>MAX(0, 2*'Precinct Vote Data'!G1236 - 'Precinct Vote Data'!G1234)</f>
        <v>1378</v>
      </c>
      <c r="E312" s="10">
        <f t="array" ref="E312">MIN(1,MAX(0, 'Precinct Vote Data'!H1237 + INDEX('Beta Coefficients'!$D:$D, MATCH(A312&amp;"|"&amp;B312&amp;"|"&amp;C312,'Beta Coefficients'!$Q:$Q,0))*(0.483125441908243-0.502219913195008) ))</f>
        <v>0.4333854541</v>
      </c>
      <c r="F312" s="11">
        <f t="shared" si="1"/>
        <v>597</v>
      </c>
      <c r="G312" s="11">
        <f t="shared" si="2"/>
        <v>781</v>
      </c>
      <c r="H312" s="5" t="str">
        <f t="shared" si="3"/>
        <v>Republican</v>
      </c>
    </row>
    <row r="313" ht="15.0" customHeight="1">
      <c r="A313" s="5" t="s">
        <v>327</v>
      </c>
      <c r="B313" s="5" t="s">
        <v>346</v>
      </c>
      <c r="C313" s="5" t="s">
        <v>139</v>
      </c>
      <c r="D313" s="11">
        <f>MAX(0, 2*'Precinct Vote Data'!G1240 - 'Precinct Vote Data'!G1238)</f>
        <v>369</v>
      </c>
      <c r="E313" s="10">
        <f t="array" ref="E313">MIN(1,MAX(0, 'Precinct Vote Data'!H1241 + INDEX('Beta Coefficients'!$D:$D, MATCH(A313&amp;"|"&amp;B313&amp;"|"&amp;C313,'Beta Coefficients'!$Q:$Q,0))*(0.483125441908243-0.502219913195008) ))</f>
        <v>0.407725599</v>
      </c>
      <c r="F313" s="11">
        <f t="shared" si="1"/>
        <v>150</v>
      </c>
      <c r="G313" s="11">
        <f t="shared" si="2"/>
        <v>219</v>
      </c>
      <c r="H313" s="5" t="str">
        <f t="shared" si="3"/>
        <v>Republican</v>
      </c>
    </row>
    <row r="314" ht="15.0" customHeight="1">
      <c r="A314" s="5" t="s">
        <v>327</v>
      </c>
      <c r="B314" s="5" t="s">
        <v>347</v>
      </c>
      <c r="C314" s="5" t="s">
        <v>140</v>
      </c>
      <c r="D314" s="11">
        <f>MAX(0, 2*'Precinct Vote Data'!G1244 - 'Precinct Vote Data'!G1242)</f>
        <v>563</v>
      </c>
      <c r="E314" s="10">
        <f t="array" ref="E314">MIN(1,MAX(0, 'Precinct Vote Data'!H1245 + INDEX('Beta Coefficients'!$D:$D, MATCH(A314&amp;"|"&amp;B314&amp;"|"&amp;C314,'Beta Coefficients'!$Q:$Q,0))*(0.483125441908243-0.502219913195008) ))</f>
        <v>0.6838630893</v>
      </c>
      <c r="F314" s="11">
        <f t="shared" si="1"/>
        <v>385</v>
      </c>
      <c r="G314" s="11">
        <f t="shared" si="2"/>
        <v>178</v>
      </c>
      <c r="H314" s="5" t="str">
        <f t="shared" si="3"/>
        <v>Democrat</v>
      </c>
    </row>
    <row r="315" ht="15.0" customHeight="1">
      <c r="A315" s="5" t="s">
        <v>327</v>
      </c>
      <c r="B315" s="5" t="s">
        <v>347</v>
      </c>
      <c r="C315" s="5" t="s">
        <v>142</v>
      </c>
      <c r="D315" s="11">
        <f>MAX(0, 2*'Precinct Vote Data'!G1248 - 'Precinct Vote Data'!G1246)</f>
        <v>921</v>
      </c>
      <c r="E315" s="10">
        <f t="array" ref="E315">MIN(1,MAX(0, 'Precinct Vote Data'!H1249 + INDEX('Beta Coefficients'!$D:$D, MATCH(A315&amp;"|"&amp;B315&amp;"|"&amp;C315,'Beta Coefficients'!$Q:$Q,0))*(0.483125441908243-0.502219913195008) ))</f>
        <v>0.7256765652</v>
      </c>
      <c r="F315" s="11">
        <f t="shared" si="1"/>
        <v>668</v>
      </c>
      <c r="G315" s="11">
        <f t="shared" si="2"/>
        <v>253</v>
      </c>
      <c r="H315" s="5" t="str">
        <f t="shared" si="3"/>
        <v>Democrat</v>
      </c>
    </row>
    <row r="316" ht="15.0" customHeight="1">
      <c r="A316" s="5" t="s">
        <v>327</v>
      </c>
      <c r="B316" s="5" t="s">
        <v>347</v>
      </c>
      <c r="C316" s="5" t="s">
        <v>148</v>
      </c>
      <c r="D316" s="11">
        <f>MAX(0, 2*'Precinct Vote Data'!G1252 - 'Precinct Vote Data'!G1250)</f>
        <v>541</v>
      </c>
      <c r="E316" s="10">
        <f t="array" ref="E316">MIN(1,MAX(0, 'Precinct Vote Data'!H1253 + INDEX('Beta Coefficients'!$D:$D, MATCH(A316&amp;"|"&amp;B316&amp;"|"&amp;C316,'Beta Coefficients'!$Q:$Q,0))*(0.483125441908243-0.502219913195008) ))</f>
        <v>0.741795124</v>
      </c>
      <c r="F316" s="11">
        <f t="shared" si="1"/>
        <v>401</v>
      </c>
      <c r="G316" s="11">
        <f t="shared" si="2"/>
        <v>140</v>
      </c>
      <c r="H316" s="5" t="str">
        <f t="shared" si="3"/>
        <v>Democrat</v>
      </c>
    </row>
    <row r="317" ht="15.0" customHeight="1">
      <c r="A317" s="5" t="s">
        <v>327</v>
      </c>
      <c r="B317" s="5" t="s">
        <v>347</v>
      </c>
      <c r="C317" s="5" t="s">
        <v>149</v>
      </c>
      <c r="D317" s="11">
        <f>MAX(0, 2*'Precinct Vote Data'!G1256 - 'Precinct Vote Data'!G1254)</f>
        <v>821</v>
      </c>
      <c r="E317" s="10">
        <f t="array" ref="E317">MIN(1,MAX(0, 'Precinct Vote Data'!H1257 + INDEX('Beta Coefficients'!$D:$D, MATCH(A317&amp;"|"&amp;B317&amp;"|"&amp;C317,'Beta Coefficients'!$Q:$Q,0))*(0.483125441908243-0.502219913195008) ))</f>
        <v>0.6495966769</v>
      </c>
      <c r="F317" s="11">
        <f t="shared" si="1"/>
        <v>533</v>
      </c>
      <c r="G317" s="11">
        <f t="shared" si="2"/>
        <v>288</v>
      </c>
      <c r="H317" s="5" t="str">
        <f t="shared" si="3"/>
        <v>Democrat</v>
      </c>
    </row>
    <row r="318" ht="15.0" customHeight="1">
      <c r="A318" s="5" t="s">
        <v>327</v>
      </c>
      <c r="B318" s="5" t="s">
        <v>347</v>
      </c>
      <c r="C318" s="5" t="s">
        <v>348</v>
      </c>
      <c r="D318" s="11">
        <f>MAX(0, 2*'Precinct Vote Data'!G1260 - 'Precinct Vote Data'!G1258)</f>
        <v>576</v>
      </c>
      <c r="E318" s="10">
        <f t="array" ref="E318">MIN(1,MAX(0, 'Precinct Vote Data'!H1261 + INDEX('Beta Coefficients'!$D:$D, MATCH(A318&amp;"|"&amp;B318&amp;"|"&amp;C318,'Beta Coefficients'!$Q:$Q,0))*(0.483125441908243-0.502219913195008) ))</f>
        <v>0.6329595985</v>
      </c>
      <c r="F318" s="11">
        <f t="shared" si="1"/>
        <v>365</v>
      </c>
      <c r="G318" s="11">
        <f t="shared" si="2"/>
        <v>211</v>
      </c>
      <c r="H318" s="5" t="str">
        <f t="shared" si="3"/>
        <v>Democrat</v>
      </c>
    </row>
    <row r="319" ht="15.0" customHeight="1">
      <c r="A319" s="5" t="s">
        <v>327</v>
      </c>
      <c r="B319" s="5" t="s">
        <v>347</v>
      </c>
      <c r="C319" s="5" t="s">
        <v>150</v>
      </c>
      <c r="D319" s="11">
        <f>MAX(0, 2*'Precinct Vote Data'!G1264 - 'Precinct Vote Data'!G1262)</f>
        <v>193</v>
      </c>
      <c r="E319" s="10">
        <f t="array" ref="E319">MIN(1,MAX(0, 'Precinct Vote Data'!H1265 + INDEX('Beta Coefficients'!$D:$D, MATCH(A319&amp;"|"&amp;B319&amp;"|"&amp;C319,'Beta Coefficients'!$Q:$Q,0))*(0.483125441908243-0.502219913195008) ))</f>
        <v>0.6934338921</v>
      </c>
      <c r="F319" s="11">
        <f t="shared" si="1"/>
        <v>134</v>
      </c>
      <c r="G319" s="11">
        <f t="shared" si="2"/>
        <v>59</v>
      </c>
      <c r="H319" s="5" t="str">
        <f t="shared" si="3"/>
        <v>Democrat</v>
      </c>
    </row>
    <row r="320" ht="15.0" customHeight="1">
      <c r="A320" s="5" t="s">
        <v>327</v>
      </c>
      <c r="B320" s="5" t="s">
        <v>347</v>
      </c>
      <c r="C320" s="5" t="s">
        <v>349</v>
      </c>
      <c r="D320" s="11">
        <f>MAX(0, 2*'Precinct Vote Data'!G1268 - 'Precinct Vote Data'!G1266)</f>
        <v>351</v>
      </c>
      <c r="E320" s="10">
        <f t="array" ref="E320">MIN(1,MAX(0, 'Precinct Vote Data'!H1269 + INDEX('Beta Coefficients'!$D:$D, MATCH(A320&amp;"|"&amp;B320&amp;"|"&amp;C320,'Beta Coefficients'!$Q:$Q,0))*(0.483125441908243-0.502219913195008) ))</f>
        <v>0.7238867249</v>
      </c>
      <c r="F320" s="11">
        <f t="shared" si="1"/>
        <v>254</v>
      </c>
      <c r="G320" s="11">
        <f t="shared" si="2"/>
        <v>97</v>
      </c>
      <c r="H320" s="5" t="str">
        <f t="shared" si="3"/>
        <v>Democrat</v>
      </c>
    </row>
    <row r="321" ht="15.0" customHeight="1">
      <c r="A321" s="5" t="s">
        <v>327</v>
      </c>
      <c r="B321" s="5" t="s">
        <v>347</v>
      </c>
      <c r="C321" s="5" t="s">
        <v>151</v>
      </c>
      <c r="D321" s="11">
        <f>MAX(0, 2*'Precinct Vote Data'!G1272 - 'Precinct Vote Data'!G1270)</f>
        <v>347</v>
      </c>
      <c r="E321" s="10">
        <f t="array" ref="E321">MIN(1,MAX(0, 'Precinct Vote Data'!H1273 + INDEX('Beta Coefficients'!$D:$D, MATCH(A321&amp;"|"&amp;B321&amp;"|"&amp;C321,'Beta Coefficients'!$Q:$Q,0))*(0.483125441908243-0.502219913195008) ))</f>
        <v>0.6075213418</v>
      </c>
      <c r="F321" s="11">
        <f t="shared" si="1"/>
        <v>211</v>
      </c>
      <c r="G321" s="11">
        <f t="shared" si="2"/>
        <v>136</v>
      </c>
      <c r="H321" s="5" t="str">
        <f t="shared" si="3"/>
        <v>Democrat</v>
      </c>
    </row>
    <row r="322" ht="15.0" customHeight="1">
      <c r="A322" s="5" t="s">
        <v>327</v>
      </c>
      <c r="B322" s="5" t="s">
        <v>347</v>
      </c>
      <c r="C322" s="5" t="s">
        <v>152</v>
      </c>
      <c r="D322" s="11">
        <f>MAX(0, 2*'Precinct Vote Data'!G1276 - 'Precinct Vote Data'!G1274)</f>
        <v>328</v>
      </c>
      <c r="E322" s="10">
        <f t="array" ref="E322">MIN(1,MAX(0, 'Precinct Vote Data'!H1277 + INDEX('Beta Coefficients'!$D:$D, MATCH(A322&amp;"|"&amp;B322&amp;"|"&amp;C322,'Beta Coefficients'!$Q:$Q,0))*(0.483125441908243-0.502219913195008) ))</f>
        <v>0.6160860363</v>
      </c>
      <c r="F322" s="11">
        <f t="shared" si="1"/>
        <v>202</v>
      </c>
      <c r="G322" s="11">
        <f t="shared" si="2"/>
        <v>126</v>
      </c>
      <c r="H322" s="5" t="str">
        <f t="shared" si="3"/>
        <v>Democrat</v>
      </c>
    </row>
    <row r="323" ht="15.0" customHeight="1">
      <c r="A323" s="5" t="s">
        <v>327</v>
      </c>
      <c r="B323" s="5" t="s">
        <v>347</v>
      </c>
      <c r="C323" s="5" t="s">
        <v>153</v>
      </c>
      <c r="D323" s="11">
        <f>MAX(0, 2*'Precinct Vote Data'!G1280 - 'Precinct Vote Data'!G1278)</f>
        <v>410</v>
      </c>
      <c r="E323" s="10">
        <f t="array" ref="E323">MIN(1,MAX(0, 'Precinct Vote Data'!H1281 + INDEX('Beta Coefficients'!$D:$D, MATCH(A323&amp;"|"&amp;B323&amp;"|"&amp;C323,'Beta Coefficients'!$Q:$Q,0))*(0.483125441908243-0.502219913195008) ))</f>
        <v>0.5952289218</v>
      </c>
      <c r="F323" s="11">
        <f t="shared" si="1"/>
        <v>244</v>
      </c>
      <c r="G323" s="11">
        <f t="shared" si="2"/>
        <v>166</v>
      </c>
      <c r="H323" s="5" t="str">
        <f t="shared" si="3"/>
        <v>Democrat</v>
      </c>
    </row>
    <row r="324" ht="15.0" customHeight="1">
      <c r="A324" s="5" t="s">
        <v>327</v>
      </c>
      <c r="B324" s="5" t="s">
        <v>347</v>
      </c>
      <c r="C324" s="5" t="s">
        <v>154</v>
      </c>
      <c r="D324" s="11">
        <f>MAX(0, 2*'Precinct Vote Data'!G1284 - 'Precinct Vote Data'!G1282)</f>
        <v>896</v>
      </c>
      <c r="E324" s="10">
        <f t="array" ref="E324">MIN(1,MAX(0, 'Precinct Vote Data'!H1285 + INDEX('Beta Coefficients'!$D:$D, MATCH(A324&amp;"|"&amp;B324&amp;"|"&amp;C324,'Beta Coefficients'!$Q:$Q,0))*(0.483125441908243-0.502219913195008) ))</f>
        <v>0.6307491941</v>
      </c>
      <c r="F324" s="11">
        <f t="shared" si="1"/>
        <v>565</v>
      </c>
      <c r="G324" s="11">
        <f t="shared" si="2"/>
        <v>331</v>
      </c>
      <c r="H324" s="5" t="str">
        <f t="shared" si="3"/>
        <v>Democrat</v>
      </c>
    </row>
    <row r="325" ht="15.0" customHeight="1">
      <c r="A325" s="5" t="s">
        <v>327</v>
      </c>
      <c r="B325" s="5" t="s">
        <v>347</v>
      </c>
      <c r="C325" s="5" t="s">
        <v>155</v>
      </c>
      <c r="D325" s="11">
        <f>MAX(0, 2*'Precinct Vote Data'!G1288 - 'Precinct Vote Data'!G1286)</f>
        <v>282</v>
      </c>
      <c r="E325" s="10">
        <f t="array" ref="E325">MIN(1,MAX(0, 'Precinct Vote Data'!H1289 + INDEX('Beta Coefficients'!$D:$D, MATCH(A325&amp;"|"&amp;B325&amp;"|"&amp;C325,'Beta Coefficients'!$Q:$Q,0))*(0.483125441908243-0.502219913195008) ))</f>
        <v>0.6522614512</v>
      </c>
      <c r="F325" s="11">
        <f t="shared" si="1"/>
        <v>184</v>
      </c>
      <c r="G325" s="11">
        <f t="shared" si="2"/>
        <v>98</v>
      </c>
      <c r="H325" s="5" t="str">
        <f t="shared" si="3"/>
        <v>Democrat</v>
      </c>
    </row>
    <row r="326" ht="15.0" customHeight="1">
      <c r="A326" s="5" t="s">
        <v>327</v>
      </c>
      <c r="B326" s="5" t="s">
        <v>347</v>
      </c>
      <c r="C326" s="5" t="s">
        <v>156</v>
      </c>
      <c r="D326" s="11">
        <f>MAX(0, 2*'Precinct Vote Data'!G1292 - 'Precinct Vote Data'!G1290)</f>
        <v>536</v>
      </c>
      <c r="E326" s="10">
        <f t="array" ref="E326">MIN(1,MAX(0, 'Precinct Vote Data'!H1293 + INDEX('Beta Coefficients'!$D:$D, MATCH(A326&amp;"|"&amp;B326&amp;"|"&amp;C326,'Beta Coefficients'!$Q:$Q,0))*(0.483125441908243-0.502219913195008) ))</f>
        <v>0.6166574289</v>
      </c>
      <c r="F326" s="11">
        <f t="shared" si="1"/>
        <v>331</v>
      </c>
      <c r="G326" s="11">
        <f t="shared" si="2"/>
        <v>205</v>
      </c>
      <c r="H326" s="5" t="str">
        <f t="shared" si="3"/>
        <v>Democrat</v>
      </c>
    </row>
    <row r="327" ht="15.0" customHeight="1">
      <c r="A327" s="5" t="s">
        <v>327</v>
      </c>
      <c r="B327" s="5" t="s">
        <v>347</v>
      </c>
      <c r="C327" s="5" t="s">
        <v>158</v>
      </c>
      <c r="D327" s="11">
        <f>MAX(0, 2*'Precinct Vote Data'!G1296 - 'Precinct Vote Data'!G1294)</f>
        <v>447</v>
      </c>
      <c r="E327" s="10">
        <f t="array" ref="E327">MIN(1,MAX(0, 'Precinct Vote Data'!H1297 + INDEX('Beta Coefficients'!$D:$D, MATCH(A327&amp;"|"&amp;B327&amp;"|"&amp;C327,'Beta Coefficients'!$Q:$Q,0))*(0.483125441908243-0.502219913195008) ))</f>
        <v>0.6455261759</v>
      </c>
      <c r="F327" s="11">
        <f t="shared" si="1"/>
        <v>289</v>
      </c>
      <c r="G327" s="11">
        <f t="shared" si="2"/>
        <v>158</v>
      </c>
      <c r="H327" s="5" t="str">
        <f t="shared" si="3"/>
        <v>Democrat</v>
      </c>
    </row>
    <row r="328" ht="15.0" customHeight="1">
      <c r="A328" s="5" t="s">
        <v>327</v>
      </c>
      <c r="B328" s="5" t="s">
        <v>347</v>
      </c>
      <c r="C328" s="5" t="s">
        <v>159</v>
      </c>
      <c r="D328" s="11">
        <f>MAX(0, 2*'Precinct Vote Data'!G1300 - 'Precinct Vote Data'!G1298)</f>
        <v>332</v>
      </c>
      <c r="E328" s="10">
        <f t="array" ref="E328">MIN(1,MAX(0, 'Precinct Vote Data'!H1301 + INDEX('Beta Coefficients'!$D:$D, MATCH(A328&amp;"|"&amp;B328&amp;"|"&amp;C328,'Beta Coefficients'!$Q:$Q,0))*(0.483125441908243-0.502219913195008) ))</f>
        <v>0.6721621656</v>
      </c>
      <c r="F328" s="11">
        <f t="shared" si="1"/>
        <v>223</v>
      </c>
      <c r="G328" s="11">
        <f t="shared" si="2"/>
        <v>109</v>
      </c>
      <c r="H328" s="5" t="str">
        <f t="shared" si="3"/>
        <v>Democrat</v>
      </c>
    </row>
    <row r="329" ht="15.0" customHeight="1">
      <c r="A329" s="5" t="s">
        <v>327</v>
      </c>
      <c r="B329" s="5" t="s">
        <v>350</v>
      </c>
      <c r="C329" s="5" t="s">
        <v>351</v>
      </c>
      <c r="D329" s="11">
        <f>MAX(0, 2*'Precinct Vote Data'!G1304 - 'Precinct Vote Data'!G1302)</f>
        <v>2546</v>
      </c>
      <c r="E329" s="10">
        <f t="array" ref="E329">MIN(1,MAX(0, 'Precinct Vote Data'!H1305 + INDEX('Beta Coefficients'!$D:$D, MATCH(A329&amp;"|"&amp;B329&amp;"|"&amp;C329,'Beta Coefficients'!$Q:$Q,0))*(0.483125441908243-0.502219913195008) ))</f>
        <v>0.4699551612</v>
      </c>
      <c r="F329" s="11">
        <f t="shared" si="1"/>
        <v>1197</v>
      </c>
      <c r="G329" s="11">
        <f t="shared" si="2"/>
        <v>1349</v>
      </c>
      <c r="H329" s="5" t="str">
        <f t="shared" si="3"/>
        <v>Republican</v>
      </c>
    </row>
    <row r="330" ht="15.0" customHeight="1">
      <c r="A330" s="5" t="s">
        <v>327</v>
      </c>
      <c r="B330" s="5" t="s">
        <v>350</v>
      </c>
      <c r="C330" s="5" t="s">
        <v>352</v>
      </c>
      <c r="D330" s="11">
        <f>MAX(0, 2*'Precinct Vote Data'!G1308 - 'Precinct Vote Data'!G1306)</f>
        <v>2873</v>
      </c>
      <c r="E330" s="10">
        <f t="array" ref="E330">MIN(1,MAX(0, 'Precinct Vote Data'!H1309 + INDEX('Beta Coefficients'!$D:$D, MATCH(A330&amp;"|"&amp;B330&amp;"|"&amp;C330,'Beta Coefficients'!$Q:$Q,0))*(0.483125441908243-0.502219913195008) ))</f>
        <v>0.5293460108</v>
      </c>
      <c r="F330" s="11">
        <f t="shared" si="1"/>
        <v>1521</v>
      </c>
      <c r="G330" s="11">
        <f t="shared" si="2"/>
        <v>1352</v>
      </c>
      <c r="H330" s="5" t="str">
        <f t="shared" si="3"/>
        <v>Democrat</v>
      </c>
    </row>
    <row r="331" ht="15.0" customHeight="1">
      <c r="A331" s="5" t="s">
        <v>327</v>
      </c>
      <c r="B331" s="5" t="s">
        <v>350</v>
      </c>
      <c r="C331" s="5" t="s">
        <v>353</v>
      </c>
      <c r="D331" s="11">
        <f>MAX(0, 2*'Precinct Vote Data'!G1312 - 'Precinct Vote Data'!G1310)</f>
        <v>1692</v>
      </c>
      <c r="E331" s="10">
        <f t="array" ref="E331">MIN(1,MAX(0, 'Precinct Vote Data'!H1313 + INDEX('Beta Coefficients'!$D:$D, MATCH(A331&amp;"|"&amp;B331&amp;"|"&amp;C331,'Beta Coefficients'!$Q:$Q,0))*(0.483125441908243-0.502219913195008) ))</f>
        <v>0.4753378769</v>
      </c>
      <c r="F331" s="11">
        <f t="shared" si="1"/>
        <v>804</v>
      </c>
      <c r="G331" s="11">
        <f t="shared" si="2"/>
        <v>888</v>
      </c>
      <c r="H331" s="5" t="str">
        <f t="shared" si="3"/>
        <v>Republican</v>
      </c>
    </row>
    <row r="332" ht="15.0" customHeight="1">
      <c r="A332" s="5" t="s">
        <v>327</v>
      </c>
      <c r="B332" s="5" t="s">
        <v>350</v>
      </c>
      <c r="C332" s="5" t="s">
        <v>354</v>
      </c>
      <c r="D332" s="11">
        <f>MAX(0, 2*'Precinct Vote Data'!G1316 - 'Precinct Vote Data'!G1314)</f>
        <v>2187</v>
      </c>
      <c r="E332" s="10">
        <f t="array" ref="E332">MIN(1,MAX(0, 'Precinct Vote Data'!H1317 + INDEX('Beta Coefficients'!$D:$D, MATCH(A332&amp;"|"&amp;B332&amp;"|"&amp;C332,'Beta Coefficients'!$Q:$Q,0))*(0.483125441908243-0.502219913195008) ))</f>
        <v>0.521789754</v>
      </c>
      <c r="F332" s="11">
        <f t="shared" si="1"/>
        <v>1141</v>
      </c>
      <c r="G332" s="11">
        <f t="shared" si="2"/>
        <v>1046</v>
      </c>
      <c r="H332" s="5" t="str">
        <f t="shared" si="3"/>
        <v>Democrat</v>
      </c>
    </row>
    <row r="333" ht="15.0" customHeight="1">
      <c r="A333" s="5" t="s">
        <v>327</v>
      </c>
      <c r="B333" s="5" t="s">
        <v>355</v>
      </c>
      <c r="C333" s="5" t="s">
        <v>162</v>
      </c>
      <c r="D333" s="11">
        <f>MAX(0, 2*'Precinct Vote Data'!G1320 - 'Precinct Vote Data'!G1318)</f>
        <v>870</v>
      </c>
      <c r="E333" s="10">
        <f t="array" ref="E333">MIN(1,MAX(0, 'Precinct Vote Data'!H1321 + INDEX('Beta Coefficients'!$D:$D, MATCH(A333&amp;"|"&amp;B333&amp;"|"&amp;C333,'Beta Coefficients'!$Q:$Q,0))*(0.483125441908243-0.502219913195008) ))</f>
        <v>0.5663047831</v>
      </c>
      <c r="F333" s="11">
        <f t="shared" si="1"/>
        <v>493</v>
      </c>
      <c r="G333" s="11">
        <f t="shared" si="2"/>
        <v>377</v>
      </c>
      <c r="H333" s="5" t="str">
        <f t="shared" si="3"/>
        <v>Democrat</v>
      </c>
    </row>
    <row r="334" ht="15.0" customHeight="1">
      <c r="A334" s="5" t="s">
        <v>327</v>
      </c>
      <c r="B334" s="5" t="s">
        <v>356</v>
      </c>
      <c r="C334" s="5" t="s">
        <v>163</v>
      </c>
      <c r="D334" s="11">
        <f>MAX(0, 2*'Precinct Vote Data'!G1324 - 'Precinct Vote Data'!G1322)</f>
        <v>171</v>
      </c>
      <c r="E334" s="10">
        <f t="array" ref="E334">MIN(1,MAX(0, 'Precinct Vote Data'!H1325 + INDEX('Beta Coefficients'!$D:$D, MATCH(A334&amp;"|"&amp;B334&amp;"|"&amp;C334,'Beta Coefficients'!$Q:$Q,0))*(0.483125441908243-0.502219913195008) ))</f>
        <v>0.4593201014</v>
      </c>
      <c r="F334" s="11">
        <f t="shared" si="1"/>
        <v>79</v>
      </c>
      <c r="G334" s="11">
        <f t="shared" si="2"/>
        <v>92</v>
      </c>
      <c r="H334" s="5" t="str">
        <f t="shared" si="3"/>
        <v>Republican</v>
      </c>
    </row>
    <row r="335" ht="15.0" customHeight="1">
      <c r="A335" s="5" t="s">
        <v>327</v>
      </c>
      <c r="B335" s="5" t="s">
        <v>190</v>
      </c>
      <c r="C335" s="5" t="s">
        <v>164</v>
      </c>
      <c r="D335" s="11">
        <f>MAX(0, 2*'Precinct Vote Data'!G1328 - 'Precinct Vote Data'!G1326)</f>
        <v>1435</v>
      </c>
      <c r="E335" s="10">
        <f t="array" ref="E335">MIN(1,MAX(0, 'Precinct Vote Data'!H1329 + INDEX('Beta Coefficients'!$D:$D, MATCH(A335&amp;"|"&amp;B335&amp;"|"&amp;C335,'Beta Coefficients'!$Q:$Q,0))*(0.483125441908243-0.502219913195008) ))</f>
        <v>0.5862569082</v>
      </c>
      <c r="F335" s="11">
        <f t="shared" si="1"/>
        <v>841</v>
      </c>
      <c r="G335" s="11">
        <f t="shared" si="2"/>
        <v>594</v>
      </c>
      <c r="H335" s="5" t="str">
        <f t="shared" si="3"/>
        <v>Democrat</v>
      </c>
    </row>
    <row r="336" ht="15.0" customHeight="1">
      <c r="A336" s="5" t="s">
        <v>327</v>
      </c>
      <c r="B336" s="5" t="s">
        <v>190</v>
      </c>
      <c r="C336" s="5" t="s">
        <v>165</v>
      </c>
      <c r="D336" s="11">
        <f>MAX(0, 2*'Precinct Vote Data'!G1332 - 'Precinct Vote Data'!G1330)</f>
        <v>1499</v>
      </c>
      <c r="E336" s="10">
        <f t="array" ref="E336">MIN(1,MAX(0, 'Precinct Vote Data'!H1333 + INDEX('Beta Coefficients'!$D:$D, MATCH(A336&amp;"|"&amp;B336&amp;"|"&amp;C336,'Beta Coefficients'!$Q:$Q,0))*(0.483125441908243-0.502219913195008) ))</f>
        <v>0.5404568539</v>
      </c>
      <c r="F336" s="11">
        <f t="shared" si="1"/>
        <v>810</v>
      </c>
      <c r="G336" s="11">
        <f t="shared" si="2"/>
        <v>689</v>
      </c>
      <c r="H336" s="5" t="str">
        <f t="shared" si="3"/>
        <v>Democrat</v>
      </c>
    </row>
    <row r="337" ht="15.0" customHeight="1">
      <c r="A337" s="5" t="s">
        <v>327</v>
      </c>
      <c r="B337" s="5" t="s">
        <v>190</v>
      </c>
      <c r="C337" s="5" t="s">
        <v>166</v>
      </c>
      <c r="D337" s="11">
        <f>MAX(0, 2*'Precinct Vote Data'!G1336 - 'Precinct Vote Data'!G1334)</f>
        <v>822</v>
      </c>
      <c r="E337" s="10">
        <f t="array" ref="E337">MIN(1,MAX(0, 'Precinct Vote Data'!H1337 + INDEX('Beta Coefficients'!$D:$D, MATCH(A337&amp;"|"&amp;B337&amp;"|"&amp;C337,'Beta Coefficients'!$Q:$Q,0))*(0.483125441908243-0.502219913195008) ))</f>
        <v>0.5270544952</v>
      </c>
      <c r="F337" s="11">
        <f t="shared" si="1"/>
        <v>433</v>
      </c>
      <c r="G337" s="11">
        <f t="shared" si="2"/>
        <v>389</v>
      </c>
      <c r="H337" s="5" t="str">
        <f t="shared" si="3"/>
        <v>Democrat</v>
      </c>
    </row>
    <row r="338" ht="15.0" customHeight="1">
      <c r="A338" s="5" t="s">
        <v>327</v>
      </c>
      <c r="B338" s="5" t="s">
        <v>190</v>
      </c>
      <c r="C338" s="5" t="s">
        <v>167</v>
      </c>
      <c r="D338" s="11">
        <f>MAX(0, 2*'Precinct Vote Data'!G1340 - 'Precinct Vote Data'!G1338)</f>
        <v>1275</v>
      </c>
      <c r="E338" s="10">
        <f t="array" ref="E338">MIN(1,MAX(0, 'Precinct Vote Data'!H1341 + INDEX('Beta Coefficients'!$D:$D, MATCH(A338&amp;"|"&amp;B338&amp;"|"&amp;C338,'Beta Coefficients'!$Q:$Q,0))*(0.483125441908243-0.502219913195008) ))</f>
        <v>0.5231365319</v>
      </c>
      <c r="F338" s="11">
        <f t="shared" si="1"/>
        <v>667</v>
      </c>
      <c r="G338" s="11">
        <f t="shared" si="2"/>
        <v>608</v>
      </c>
      <c r="H338" s="5" t="str">
        <f t="shared" si="3"/>
        <v>Democrat</v>
      </c>
    </row>
    <row r="339" ht="15.0" customHeight="1">
      <c r="A339" s="5" t="s">
        <v>327</v>
      </c>
      <c r="B339" s="5" t="s">
        <v>190</v>
      </c>
      <c r="C339" s="5" t="s">
        <v>357</v>
      </c>
      <c r="D339" s="11">
        <f>MAX(0, 2*'Precinct Vote Data'!G1344 - 'Precinct Vote Data'!G1342)</f>
        <v>1345</v>
      </c>
      <c r="E339" s="10">
        <f t="array" ref="E339">MIN(1,MAX(0, 'Precinct Vote Data'!H1345 + INDEX('Beta Coefficients'!$D:$D, MATCH(A339&amp;"|"&amp;B339&amp;"|"&amp;C339,'Beta Coefficients'!$Q:$Q,0))*(0.483125441908243-0.502219913195008) ))</f>
        <v>0.5401043477</v>
      </c>
      <c r="F339" s="11">
        <f t="shared" si="1"/>
        <v>726</v>
      </c>
      <c r="G339" s="11">
        <f t="shared" si="2"/>
        <v>619</v>
      </c>
      <c r="H339" s="5" t="str">
        <f t="shared" si="3"/>
        <v>Democrat</v>
      </c>
    </row>
    <row r="340" ht="15.0" customHeight="1">
      <c r="A340" s="5" t="s">
        <v>327</v>
      </c>
      <c r="B340" s="5" t="s">
        <v>190</v>
      </c>
      <c r="C340" s="5" t="s">
        <v>358</v>
      </c>
      <c r="D340" s="11">
        <f>MAX(0, 2*'Precinct Vote Data'!G1348 - 'Precinct Vote Data'!G1346)</f>
        <v>845</v>
      </c>
      <c r="E340" s="10">
        <f t="array" ref="E340">MIN(1,MAX(0, 'Precinct Vote Data'!H1349 + INDEX('Beta Coefficients'!$D:$D, MATCH(A340&amp;"|"&amp;B340&amp;"|"&amp;C340,'Beta Coefficients'!$Q:$Q,0))*(0.483125441908243-0.502219913195008) ))</f>
        <v>0.5398462878</v>
      </c>
      <c r="F340" s="11">
        <f t="shared" si="1"/>
        <v>456</v>
      </c>
      <c r="G340" s="11">
        <f t="shared" si="2"/>
        <v>389</v>
      </c>
      <c r="H340" s="5" t="str">
        <f t="shared" si="3"/>
        <v>Democrat</v>
      </c>
    </row>
    <row r="341" ht="15.0" customHeight="1">
      <c r="A341" s="5" t="s">
        <v>327</v>
      </c>
      <c r="B341" s="5" t="s">
        <v>359</v>
      </c>
      <c r="C341" s="5" t="s">
        <v>168</v>
      </c>
      <c r="D341" s="11">
        <f>MAX(0, 2*'Precinct Vote Data'!G1352 - 'Precinct Vote Data'!G1350)</f>
        <v>1012</v>
      </c>
      <c r="E341" s="10">
        <f t="array" ref="E341">MIN(1,MAX(0, 'Precinct Vote Data'!H1353 + INDEX('Beta Coefficients'!$D:$D, MATCH(A341&amp;"|"&amp;B341&amp;"|"&amp;C341,'Beta Coefficients'!$Q:$Q,0))*(0.483125441908243-0.502219913195008) ))</f>
        <v>0.4510342031</v>
      </c>
      <c r="F341" s="11">
        <f t="shared" si="1"/>
        <v>456</v>
      </c>
      <c r="G341" s="11">
        <f t="shared" si="2"/>
        <v>556</v>
      </c>
      <c r="H341" s="5" t="str">
        <f t="shared" si="3"/>
        <v>Republican</v>
      </c>
    </row>
    <row r="342" ht="15.0" customHeight="1">
      <c r="A342" s="5" t="s">
        <v>327</v>
      </c>
      <c r="B342" s="5" t="s">
        <v>359</v>
      </c>
      <c r="C342" s="5" t="s">
        <v>169</v>
      </c>
      <c r="D342" s="11">
        <f>MAX(0, 2*'Precinct Vote Data'!G1356 - 'Precinct Vote Data'!G1354)</f>
        <v>789</v>
      </c>
      <c r="E342" s="10">
        <f t="array" ref="E342">MIN(1,MAX(0, 'Precinct Vote Data'!H1357 + INDEX('Beta Coefficients'!$D:$D, MATCH(A342&amp;"|"&amp;B342&amp;"|"&amp;C342,'Beta Coefficients'!$Q:$Q,0))*(0.483125441908243-0.502219913195008) ))</f>
        <v>0.4697618674</v>
      </c>
      <c r="F342" s="11">
        <f t="shared" si="1"/>
        <v>371</v>
      </c>
      <c r="G342" s="11">
        <f t="shared" si="2"/>
        <v>418</v>
      </c>
      <c r="H342" s="5" t="str">
        <f t="shared" si="3"/>
        <v>Republican</v>
      </c>
    </row>
    <row r="343" ht="15.0" customHeight="1">
      <c r="A343" s="5" t="s">
        <v>327</v>
      </c>
      <c r="B343" s="5" t="s">
        <v>359</v>
      </c>
      <c r="C343" s="5" t="s">
        <v>171</v>
      </c>
      <c r="D343" s="11">
        <f>MAX(0, 2*'Precinct Vote Data'!G1360 - 'Precinct Vote Data'!G1358)</f>
        <v>1133</v>
      </c>
      <c r="E343" s="10">
        <f t="array" ref="E343">MIN(1,MAX(0, 'Precinct Vote Data'!H1361 + INDEX('Beta Coefficients'!$D:$D, MATCH(A343&amp;"|"&amp;B343&amp;"|"&amp;C343,'Beta Coefficients'!$Q:$Q,0))*(0.483125441908243-0.502219913195008) ))</f>
        <v>0.5006211687</v>
      </c>
      <c r="F343" s="11">
        <f t="shared" si="1"/>
        <v>567</v>
      </c>
      <c r="G343" s="11">
        <f t="shared" si="2"/>
        <v>566</v>
      </c>
      <c r="H343" s="5" t="str">
        <f t="shared" si="3"/>
        <v>Democrat</v>
      </c>
    </row>
    <row r="344" ht="15.0" customHeight="1">
      <c r="A344" s="5" t="s">
        <v>327</v>
      </c>
      <c r="B344" s="5" t="s">
        <v>99</v>
      </c>
      <c r="C344" s="5" t="s">
        <v>172</v>
      </c>
      <c r="D344" s="11">
        <f>MAX(0, 2*'Precinct Vote Data'!G1364 - 'Precinct Vote Data'!G1362)</f>
        <v>1510</v>
      </c>
      <c r="E344" s="10">
        <f t="array" ref="E344">MIN(1,MAX(0, 'Precinct Vote Data'!H1365 + INDEX('Beta Coefficients'!$D:$D, MATCH(A344&amp;"|"&amp;B344&amp;"|"&amp;C344,'Beta Coefficients'!$Q:$Q,0))*(0.483125441908243-0.502219913195008) ))</f>
        <v>0.319640278</v>
      </c>
      <c r="F344" s="11">
        <f t="shared" si="1"/>
        <v>483</v>
      </c>
      <c r="G344" s="11">
        <f t="shared" si="2"/>
        <v>1027</v>
      </c>
      <c r="H344" s="5" t="str">
        <f t="shared" si="3"/>
        <v>Republican</v>
      </c>
    </row>
    <row r="345" ht="15.0" customHeight="1">
      <c r="A345" s="5" t="s">
        <v>327</v>
      </c>
      <c r="B345" s="5" t="s">
        <v>99</v>
      </c>
      <c r="C345" s="5" t="s">
        <v>173</v>
      </c>
      <c r="D345" s="11">
        <f>MAX(0, 2*'Precinct Vote Data'!G1368 - 'Precinct Vote Data'!G1366)</f>
        <v>1718</v>
      </c>
      <c r="E345" s="10">
        <f t="array" ref="E345">MIN(1,MAX(0, 'Precinct Vote Data'!H1369 + INDEX('Beta Coefficients'!$D:$D, MATCH(A345&amp;"|"&amp;B345&amp;"|"&amp;C345,'Beta Coefficients'!$Q:$Q,0))*(0.483125441908243-0.502219913195008) ))</f>
        <v>0.3141077489</v>
      </c>
      <c r="F345" s="11">
        <f t="shared" si="1"/>
        <v>540</v>
      </c>
      <c r="G345" s="11">
        <f t="shared" si="2"/>
        <v>1178</v>
      </c>
      <c r="H345" s="5" t="str">
        <f t="shared" si="3"/>
        <v>Republican</v>
      </c>
    </row>
    <row r="346" ht="15.0" customHeight="1">
      <c r="A346" s="5" t="s">
        <v>327</v>
      </c>
      <c r="B346" s="5" t="s">
        <v>99</v>
      </c>
      <c r="C346" s="5" t="s">
        <v>175</v>
      </c>
      <c r="D346" s="11">
        <f>MAX(0, 2*'Precinct Vote Data'!G1372 - 'Precinct Vote Data'!G1370)</f>
        <v>546</v>
      </c>
      <c r="E346" s="10">
        <f t="array" ref="E346">MIN(1,MAX(0, 'Precinct Vote Data'!H1373 + INDEX('Beta Coefficients'!$D:$D, MATCH(A346&amp;"|"&amp;B346&amp;"|"&amp;C346,'Beta Coefficients'!$Q:$Q,0))*(0.483125441908243-0.502219913195008) ))</f>
        <v>0.3026916278</v>
      </c>
      <c r="F346" s="11">
        <f t="shared" si="1"/>
        <v>165</v>
      </c>
      <c r="G346" s="11">
        <f t="shared" si="2"/>
        <v>381</v>
      </c>
      <c r="H346" s="5" t="str">
        <f t="shared" si="3"/>
        <v>Republican</v>
      </c>
    </row>
    <row r="347" ht="15.0" customHeight="1">
      <c r="A347" s="5" t="s">
        <v>327</v>
      </c>
      <c r="B347" s="5" t="s">
        <v>99</v>
      </c>
      <c r="C347" s="5" t="s">
        <v>177</v>
      </c>
      <c r="D347" s="11">
        <f>MAX(0, 2*'Precinct Vote Data'!G1376 - 'Precinct Vote Data'!G1374)</f>
        <v>1351</v>
      </c>
      <c r="E347" s="10">
        <f t="array" ref="E347">MIN(1,MAX(0, 'Precinct Vote Data'!H1377 + INDEX('Beta Coefficients'!$D:$D, MATCH(A347&amp;"|"&amp;B347&amp;"|"&amp;C347,'Beta Coefficients'!$Q:$Q,0))*(0.483125441908243-0.502219913195008) ))</f>
        <v>0.3142729366</v>
      </c>
      <c r="F347" s="11">
        <f t="shared" si="1"/>
        <v>425</v>
      </c>
      <c r="G347" s="11">
        <f t="shared" si="2"/>
        <v>926</v>
      </c>
      <c r="H347" s="5" t="str">
        <f t="shared" si="3"/>
        <v>Republican</v>
      </c>
    </row>
    <row r="348" ht="15.0" customHeight="1">
      <c r="A348" s="5" t="s">
        <v>327</v>
      </c>
      <c r="B348" s="5" t="s">
        <v>99</v>
      </c>
      <c r="C348" s="5" t="s">
        <v>178</v>
      </c>
      <c r="D348" s="11">
        <f>MAX(0, 2*'Precinct Vote Data'!G1380 - 'Precinct Vote Data'!G1378)</f>
        <v>836</v>
      </c>
      <c r="E348" s="10">
        <f t="array" ref="E348">MIN(1,MAX(0, 'Precinct Vote Data'!H1381 + INDEX('Beta Coefficients'!$D:$D, MATCH(A348&amp;"|"&amp;B348&amp;"|"&amp;C348,'Beta Coefficients'!$Q:$Q,0))*(0.483125441908243-0.502219913195008) ))</f>
        <v>0.3577192936</v>
      </c>
      <c r="F348" s="11">
        <f t="shared" si="1"/>
        <v>299</v>
      </c>
      <c r="G348" s="11">
        <f t="shared" si="2"/>
        <v>537</v>
      </c>
      <c r="H348" s="5" t="str">
        <f t="shared" si="3"/>
        <v>Republican</v>
      </c>
    </row>
    <row r="349" ht="15.0" customHeight="1">
      <c r="A349" s="5" t="s">
        <v>327</v>
      </c>
      <c r="B349" s="5" t="s">
        <v>360</v>
      </c>
      <c r="C349" s="5" t="s">
        <v>180</v>
      </c>
      <c r="D349" s="11">
        <f>MAX(0, 2*'Precinct Vote Data'!G1384 - 'Precinct Vote Data'!G1382)</f>
        <v>984</v>
      </c>
      <c r="E349" s="10">
        <f t="array" ref="E349">MIN(1,MAX(0, 'Precinct Vote Data'!H1385 + INDEX('Beta Coefficients'!$D:$D, MATCH(A349&amp;"|"&amp;B349&amp;"|"&amp;C349,'Beta Coefficients'!$Q:$Q,0))*(0.483125441908243-0.502219913195008) ))</f>
        <v>0.3501139645</v>
      </c>
      <c r="F349" s="11">
        <f t="shared" si="1"/>
        <v>345</v>
      </c>
      <c r="G349" s="11">
        <f t="shared" si="2"/>
        <v>639</v>
      </c>
      <c r="H349" s="5" t="str">
        <f t="shared" si="3"/>
        <v>Republican</v>
      </c>
    </row>
    <row r="350" ht="15.0" customHeight="1">
      <c r="A350" s="5" t="s">
        <v>327</v>
      </c>
      <c r="B350" s="5" t="s">
        <v>360</v>
      </c>
      <c r="C350" s="5" t="s">
        <v>181</v>
      </c>
      <c r="D350" s="11">
        <f>MAX(0, 2*'Precinct Vote Data'!G1388 - 'Precinct Vote Data'!G1386)</f>
        <v>1022</v>
      </c>
      <c r="E350" s="10">
        <f t="array" ref="E350">MIN(1,MAX(0, 'Precinct Vote Data'!H1389 + INDEX('Beta Coefficients'!$D:$D, MATCH(A350&amp;"|"&amp;B350&amp;"|"&amp;C350,'Beta Coefficients'!$Q:$Q,0))*(0.483125441908243-0.502219913195008) ))</f>
        <v>0.2755057032</v>
      </c>
      <c r="F350" s="11">
        <f t="shared" si="1"/>
        <v>282</v>
      </c>
      <c r="G350" s="11">
        <f t="shared" si="2"/>
        <v>740</v>
      </c>
      <c r="H350" s="5" t="str">
        <f t="shared" si="3"/>
        <v>Republican</v>
      </c>
    </row>
    <row r="351" ht="15.0" customHeight="1">
      <c r="A351" s="5" t="s">
        <v>327</v>
      </c>
      <c r="B351" s="5" t="s">
        <v>361</v>
      </c>
      <c r="C351" s="5" t="s">
        <v>182</v>
      </c>
      <c r="D351" s="11">
        <f>MAX(0, 2*'Precinct Vote Data'!G1392 - 'Precinct Vote Data'!G1390)</f>
        <v>3094</v>
      </c>
      <c r="E351" s="10">
        <f t="array" ref="E351">MIN(1,MAX(0, 'Precinct Vote Data'!H1393 + INDEX('Beta Coefficients'!$D:$D, MATCH(A351&amp;"|"&amp;B351&amp;"|"&amp;C351,'Beta Coefficients'!$Q:$Q,0))*(0.483125441908243-0.502219913195008) ))</f>
        <v>0.4641787159</v>
      </c>
      <c r="F351" s="11">
        <f t="shared" si="1"/>
        <v>1436</v>
      </c>
      <c r="G351" s="11">
        <f t="shared" si="2"/>
        <v>1658</v>
      </c>
      <c r="H351" s="5" t="str">
        <f t="shared" si="3"/>
        <v>Republican</v>
      </c>
    </row>
    <row r="352" ht="15.0" customHeight="1">
      <c r="A352" s="5" t="s">
        <v>327</v>
      </c>
      <c r="B352" s="5" t="s">
        <v>361</v>
      </c>
      <c r="C352" s="5" t="s">
        <v>183</v>
      </c>
      <c r="D352" s="11">
        <f>MAX(0, 2*'Precinct Vote Data'!G1396 - 'Precinct Vote Data'!G1394)</f>
        <v>1334</v>
      </c>
      <c r="E352" s="10">
        <f t="array" ref="E352">MIN(1,MAX(0, 'Precinct Vote Data'!H1397 + INDEX('Beta Coefficients'!$D:$D, MATCH(A352&amp;"|"&amp;B352&amp;"|"&amp;C352,'Beta Coefficients'!$Q:$Q,0))*(0.483125441908243-0.502219913195008) ))</f>
        <v>0.4114343132</v>
      </c>
      <c r="F352" s="11">
        <f t="shared" si="1"/>
        <v>549</v>
      </c>
      <c r="G352" s="11">
        <f t="shared" si="2"/>
        <v>785</v>
      </c>
      <c r="H352" s="5" t="str">
        <f t="shared" si="3"/>
        <v>Republican</v>
      </c>
    </row>
    <row r="353" ht="15.0" customHeight="1">
      <c r="A353" s="5" t="s">
        <v>327</v>
      </c>
      <c r="B353" s="5" t="s">
        <v>362</v>
      </c>
      <c r="C353" s="5" t="s">
        <v>184</v>
      </c>
      <c r="D353" s="11">
        <f>MAX(0, 2*'Precinct Vote Data'!G1400 - 'Precinct Vote Data'!G1398)</f>
        <v>1024</v>
      </c>
      <c r="E353" s="10">
        <f t="array" ref="E353">MIN(1,MAX(0, 'Precinct Vote Data'!H1401 + INDEX('Beta Coefficients'!$D:$D, MATCH(A353&amp;"|"&amp;B353&amp;"|"&amp;C353,'Beta Coefficients'!$Q:$Q,0))*(0.483125441908243-0.502219913195008) ))</f>
        <v>0.5320571309</v>
      </c>
      <c r="F353" s="11">
        <f t="shared" si="1"/>
        <v>545</v>
      </c>
      <c r="G353" s="11">
        <f t="shared" si="2"/>
        <v>479</v>
      </c>
      <c r="H353" s="5" t="str">
        <f t="shared" si="3"/>
        <v>Democrat</v>
      </c>
    </row>
    <row r="354" ht="15.0" customHeight="1">
      <c r="A354" s="5" t="s">
        <v>327</v>
      </c>
      <c r="B354" s="5" t="s">
        <v>362</v>
      </c>
      <c r="C354" s="5" t="s">
        <v>185</v>
      </c>
      <c r="D354" s="11">
        <f>MAX(0, 2*'Precinct Vote Data'!G1404 - 'Precinct Vote Data'!G1402)</f>
        <v>1350</v>
      </c>
      <c r="E354" s="10">
        <f t="array" ref="E354">MIN(1,MAX(0, 'Precinct Vote Data'!H1405 + INDEX('Beta Coefficients'!$D:$D, MATCH(A354&amp;"|"&amp;B354&amp;"|"&amp;C354,'Beta Coefficients'!$Q:$Q,0))*(0.483125441908243-0.502219913195008) ))</f>
        <v>0.4074262105</v>
      </c>
      <c r="F354" s="11">
        <f t="shared" si="1"/>
        <v>550</v>
      </c>
      <c r="G354" s="11">
        <f t="shared" si="2"/>
        <v>800</v>
      </c>
      <c r="H354" s="5" t="str">
        <f t="shared" si="3"/>
        <v>Republican</v>
      </c>
    </row>
    <row r="355" ht="15.0" customHeight="1">
      <c r="A355" s="5" t="s">
        <v>327</v>
      </c>
      <c r="B355" s="5" t="s">
        <v>362</v>
      </c>
      <c r="C355" s="5" t="s">
        <v>187</v>
      </c>
      <c r="D355" s="11">
        <f>MAX(0, 2*'Precinct Vote Data'!G1408 - 'Precinct Vote Data'!G1406)</f>
        <v>474</v>
      </c>
      <c r="E355" s="10">
        <f t="array" ref="E355">MIN(1,MAX(0, 'Precinct Vote Data'!H1409 + INDEX('Beta Coefficients'!$D:$D, MATCH(A355&amp;"|"&amp;B355&amp;"|"&amp;C355,'Beta Coefficients'!$Q:$Q,0))*(0.483125441908243-0.502219913195008) ))</f>
        <v>0.4233980864</v>
      </c>
      <c r="F355" s="11">
        <f t="shared" si="1"/>
        <v>201</v>
      </c>
      <c r="G355" s="11">
        <f t="shared" si="2"/>
        <v>273</v>
      </c>
      <c r="H355" s="5" t="str">
        <f t="shared" si="3"/>
        <v>Republican</v>
      </c>
    </row>
    <row r="356" ht="15.0" customHeight="1">
      <c r="A356" s="5" t="s">
        <v>327</v>
      </c>
      <c r="B356" s="5" t="s">
        <v>362</v>
      </c>
      <c r="C356" s="5" t="s">
        <v>188</v>
      </c>
      <c r="D356" s="11">
        <f>MAX(0, 2*'Precinct Vote Data'!G1412 - 'Precinct Vote Data'!G1410)</f>
        <v>803</v>
      </c>
      <c r="E356" s="10">
        <f t="array" ref="E356">MIN(1,MAX(0, 'Precinct Vote Data'!H1413 + INDEX('Beta Coefficients'!$D:$D, MATCH(A356&amp;"|"&amp;B356&amp;"|"&amp;C356,'Beta Coefficients'!$Q:$Q,0))*(0.483125441908243-0.502219913195008) ))</f>
        <v>0.511794266</v>
      </c>
      <c r="F356" s="11">
        <f t="shared" si="1"/>
        <v>411</v>
      </c>
      <c r="G356" s="11">
        <f t="shared" si="2"/>
        <v>392</v>
      </c>
      <c r="H356" s="5" t="str">
        <f t="shared" si="3"/>
        <v>Democrat</v>
      </c>
    </row>
    <row r="357" ht="15.0" customHeight="1">
      <c r="A357" s="5" t="s">
        <v>327</v>
      </c>
      <c r="B357" s="5" t="s">
        <v>362</v>
      </c>
      <c r="C357" s="5" t="s">
        <v>363</v>
      </c>
      <c r="D357" s="11">
        <f>MAX(0, 2*'Precinct Vote Data'!G1416 - 'Precinct Vote Data'!G1414)</f>
        <v>663</v>
      </c>
      <c r="E357" s="10">
        <f t="array" ref="E357">MIN(1,MAX(0, 'Precinct Vote Data'!H1417 + INDEX('Beta Coefficients'!$D:$D, MATCH(A357&amp;"|"&amp;B357&amp;"|"&amp;C357,'Beta Coefficients'!$Q:$Q,0))*(0.483125441908243-0.502219913195008) ))</f>
        <v>0.5015598984</v>
      </c>
      <c r="F357" s="11">
        <f t="shared" si="1"/>
        <v>333</v>
      </c>
      <c r="G357" s="11">
        <f t="shared" si="2"/>
        <v>330</v>
      </c>
      <c r="H357" s="5" t="str">
        <f t="shared" si="3"/>
        <v>Democrat</v>
      </c>
    </row>
    <row r="358" ht="15.0" customHeight="1">
      <c r="A358" s="5" t="s">
        <v>327</v>
      </c>
      <c r="B358" s="5" t="s">
        <v>362</v>
      </c>
      <c r="C358" s="5" t="s">
        <v>364</v>
      </c>
      <c r="D358" s="11">
        <f>MAX(0, 2*'Precinct Vote Data'!G1420 - 'Precinct Vote Data'!G1418)</f>
        <v>1002</v>
      </c>
      <c r="E358" s="10">
        <f t="array" ref="E358">MIN(1,MAX(0, 'Precinct Vote Data'!H1421 + INDEX('Beta Coefficients'!$D:$D, MATCH(A358&amp;"|"&amp;B358&amp;"|"&amp;C358,'Beta Coefficients'!$Q:$Q,0))*(0.483125441908243-0.502219913195008) ))</f>
        <v>0.542082086</v>
      </c>
      <c r="F358" s="11">
        <f t="shared" si="1"/>
        <v>543</v>
      </c>
      <c r="G358" s="11">
        <f t="shared" si="2"/>
        <v>459</v>
      </c>
      <c r="H358" s="5" t="str">
        <f t="shared" si="3"/>
        <v>Democrat</v>
      </c>
    </row>
    <row r="359" ht="15.0" customHeight="1">
      <c r="A359" s="5" t="s">
        <v>327</v>
      </c>
      <c r="B359" s="5" t="s">
        <v>362</v>
      </c>
      <c r="C359" s="5" t="s">
        <v>189</v>
      </c>
      <c r="D359" s="11">
        <f>MAX(0, 2*'Precinct Vote Data'!G1424 - 'Precinct Vote Data'!G1422)</f>
        <v>407</v>
      </c>
      <c r="E359" s="10">
        <f t="array" ref="E359">MIN(1,MAX(0, 'Precinct Vote Data'!H1425 + INDEX('Beta Coefficients'!$D:$D, MATCH(A359&amp;"|"&amp;B359&amp;"|"&amp;C359,'Beta Coefficients'!$Q:$Q,0))*(0.483125441908243-0.502219913195008) ))</f>
        <v>0.382684368</v>
      </c>
      <c r="F359" s="11">
        <f t="shared" si="1"/>
        <v>156</v>
      </c>
      <c r="G359" s="11">
        <f t="shared" si="2"/>
        <v>251</v>
      </c>
      <c r="H359" s="5" t="str">
        <f t="shared" si="3"/>
        <v>Republican</v>
      </c>
    </row>
    <row r="360" ht="15.0" customHeight="1">
      <c r="A360" s="5" t="s">
        <v>327</v>
      </c>
      <c r="B360" s="5" t="s">
        <v>362</v>
      </c>
      <c r="C360" s="5" t="s">
        <v>191</v>
      </c>
      <c r="D360" s="11">
        <f>MAX(0, 2*'Precinct Vote Data'!G1428 - 'Precinct Vote Data'!G1426)</f>
        <v>967</v>
      </c>
      <c r="E360" s="10">
        <f t="array" ref="E360">MIN(1,MAX(0, 'Precinct Vote Data'!H1429 + INDEX('Beta Coefficients'!$D:$D, MATCH(A360&amp;"|"&amp;B360&amp;"|"&amp;C360,'Beta Coefficients'!$Q:$Q,0))*(0.483125441908243-0.502219913195008) ))</f>
        <v>0.4064214558</v>
      </c>
      <c r="F360" s="11">
        <f t="shared" si="1"/>
        <v>393</v>
      </c>
      <c r="G360" s="11">
        <f t="shared" si="2"/>
        <v>574</v>
      </c>
      <c r="H360" s="5" t="str">
        <f t="shared" si="3"/>
        <v>Republican</v>
      </c>
    </row>
    <row r="361" ht="15.0" customHeight="1">
      <c r="A361" s="5" t="s">
        <v>327</v>
      </c>
      <c r="B361" s="5" t="s">
        <v>365</v>
      </c>
      <c r="C361" s="5" t="s">
        <v>193</v>
      </c>
      <c r="D361" s="11">
        <f>MAX(0, 2*'Precinct Vote Data'!G1432 - 'Precinct Vote Data'!G1430)</f>
        <v>1090</v>
      </c>
      <c r="E361" s="10">
        <f t="array" ref="E361">MIN(1,MAX(0, 'Precinct Vote Data'!H1433 + INDEX('Beta Coefficients'!$D:$D, MATCH(A361&amp;"|"&amp;B361&amp;"|"&amp;C361,'Beta Coefficients'!$Q:$Q,0))*(0.483125441908243-0.502219913195008) ))</f>
        <v>0.3341430542</v>
      </c>
      <c r="F361" s="11">
        <f t="shared" si="1"/>
        <v>364</v>
      </c>
      <c r="G361" s="11">
        <f t="shared" si="2"/>
        <v>726</v>
      </c>
      <c r="H361" s="5" t="str">
        <f t="shared" si="3"/>
        <v>Republican</v>
      </c>
    </row>
    <row r="362" ht="15.0" customHeight="1">
      <c r="A362" s="5" t="s">
        <v>327</v>
      </c>
      <c r="B362" s="5" t="s">
        <v>365</v>
      </c>
      <c r="C362" s="5" t="s">
        <v>195</v>
      </c>
      <c r="D362" s="11">
        <f>MAX(0, 2*'Precinct Vote Data'!G1436 - 'Precinct Vote Data'!G1434)</f>
        <v>2184</v>
      </c>
      <c r="E362" s="10">
        <f t="array" ref="E362">MIN(1,MAX(0, 'Precinct Vote Data'!H1437 + INDEX('Beta Coefficients'!$D:$D, MATCH(A362&amp;"|"&amp;B362&amp;"|"&amp;C362,'Beta Coefficients'!$Q:$Q,0))*(0.483125441908243-0.502219913195008) ))</f>
        <v>0.3160542981</v>
      </c>
      <c r="F362" s="11">
        <f t="shared" si="1"/>
        <v>690</v>
      </c>
      <c r="G362" s="11">
        <f t="shared" si="2"/>
        <v>1494</v>
      </c>
      <c r="H362" s="5" t="str">
        <f t="shared" si="3"/>
        <v>Republican</v>
      </c>
    </row>
    <row r="363" ht="15.0" customHeight="1">
      <c r="A363" s="5" t="s">
        <v>327</v>
      </c>
      <c r="B363" s="5" t="s">
        <v>365</v>
      </c>
      <c r="C363" s="5" t="s">
        <v>196</v>
      </c>
      <c r="D363" s="11">
        <f>MAX(0, 2*'Precinct Vote Data'!G1440 - 'Precinct Vote Data'!G1438)</f>
        <v>1581</v>
      </c>
      <c r="E363" s="10">
        <f t="array" ref="E363">MIN(1,MAX(0, 'Precinct Vote Data'!H1441 + INDEX('Beta Coefficients'!$D:$D, MATCH(A363&amp;"|"&amp;B363&amp;"|"&amp;C363,'Beta Coefficients'!$Q:$Q,0))*(0.483125441908243-0.502219913195008) ))</f>
        <v>0.3074026228</v>
      </c>
      <c r="F363" s="11">
        <f t="shared" si="1"/>
        <v>486</v>
      </c>
      <c r="G363" s="11">
        <f t="shared" si="2"/>
        <v>1095</v>
      </c>
      <c r="H363" s="5" t="str">
        <f t="shared" si="3"/>
        <v>Republican</v>
      </c>
    </row>
    <row r="364" ht="15.0" customHeight="1">
      <c r="A364" s="5" t="s">
        <v>327</v>
      </c>
      <c r="B364" s="5" t="s">
        <v>365</v>
      </c>
      <c r="C364" s="5" t="s">
        <v>197</v>
      </c>
      <c r="D364" s="11">
        <f>MAX(0, 2*'Precinct Vote Data'!G1444 - 'Precinct Vote Data'!G1442)</f>
        <v>733</v>
      </c>
      <c r="E364" s="10">
        <f t="array" ref="E364">MIN(1,MAX(0, 'Precinct Vote Data'!H1445 + INDEX('Beta Coefficients'!$D:$D, MATCH(A364&amp;"|"&amp;B364&amp;"|"&amp;C364,'Beta Coefficients'!$Q:$Q,0))*(0.483125441908243-0.502219913195008) ))</f>
        <v>0.3101634445</v>
      </c>
      <c r="F364" s="11">
        <f t="shared" si="1"/>
        <v>227</v>
      </c>
      <c r="G364" s="11">
        <f t="shared" si="2"/>
        <v>506</v>
      </c>
      <c r="H364" s="5" t="str">
        <f t="shared" si="3"/>
        <v>Republican</v>
      </c>
    </row>
    <row r="365" ht="15.0" customHeight="1">
      <c r="A365" s="5" t="s">
        <v>327</v>
      </c>
      <c r="B365" s="5" t="s">
        <v>366</v>
      </c>
      <c r="C365" s="5" t="s">
        <v>198</v>
      </c>
      <c r="D365" s="11">
        <f>MAX(0, 2*'Precinct Vote Data'!G1448 - 'Precinct Vote Data'!G1446)</f>
        <v>1060</v>
      </c>
      <c r="E365" s="10">
        <f t="array" ref="E365">MIN(1,MAX(0, 'Precinct Vote Data'!H1449 + INDEX('Beta Coefficients'!$D:$D, MATCH(A365&amp;"|"&amp;B365&amp;"|"&amp;C365,'Beta Coefficients'!$Q:$Q,0))*(0.483125441908243-0.502219913195008) ))</f>
        <v>0.4949336829</v>
      </c>
      <c r="F365" s="11">
        <f t="shared" si="1"/>
        <v>525</v>
      </c>
      <c r="G365" s="11">
        <f t="shared" si="2"/>
        <v>535</v>
      </c>
      <c r="H365" s="5" t="str">
        <f t="shared" si="3"/>
        <v>Republican</v>
      </c>
    </row>
    <row r="366" ht="15.0" customHeight="1">
      <c r="A366" s="5" t="s">
        <v>327</v>
      </c>
      <c r="B366" s="5" t="s">
        <v>366</v>
      </c>
      <c r="C366" s="5" t="s">
        <v>199</v>
      </c>
      <c r="D366" s="11">
        <f>MAX(0, 2*'Precinct Vote Data'!G1452 - 'Precinct Vote Data'!G1450)</f>
        <v>893</v>
      </c>
      <c r="E366" s="10">
        <f t="array" ref="E366">MIN(1,MAX(0, 'Precinct Vote Data'!H1453 + INDEX('Beta Coefficients'!$D:$D, MATCH(A366&amp;"|"&amp;B366&amp;"|"&amp;C366,'Beta Coefficients'!$Q:$Q,0))*(0.483125441908243-0.502219913195008) ))</f>
        <v>0.4556954113</v>
      </c>
      <c r="F366" s="11">
        <f t="shared" si="1"/>
        <v>407</v>
      </c>
      <c r="G366" s="11">
        <f t="shared" si="2"/>
        <v>486</v>
      </c>
      <c r="H366" s="5" t="str">
        <f t="shared" si="3"/>
        <v>Republican</v>
      </c>
    </row>
    <row r="367" ht="15.0" customHeight="1">
      <c r="A367" s="5" t="s">
        <v>327</v>
      </c>
      <c r="B367" s="5" t="s">
        <v>366</v>
      </c>
      <c r="C367" s="5" t="s">
        <v>200</v>
      </c>
      <c r="D367" s="11">
        <f>MAX(0, 2*'Precinct Vote Data'!G1456 - 'Precinct Vote Data'!G1454)</f>
        <v>841</v>
      </c>
      <c r="E367" s="10">
        <f t="array" ref="E367">MIN(1,MAX(0, 'Precinct Vote Data'!H1457 + INDEX('Beta Coefficients'!$D:$D, MATCH(A367&amp;"|"&amp;B367&amp;"|"&amp;C367,'Beta Coefficients'!$Q:$Q,0))*(0.483125441908243-0.502219913195008) ))</f>
        <v>0.4380078291</v>
      </c>
      <c r="F367" s="11">
        <f t="shared" si="1"/>
        <v>368</v>
      </c>
      <c r="G367" s="11">
        <f t="shared" si="2"/>
        <v>473</v>
      </c>
      <c r="H367" s="5" t="str">
        <f t="shared" si="3"/>
        <v>Republican</v>
      </c>
    </row>
    <row r="368" ht="15.0" customHeight="1">
      <c r="A368" s="5" t="s">
        <v>327</v>
      </c>
      <c r="B368" s="5" t="s">
        <v>367</v>
      </c>
      <c r="C368" s="5" t="s">
        <v>206</v>
      </c>
      <c r="D368" s="11">
        <f>MAX(0, 2*'Precinct Vote Data'!G1460 - 'Precinct Vote Data'!G1458)</f>
        <v>432</v>
      </c>
      <c r="E368" s="10">
        <f t="array" ref="E368">MIN(1,MAX(0, 'Precinct Vote Data'!H1461 + INDEX('Beta Coefficients'!$D:$D, MATCH(A368&amp;"|"&amp;B368&amp;"|"&amp;C368,'Beta Coefficients'!$Q:$Q,0))*(0.483125441908243-0.502219913195008) ))</f>
        <v>0.4111151948</v>
      </c>
      <c r="F368" s="11">
        <f t="shared" si="1"/>
        <v>178</v>
      </c>
      <c r="G368" s="11">
        <f t="shared" si="2"/>
        <v>254</v>
      </c>
      <c r="H368" s="5" t="str">
        <f t="shared" si="3"/>
        <v>Republican</v>
      </c>
    </row>
    <row r="369" ht="15.0" customHeight="1">
      <c r="A369" s="5" t="s">
        <v>327</v>
      </c>
      <c r="B369" s="5" t="s">
        <v>367</v>
      </c>
      <c r="C369" s="5" t="s">
        <v>208</v>
      </c>
      <c r="D369" s="11">
        <f>MAX(0, 2*'Precinct Vote Data'!G1464 - 'Precinct Vote Data'!G1462)</f>
        <v>1067</v>
      </c>
      <c r="E369" s="10">
        <f t="array" ref="E369">MIN(1,MAX(0, 'Precinct Vote Data'!H1465 + INDEX('Beta Coefficients'!$D:$D, MATCH(A369&amp;"|"&amp;B369&amp;"|"&amp;C369,'Beta Coefficients'!$Q:$Q,0))*(0.483125441908243-0.502219913195008) ))</f>
        <v>0.4985222614</v>
      </c>
      <c r="F369" s="11">
        <f t="shared" si="1"/>
        <v>532</v>
      </c>
      <c r="G369" s="11">
        <f t="shared" si="2"/>
        <v>535</v>
      </c>
      <c r="H369" s="5" t="str">
        <f t="shared" si="3"/>
        <v>Republican</v>
      </c>
    </row>
    <row r="370" ht="15.0" customHeight="1">
      <c r="A370" s="5" t="s">
        <v>327</v>
      </c>
      <c r="B370" s="5" t="s">
        <v>368</v>
      </c>
      <c r="C370" s="5" t="s">
        <v>210</v>
      </c>
      <c r="D370" s="11">
        <f>MAX(0, 2*'Precinct Vote Data'!G1468 - 'Precinct Vote Data'!G1466)</f>
        <v>1086</v>
      </c>
      <c r="E370" s="10">
        <f t="array" ref="E370">MIN(1,MAX(0, 'Precinct Vote Data'!H1469 + INDEX('Beta Coefficients'!$D:$D, MATCH(A370&amp;"|"&amp;B370&amp;"|"&amp;C370,'Beta Coefficients'!$Q:$Q,0))*(0.483125441908243-0.502219913195008) ))</f>
        <v>0.4510314365</v>
      </c>
      <c r="F370" s="11">
        <f t="shared" si="1"/>
        <v>490</v>
      </c>
      <c r="G370" s="11">
        <f t="shared" si="2"/>
        <v>596</v>
      </c>
      <c r="H370" s="5" t="str">
        <f t="shared" si="3"/>
        <v>Republican</v>
      </c>
    </row>
    <row r="371" ht="15.0" customHeight="1">
      <c r="A371" s="5" t="s">
        <v>327</v>
      </c>
      <c r="B371" s="5" t="s">
        <v>368</v>
      </c>
      <c r="C371" s="5" t="s">
        <v>211</v>
      </c>
      <c r="D371" s="11">
        <f>MAX(0, 2*'Precinct Vote Data'!G1472 - 'Precinct Vote Data'!G1470)</f>
        <v>978</v>
      </c>
      <c r="E371" s="10">
        <f t="array" ref="E371">MIN(1,MAX(0, 'Precinct Vote Data'!H1473 + INDEX('Beta Coefficients'!$D:$D, MATCH(A371&amp;"|"&amp;B371&amp;"|"&amp;C371,'Beta Coefficients'!$Q:$Q,0))*(0.483125441908243-0.502219913195008) ))</f>
        <v>0.4566232802</v>
      </c>
      <c r="F371" s="11">
        <f t="shared" si="1"/>
        <v>447</v>
      </c>
      <c r="G371" s="11">
        <f t="shared" si="2"/>
        <v>531</v>
      </c>
      <c r="H371" s="5" t="str">
        <f t="shared" si="3"/>
        <v>Republican</v>
      </c>
    </row>
    <row r="372" ht="15.0" customHeight="1">
      <c r="A372" s="5" t="s">
        <v>327</v>
      </c>
      <c r="B372" s="5" t="s">
        <v>368</v>
      </c>
      <c r="C372" s="5" t="s">
        <v>212</v>
      </c>
      <c r="D372" s="11">
        <f>MAX(0, 2*'Precinct Vote Data'!G1476 - 'Precinct Vote Data'!G1474)</f>
        <v>2074</v>
      </c>
      <c r="E372" s="10">
        <f t="array" ref="E372">MIN(1,MAX(0, 'Precinct Vote Data'!H1477 + INDEX('Beta Coefficients'!$D:$D, MATCH(A372&amp;"|"&amp;B372&amp;"|"&amp;C372,'Beta Coefficients'!$Q:$Q,0))*(0.483125441908243-0.502219913195008) ))</f>
        <v>0.4246885351</v>
      </c>
      <c r="F372" s="11">
        <f t="shared" si="1"/>
        <v>881</v>
      </c>
      <c r="G372" s="11">
        <f t="shared" si="2"/>
        <v>1193</v>
      </c>
      <c r="H372" s="5" t="str">
        <f t="shared" si="3"/>
        <v>Republican</v>
      </c>
    </row>
    <row r="373" ht="15.0" customHeight="1">
      <c r="A373" s="5" t="s">
        <v>327</v>
      </c>
      <c r="B373" s="5" t="s">
        <v>368</v>
      </c>
      <c r="C373" s="5" t="s">
        <v>214</v>
      </c>
      <c r="D373" s="11">
        <f>MAX(0, 2*'Precinct Vote Data'!G1480 - 'Precinct Vote Data'!G1478)</f>
        <v>432</v>
      </c>
      <c r="E373" s="10">
        <f t="array" ref="E373">MIN(1,MAX(0, 'Precinct Vote Data'!H1481 + INDEX('Beta Coefficients'!$D:$D, MATCH(A373&amp;"|"&amp;B373&amp;"|"&amp;C373,'Beta Coefficients'!$Q:$Q,0))*(0.483125441908243-0.502219913195008) ))</f>
        <v>0.3883818928</v>
      </c>
      <c r="F373" s="11">
        <f t="shared" si="1"/>
        <v>168</v>
      </c>
      <c r="G373" s="11">
        <f t="shared" si="2"/>
        <v>264</v>
      </c>
      <c r="H373" s="5" t="str">
        <f t="shared" si="3"/>
        <v>Republican</v>
      </c>
    </row>
    <row r="374" ht="15.0" customHeight="1">
      <c r="A374" s="5" t="s">
        <v>327</v>
      </c>
      <c r="B374" s="5" t="s">
        <v>369</v>
      </c>
      <c r="C374" s="5" t="s">
        <v>216</v>
      </c>
      <c r="D374" s="11">
        <f>MAX(0, 2*'Precinct Vote Data'!G1484 - 'Precinct Vote Data'!G1482)</f>
        <v>2007</v>
      </c>
      <c r="E374" s="10">
        <f t="array" ref="E374">MIN(1,MAX(0, 'Precinct Vote Data'!H1485 + INDEX('Beta Coefficients'!$D:$D, MATCH(A374&amp;"|"&amp;B374&amp;"|"&amp;C374,'Beta Coefficients'!$Q:$Q,0))*(0.483125441908243-0.502219913195008) ))</f>
        <v>0.5214746965</v>
      </c>
      <c r="F374" s="11">
        <f t="shared" si="1"/>
        <v>1047</v>
      </c>
      <c r="G374" s="11">
        <f t="shared" si="2"/>
        <v>960</v>
      </c>
      <c r="H374" s="5" t="str">
        <f t="shared" si="3"/>
        <v>Democrat</v>
      </c>
    </row>
    <row r="375" ht="15.0" customHeight="1">
      <c r="A375" s="5" t="s">
        <v>327</v>
      </c>
      <c r="B375" s="5" t="s">
        <v>369</v>
      </c>
      <c r="C375" s="5" t="s">
        <v>217</v>
      </c>
      <c r="D375" s="11">
        <f>MAX(0, 2*'Precinct Vote Data'!G1488 - 'Precinct Vote Data'!G1486)</f>
        <v>1071</v>
      </c>
      <c r="E375" s="10">
        <f t="array" ref="E375">MIN(1,MAX(0, 'Precinct Vote Data'!H1489 + INDEX('Beta Coefficients'!$D:$D, MATCH(A375&amp;"|"&amp;B375&amp;"|"&amp;C375,'Beta Coefficients'!$Q:$Q,0))*(0.483125441908243-0.502219913195008) ))</f>
        <v>0.4391758439</v>
      </c>
      <c r="F375" s="11">
        <f t="shared" si="1"/>
        <v>470</v>
      </c>
      <c r="G375" s="11">
        <f t="shared" si="2"/>
        <v>601</v>
      </c>
      <c r="H375" s="5" t="str">
        <f t="shared" si="3"/>
        <v>Republican</v>
      </c>
    </row>
    <row r="376" ht="15.0" customHeight="1">
      <c r="A376" s="5" t="s">
        <v>327</v>
      </c>
      <c r="B376" s="5" t="s">
        <v>369</v>
      </c>
      <c r="C376" s="5" t="s">
        <v>218</v>
      </c>
      <c r="D376" s="11">
        <f>MAX(0, 2*'Precinct Vote Data'!G1492 - 'Precinct Vote Data'!G1490)</f>
        <v>1316</v>
      </c>
      <c r="E376" s="10">
        <f t="array" ref="E376">MIN(1,MAX(0, 'Precinct Vote Data'!H1493 + INDEX('Beta Coefficients'!$D:$D, MATCH(A376&amp;"|"&amp;B376&amp;"|"&amp;C376,'Beta Coefficients'!$Q:$Q,0))*(0.483125441908243-0.502219913195008) ))</f>
        <v>0.5030254747</v>
      </c>
      <c r="F376" s="11">
        <f t="shared" si="1"/>
        <v>662</v>
      </c>
      <c r="G376" s="11">
        <f t="shared" si="2"/>
        <v>654</v>
      </c>
      <c r="H376" s="5" t="str">
        <f t="shared" si="3"/>
        <v>Democrat</v>
      </c>
    </row>
    <row r="377" ht="15.0" customHeight="1">
      <c r="A377" s="5" t="s">
        <v>327</v>
      </c>
      <c r="B377" s="5" t="s">
        <v>369</v>
      </c>
      <c r="C377" s="5" t="s">
        <v>219</v>
      </c>
      <c r="D377" s="11">
        <f>MAX(0, 2*'Precinct Vote Data'!G1496 - 'Precinct Vote Data'!G1494)</f>
        <v>2138</v>
      </c>
      <c r="E377" s="10">
        <f t="array" ref="E377">MIN(1,MAX(0, 'Precinct Vote Data'!H1497 + INDEX('Beta Coefficients'!$D:$D, MATCH(A377&amp;"|"&amp;B377&amp;"|"&amp;C377,'Beta Coefficients'!$Q:$Q,0))*(0.483125441908243-0.502219913195008) ))</f>
        <v>0.4528703377</v>
      </c>
      <c r="F377" s="11">
        <f t="shared" si="1"/>
        <v>968</v>
      </c>
      <c r="G377" s="11">
        <f t="shared" si="2"/>
        <v>1170</v>
      </c>
      <c r="H377" s="5" t="str">
        <f t="shared" si="3"/>
        <v>Republican</v>
      </c>
    </row>
    <row r="378" ht="15.0" customHeight="1">
      <c r="A378" s="5" t="s">
        <v>327</v>
      </c>
      <c r="B378" s="5" t="s">
        <v>369</v>
      </c>
      <c r="C378" s="5" t="s">
        <v>223</v>
      </c>
      <c r="D378" s="11">
        <f>MAX(0, 2*'Precinct Vote Data'!G1500 - 'Precinct Vote Data'!G1498)</f>
        <v>3029</v>
      </c>
      <c r="E378" s="10">
        <f t="array" ref="E378">MIN(1,MAX(0, 'Precinct Vote Data'!H1501 + INDEX('Beta Coefficients'!$D:$D, MATCH(A378&amp;"|"&amp;B378&amp;"|"&amp;C378,'Beta Coefficients'!$Q:$Q,0))*(0.483125441908243-0.502219913195008) ))</f>
        <v>0.5299695387</v>
      </c>
      <c r="F378" s="11">
        <f t="shared" si="1"/>
        <v>1605</v>
      </c>
      <c r="G378" s="11">
        <f t="shared" si="2"/>
        <v>1424</v>
      </c>
      <c r="H378" s="5" t="str">
        <f t="shared" si="3"/>
        <v>Democrat</v>
      </c>
    </row>
    <row r="379" ht="15.0" customHeight="1">
      <c r="A379" s="5" t="s">
        <v>327</v>
      </c>
      <c r="B379" s="5" t="s">
        <v>369</v>
      </c>
      <c r="C379" s="5" t="s">
        <v>224</v>
      </c>
      <c r="D379" s="11">
        <f>MAX(0, 2*'Precinct Vote Data'!G1504 - 'Precinct Vote Data'!G1502)</f>
        <v>1457</v>
      </c>
      <c r="E379" s="10">
        <f t="array" ref="E379">MIN(1,MAX(0, 'Precinct Vote Data'!H1505 + INDEX('Beta Coefficients'!$D:$D, MATCH(A379&amp;"|"&amp;B379&amp;"|"&amp;C379,'Beta Coefficients'!$Q:$Q,0))*(0.483125441908243-0.502219913195008) ))</f>
        <v>0.4894546338</v>
      </c>
      <c r="F379" s="11">
        <f t="shared" si="1"/>
        <v>713</v>
      </c>
      <c r="G379" s="11">
        <f t="shared" si="2"/>
        <v>744</v>
      </c>
      <c r="H379" s="5" t="str">
        <f t="shared" si="3"/>
        <v>Republican</v>
      </c>
    </row>
    <row r="380" ht="15.0" customHeight="1">
      <c r="A380" s="5" t="s">
        <v>327</v>
      </c>
      <c r="B380" s="5" t="s">
        <v>369</v>
      </c>
      <c r="C380" s="5" t="s">
        <v>225</v>
      </c>
      <c r="D380" s="11">
        <f>MAX(0, 2*'Precinct Vote Data'!G1508 - 'Precinct Vote Data'!G1506)</f>
        <v>709</v>
      </c>
      <c r="E380" s="10">
        <f t="array" ref="E380">MIN(1,MAX(0, 'Precinct Vote Data'!H1509 + INDEX('Beta Coefficients'!$D:$D, MATCH(A380&amp;"|"&amp;B380&amp;"|"&amp;C380,'Beta Coefficients'!$Q:$Q,0))*(0.483125441908243-0.502219913195008) ))</f>
        <v>0.4016260184</v>
      </c>
      <c r="F380" s="11">
        <f t="shared" si="1"/>
        <v>285</v>
      </c>
      <c r="G380" s="11">
        <f t="shared" si="2"/>
        <v>424</v>
      </c>
      <c r="H380" s="5" t="str">
        <f t="shared" si="3"/>
        <v>Republican</v>
      </c>
    </row>
    <row r="381" ht="15.0" customHeight="1">
      <c r="A381" s="5" t="s">
        <v>327</v>
      </c>
      <c r="B381" s="5" t="s">
        <v>370</v>
      </c>
      <c r="C381" s="5" t="s">
        <v>227</v>
      </c>
      <c r="D381" s="11">
        <f>MAX(0, 2*'Precinct Vote Data'!G1512 - 'Precinct Vote Data'!G1510)</f>
        <v>228</v>
      </c>
      <c r="E381" s="10">
        <f t="array" ref="E381">MIN(1,MAX(0, 'Precinct Vote Data'!H1513 + INDEX('Beta Coefficients'!$D:$D, MATCH(A381&amp;"|"&amp;B381&amp;"|"&amp;C381,'Beta Coefficients'!$Q:$Q,0))*(0.483125441908243-0.502219913195008) ))</f>
        <v>0.3100681787</v>
      </c>
      <c r="F381" s="11">
        <f t="shared" si="1"/>
        <v>71</v>
      </c>
      <c r="G381" s="11">
        <f t="shared" si="2"/>
        <v>157</v>
      </c>
      <c r="H381" s="5" t="str">
        <f t="shared" si="3"/>
        <v>Republican</v>
      </c>
    </row>
    <row r="382" ht="15.0" customHeight="1">
      <c r="A382" s="5" t="s">
        <v>327</v>
      </c>
      <c r="B382" s="5" t="s">
        <v>370</v>
      </c>
      <c r="C382" s="5" t="s">
        <v>228</v>
      </c>
      <c r="D382" s="11">
        <f>MAX(0, 2*'Precinct Vote Data'!G1516 - 'Precinct Vote Data'!G1514)</f>
        <v>617</v>
      </c>
      <c r="E382" s="10">
        <f t="array" ref="E382">MIN(1,MAX(0, 'Precinct Vote Data'!H1517 + INDEX('Beta Coefficients'!$D:$D, MATCH(A382&amp;"|"&amp;B382&amp;"|"&amp;C382,'Beta Coefficients'!$Q:$Q,0))*(0.483125441908243-0.502219913195008) ))</f>
        <v>0.3577263507</v>
      </c>
      <c r="F382" s="11">
        <f t="shared" si="1"/>
        <v>221</v>
      </c>
      <c r="G382" s="11">
        <f t="shared" si="2"/>
        <v>396</v>
      </c>
      <c r="H382" s="5" t="str">
        <f t="shared" si="3"/>
        <v>Republican</v>
      </c>
    </row>
    <row r="383" ht="15.0" customHeight="1">
      <c r="A383" s="5" t="s">
        <v>327</v>
      </c>
      <c r="B383" s="5" t="s">
        <v>370</v>
      </c>
      <c r="C383" s="5" t="s">
        <v>371</v>
      </c>
      <c r="D383" s="11">
        <f>MAX(0, 2*'Precinct Vote Data'!G1520 - 'Precinct Vote Data'!G1518)</f>
        <v>356</v>
      </c>
      <c r="E383" s="10">
        <f t="array" ref="E383">MIN(1,MAX(0, 'Precinct Vote Data'!H1521 + INDEX('Beta Coefficients'!$D:$D, MATCH(A383&amp;"|"&amp;B383&amp;"|"&amp;C383,'Beta Coefficients'!$Q:$Q,0))*(0.483125441908243-0.502219913195008) ))</f>
        <v>0.3706055577</v>
      </c>
      <c r="F383" s="11">
        <f t="shared" si="1"/>
        <v>132</v>
      </c>
      <c r="G383" s="11">
        <f t="shared" si="2"/>
        <v>224</v>
      </c>
      <c r="H383" s="5" t="str">
        <f t="shared" si="3"/>
        <v>Republican</v>
      </c>
    </row>
    <row r="384" ht="15.0" customHeight="1">
      <c r="A384" s="5" t="s">
        <v>327</v>
      </c>
      <c r="B384" s="5" t="s">
        <v>370</v>
      </c>
      <c r="C384" s="5" t="s">
        <v>230</v>
      </c>
      <c r="D384" s="11">
        <f>MAX(0, 2*'Precinct Vote Data'!G1524 - 'Precinct Vote Data'!G1522)</f>
        <v>208</v>
      </c>
      <c r="E384" s="10">
        <f t="array" ref="E384">MIN(1,MAX(0, 'Precinct Vote Data'!H1525 + INDEX('Beta Coefficients'!$D:$D, MATCH(A384&amp;"|"&amp;B384&amp;"|"&amp;C384,'Beta Coefficients'!$Q:$Q,0))*(0.483125441908243-0.502219913195008) ))</f>
        <v>0.3460460929</v>
      </c>
      <c r="F384" s="11">
        <f t="shared" si="1"/>
        <v>72</v>
      </c>
      <c r="G384" s="11">
        <f t="shared" si="2"/>
        <v>136</v>
      </c>
      <c r="H384" s="5" t="str">
        <f t="shared" si="3"/>
        <v>Republican</v>
      </c>
    </row>
    <row r="385" ht="15.0" customHeight="1">
      <c r="A385" s="5" t="s">
        <v>327</v>
      </c>
      <c r="B385" s="5" t="s">
        <v>372</v>
      </c>
      <c r="C385" s="5" t="s">
        <v>232</v>
      </c>
      <c r="D385" s="11">
        <f>MAX(0, 2*'Precinct Vote Data'!G1528 - 'Precinct Vote Data'!G1526)</f>
        <v>1055</v>
      </c>
      <c r="E385" s="10">
        <f t="array" ref="E385">MIN(1,MAX(0, 'Precinct Vote Data'!H1529 + INDEX('Beta Coefficients'!$D:$D, MATCH(A385&amp;"|"&amp;B385&amp;"|"&amp;C385,'Beta Coefficients'!$Q:$Q,0))*(0.483125441908243-0.502219913195008) ))</f>
        <v>0.3154204327</v>
      </c>
      <c r="F385" s="11">
        <f t="shared" si="1"/>
        <v>333</v>
      </c>
      <c r="G385" s="11">
        <f t="shared" si="2"/>
        <v>722</v>
      </c>
      <c r="H385" s="5" t="str">
        <f t="shared" si="3"/>
        <v>Republican</v>
      </c>
    </row>
    <row r="386" ht="15.0" customHeight="1">
      <c r="A386" s="5" t="s">
        <v>327</v>
      </c>
      <c r="B386" s="5" t="s">
        <v>372</v>
      </c>
      <c r="C386" s="5" t="s">
        <v>233</v>
      </c>
      <c r="D386" s="11">
        <f>MAX(0, 2*'Precinct Vote Data'!G1532 - 'Precinct Vote Data'!G1530)</f>
        <v>847</v>
      </c>
      <c r="E386" s="10">
        <f t="array" ref="E386">MIN(1,MAX(0, 'Precinct Vote Data'!H1533 + INDEX('Beta Coefficients'!$D:$D, MATCH(A386&amp;"|"&amp;B386&amp;"|"&amp;C386,'Beta Coefficients'!$Q:$Q,0))*(0.483125441908243-0.502219913195008) ))</f>
        <v>0.3272240231</v>
      </c>
      <c r="F386" s="11">
        <f t="shared" si="1"/>
        <v>277</v>
      </c>
      <c r="G386" s="11">
        <f t="shared" si="2"/>
        <v>570</v>
      </c>
      <c r="H386" s="5" t="str">
        <f t="shared" si="3"/>
        <v>Republican</v>
      </c>
    </row>
    <row r="387" ht="15.0" customHeight="1">
      <c r="A387" s="5" t="s">
        <v>327</v>
      </c>
      <c r="B387" s="5" t="s">
        <v>372</v>
      </c>
      <c r="C387" s="5" t="s">
        <v>234</v>
      </c>
      <c r="D387" s="11">
        <f>MAX(0, 2*'Precinct Vote Data'!G1536 - 'Precinct Vote Data'!G1534)</f>
        <v>868</v>
      </c>
      <c r="E387" s="10">
        <f t="array" ref="E387">MIN(1,MAX(0, 'Precinct Vote Data'!H1537 + INDEX('Beta Coefficients'!$D:$D, MATCH(A387&amp;"|"&amp;B387&amp;"|"&amp;C387,'Beta Coefficients'!$Q:$Q,0))*(0.483125441908243-0.502219913195008) ))</f>
        <v>0.3385470611</v>
      </c>
      <c r="F387" s="11">
        <f t="shared" si="1"/>
        <v>294</v>
      </c>
      <c r="G387" s="11">
        <f t="shared" si="2"/>
        <v>574</v>
      </c>
      <c r="H387" s="5" t="str">
        <f t="shared" si="3"/>
        <v>Republican</v>
      </c>
    </row>
    <row r="388" ht="15.0" customHeight="1">
      <c r="A388" s="5" t="s">
        <v>327</v>
      </c>
      <c r="B388" s="5" t="s">
        <v>372</v>
      </c>
      <c r="C388" s="5" t="s">
        <v>236</v>
      </c>
      <c r="D388" s="11">
        <f>MAX(0, 2*'Precinct Vote Data'!G1540 - 'Precinct Vote Data'!G1538)</f>
        <v>831</v>
      </c>
      <c r="E388" s="10">
        <f t="array" ref="E388">MIN(1,MAX(0, 'Precinct Vote Data'!H1541 + INDEX('Beta Coefficients'!$D:$D, MATCH(A388&amp;"|"&amp;B388&amp;"|"&amp;C388,'Beta Coefficients'!$Q:$Q,0))*(0.483125441908243-0.502219913195008) ))</f>
        <v>0.3025376233</v>
      </c>
      <c r="F388" s="11">
        <f t="shared" si="1"/>
        <v>251</v>
      </c>
      <c r="G388" s="11">
        <f t="shared" si="2"/>
        <v>580</v>
      </c>
      <c r="H388" s="5" t="str">
        <f t="shared" si="3"/>
        <v>Republican</v>
      </c>
    </row>
    <row r="389" ht="15.0" customHeight="1">
      <c r="A389" s="5" t="s">
        <v>327</v>
      </c>
      <c r="B389" s="5" t="s">
        <v>373</v>
      </c>
      <c r="C389" s="5" t="s">
        <v>237</v>
      </c>
      <c r="D389" s="11">
        <f>MAX(0, 2*'Precinct Vote Data'!G1544 - 'Precinct Vote Data'!G1542)</f>
        <v>222</v>
      </c>
      <c r="E389" s="10">
        <f t="array" ref="E389">MIN(1,MAX(0, 'Precinct Vote Data'!H1545 + INDEX('Beta Coefficients'!$D:$D, MATCH(A389&amp;"|"&amp;B389&amp;"|"&amp;C389,'Beta Coefficients'!$Q:$Q,0))*(0.483125441908243-0.502219913195008) ))</f>
        <v>0.3387010794</v>
      </c>
      <c r="F389" s="11">
        <f t="shared" si="1"/>
        <v>75</v>
      </c>
      <c r="G389" s="11">
        <f t="shared" si="2"/>
        <v>147</v>
      </c>
      <c r="H389" s="5" t="str">
        <f t="shared" si="3"/>
        <v>Republican</v>
      </c>
    </row>
    <row r="390" ht="15.0" customHeight="1">
      <c r="A390" s="5" t="s">
        <v>327</v>
      </c>
      <c r="B390" s="5" t="s">
        <v>374</v>
      </c>
      <c r="C390" s="5" t="s">
        <v>238</v>
      </c>
      <c r="D390" s="11">
        <f>MAX(0, 2*'Precinct Vote Data'!G1548 - 'Precinct Vote Data'!G1546)</f>
        <v>774</v>
      </c>
      <c r="E390" s="10">
        <f t="array" ref="E390">MIN(1,MAX(0, 'Precinct Vote Data'!H1549 + INDEX('Beta Coefficients'!$D:$D, MATCH(A390&amp;"|"&amp;B390&amp;"|"&amp;C390,'Beta Coefficients'!$Q:$Q,0))*(0.483125441908243-0.502219913195008) ))</f>
        <v>0.3369002788</v>
      </c>
      <c r="F390" s="11">
        <f t="shared" si="1"/>
        <v>261</v>
      </c>
      <c r="G390" s="11">
        <f t="shared" si="2"/>
        <v>513</v>
      </c>
      <c r="H390" s="5" t="str">
        <f t="shared" si="3"/>
        <v>Republican</v>
      </c>
    </row>
    <row r="391" ht="15.0" customHeight="1">
      <c r="A391" s="5" t="s">
        <v>327</v>
      </c>
      <c r="B391" s="5" t="s">
        <v>375</v>
      </c>
      <c r="C391" s="5" t="s">
        <v>239</v>
      </c>
      <c r="D391" s="11">
        <f>MAX(0, 2*'Precinct Vote Data'!G1552 - 'Precinct Vote Data'!G1550)</f>
        <v>460</v>
      </c>
      <c r="E391" s="10">
        <f t="array" ref="E391">MIN(1,MAX(0, 'Precinct Vote Data'!H1553 + INDEX('Beta Coefficients'!$D:$D, MATCH(A391&amp;"|"&amp;B391&amp;"|"&amp;C391,'Beta Coefficients'!$Q:$Q,0))*(0.483125441908243-0.502219913195008) ))</f>
        <v>0.3798787257</v>
      </c>
      <c r="F391" s="11">
        <f t="shared" si="1"/>
        <v>175</v>
      </c>
      <c r="G391" s="11">
        <f t="shared" si="2"/>
        <v>285</v>
      </c>
      <c r="H391" s="5" t="str">
        <f t="shared" si="3"/>
        <v>Republican</v>
      </c>
    </row>
    <row r="392" ht="15.0" customHeight="1">
      <c r="A392" s="5" t="s">
        <v>327</v>
      </c>
      <c r="B392" s="5" t="s">
        <v>376</v>
      </c>
      <c r="C392" s="5" t="s">
        <v>240</v>
      </c>
      <c r="D392" s="11">
        <f>MAX(0, 2*'Precinct Vote Data'!G1556 - 'Precinct Vote Data'!G1554)</f>
        <v>677</v>
      </c>
      <c r="E392" s="10">
        <f t="array" ref="E392">MIN(1,MAX(0, 'Precinct Vote Data'!H1557 + INDEX('Beta Coefficients'!$D:$D, MATCH(A392&amp;"|"&amp;B392&amp;"|"&amp;C392,'Beta Coefficients'!$Q:$Q,0))*(0.483125441908243-0.502219913195008) ))</f>
        <v>0.4102631894</v>
      </c>
      <c r="F392" s="11">
        <f t="shared" si="1"/>
        <v>278</v>
      </c>
      <c r="G392" s="11">
        <f t="shared" si="2"/>
        <v>399</v>
      </c>
      <c r="H392" s="5" t="str">
        <f t="shared" si="3"/>
        <v>Republican</v>
      </c>
    </row>
    <row r="393" ht="15.0" customHeight="1">
      <c r="A393" s="5" t="s">
        <v>327</v>
      </c>
      <c r="B393" s="5" t="s">
        <v>377</v>
      </c>
      <c r="C393" s="5" t="s">
        <v>241</v>
      </c>
      <c r="D393" s="11">
        <f>MAX(0, 2*'Precinct Vote Data'!G1560 - 'Precinct Vote Data'!G1558)</f>
        <v>953</v>
      </c>
      <c r="E393" s="10">
        <f t="array" ref="E393">MIN(1,MAX(0, 'Precinct Vote Data'!H1561 + INDEX('Beta Coefficients'!$D:$D, MATCH(A393&amp;"|"&amp;B393&amp;"|"&amp;C393,'Beta Coefficients'!$Q:$Q,0))*(0.483125441908243-0.502219913195008) ))</f>
        <v>0.2706257087</v>
      </c>
      <c r="F393" s="11">
        <f t="shared" si="1"/>
        <v>258</v>
      </c>
      <c r="G393" s="11">
        <f t="shared" si="2"/>
        <v>695</v>
      </c>
      <c r="H393" s="5" t="str">
        <f t="shared" si="3"/>
        <v>Republican</v>
      </c>
    </row>
    <row r="394" ht="15.0" customHeight="1">
      <c r="A394" s="5" t="s">
        <v>327</v>
      </c>
      <c r="B394" s="5" t="s">
        <v>377</v>
      </c>
      <c r="C394" s="5" t="s">
        <v>242</v>
      </c>
      <c r="D394" s="11">
        <f>MAX(0, 2*'Precinct Vote Data'!G1564 - 'Precinct Vote Data'!G1562)</f>
        <v>666</v>
      </c>
      <c r="E394" s="10">
        <f t="array" ref="E394">MIN(1,MAX(0, 'Precinct Vote Data'!H1565 + INDEX('Beta Coefficients'!$D:$D, MATCH(A394&amp;"|"&amp;B394&amp;"|"&amp;C394,'Beta Coefficients'!$Q:$Q,0))*(0.483125441908243-0.502219913195008) ))</f>
        <v>0.2932327574</v>
      </c>
      <c r="F394" s="11">
        <f t="shared" si="1"/>
        <v>195</v>
      </c>
      <c r="G394" s="11">
        <f t="shared" si="2"/>
        <v>471</v>
      </c>
      <c r="H394" s="5" t="str">
        <f t="shared" si="3"/>
        <v>Republican</v>
      </c>
    </row>
    <row r="395" ht="15.0" customHeight="1">
      <c r="A395" s="5" t="s">
        <v>327</v>
      </c>
      <c r="B395" s="5" t="s">
        <v>377</v>
      </c>
      <c r="C395" s="5" t="s">
        <v>243</v>
      </c>
      <c r="D395" s="11">
        <f>MAX(0, 2*'Precinct Vote Data'!G1568 - 'Precinct Vote Data'!G1566)</f>
        <v>615</v>
      </c>
      <c r="E395" s="10">
        <f t="array" ref="E395">MIN(1,MAX(0, 'Precinct Vote Data'!H1569 + INDEX('Beta Coefficients'!$D:$D, MATCH(A395&amp;"|"&amp;B395&amp;"|"&amp;C395,'Beta Coefficients'!$Q:$Q,0))*(0.483125441908243-0.502219913195008) ))</f>
        <v>0.2360991458</v>
      </c>
      <c r="F395" s="11">
        <f t="shared" si="1"/>
        <v>145</v>
      </c>
      <c r="G395" s="11">
        <f t="shared" si="2"/>
        <v>470</v>
      </c>
      <c r="H395" s="5" t="str">
        <f t="shared" si="3"/>
        <v>Republican</v>
      </c>
    </row>
    <row r="396" ht="15.0" customHeight="1">
      <c r="A396" s="5" t="s">
        <v>327</v>
      </c>
      <c r="B396" s="5" t="s">
        <v>377</v>
      </c>
      <c r="C396" s="5" t="s">
        <v>245</v>
      </c>
      <c r="D396" s="11">
        <f>MAX(0, 2*'Precinct Vote Data'!G1572 - 'Precinct Vote Data'!G1570)</f>
        <v>535</v>
      </c>
      <c r="E396" s="10">
        <f t="array" ref="E396">MIN(1,MAX(0, 'Precinct Vote Data'!H1573 + INDEX('Beta Coefficients'!$D:$D, MATCH(A396&amp;"|"&amp;B396&amp;"|"&amp;C396,'Beta Coefficients'!$Q:$Q,0))*(0.483125441908243-0.502219913195008) ))</f>
        <v>0.2741652297</v>
      </c>
      <c r="F396" s="11">
        <f t="shared" si="1"/>
        <v>147</v>
      </c>
      <c r="G396" s="11">
        <f t="shared" si="2"/>
        <v>388</v>
      </c>
      <c r="H396" s="5" t="str">
        <f t="shared" si="3"/>
        <v>Republican</v>
      </c>
    </row>
    <row r="397" ht="15.0" customHeight="1">
      <c r="A397" s="5" t="s">
        <v>327</v>
      </c>
      <c r="B397" s="5" t="s">
        <v>377</v>
      </c>
      <c r="C397" s="5" t="s">
        <v>246</v>
      </c>
      <c r="D397" s="11">
        <f>MAX(0, 2*'Precinct Vote Data'!G1576 - 'Precinct Vote Data'!G1574)</f>
        <v>805</v>
      </c>
      <c r="E397" s="10">
        <f t="array" ref="E397">MIN(1,MAX(0, 'Precinct Vote Data'!H1577 + INDEX('Beta Coefficients'!$D:$D, MATCH(A397&amp;"|"&amp;B397&amp;"|"&amp;C397,'Beta Coefficients'!$Q:$Q,0))*(0.483125441908243-0.502219913195008) ))</f>
        <v>0.3566099386</v>
      </c>
      <c r="F397" s="11">
        <f t="shared" si="1"/>
        <v>287</v>
      </c>
      <c r="G397" s="11">
        <f t="shared" si="2"/>
        <v>518</v>
      </c>
      <c r="H397" s="5" t="str">
        <f t="shared" si="3"/>
        <v>Republican</v>
      </c>
    </row>
    <row r="398" ht="15.0" customHeight="1">
      <c r="A398" s="5" t="s">
        <v>327</v>
      </c>
      <c r="B398" s="5" t="s">
        <v>378</v>
      </c>
      <c r="C398" s="5" t="s">
        <v>247</v>
      </c>
      <c r="D398" s="11">
        <f>MAX(0, 2*'Precinct Vote Data'!G1580 - 'Precinct Vote Data'!G1578)</f>
        <v>2255</v>
      </c>
      <c r="E398" s="10">
        <f t="array" ref="E398">MIN(1,MAX(0, 'Precinct Vote Data'!H1581 + INDEX('Beta Coefficients'!$D:$D, MATCH(A398&amp;"|"&amp;B398&amp;"|"&amp;C398,'Beta Coefficients'!$Q:$Q,0))*(0.483125441908243-0.502219913195008) ))</f>
        <v>0.460814072</v>
      </c>
      <c r="F398" s="11">
        <f t="shared" si="1"/>
        <v>1039</v>
      </c>
      <c r="G398" s="11">
        <f t="shared" si="2"/>
        <v>1216</v>
      </c>
      <c r="H398" s="5" t="str">
        <f t="shared" si="3"/>
        <v>Republican</v>
      </c>
    </row>
    <row r="399" ht="15.0" customHeight="1">
      <c r="A399" s="5" t="s">
        <v>327</v>
      </c>
      <c r="B399" s="5" t="s">
        <v>378</v>
      </c>
      <c r="C399" s="5" t="s">
        <v>248</v>
      </c>
      <c r="D399" s="11">
        <f>MAX(0, 2*'Precinct Vote Data'!G1584 - 'Precinct Vote Data'!G1582)</f>
        <v>1548</v>
      </c>
      <c r="E399" s="10">
        <f t="array" ref="E399">MIN(1,MAX(0, 'Precinct Vote Data'!H1585 + INDEX('Beta Coefficients'!$D:$D, MATCH(A399&amp;"|"&amp;B399&amp;"|"&amp;C399,'Beta Coefficients'!$Q:$Q,0))*(0.483125441908243-0.502219913195008) ))</f>
        <v>0.4670749652</v>
      </c>
      <c r="F399" s="11">
        <f t="shared" si="1"/>
        <v>723</v>
      </c>
      <c r="G399" s="11">
        <f t="shared" si="2"/>
        <v>825</v>
      </c>
      <c r="H399" s="5" t="str">
        <f t="shared" si="3"/>
        <v>Republican</v>
      </c>
    </row>
    <row r="400" ht="15.0" customHeight="1">
      <c r="A400" s="5" t="s">
        <v>327</v>
      </c>
      <c r="B400" s="5" t="s">
        <v>379</v>
      </c>
      <c r="C400" s="5" t="s">
        <v>254</v>
      </c>
      <c r="D400" s="11">
        <f>MAX(0, 2*'Precinct Vote Data'!G1588 - 'Precinct Vote Data'!G1586)</f>
        <v>854</v>
      </c>
      <c r="E400" s="10">
        <f t="array" ref="E400">MIN(1,MAX(0, 'Precinct Vote Data'!H1589 + INDEX('Beta Coefficients'!$D:$D, MATCH(A400&amp;"|"&amp;B400&amp;"|"&amp;C400,'Beta Coefficients'!$Q:$Q,0))*(0.483125441908243-0.502219913195008) ))</f>
        <v>0.3694012133</v>
      </c>
      <c r="F400" s="11">
        <f t="shared" si="1"/>
        <v>315</v>
      </c>
      <c r="G400" s="11">
        <f t="shared" si="2"/>
        <v>539</v>
      </c>
      <c r="H400" s="5" t="str">
        <f t="shared" si="3"/>
        <v>Republican</v>
      </c>
    </row>
    <row r="401" ht="15.0" customHeight="1">
      <c r="A401" s="5" t="s">
        <v>327</v>
      </c>
      <c r="B401" s="5" t="s">
        <v>263</v>
      </c>
      <c r="C401" s="5" t="s">
        <v>255</v>
      </c>
      <c r="D401" s="11">
        <f>MAX(0, 2*'Precinct Vote Data'!G1592 - 'Precinct Vote Data'!G1590)</f>
        <v>2178</v>
      </c>
      <c r="E401" s="10">
        <f t="array" ref="E401">MIN(1,MAX(0, 'Precinct Vote Data'!H1593 + INDEX('Beta Coefficients'!$D:$D, MATCH(A401&amp;"|"&amp;B401&amp;"|"&amp;C401,'Beta Coefficients'!$Q:$Q,0))*(0.483125441908243-0.502219913195008) ))</f>
        <v>0.3001726749</v>
      </c>
      <c r="F401" s="11">
        <f t="shared" si="1"/>
        <v>654</v>
      </c>
      <c r="G401" s="11">
        <f t="shared" si="2"/>
        <v>1524</v>
      </c>
      <c r="H401" s="5" t="str">
        <f t="shared" si="3"/>
        <v>Republican</v>
      </c>
    </row>
    <row r="402" ht="15.0" customHeight="1">
      <c r="A402" s="5" t="s">
        <v>327</v>
      </c>
      <c r="B402" s="5" t="s">
        <v>263</v>
      </c>
      <c r="C402" s="5" t="s">
        <v>257</v>
      </c>
      <c r="D402" s="11">
        <f>MAX(0, 2*'Precinct Vote Data'!G1596 - 'Precinct Vote Data'!G1594)</f>
        <v>706</v>
      </c>
      <c r="E402" s="10">
        <f t="array" ref="E402">MIN(1,MAX(0, 'Precinct Vote Data'!H1597 + INDEX('Beta Coefficients'!$D:$D, MATCH(A402&amp;"|"&amp;B402&amp;"|"&amp;C402,'Beta Coefficients'!$Q:$Q,0))*(0.483125441908243-0.502219913195008) ))</f>
        <v>0.3097413293</v>
      </c>
      <c r="F402" s="11">
        <f t="shared" si="1"/>
        <v>219</v>
      </c>
      <c r="G402" s="11">
        <f t="shared" si="2"/>
        <v>487</v>
      </c>
      <c r="H402" s="5" t="str">
        <f t="shared" si="3"/>
        <v>Republican</v>
      </c>
    </row>
    <row r="403" ht="15.0" customHeight="1">
      <c r="A403" s="5" t="s">
        <v>327</v>
      </c>
      <c r="B403" s="5" t="s">
        <v>380</v>
      </c>
      <c r="C403" s="5" t="s">
        <v>258</v>
      </c>
      <c r="D403" s="11">
        <f>MAX(0, 2*'Precinct Vote Data'!G1600 - 'Precinct Vote Data'!G1598)</f>
        <v>473</v>
      </c>
      <c r="E403" s="10">
        <f t="array" ref="E403">MIN(1,MAX(0, 'Precinct Vote Data'!H1601 + INDEX('Beta Coefficients'!$D:$D, MATCH(A403&amp;"|"&amp;B403&amp;"|"&amp;C403,'Beta Coefficients'!$Q:$Q,0))*(0.483125441908243-0.502219913195008) ))</f>
        <v>0.4347592223</v>
      </c>
      <c r="F403" s="11">
        <f t="shared" si="1"/>
        <v>206</v>
      </c>
      <c r="G403" s="11">
        <f t="shared" si="2"/>
        <v>267</v>
      </c>
      <c r="H403" s="5" t="str">
        <f t="shared" si="3"/>
        <v>Republican</v>
      </c>
    </row>
    <row r="404" ht="15.0" customHeight="1">
      <c r="A404" s="5" t="s">
        <v>327</v>
      </c>
      <c r="B404" s="5" t="s">
        <v>381</v>
      </c>
      <c r="C404" s="5" t="s">
        <v>259</v>
      </c>
      <c r="D404" s="11">
        <f>MAX(0, 2*'Precinct Vote Data'!G1604 - 'Precinct Vote Data'!G1602)</f>
        <v>1156</v>
      </c>
      <c r="E404" s="10">
        <f t="array" ref="E404">MIN(1,MAX(0, 'Precinct Vote Data'!H1605 + INDEX('Beta Coefficients'!$D:$D, MATCH(A404&amp;"|"&amp;B404&amp;"|"&amp;C404,'Beta Coefficients'!$Q:$Q,0))*(0.483125441908243-0.502219913195008) ))</f>
        <v>0.3929681704</v>
      </c>
      <c r="F404" s="11">
        <f t="shared" si="1"/>
        <v>454</v>
      </c>
      <c r="G404" s="11">
        <f t="shared" si="2"/>
        <v>702</v>
      </c>
      <c r="H404" s="5" t="str">
        <f t="shared" si="3"/>
        <v>Republican</v>
      </c>
    </row>
    <row r="405" ht="15.0" customHeight="1">
      <c r="A405" s="5" t="s">
        <v>327</v>
      </c>
      <c r="B405" s="5" t="s">
        <v>381</v>
      </c>
      <c r="C405" s="5" t="s">
        <v>260</v>
      </c>
      <c r="D405" s="11">
        <f>MAX(0, 2*'Precinct Vote Data'!G1608 - 'Precinct Vote Data'!G1606)</f>
        <v>990</v>
      </c>
      <c r="E405" s="10">
        <f t="array" ref="E405">MIN(1,MAX(0, 'Precinct Vote Data'!H1609 + INDEX('Beta Coefficients'!$D:$D, MATCH(A405&amp;"|"&amp;B405&amp;"|"&amp;C405,'Beta Coefficients'!$Q:$Q,0))*(0.483125441908243-0.502219913195008) ))</f>
        <v>0.3755789059</v>
      </c>
      <c r="F405" s="11">
        <f t="shared" si="1"/>
        <v>372</v>
      </c>
      <c r="G405" s="11">
        <f t="shared" si="2"/>
        <v>618</v>
      </c>
      <c r="H405" s="5" t="str">
        <f t="shared" si="3"/>
        <v>Republican</v>
      </c>
    </row>
    <row r="406" ht="15.0" customHeight="1">
      <c r="A406" s="5" t="s">
        <v>327</v>
      </c>
      <c r="B406" s="5" t="s">
        <v>381</v>
      </c>
      <c r="C406" s="5" t="s">
        <v>264</v>
      </c>
      <c r="D406" s="11">
        <f>MAX(0, 2*'Precinct Vote Data'!G1612 - 'Precinct Vote Data'!G1610)</f>
        <v>1020</v>
      </c>
      <c r="E406" s="10">
        <f t="array" ref="E406">MIN(1,MAX(0, 'Precinct Vote Data'!H1613 + INDEX('Beta Coefficients'!$D:$D, MATCH(A406&amp;"|"&amp;B406&amp;"|"&amp;C406,'Beta Coefficients'!$Q:$Q,0))*(0.483125441908243-0.502219913195008) ))</f>
        <v>0.5128182156</v>
      </c>
      <c r="F406" s="11">
        <f t="shared" si="1"/>
        <v>523</v>
      </c>
      <c r="G406" s="11">
        <f t="shared" si="2"/>
        <v>497</v>
      </c>
      <c r="H406" s="5" t="str">
        <f t="shared" si="3"/>
        <v>Democrat</v>
      </c>
    </row>
    <row r="407" ht="15.0" customHeight="1">
      <c r="A407" s="5" t="s">
        <v>327</v>
      </c>
      <c r="B407" s="5" t="s">
        <v>381</v>
      </c>
      <c r="C407" s="5" t="s">
        <v>265</v>
      </c>
      <c r="D407" s="11">
        <f>MAX(0, 2*'Precinct Vote Data'!G1616 - 'Precinct Vote Data'!G1614)</f>
        <v>636</v>
      </c>
      <c r="E407" s="10">
        <f t="array" ref="E407">MIN(1,MAX(0, 'Precinct Vote Data'!H1617 + INDEX('Beta Coefficients'!$D:$D, MATCH(A407&amp;"|"&amp;B407&amp;"|"&amp;C407,'Beta Coefficients'!$Q:$Q,0))*(0.483125441908243-0.502219913195008) ))</f>
        <v>0.3752035365</v>
      </c>
      <c r="F407" s="11">
        <f t="shared" si="1"/>
        <v>239</v>
      </c>
      <c r="G407" s="11">
        <f t="shared" si="2"/>
        <v>397</v>
      </c>
      <c r="H407" s="5" t="str">
        <f t="shared" si="3"/>
        <v>Republican</v>
      </c>
    </row>
    <row r="408" ht="15.0" customHeight="1">
      <c r="A408" s="5" t="s">
        <v>327</v>
      </c>
      <c r="B408" s="5" t="s">
        <v>382</v>
      </c>
      <c r="C408" s="5" t="s">
        <v>266</v>
      </c>
      <c r="D408" s="11">
        <f>MAX(0, 2*'Precinct Vote Data'!G1620 - 'Precinct Vote Data'!G1618)</f>
        <v>837</v>
      </c>
      <c r="E408" s="10">
        <f t="array" ref="E408">MIN(1,MAX(0, 'Precinct Vote Data'!H1621 + INDEX('Beta Coefficients'!$D:$D, MATCH(A408&amp;"|"&amp;B408&amp;"|"&amp;C408,'Beta Coefficients'!$Q:$Q,0))*(0.483125441908243-0.502219913195008) ))</f>
        <v>0.5633304492</v>
      </c>
      <c r="F408" s="11">
        <f t="shared" si="1"/>
        <v>472</v>
      </c>
      <c r="G408" s="11">
        <f t="shared" si="2"/>
        <v>365</v>
      </c>
      <c r="H408" s="5" t="str">
        <f t="shared" si="3"/>
        <v>Democrat</v>
      </c>
    </row>
    <row r="409" ht="15.0" customHeight="1">
      <c r="A409" s="5" t="s">
        <v>327</v>
      </c>
      <c r="B409" s="5" t="s">
        <v>382</v>
      </c>
      <c r="C409" s="5" t="s">
        <v>268</v>
      </c>
      <c r="D409" s="11">
        <f>MAX(0, 2*'Precinct Vote Data'!G1624 - 'Precinct Vote Data'!G1622)</f>
        <v>670</v>
      </c>
      <c r="E409" s="10">
        <f t="array" ref="E409">MIN(1,MAX(0, 'Precinct Vote Data'!H1625 + INDEX('Beta Coefficients'!$D:$D, MATCH(A409&amp;"|"&amp;B409&amp;"|"&amp;C409,'Beta Coefficients'!$Q:$Q,0))*(0.483125441908243-0.502219913195008) ))</f>
        <v>0.5053963645</v>
      </c>
      <c r="F409" s="11">
        <f t="shared" si="1"/>
        <v>339</v>
      </c>
      <c r="G409" s="11">
        <f t="shared" si="2"/>
        <v>331</v>
      </c>
      <c r="H409" s="5" t="str">
        <f t="shared" si="3"/>
        <v>Democrat</v>
      </c>
    </row>
    <row r="410" ht="15.0" customHeight="1">
      <c r="A410" s="5" t="s">
        <v>327</v>
      </c>
      <c r="B410" s="5" t="s">
        <v>382</v>
      </c>
      <c r="C410" s="5" t="s">
        <v>270</v>
      </c>
      <c r="D410" s="11">
        <f>MAX(0, 2*'Precinct Vote Data'!G1628 - 'Precinct Vote Data'!G1626)</f>
        <v>1022</v>
      </c>
      <c r="E410" s="10">
        <f t="array" ref="E410">MIN(1,MAX(0, 'Precinct Vote Data'!H1629 + INDEX('Beta Coefficients'!$D:$D, MATCH(A410&amp;"|"&amp;B410&amp;"|"&amp;C410,'Beta Coefficients'!$Q:$Q,0))*(0.483125441908243-0.502219913195008) ))</f>
        <v>0.5047276925</v>
      </c>
      <c r="F410" s="11">
        <f t="shared" si="1"/>
        <v>516</v>
      </c>
      <c r="G410" s="11">
        <f t="shared" si="2"/>
        <v>506</v>
      </c>
      <c r="H410" s="5" t="str">
        <f t="shared" si="3"/>
        <v>Democrat</v>
      </c>
    </row>
    <row r="411" ht="15.0" customHeight="1">
      <c r="A411" s="5" t="s">
        <v>327</v>
      </c>
      <c r="B411" s="5" t="s">
        <v>383</v>
      </c>
      <c r="C411" s="5" t="s">
        <v>271</v>
      </c>
      <c r="D411" s="11">
        <f>MAX(0, 2*'Precinct Vote Data'!G1632 - 'Precinct Vote Data'!G1630)</f>
        <v>1391</v>
      </c>
      <c r="E411" s="10">
        <f t="array" ref="E411">MIN(1,MAX(0, 'Precinct Vote Data'!H1633 + INDEX('Beta Coefficients'!$D:$D, MATCH(A411&amp;"|"&amp;B411&amp;"|"&amp;C411,'Beta Coefficients'!$Q:$Q,0))*(0.483125441908243-0.502219913195008) ))</f>
        <v>0.4039817398</v>
      </c>
      <c r="F411" s="11">
        <f t="shared" si="1"/>
        <v>562</v>
      </c>
      <c r="G411" s="11">
        <f t="shared" si="2"/>
        <v>829</v>
      </c>
      <c r="H411" s="5" t="str">
        <f t="shared" si="3"/>
        <v>Republican</v>
      </c>
    </row>
    <row r="412" ht="15.75" customHeight="1">
      <c r="A412" s="9"/>
      <c r="B412" s="9"/>
      <c r="C412" s="9"/>
      <c r="D412" s="9"/>
      <c r="E412" s="9"/>
      <c r="F412" s="9"/>
      <c r="G412" s="9"/>
      <c r="H412" s="9"/>
    </row>
    <row r="413" ht="15.0" customHeight="1">
      <c r="A413" s="2" t="s">
        <v>412</v>
      </c>
      <c r="B413" s="9"/>
      <c r="C413" s="9"/>
      <c r="D413" s="9"/>
      <c r="E413" s="9"/>
      <c r="F413" s="18">
        <f t="shared" ref="F413:G413" si="4">SUM(F4:F411)</f>
        <v>177191</v>
      </c>
      <c r="G413" s="18">
        <f t="shared" si="4"/>
        <v>197604</v>
      </c>
      <c r="H413" s="9"/>
    </row>
    <row r="414" ht="15.0" customHeight="1">
      <c r="A414" s="2" t="s">
        <v>413</v>
      </c>
      <c r="B414" s="19">
        <f>F413/(F413+G413)</f>
        <v>0.4727677797</v>
      </c>
      <c r="C414" s="9"/>
      <c r="D414" s="9"/>
      <c r="E414" s="9"/>
      <c r="F414" s="9"/>
      <c r="G414" s="9"/>
      <c r="H414" s="9"/>
    </row>
    <row r="415" ht="15.0" customHeight="1">
      <c r="A415" s="2" t="s">
        <v>414</v>
      </c>
      <c r="B415" s="20" t="str">
        <f>IF(B414&gt;0.5,"Democrat","Republican")</f>
        <v>Republican</v>
      </c>
      <c r="C415" s="9"/>
      <c r="D415" s="9"/>
      <c r="E415" s="9"/>
      <c r="F415" s="9"/>
      <c r="G415" s="9"/>
      <c r="H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29"/>
    <col customWidth="1" min="2" max="2" width="25.71"/>
    <col customWidth="1" min="3" max="3" width="12.0"/>
    <col customWidth="1" min="4" max="4" width="22.29"/>
    <col customWidth="1" min="5" max="5" width="22.14"/>
    <col customWidth="1" min="6" max="6" width="22.0"/>
    <col customWidth="1" min="7" max="7" width="21.29"/>
    <col customWidth="1" min="8" max="8" width="18.29"/>
    <col customWidth="1" min="9" max="26" width="8.71"/>
  </cols>
  <sheetData>
    <row r="1" ht="15.75" customHeight="1">
      <c r="A1" s="8" t="s">
        <v>410</v>
      </c>
    </row>
    <row r="2" ht="15.0" customHeight="1">
      <c r="A2" s="17" t="s">
        <v>411</v>
      </c>
    </row>
    <row r="3">
      <c r="A3" s="9"/>
      <c r="B3" s="9"/>
      <c r="C3" s="9"/>
      <c r="D3" s="9"/>
      <c r="E3" s="9"/>
      <c r="F3" s="9"/>
      <c r="G3" s="9"/>
      <c r="H3" s="9"/>
    </row>
    <row r="4" ht="15.0" customHeight="1">
      <c r="A4" s="2" t="s">
        <v>3</v>
      </c>
      <c r="B4" s="2" t="s">
        <v>4</v>
      </c>
      <c r="C4" s="2" t="s">
        <v>385</v>
      </c>
      <c r="D4" s="2" t="s">
        <v>404</v>
      </c>
      <c r="E4" s="2" t="s">
        <v>405</v>
      </c>
      <c r="F4" s="2" t="s">
        <v>406</v>
      </c>
      <c r="G4" s="2" t="s">
        <v>407</v>
      </c>
      <c r="H4" s="2" t="s">
        <v>408</v>
      </c>
    </row>
    <row r="5" ht="15.0" customHeight="1">
      <c r="A5" s="5" t="s">
        <v>16</v>
      </c>
      <c r="B5" s="5" t="s">
        <v>17</v>
      </c>
      <c r="C5" s="5" t="s">
        <v>18</v>
      </c>
      <c r="D5" s="11">
        <f>MAX(0, 2*'Precinct Vote Data'!G4 - 'Precinct Vote Data'!G2)</f>
        <v>391</v>
      </c>
      <c r="E5" s="10">
        <f>MIN(1,MAX(0,(5.3914776420524+0.021102849201698*'Precinct Vote Data'!I5*100+(-5.72594740176815)*0+0.927016741366831*('Precinct Vote Data'!H5*100))/100))</f>
        <v>0.4151483167</v>
      </c>
      <c r="F5" s="11">
        <f t="shared" ref="F5:F412" si="1">ROUND(D5*E5,0)</f>
        <v>162</v>
      </c>
      <c r="G5" s="11">
        <f t="shared" ref="G5:G412" si="2">ROUND(D5*(1-E5),0)</f>
        <v>229</v>
      </c>
      <c r="H5" s="5" t="str">
        <f t="shared" ref="H5:H412" si="3">IF(E5&gt;0.5,"Democrat","Republican")</f>
        <v>Republican</v>
      </c>
    </row>
    <row r="6" ht="15.0" customHeight="1">
      <c r="A6" s="5" t="s">
        <v>16</v>
      </c>
      <c r="B6" s="5" t="s">
        <v>54</v>
      </c>
      <c r="C6" s="5" t="s">
        <v>55</v>
      </c>
      <c r="D6" s="11">
        <f>MAX(0, 2*'Precinct Vote Data'!G8 - 'Precinct Vote Data'!G6)</f>
        <v>341</v>
      </c>
      <c r="E6" s="10">
        <f>MIN(1,MAX(0,(5.3914776420524+0.021102849201698*'Precinct Vote Data'!I9*100+(-5.72594740176815)*0+0.927016741366831*('Precinct Vote Data'!H9*100))/100))</f>
        <v>0.3107928275</v>
      </c>
      <c r="F6" s="11">
        <f t="shared" si="1"/>
        <v>106</v>
      </c>
      <c r="G6" s="11">
        <f t="shared" si="2"/>
        <v>235</v>
      </c>
      <c r="H6" s="5" t="str">
        <f t="shared" si="3"/>
        <v>Republican</v>
      </c>
    </row>
    <row r="7" ht="15.0" customHeight="1">
      <c r="A7" s="5" t="s">
        <v>16</v>
      </c>
      <c r="B7" s="5" t="s">
        <v>56</v>
      </c>
      <c r="C7" s="5" t="s">
        <v>57</v>
      </c>
      <c r="D7" s="11">
        <f>MAX(0, 2*'Precinct Vote Data'!G12 - 'Precinct Vote Data'!G10)</f>
        <v>411</v>
      </c>
      <c r="E7" s="10">
        <f>MIN(1,MAX(0,(5.3914776420524+0.021102849201698*'Precinct Vote Data'!I13*100+(-5.72594740176815)*0+0.927016741366831*('Precinct Vote Data'!H13*100))/100))</f>
        <v>0.3437491615</v>
      </c>
      <c r="F7" s="11">
        <f t="shared" si="1"/>
        <v>141</v>
      </c>
      <c r="G7" s="11">
        <f t="shared" si="2"/>
        <v>270</v>
      </c>
      <c r="H7" s="5" t="str">
        <f t="shared" si="3"/>
        <v>Republican</v>
      </c>
    </row>
    <row r="8" ht="15.0" customHeight="1">
      <c r="A8" s="5" t="s">
        <v>16</v>
      </c>
      <c r="B8" s="5" t="s">
        <v>58</v>
      </c>
      <c r="C8" s="5" t="s">
        <v>59</v>
      </c>
      <c r="D8" s="11">
        <f>MAX(0, 2*'Precinct Vote Data'!G16 - 'Precinct Vote Data'!G14)</f>
        <v>786</v>
      </c>
      <c r="E8" s="10">
        <f>MIN(1,MAX(0,(5.3914776420524+0.021102849201698*'Precinct Vote Data'!I17*100+(-5.72594740176815)*0+0.927016741366831*('Precinct Vote Data'!H17*100))/100))</f>
        <v>0.2696826401</v>
      </c>
      <c r="F8" s="11">
        <f t="shared" si="1"/>
        <v>212</v>
      </c>
      <c r="G8" s="11">
        <f t="shared" si="2"/>
        <v>574</v>
      </c>
      <c r="H8" s="5" t="str">
        <f t="shared" si="3"/>
        <v>Republican</v>
      </c>
    </row>
    <row r="9" ht="15.0" customHeight="1">
      <c r="A9" s="5" t="s">
        <v>16</v>
      </c>
      <c r="B9" s="5" t="s">
        <v>58</v>
      </c>
      <c r="C9" s="5" t="s">
        <v>60</v>
      </c>
      <c r="D9" s="11">
        <f>MAX(0, 2*'Precinct Vote Data'!G20 - 'Precinct Vote Data'!G18)</f>
        <v>697</v>
      </c>
      <c r="E9" s="10">
        <f>MIN(1,MAX(0,(5.3914776420524+0.021102849201698*'Precinct Vote Data'!I21*100+(-5.72594740176815)*0+0.927016741366831*('Precinct Vote Data'!H21*100))/100))</f>
        <v>0.3041234872</v>
      </c>
      <c r="F9" s="11">
        <f t="shared" si="1"/>
        <v>212</v>
      </c>
      <c r="G9" s="11">
        <f t="shared" si="2"/>
        <v>485</v>
      </c>
      <c r="H9" s="5" t="str">
        <f t="shared" si="3"/>
        <v>Republican</v>
      </c>
    </row>
    <row r="10" ht="15.0" customHeight="1">
      <c r="A10" s="5" t="s">
        <v>16</v>
      </c>
      <c r="B10" s="5" t="s">
        <v>62</v>
      </c>
      <c r="C10" s="5" t="s">
        <v>63</v>
      </c>
      <c r="D10" s="11">
        <f>MAX(0, 2*'Precinct Vote Data'!G24 - 'Precinct Vote Data'!G22)</f>
        <v>111</v>
      </c>
      <c r="E10" s="10">
        <f>MIN(1,MAX(0,(5.3914776420524+0.021102849201698*'Precinct Vote Data'!I25*100+(-5.72594740176815)*0+0.927016741366831*('Precinct Vote Data'!H25*100))/100))</f>
        <v>0.3552333759</v>
      </c>
      <c r="F10" s="11">
        <f t="shared" si="1"/>
        <v>39</v>
      </c>
      <c r="G10" s="11">
        <f t="shared" si="2"/>
        <v>72</v>
      </c>
      <c r="H10" s="5" t="str">
        <f t="shared" si="3"/>
        <v>Republican</v>
      </c>
    </row>
    <row r="11" ht="15.0" customHeight="1">
      <c r="A11" s="5" t="s">
        <v>16</v>
      </c>
      <c r="B11" s="5" t="s">
        <v>72</v>
      </c>
      <c r="C11" s="5" t="s">
        <v>73</v>
      </c>
      <c r="D11" s="11">
        <f>MAX(0, 2*'Precinct Vote Data'!G28 - 'Precinct Vote Data'!G26)</f>
        <v>522</v>
      </c>
      <c r="E11" s="10">
        <f>MIN(1,MAX(0,(5.3914776420524+0.021102849201698*'Precinct Vote Data'!I29*100+(-5.72594740176815)*0+0.927016741366831*('Precinct Vote Data'!H29*100))/100))</f>
        <v>0.2946047912</v>
      </c>
      <c r="F11" s="11">
        <f t="shared" si="1"/>
        <v>154</v>
      </c>
      <c r="G11" s="11">
        <f t="shared" si="2"/>
        <v>368</v>
      </c>
      <c r="H11" s="5" t="str">
        <f t="shared" si="3"/>
        <v>Republican</v>
      </c>
    </row>
    <row r="12" ht="15.0" customHeight="1">
      <c r="A12" s="5" t="s">
        <v>16</v>
      </c>
      <c r="B12" s="5" t="s">
        <v>72</v>
      </c>
      <c r="C12" s="5" t="s">
        <v>74</v>
      </c>
      <c r="D12" s="11">
        <f>MAX(0, 2*'Precinct Vote Data'!G32 - 'Precinct Vote Data'!G30)</f>
        <v>960</v>
      </c>
      <c r="E12" s="10">
        <f>MIN(1,MAX(0,(5.3914776420524+0.021102849201698*'Precinct Vote Data'!I33*100+(-5.72594740176815)*0+0.927016741366831*('Precinct Vote Data'!H33*100))/100))</f>
        <v>0.3138459515</v>
      </c>
      <c r="F12" s="11">
        <f t="shared" si="1"/>
        <v>301</v>
      </c>
      <c r="G12" s="11">
        <f t="shared" si="2"/>
        <v>659</v>
      </c>
      <c r="H12" s="5" t="str">
        <f t="shared" si="3"/>
        <v>Republican</v>
      </c>
    </row>
    <row r="13" ht="15.0" customHeight="1">
      <c r="A13" s="5" t="s">
        <v>16</v>
      </c>
      <c r="B13" s="5" t="s">
        <v>72</v>
      </c>
      <c r="C13" s="5" t="s">
        <v>76</v>
      </c>
      <c r="D13" s="11">
        <f>MAX(0, 2*'Precinct Vote Data'!G36 - 'Precinct Vote Data'!G34)</f>
        <v>776</v>
      </c>
      <c r="E13" s="10">
        <f>MIN(1,MAX(0,(5.3914776420524+0.021102849201698*'Precinct Vote Data'!I37*100+(-5.72594740176815)*0+0.927016741366831*('Precinct Vote Data'!H37*100))/100))</f>
        <v>0.2985481911</v>
      </c>
      <c r="F13" s="11">
        <f t="shared" si="1"/>
        <v>232</v>
      </c>
      <c r="G13" s="11">
        <f t="shared" si="2"/>
        <v>544</v>
      </c>
      <c r="H13" s="5" t="str">
        <f t="shared" si="3"/>
        <v>Republican</v>
      </c>
    </row>
    <row r="14" ht="15.0" customHeight="1">
      <c r="A14" s="5" t="s">
        <v>16</v>
      </c>
      <c r="B14" s="5" t="s">
        <v>77</v>
      </c>
      <c r="C14" s="5" t="s">
        <v>78</v>
      </c>
      <c r="D14" s="11">
        <f>MAX(0, 2*'Precinct Vote Data'!G40 - 'Precinct Vote Data'!G38)</f>
        <v>480</v>
      </c>
      <c r="E14" s="10">
        <f>MIN(1,MAX(0,(5.3914776420524+0.021102849201698*'Precinct Vote Data'!I41*100+(-5.72594740176815)*0+0.927016741366831*('Precinct Vote Data'!H41*100))/100))</f>
        <v>0.4628613834</v>
      </c>
      <c r="F14" s="11">
        <f t="shared" si="1"/>
        <v>222</v>
      </c>
      <c r="G14" s="11">
        <f t="shared" si="2"/>
        <v>258</v>
      </c>
      <c r="H14" s="5" t="str">
        <f t="shared" si="3"/>
        <v>Republican</v>
      </c>
    </row>
    <row r="15" ht="15.0" customHeight="1">
      <c r="A15" s="5" t="s">
        <v>16</v>
      </c>
      <c r="B15" s="5" t="s">
        <v>77</v>
      </c>
      <c r="C15" s="5" t="s">
        <v>79</v>
      </c>
      <c r="D15" s="11">
        <f>MAX(0, 2*'Precinct Vote Data'!G44 - 'Precinct Vote Data'!G42)</f>
        <v>338</v>
      </c>
      <c r="E15" s="10">
        <f>MIN(1,MAX(0,(5.3914776420524+0.021102849201698*'Precinct Vote Data'!I45*100+(-5.72594740176815)*0+0.927016741366831*('Precinct Vote Data'!H45*100))/100))</f>
        <v>0.4431369463</v>
      </c>
      <c r="F15" s="11">
        <f t="shared" si="1"/>
        <v>150</v>
      </c>
      <c r="G15" s="11">
        <f t="shared" si="2"/>
        <v>188</v>
      </c>
      <c r="H15" s="5" t="str">
        <f t="shared" si="3"/>
        <v>Republican</v>
      </c>
    </row>
    <row r="16" ht="15.0" customHeight="1">
      <c r="A16" s="5" t="s">
        <v>16</v>
      </c>
      <c r="B16" s="5" t="s">
        <v>77</v>
      </c>
      <c r="C16" s="5" t="s">
        <v>87</v>
      </c>
      <c r="D16" s="11">
        <f>MAX(0, 2*'Precinct Vote Data'!G48 - 'Precinct Vote Data'!G46)</f>
        <v>690</v>
      </c>
      <c r="E16" s="10">
        <f>MIN(1,MAX(0,(5.3914776420524+0.021102849201698*'Precinct Vote Data'!I49*100+(-5.72594740176815)*0+0.927016741366831*('Precinct Vote Data'!H49*100))/100))</f>
        <v>0.4061555037</v>
      </c>
      <c r="F16" s="11">
        <f t="shared" si="1"/>
        <v>280</v>
      </c>
      <c r="G16" s="11">
        <f t="shared" si="2"/>
        <v>410</v>
      </c>
      <c r="H16" s="5" t="str">
        <f t="shared" si="3"/>
        <v>Republican</v>
      </c>
    </row>
    <row r="17" ht="15.0" customHeight="1">
      <c r="A17" s="5" t="s">
        <v>16</v>
      </c>
      <c r="B17" s="5" t="s">
        <v>77</v>
      </c>
      <c r="C17" s="5" t="s">
        <v>88</v>
      </c>
      <c r="D17" s="11">
        <f>MAX(0, 2*'Precinct Vote Data'!G52 - 'Precinct Vote Data'!G50)</f>
        <v>271</v>
      </c>
      <c r="E17" s="10">
        <f>MIN(1,MAX(0,(5.3914776420524+0.021102849201698*'Precinct Vote Data'!I53*100+(-5.72594740176815)*0+0.927016741366831*('Precinct Vote Data'!H53*100))/100))</f>
        <v>0.5261438165</v>
      </c>
      <c r="F17" s="11">
        <f t="shared" si="1"/>
        <v>143</v>
      </c>
      <c r="G17" s="11">
        <f t="shared" si="2"/>
        <v>128</v>
      </c>
      <c r="H17" s="5" t="str">
        <f t="shared" si="3"/>
        <v>Democrat</v>
      </c>
    </row>
    <row r="18" ht="15.0" customHeight="1">
      <c r="A18" s="5" t="s">
        <v>16</v>
      </c>
      <c r="B18" s="5" t="s">
        <v>77</v>
      </c>
      <c r="C18" s="5" t="s">
        <v>89</v>
      </c>
      <c r="D18" s="11">
        <f>MAX(0, 2*'Precinct Vote Data'!G56 - 'Precinct Vote Data'!G54)</f>
        <v>632</v>
      </c>
      <c r="E18" s="10">
        <f>MIN(1,MAX(0,(5.3914776420524+0.021102849201698*'Precinct Vote Data'!I57*100+(-5.72594740176815)*0+0.927016741366831*('Precinct Vote Data'!H57*100))/100))</f>
        <v>0.4601205281</v>
      </c>
      <c r="F18" s="11">
        <f t="shared" si="1"/>
        <v>291</v>
      </c>
      <c r="G18" s="11">
        <f t="shared" si="2"/>
        <v>341</v>
      </c>
      <c r="H18" s="5" t="str">
        <f t="shared" si="3"/>
        <v>Republican</v>
      </c>
    </row>
    <row r="19" ht="15.0" customHeight="1">
      <c r="A19" s="5" t="s">
        <v>16</v>
      </c>
      <c r="B19" s="5" t="s">
        <v>90</v>
      </c>
      <c r="C19" s="5" t="s">
        <v>91</v>
      </c>
      <c r="D19" s="11">
        <f>MAX(0, 2*'Precinct Vote Data'!G60 - 'Precinct Vote Data'!G58)</f>
        <v>287</v>
      </c>
      <c r="E19" s="10">
        <f>MIN(1,MAX(0,(5.3914776420524+0.021102849201698*'Precinct Vote Data'!I61*100+(-5.72594740176815)*0+0.927016741366831*('Precinct Vote Data'!H61*100))/100))</f>
        <v>0.3935023011</v>
      </c>
      <c r="F19" s="11">
        <f t="shared" si="1"/>
        <v>113</v>
      </c>
      <c r="G19" s="11">
        <f t="shared" si="2"/>
        <v>174</v>
      </c>
      <c r="H19" s="5" t="str">
        <f t="shared" si="3"/>
        <v>Republican</v>
      </c>
    </row>
    <row r="20" ht="15.0" customHeight="1">
      <c r="A20" s="5" t="s">
        <v>16</v>
      </c>
      <c r="B20" s="5" t="s">
        <v>90</v>
      </c>
      <c r="C20" s="5" t="s">
        <v>92</v>
      </c>
      <c r="D20" s="11">
        <f>MAX(0, 2*'Precinct Vote Data'!G64 - 'Precinct Vote Data'!G62)</f>
        <v>625</v>
      </c>
      <c r="E20" s="10">
        <f>MIN(1,MAX(0,(5.3914776420524+0.021102849201698*'Precinct Vote Data'!I65*100+(-5.72594740176815)*0+0.927016741366831*('Precinct Vote Data'!H65*100))/100))</f>
        <v>0.3432642081</v>
      </c>
      <c r="F20" s="11">
        <f t="shared" si="1"/>
        <v>215</v>
      </c>
      <c r="G20" s="11">
        <f t="shared" si="2"/>
        <v>410</v>
      </c>
      <c r="H20" s="5" t="str">
        <f t="shared" si="3"/>
        <v>Republican</v>
      </c>
    </row>
    <row r="21" ht="15.0" customHeight="1">
      <c r="A21" s="5" t="s">
        <v>16</v>
      </c>
      <c r="B21" s="5" t="s">
        <v>93</v>
      </c>
      <c r="C21" s="5" t="s">
        <v>94</v>
      </c>
      <c r="D21" s="11">
        <f>MAX(0, 2*'Precinct Vote Data'!G68 - 'Precinct Vote Data'!G66)</f>
        <v>546</v>
      </c>
      <c r="E21" s="10">
        <f>MIN(1,MAX(0,(5.3914776420524+0.021102849201698*'Precinct Vote Data'!I69*100+(-5.72594740176815)*0+0.927016741366831*('Precinct Vote Data'!H69*100))/100))</f>
        <v>0.4138807072</v>
      </c>
      <c r="F21" s="11">
        <f t="shared" si="1"/>
        <v>226</v>
      </c>
      <c r="G21" s="11">
        <f t="shared" si="2"/>
        <v>320</v>
      </c>
      <c r="H21" s="5" t="str">
        <f t="shared" si="3"/>
        <v>Republican</v>
      </c>
    </row>
    <row r="22" ht="15.0" customHeight="1">
      <c r="A22" s="5" t="s">
        <v>16</v>
      </c>
      <c r="B22" s="5" t="s">
        <v>93</v>
      </c>
      <c r="C22" s="5" t="s">
        <v>95</v>
      </c>
      <c r="D22" s="11">
        <f>MAX(0, 2*'Precinct Vote Data'!G72 - 'Precinct Vote Data'!G70)</f>
        <v>295</v>
      </c>
      <c r="E22" s="10">
        <f>MIN(1,MAX(0,(5.3914776420524+0.021102849201698*'Precinct Vote Data'!I73*100+(-5.72594740176815)*0+0.927016741366831*('Precinct Vote Data'!H73*100))/100))</f>
        <v>0.4153970351</v>
      </c>
      <c r="F22" s="11">
        <f t="shared" si="1"/>
        <v>123</v>
      </c>
      <c r="G22" s="11">
        <f t="shared" si="2"/>
        <v>172</v>
      </c>
      <c r="H22" s="5" t="str">
        <f t="shared" si="3"/>
        <v>Republican</v>
      </c>
    </row>
    <row r="23" ht="15.0" customHeight="1">
      <c r="A23" s="5" t="s">
        <v>16</v>
      </c>
      <c r="B23" s="5" t="s">
        <v>93</v>
      </c>
      <c r="C23" s="5" t="s">
        <v>96</v>
      </c>
      <c r="D23" s="11">
        <f>MAX(0, 2*'Precinct Vote Data'!G76 - 'Precinct Vote Data'!G74)</f>
        <v>237</v>
      </c>
      <c r="E23" s="10">
        <f>MIN(1,MAX(0,(5.3914776420524+0.021102849201698*'Precinct Vote Data'!I77*100+(-5.72594740176815)*0+0.927016741366831*('Precinct Vote Data'!H77*100))/100))</f>
        <v>0.4342378997</v>
      </c>
      <c r="F23" s="11">
        <f t="shared" si="1"/>
        <v>103</v>
      </c>
      <c r="G23" s="11">
        <f t="shared" si="2"/>
        <v>134</v>
      </c>
      <c r="H23" s="5" t="str">
        <f t="shared" si="3"/>
        <v>Republican</v>
      </c>
    </row>
    <row r="24" ht="15.0" customHeight="1">
      <c r="A24" s="5" t="s">
        <v>16</v>
      </c>
      <c r="B24" s="5" t="s">
        <v>97</v>
      </c>
      <c r="C24" s="5" t="s">
        <v>98</v>
      </c>
      <c r="D24" s="11">
        <f>MAX(0, 2*'Precinct Vote Data'!G80 - 'Precinct Vote Data'!G78)</f>
        <v>142</v>
      </c>
      <c r="E24" s="10">
        <f>MIN(1,MAX(0,(5.3914776420524+0.021102849201698*'Precinct Vote Data'!I81*100+(-5.72594740176815)*0+0.927016741366831*('Precinct Vote Data'!H81*100))/100))</f>
        <v>0.290095742</v>
      </c>
      <c r="F24" s="11">
        <f t="shared" si="1"/>
        <v>41</v>
      </c>
      <c r="G24" s="11">
        <f t="shared" si="2"/>
        <v>101</v>
      </c>
      <c r="H24" s="5" t="str">
        <f t="shared" si="3"/>
        <v>Republican</v>
      </c>
    </row>
    <row r="25" ht="15.0" customHeight="1">
      <c r="A25" s="5" t="s">
        <v>16</v>
      </c>
      <c r="B25" s="5" t="s">
        <v>99</v>
      </c>
      <c r="C25" s="5" t="s">
        <v>100</v>
      </c>
      <c r="D25" s="11">
        <f>MAX(0, 2*'Precinct Vote Data'!G84 - 'Precinct Vote Data'!G82)</f>
        <v>278</v>
      </c>
      <c r="E25" s="10">
        <f>MIN(1,MAX(0,(5.3914776420524+0.021102849201698*'Precinct Vote Data'!I85*100+(-5.72594740176815)*0+0.927016741366831*('Precinct Vote Data'!H85*100))/100))</f>
        <v>0.2383607666</v>
      </c>
      <c r="F25" s="11">
        <f t="shared" si="1"/>
        <v>66</v>
      </c>
      <c r="G25" s="11">
        <f t="shared" si="2"/>
        <v>212</v>
      </c>
      <c r="H25" s="5" t="str">
        <f t="shared" si="3"/>
        <v>Republican</v>
      </c>
    </row>
    <row r="26" ht="15.0" customHeight="1">
      <c r="A26" s="5" t="s">
        <v>16</v>
      </c>
      <c r="B26" s="5" t="s">
        <v>101</v>
      </c>
      <c r="C26" s="5" t="s">
        <v>102</v>
      </c>
      <c r="D26" s="11">
        <f>MAX(0, 2*'Precinct Vote Data'!G88 - 'Precinct Vote Data'!G86)</f>
        <v>634</v>
      </c>
      <c r="E26" s="10">
        <f>MIN(1,MAX(0,(5.3914776420524+0.021102849201698*'Precinct Vote Data'!I89*100+(-5.72594740176815)*0+0.927016741366831*('Precinct Vote Data'!H89*100))/100))</f>
        <v>0.4182394556</v>
      </c>
      <c r="F26" s="11">
        <f t="shared" si="1"/>
        <v>265</v>
      </c>
      <c r="G26" s="11">
        <f t="shared" si="2"/>
        <v>369</v>
      </c>
      <c r="H26" s="5" t="str">
        <f t="shared" si="3"/>
        <v>Republican</v>
      </c>
    </row>
    <row r="27" ht="15.0" customHeight="1">
      <c r="A27" s="5" t="s">
        <v>16</v>
      </c>
      <c r="B27" s="5" t="s">
        <v>101</v>
      </c>
      <c r="C27" s="5" t="s">
        <v>103</v>
      </c>
      <c r="D27" s="11">
        <f>MAX(0, 2*'Precinct Vote Data'!G92 - 'Precinct Vote Data'!G90)</f>
        <v>597</v>
      </c>
      <c r="E27" s="10">
        <f>MIN(1,MAX(0,(5.3914776420524+0.021102849201698*'Precinct Vote Data'!I93*100+(-5.72594740176815)*0+0.927016741366831*('Precinct Vote Data'!H93*100))/100))</f>
        <v>0.4158620279</v>
      </c>
      <c r="F27" s="11">
        <f t="shared" si="1"/>
        <v>248</v>
      </c>
      <c r="G27" s="11">
        <f t="shared" si="2"/>
        <v>349</v>
      </c>
      <c r="H27" s="5" t="str">
        <f t="shared" si="3"/>
        <v>Republican</v>
      </c>
    </row>
    <row r="28" ht="15.0" customHeight="1">
      <c r="A28" s="5" t="s">
        <v>16</v>
      </c>
      <c r="B28" s="5" t="s">
        <v>101</v>
      </c>
      <c r="C28" s="5" t="s">
        <v>104</v>
      </c>
      <c r="D28" s="11">
        <f>MAX(0, 2*'Precinct Vote Data'!G96 - 'Precinct Vote Data'!G94)</f>
        <v>669</v>
      </c>
      <c r="E28" s="10">
        <f>MIN(1,MAX(0,(5.3914776420524+0.021102849201698*'Precinct Vote Data'!I97*100+(-5.72594740176815)*0+0.927016741366831*('Precinct Vote Data'!H97*100))/100))</f>
        <v>0.4010298093</v>
      </c>
      <c r="F28" s="11">
        <f t="shared" si="1"/>
        <v>268</v>
      </c>
      <c r="G28" s="11">
        <f t="shared" si="2"/>
        <v>401</v>
      </c>
      <c r="H28" s="5" t="str">
        <f t="shared" si="3"/>
        <v>Republican</v>
      </c>
    </row>
    <row r="29" ht="15.0" customHeight="1">
      <c r="A29" s="5" t="s">
        <v>16</v>
      </c>
      <c r="B29" s="5" t="s">
        <v>105</v>
      </c>
      <c r="C29" s="5" t="s">
        <v>106</v>
      </c>
      <c r="D29" s="11">
        <f>MAX(0, 2*'Precinct Vote Data'!G100 - 'Precinct Vote Data'!G98)</f>
        <v>957</v>
      </c>
      <c r="E29" s="10">
        <f>MIN(1,MAX(0,(5.3914776420524+0.021102849201698*'Precinct Vote Data'!I101*100+(-5.72594740176815)*0+0.927016741366831*('Precinct Vote Data'!H101*100))/100))</f>
        <v>0.3000374115</v>
      </c>
      <c r="F29" s="11">
        <f t="shared" si="1"/>
        <v>287</v>
      </c>
      <c r="G29" s="11">
        <f t="shared" si="2"/>
        <v>670</v>
      </c>
      <c r="H29" s="5" t="str">
        <f t="shared" si="3"/>
        <v>Republican</v>
      </c>
    </row>
    <row r="30" ht="15.0" customHeight="1">
      <c r="A30" s="5" t="s">
        <v>16</v>
      </c>
      <c r="B30" s="5" t="s">
        <v>105</v>
      </c>
      <c r="C30" s="5" t="s">
        <v>107</v>
      </c>
      <c r="D30" s="11">
        <f>MAX(0, 2*'Precinct Vote Data'!G104 - 'Precinct Vote Data'!G102)</f>
        <v>647</v>
      </c>
      <c r="E30" s="10">
        <f>MIN(1,MAX(0,(5.3914776420524+0.021102849201698*'Precinct Vote Data'!I105*100+(-5.72594740176815)*0+0.927016741366831*('Precinct Vote Data'!H105*100))/100))</f>
        <v>0.3277054585</v>
      </c>
      <c r="F30" s="11">
        <f t="shared" si="1"/>
        <v>212</v>
      </c>
      <c r="G30" s="11">
        <f t="shared" si="2"/>
        <v>435</v>
      </c>
      <c r="H30" s="5" t="str">
        <f t="shared" si="3"/>
        <v>Republican</v>
      </c>
    </row>
    <row r="31" ht="15.0" customHeight="1">
      <c r="A31" s="5" t="s">
        <v>16</v>
      </c>
      <c r="B31" s="5" t="s">
        <v>108</v>
      </c>
      <c r="C31" s="5" t="s">
        <v>109</v>
      </c>
      <c r="D31" s="11">
        <f>MAX(0, 2*'Precinct Vote Data'!G108 - 'Precinct Vote Data'!G106)</f>
        <v>1242</v>
      </c>
      <c r="E31" s="10">
        <f>MIN(1,MAX(0,(5.3914776420524+0.021102849201698*'Precinct Vote Data'!I109*100+(-5.72594740176815)*0+0.927016741366831*('Precinct Vote Data'!H109*100))/100))</f>
        <v>0.327482646</v>
      </c>
      <c r="F31" s="11">
        <f t="shared" si="1"/>
        <v>407</v>
      </c>
      <c r="G31" s="11">
        <f t="shared" si="2"/>
        <v>835</v>
      </c>
      <c r="H31" s="5" t="str">
        <f t="shared" si="3"/>
        <v>Republican</v>
      </c>
    </row>
    <row r="32" ht="15.0" customHeight="1">
      <c r="A32" s="5" t="s">
        <v>16</v>
      </c>
      <c r="B32" s="5" t="s">
        <v>108</v>
      </c>
      <c r="C32" s="5" t="s">
        <v>110</v>
      </c>
      <c r="D32" s="11">
        <f>MAX(0, 2*'Precinct Vote Data'!G112 - 'Precinct Vote Data'!G110)</f>
        <v>458</v>
      </c>
      <c r="E32" s="10">
        <f>MIN(1,MAX(0,(5.3914776420524+0.021102849201698*'Precinct Vote Data'!I113*100+(-5.72594740176815)*0+0.927016741366831*('Precinct Vote Data'!H113*100))/100))</f>
        <v>0.2847567929</v>
      </c>
      <c r="F32" s="11">
        <f t="shared" si="1"/>
        <v>130</v>
      </c>
      <c r="G32" s="11">
        <f t="shared" si="2"/>
        <v>328</v>
      </c>
      <c r="H32" s="5" t="str">
        <f t="shared" si="3"/>
        <v>Republican</v>
      </c>
    </row>
    <row r="33" ht="15.0" customHeight="1">
      <c r="A33" s="5" t="s">
        <v>16</v>
      </c>
      <c r="B33" s="5" t="s">
        <v>108</v>
      </c>
      <c r="C33" s="5" t="s">
        <v>111</v>
      </c>
      <c r="D33" s="11">
        <f>MAX(0, 2*'Precinct Vote Data'!G116 - 'Precinct Vote Data'!G114)</f>
        <v>376</v>
      </c>
      <c r="E33" s="10">
        <f>MIN(1,MAX(0,(5.3914776420524+0.021102849201698*'Precinct Vote Data'!I117*100+(-5.72594740176815)*0+0.927016741366831*('Precinct Vote Data'!H117*100))/100))</f>
        <v>0.3189693974</v>
      </c>
      <c r="F33" s="11">
        <f t="shared" si="1"/>
        <v>120</v>
      </c>
      <c r="G33" s="11">
        <f t="shared" si="2"/>
        <v>256</v>
      </c>
      <c r="H33" s="5" t="str">
        <f t="shared" si="3"/>
        <v>Republican</v>
      </c>
    </row>
    <row r="34" ht="15.0" customHeight="1">
      <c r="A34" s="5" t="s">
        <v>16</v>
      </c>
      <c r="B34" s="5" t="s">
        <v>112</v>
      </c>
      <c r="C34" s="5" t="s">
        <v>113</v>
      </c>
      <c r="D34" s="11">
        <f>MAX(0, 2*'Precinct Vote Data'!G120 - 'Precinct Vote Data'!G118)</f>
        <v>625</v>
      </c>
      <c r="E34" s="10">
        <f>MIN(1,MAX(0,(5.3914776420524+0.021102849201698*'Precinct Vote Data'!I121*100+(-5.72594740176815)*0+0.927016741366831*('Precinct Vote Data'!H121*100))/100))</f>
        <v>0.4103474564</v>
      </c>
      <c r="F34" s="11">
        <f t="shared" si="1"/>
        <v>256</v>
      </c>
      <c r="G34" s="11">
        <f t="shared" si="2"/>
        <v>369</v>
      </c>
      <c r="H34" s="5" t="str">
        <f t="shared" si="3"/>
        <v>Republican</v>
      </c>
    </row>
    <row r="35" ht="15.0" customHeight="1">
      <c r="A35" s="5" t="s">
        <v>16</v>
      </c>
      <c r="B35" s="5" t="s">
        <v>112</v>
      </c>
      <c r="C35" s="5" t="s">
        <v>114</v>
      </c>
      <c r="D35" s="11">
        <f>MAX(0, 2*'Precinct Vote Data'!G124 - 'Precinct Vote Data'!G122)</f>
        <v>717</v>
      </c>
      <c r="E35" s="10">
        <f>MIN(1,MAX(0,(5.3914776420524+0.021102849201698*'Precinct Vote Data'!I125*100+(-5.72594740176815)*0+0.927016741366831*('Precinct Vote Data'!H125*100))/100))</f>
        <v>0.411057939</v>
      </c>
      <c r="F35" s="11">
        <f t="shared" si="1"/>
        <v>295</v>
      </c>
      <c r="G35" s="11">
        <f t="shared" si="2"/>
        <v>422</v>
      </c>
      <c r="H35" s="5" t="str">
        <f t="shared" si="3"/>
        <v>Republican</v>
      </c>
    </row>
    <row r="36" ht="15.0" customHeight="1">
      <c r="A36" s="5" t="s">
        <v>16</v>
      </c>
      <c r="B36" s="5" t="s">
        <v>115</v>
      </c>
      <c r="C36" s="5" t="s">
        <v>116</v>
      </c>
      <c r="D36" s="11">
        <f>MAX(0, 2*'Precinct Vote Data'!G128 - 'Precinct Vote Data'!G126)</f>
        <v>597</v>
      </c>
      <c r="E36" s="10">
        <f>MIN(1,MAX(0,(5.3914776420524+0.021102849201698*'Precinct Vote Data'!I129*100+(-5.72594740176815)*0+0.927016741366831*('Precinct Vote Data'!H129*100))/100))</f>
        <v>0.2369128942</v>
      </c>
      <c r="F36" s="11">
        <f t="shared" si="1"/>
        <v>141</v>
      </c>
      <c r="G36" s="11">
        <f t="shared" si="2"/>
        <v>456</v>
      </c>
      <c r="H36" s="5" t="str">
        <f t="shared" si="3"/>
        <v>Republican</v>
      </c>
    </row>
    <row r="37" ht="15.0" customHeight="1">
      <c r="A37" s="5" t="s">
        <v>16</v>
      </c>
      <c r="B37" s="5" t="s">
        <v>117</v>
      </c>
      <c r="C37" s="5" t="s">
        <v>118</v>
      </c>
      <c r="D37" s="11">
        <f>MAX(0, 2*'Precinct Vote Data'!G132 - 'Precinct Vote Data'!G130)</f>
        <v>758</v>
      </c>
      <c r="E37" s="10">
        <f>MIN(1,MAX(0,(5.3914776420524+0.021102849201698*'Precinct Vote Data'!I133*100+(-5.72594740176815)*0+0.927016741366831*('Precinct Vote Data'!H133*100))/100))</f>
        <v>0.3564529685</v>
      </c>
      <c r="F37" s="11">
        <f t="shared" si="1"/>
        <v>270</v>
      </c>
      <c r="G37" s="11">
        <f t="shared" si="2"/>
        <v>488</v>
      </c>
      <c r="H37" s="5" t="str">
        <f t="shared" si="3"/>
        <v>Republican</v>
      </c>
    </row>
    <row r="38" ht="15.0" customHeight="1">
      <c r="A38" s="5" t="s">
        <v>16</v>
      </c>
      <c r="B38" s="5" t="s">
        <v>117</v>
      </c>
      <c r="C38" s="5" t="s">
        <v>119</v>
      </c>
      <c r="D38" s="11">
        <f>MAX(0, 2*'Precinct Vote Data'!G136 - 'Precinct Vote Data'!G134)</f>
        <v>1053</v>
      </c>
      <c r="E38" s="10">
        <f>MIN(1,MAX(0,(5.3914776420524+0.021102849201698*'Precinct Vote Data'!I137*100+(-5.72594740176815)*0+0.927016741366831*('Precinct Vote Data'!H137*100))/100))</f>
        <v>0.4104818553</v>
      </c>
      <c r="F38" s="11">
        <f t="shared" si="1"/>
        <v>432</v>
      </c>
      <c r="G38" s="11">
        <f t="shared" si="2"/>
        <v>621</v>
      </c>
      <c r="H38" s="5" t="str">
        <f t="shared" si="3"/>
        <v>Republican</v>
      </c>
    </row>
    <row r="39" ht="15.0" customHeight="1">
      <c r="A39" s="5" t="s">
        <v>16</v>
      </c>
      <c r="B39" s="5" t="s">
        <v>117</v>
      </c>
      <c r="C39" s="5" t="s">
        <v>120</v>
      </c>
      <c r="D39" s="11">
        <f>MAX(0, 2*'Precinct Vote Data'!G140 - 'Precinct Vote Data'!G138)</f>
        <v>342</v>
      </c>
      <c r="E39" s="10">
        <f>MIN(1,MAX(0,(5.3914776420524+0.021102849201698*'Precinct Vote Data'!I141*100+(-5.72594740176815)*0+0.927016741366831*('Precinct Vote Data'!H141*100))/100))</f>
        <v>0.3684273093</v>
      </c>
      <c r="F39" s="11">
        <f t="shared" si="1"/>
        <v>126</v>
      </c>
      <c r="G39" s="11">
        <f t="shared" si="2"/>
        <v>216</v>
      </c>
      <c r="H39" s="5" t="str">
        <f t="shared" si="3"/>
        <v>Republican</v>
      </c>
    </row>
    <row r="40" ht="15.0" customHeight="1">
      <c r="A40" s="5" t="s">
        <v>16</v>
      </c>
      <c r="B40" s="5" t="s">
        <v>121</v>
      </c>
      <c r="C40" s="5" t="s">
        <v>122</v>
      </c>
      <c r="D40" s="11">
        <f>MAX(0, 2*'Precinct Vote Data'!G144 - 'Precinct Vote Data'!G142)</f>
        <v>209</v>
      </c>
      <c r="E40" s="10">
        <f>MIN(1,MAX(0,(5.3914776420524+0.021102849201698*'Precinct Vote Data'!I145*100+(-5.72594740176815)*0+0.927016741366831*('Precinct Vote Data'!H145*100))/100))</f>
        <v>0.3392082908</v>
      </c>
      <c r="F40" s="11">
        <f t="shared" si="1"/>
        <v>71</v>
      </c>
      <c r="G40" s="11">
        <f t="shared" si="2"/>
        <v>138</v>
      </c>
      <c r="H40" s="5" t="str">
        <f t="shared" si="3"/>
        <v>Republican</v>
      </c>
    </row>
    <row r="41" ht="15.0" customHeight="1">
      <c r="A41" s="5" t="s">
        <v>16</v>
      </c>
      <c r="B41" s="5" t="s">
        <v>123</v>
      </c>
      <c r="C41" s="5" t="s">
        <v>124</v>
      </c>
      <c r="D41" s="11">
        <f>MAX(0, 2*'Precinct Vote Data'!G148 - 'Precinct Vote Data'!G146)</f>
        <v>1050</v>
      </c>
      <c r="E41" s="10">
        <f>MIN(1,MAX(0,(5.3914776420524+0.021102849201698*'Precinct Vote Data'!I149*100+(-5.72594740176815)*0+0.927016741366831*('Precinct Vote Data'!H149*100))/100))</f>
        <v>0.3870682428</v>
      </c>
      <c r="F41" s="11">
        <f t="shared" si="1"/>
        <v>406</v>
      </c>
      <c r="G41" s="11">
        <f t="shared" si="2"/>
        <v>644</v>
      </c>
      <c r="H41" s="5" t="str">
        <f t="shared" si="3"/>
        <v>Republican</v>
      </c>
    </row>
    <row r="42" ht="15.0" customHeight="1">
      <c r="A42" s="5" t="s">
        <v>16</v>
      </c>
      <c r="B42" s="5" t="s">
        <v>123</v>
      </c>
      <c r="C42" s="5" t="s">
        <v>125</v>
      </c>
      <c r="D42" s="11">
        <f>MAX(0, 2*'Precinct Vote Data'!G152 - 'Precinct Vote Data'!G150)</f>
        <v>1267</v>
      </c>
      <c r="E42" s="10">
        <f>MIN(1,MAX(0,(5.3914776420524+0.021102849201698*'Precinct Vote Data'!I153*100+(-5.72594740176815)*0+0.927016741366831*('Precinct Vote Data'!H153*100))/100))</f>
        <v>0.341704745</v>
      </c>
      <c r="F42" s="11">
        <f t="shared" si="1"/>
        <v>433</v>
      </c>
      <c r="G42" s="11">
        <f t="shared" si="2"/>
        <v>834</v>
      </c>
      <c r="H42" s="5" t="str">
        <f t="shared" si="3"/>
        <v>Republican</v>
      </c>
    </row>
    <row r="43" ht="15.0" customHeight="1">
      <c r="A43" s="5" t="s">
        <v>16</v>
      </c>
      <c r="B43" s="5" t="s">
        <v>123</v>
      </c>
      <c r="C43" s="5" t="s">
        <v>126</v>
      </c>
      <c r="D43" s="11">
        <f>MAX(0, 2*'Precinct Vote Data'!G156 - 'Precinct Vote Data'!G154)</f>
        <v>977</v>
      </c>
      <c r="E43" s="10">
        <f>MIN(1,MAX(0,(5.3914776420524+0.021102849201698*'Precinct Vote Data'!I157*100+(-5.72594740176815)*0+0.927016741366831*('Precinct Vote Data'!H157*100))/100))</f>
        <v>0.4040647769</v>
      </c>
      <c r="F43" s="11">
        <f t="shared" si="1"/>
        <v>395</v>
      </c>
      <c r="G43" s="11">
        <f t="shared" si="2"/>
        <v>582</v>
      </c>
      <c r="H43" s="5" t="str">
        <f t="shared" si="3"/>
        <v>Republican</v>
      </c>
    </row>
    <row r="44" ht="15.0" customHeight="1">
      <c r="A44" s="5" t="s">
        <v>16</v>
      </c>
      <c r="B44" s="5" t="s">
        <v>123</v>
      </c>
      <c r="C44" s="5" t="s">
        <v>127</v>
      </c>
      <c r="D44" s="11">
        <f>MAX(0, 2*'Precinct Vote Data'!G160 - 'Precinct Vote Data'!G158)</f>
        <v>729</v>
      </c>
      <c r="E44" s="10">
        <f>MIN(1,MAX(0,(5.3914776420524+0.021102849201698*'Precinct Vote Data'!I161*100+(-5.72594740176815)*0+0.927016741366831*('Precinct Vote Data'!H161*100))/100))</f>
        <v>0.3838106936</v>
      </c>
      <c r="F44" s="11">
        <f t="shared" si="1"/>
        <v>280</v>
      </c>
      <c r="G44" s="11">
        <f t="shared" si="2"/>
        <v>449</v>
      </c>
      <c r="H44" s="5" t="str">
        <f t="shared" si="3"/>
        <v>Republican</v>
      </c>
    </row>
    <row r="45" ht="15.0" customHeight="1">
      <c r="A45" s="5" t="s">
        <v>16</v>
      </c>
      <c r="B45" s="5" t="s">
        <v>123</v>
      </c>
      <c r="C45" s="5" t="s">
        <v>128</v>
      </c>
      <c r="D45" s="11">
        <f>MAX(0, 2*'Precinct Vote Data'!G164 - 'Precinct Vote Data'!G162)</f>
        <v>1092</v>
      </c>
      <c r="E45" s="10">
        <f>MIN(1,MAX(0,(5.3914776420524+0.021102849201698*'Precinct Vote Data'!I165*100+(-5.72594740176815)*0+0.927016741366831*('Precinct Vote Data'!H165*100))/100))</f>
        <v>0.3904939424</v>
      </c>
      <c r="F45" s="11">
        <f t="shared" si="1"/>
        <v>426</v>
      </c>
      <c r="G45" s="11">
        <f t="shared" si="2"/>
        <v>666</v>
      </c>
      <c r="H45" s="5" t="str">
        <f t="shared" si="3"/>
        <v>Republican</v>
      </c>
    </row>
    <row r="46" ht="15.0" customHeight="1">
      <c r="A46" s="5" t="s">
        <v>16</v>
      </c>
      <c r="B46" s="5" t="s">
        <v>129</v>
      </c>
      <c r="C46" s="5" t="s">
        <v>130</v>
      </c>
      <c r="D46" s="11">
        <f>MAX(0, 2*'Precinct Vote Data'!G168 - 'Precinct Vote Data'!G166)</f>
        <v>295</v>
      </c>
      <c r="E46" s="10">
        <f>MIN(1,MAX(0,(5.3914776420524+0.021102849201698*'Precinct Vote Data'!I169*100+(-5.72594740176815)*0+0.927016741366831*('Precinct Vote Data'!H169*100))/100))</f>
        <v>0.4752102371</v>
      </c>
      <c r="F46" s="11">
        <f t="shared" si="1"/>
        <v>140</v>
      </c>
      <c r="G46" s="11">
        <f t="shared" si="2"/>
        <v>155</v>
      </c>
      <c r="H46" s="5" t="str">
        <f t="shared" si="3"/>
        <v>Republican</v>
      </c>
    </row>
    <row r="47" ht="15.0" customHeight="1">
      <c r="A47" s="5" t="s">
        <v>16</v>
      </c>
      <c r="B47" s="5" t="s">
        <v>129</v>
      </c>
      <c r="C47" s="5" t="s">
        <v>131</v>
      </c>
      <c r="D47" s="11">
        <f>MAX(0, 2*'Precinct Vote Data'!G172 - 'Precinct Vote Data'!G170)</f>
        <v>323</v>
      </c>
      <c r="E47" s="10">
        <f>MIN(1,MAX(0,(5.3914776420524+0.021102849201698*'Precinct Vote Data'!I173*100+(-5.72594740176815)*0+0.927016741366831*('Precinct Vote Data'!H173*100))/100))</f>
        <v>0.4931044695</v>
      </c>
      <c r="F47" s="11">
        <f t="shared" si="1"/>
        <v>159</v>
      </c>
      <c r="G47" s="11">
        <f t="shared" si="2"/>
        <v>164</v>
      </c>
      <c r="H47" s="5" t="str">
        <f t="shared" si="3"/>
        <v>Republican</v>
      </c>
    </row>
    <row r="48" ht="15.0" customHeight="1">
      <c r="A48" s="5" t="s">
        <v>16</v>
      </c>
      <c r="B48" s="5" t="s">
        <v>129</v>
      </c>
      <c r="C48" s="5" t="s">
        <v>132</v>
      </c>
      <c r="D48" s="11">
        <f>MAX(0, 2*'Precinct Vote Data'!G176 - 'Precinct Vote Data'!G174)</f>
        <v>446</v>
      </c>
      <c r="E48" s="10">
        <f>MIN(1,MAX(0,(5.3914776420524+0.021102849201698*'Precinct Vote Data'!I177*100+(-5.72594740176815)*0+0.927016741366831*('Precinct Vote Data'!H177*100))/100))</f>
        <v>0.4193375059</v>
      </c>
      <c r="F48" s="11">
        <f t="shared" si="1"/>
        <v>187</v>
      </c>
      <c r="G48" s="11">
        <f t="shared" si="2"/>
        <v>259</v>
      </c>
      <c r="H48" s="5" t="str">
        <f t="shared" si="3"/>
        <v>Republican</v>
      </c>
    </row>
    <row r="49" ht="15.0" customHeight="1">
      <c r="A49" s="5" t="s">
        <v>16</v>
      </c>
      <c r="B49" s="5" t="s">
        <v>129</v>
      </c>
      <c r="C49" s="5" t="s">
        <v>133</v>
      </c>
      <c r="D49" s="11">
        <f>MAX(0, 2*'Precinct Vote Data'!G180 - 'Precinct Vote Data'!G178)</f>
        <v>270</v>
      </c>
      <c r="E49" s="10">
        <f>MIN(1,MAX(0,(5.3914776420524+0.021102849201698*'Precinct Vote Data'!I181*100+(-5.72594740176815)*0+0.927016741366831*('Precinct Vote Data'!H181*100))/100))</f>
        <v>0.3730581143</v>
      </c>
      <c r="F49" s="11">
        <f t="shared" si="1"/>
        <v>101</v>
      </c>
      <c r="G49" s="11">
        <f t="shared" si="2"/>
        <v>169</v>
      </c>
      <c r="H49" s="5" t="str">
        <f t="shared" si="3"/>
        <v>Republican</v>
      </c>
    </row>
    <row r="50" ht="15.0" customHeight="1">
      <c r="A50" s="5" t="s">
        <v>16</v>
      </c>
      <c r="B50" s="5" t="s">
        <v>134</v>
      </c>
      <c r="C50" s="5" t="s">
        <v>135</v>
      </c>
      <c r="D50" s="11">
        <f>MAX(0, 2*'Precinct Vote Data'!G184 - 'Precinct Vote Data'!G182)</f>
        <v>842</v>
      </c>
      <c r="E50" s="10">
        <f>MIN(1,MAX(0,(5.3914776420524+0.021102849201698*'Precinct Vote Data'!I185*100+(-5.72594740176815)*0+0.927016741366831*('Precinct Vote Data'!H185*100))/100))</f>
        <v>0.3436093097</v>
      </c>
      <c r="F50" s="11">
        <f t="shared" si="1"/>
        <v>289</v>
      </c>
      <c r="G50" s="11">
        <f t="shared" si="2"/>
        <v>553</v>
      </c>
      <c r="H50" s="5" t="str">
        <f t="shared" si="3"/>
        <v>Republican</v>
      </c>
    </row>
    <row r="51" ht="15.0" customHeight="1">
      <c r="A51" s="5" t="s">
        <v>16</v>
      </c>
      <c r="B51" s="5" t="s">
        <v>134</v>
      </c>
      <c r="C51" s="5" t="s">
        <v>136</v>
      </c>
      <c r="D51" s="11">
        <f>MAX(0, 2*'Precinct Vote Data'!G188 - 'Precinct Vote Data'!G186)</f>
        <v>882</v>
      </c>
      <c r="E51" s="10">
        <f>MIN(1,MAX(0,(5.3914776420524+0.021102849201698*'Precinct Vote Data'!I189*100+(-5.72594740176815)*0+0.927016741366831*('Precinct Vote Data'!H189*100))/100))</f>
        <v>0.2900842538</v>
      </c>
      <c r="F51" s="11">
        <f t="shared" si="1"/>
        <v>256</v>
      </c>
      <c r="G51" s="11">
        <f t="shared" si="2"/>
        <v>626</v>
      </c>
      <c r="H51" s="5" t="str">
        <f t="shared" si="3"/>
        <v>Republican</v>
      </c>
    </row>
    <row r="52" ht="15.0" customHeight="1">
      <c r="A52" s="5" t="s">
        <v>16</v>
      </c>
      <c r="B52" s="5" t="s">
        <v>134</v>
      </c>
      <c r="C52" s="5" t="s">
        <v>137</v>
      </c>
      <c r="D52" s="11">
        <f>MAX(0, 2*'Precinct Vote Data'!G192 - 'Precinct Vote Data'!G190)</f>
        <v>789</v>
      </c>
      <c r="E52" s="10">
        <f>MIN(1,MAX(0,(5.3914776420524+0.021102849201698*'Precinct Vote Data'!I193*100+(-5.72594740176815)*0+0.927016741366831*('Precinct Vote Data'!H193*100))/100))</f>
        <v>0.3174453871</v>
      </c>
      <c r="F52" s="11">
        <f t="shared" si="1"/>
        <v>250</v>
      </c>
      <c r="G52" s="11">
        <f t="shared" si="2"/>
        <v>539</v>
      </c>
      <c r="H52" s="5" t="str">
        <f t="shared" si="3"/>
        <v>Republican</v>
      </c>
    </row>
    <row r="53" ht="15.0" customHeight="1">
      <c r="A53" s="5" t="s">
        <v>16</v>
      </c>
      <c r="B53" s="5" t="s">
        <v>138</v>
      </c>
      <c r="C53" s="5" t="s">
        <v>139</v>
      </c>
      <c r="D53" s="11">
        <f>MAX(0, 2*'Precinct Vote Data'!G196 - 'Precinct Vote Data'!G194)</f>
        <v>644</v>
      </c>
      <c r="E53" s="10">
        <f>MIN(1,MAX(0,(5.3914776420524+0.021102849201698*'Precinct Vote Data'!I197*100+(-5.72594740176815)*0+0.927016741366831*('Precinct Vote Data'!H197*100))/100))</f>
        <v>0.332021567</v>
      </c>
      <c r="F53" s="11">
        <f t="shared" si="1"/>
        <v>214</v>
      </c>
      <c r="G53" s="11">
        <f t="shared" si="2"/>
        <v>430</v>
      </c>
      <c r="H53" s="5" t="str">
        <f t="shared" si="3"/>
        <v>Republican</v>
      </c>
    </row>
    <row r="54" ht="15.0" customHeight="1">
      <c r="A54" s="5" t="s">
        <v>16</v>
      </c>
      <c r="B54" s="5" t="s">
        <v>138</v>
      </c>
      <c r="C54" s="5" t="s">
        <v>140</v>
      </c>
      <c r="D54" s="11">
        <f>MAX(0, 2*'Precinct Vote Data'!G200 - 'Precinct Vote Data'!G198)</f>
        <v>311</v>
      </c>
      <c r="E54" s="10">
        <f>MIN(1,MAX(0,(5.3914776420524+0.021102849201698*'Precinct Vote Data'!I201*100+(-5.72594740176815)*0+0.927016741366831*('Precinct Vote Data'!H201*100))/100))</f>
        <v>0.293709414</v>
      </c>
      <c r="F54" s="11">
        <f t="shared" si="1"/>
        <v>91</v>
      </c>
      <c r="G54" s="11">
        <f t="shared" si="2"/>
        <v>220</v>
      </c>
      <c r="H54" s="5" t="str">
        <f t="shared" si="3"/>
        <v>Republican</v>
      </c>
    </row>
    <row r="55" ht="15.0" customHeight="1">
      <c r="A55" s="5" t="s">
        <v>16</v>
      </c>
      <c r="B55" s="5" t="s">
        <v>141</v>
      </c>
      <c r="C55" s="5" t="s">
        <v>142</v>
      </c>
      <c r="D55" s="11">
        <f>MAX(0, 2*'Precinct Vote Data'!G204 - 'Precinct Vote Data'!G202)</f>
        <v>102</v>
      </c>
      <c r="E55" s="10">
        <f>MIN(1,MAX(0,(5.3914776420524+0.021102849201698*'Precinct Vote Data'!I205*100+(-5.72594740176815)*0+0.927016741366831*('Precinct Vote Data'!H205*100))/100))</f>
        <v>0.3808845142</v>
      </c>
      <c r="F55" s="11">
        <f t="shared" si="1"/>
        <v>39</v>
      </c>
      <c r="G55" s="11">
        <f t="shared" si="2"/>
        <v>63</v>
      </c>
      <c r="H55" s="5" t="str">
        <f t="shared" si="3"/>
        <v>Republican</v>
      </c>
    </row>
    <row r="56" ht="15.0" customHeight="1">
      <c r="A56" s="5" t="s">
        <v>143</v>
      </c>
      <c r="B56" s="5" t="s">
        <v>144</v>
      </c>
      <c r="C56" s="5" t="s">
        <v>18</v>
      </c>
      <c r="D56" s="11">
        <f>MAX(0, 2*'Precinct Vote Data'!G208 - 'Precinct Vote Data'!G206)</f>
        <v>1166</v>
      </c>
      <c r="E56" s="10">
        <f>MIN(1,MAX(0,(5.3914776420524+0.021102849201698*'Precinct Vote Data'!I209*100+(-5.72594740176815)*0+0.927016741366831*('Precinct Vote Data'!H209*100))/100))</f>
        <v>0.4607696902</v>
      </c>
      <c r="F56" s="11">
        <f t="shared" si="1"/>
        <v>537</v>
      </c>
      <c r="G56" s="11">
        <f t="shared" si="2"/>
        <v>629</v>
      </c>
      <c r="H56" s="5" t="str">
        <f t="shared" si="3"/>
        <v>Republican</v>
      </c>
    </row>
    <row r="57" ht="15.0" customHeight="1">
      <c r="A57" s="5" t="s">
        <v>143</v>
      </c>
      <c r="B57" s="5" t="s">
        <v>145</v>
      </c>
      <c r="C57" s="5" t="s">
        <v>146</v>
      </c>
      <c r="D57" s="11">
        <f>MAX(0, 2*'Precinct Vote Data'!G212 - 'Precinct Vote Data'!G210)</f>
        <v>216</v>
      </c>
      <c r="E57" s="10">
        <f>MIN(1,MAX(0,(5.3914776420524+0.021102849201698*'Precinct Vote Data'!I213*100+(-5.72594740176815)*0+0.927016741366831*('Precinct Vote Data'!H213*100))/100))</f>
        <v>0.7291757723</v>
      </c>
      <c r="F57" s="11">
        <f t="shared" si="1"/>
        <v>158</v>
      </c>
      <c r="G57" s="11">
        <f t="shared" si="2"/>
        <v>58</v>
      </c>
      <c r="H57" s="5" t="str">
        <f t="shared" si="3"/>
        <v>Democrat</v>
      </c>
    </row>
    <row r="58" ht="15.0" customHeight="1">
      <c r="A58" s="5" t="s">
        <v>143</v>
      </c>
      <c r="B58" s="5" t="s">
        <v>145</v>
      </c>
      <c r="C58" s="5" t="s">
        <v>147</v>
      </c>
      <c r="D58" s="11">
        <f>MAX(0, 2*'Precinct Vote Data'!G216 - 'Precinct Vote Data'!G214)</f>
        <v>317</v>
      </c>
      <c r="E58" s="10">
        <f>MIN(1,MAX(0,(5.3914776420524+0.021102849201698*'Precinct Vote Data'!I217*100+(-5.72594740176815)*0+0.927016741366831*('Precinct Vote Data'!H217*100))/100))</f>
        <v>0.7087281744</v>
      </c>
      <c r="F58" s="11">
        <f t="shared" si="1"/>
        <v>225</v>
      </c>
      <c r="G58" s="11">
        <f t="shared" si="2"/>
        <v>92</v>
      </c>
      <c r="H58" s="5" t="str">
        <f t="shared" si="3"/>
        <v>Democrat</v>
      </c>
    </row>
    <row r="59" ht="15.0" customHeight="1">
      <c r="A59" s="5" t="s">
        <v>143</v>
      </c>
      <c r="B59" s="5" t="s">
        <v>145</v>
      </c>
      <c r="C59" s="5" t="s">
        <v>55</v>
      </c>
      <c r="D59" s="11">
        <f>MAX(0, 2*'Precinct Vote Data'!G220 - 'Precinct Vote Data'!G218)</f>
        <v>492</v>
      </c>
      <c r="E59" s="10">
        <f>MIN(1,MAX(0,(5.3914776420524+0.021102849201698*'Precinct Vote Data'!I221*100+(-5.72594740176815)*0+0.927016741366831*('Precinct Vote Data'!H221*100))/100))</f>
        <v>0.729895018</v>
      </c>
      <c r="F59" s="11">
        <f t="shared" si="1"/>
        <v>359</v>
      </c>
      <c r="G59" s="11">
        <f t="shared" si="2"/>
        <v>133</v>
      </c>
      <c r="H59" s="5" t="str">
        <f t="shared" si="3"/>
        <v>Democrat</v>
      </c>
    </row>
    <row r="60" ht="15.0" customHeight="1">
      <c r="A60" s="5" t="s">
        <v>143</v>
      </c>
      <c r="B60" s="5" t="s">
        <v>145</v>
      </c>
      <c r="C60" s="5" t="s">
        <v>57</v>
      </c>
      <c r="D60" s="11">
        <f>MAX(0, 2*'Precinct Vote Data'!G224 - 'Precinct Vote Data'!G222)</f>
        <v>195</v>
      </c>
      <c r="E60" s="10">
        <f>MIN(1,MAX(0,(5.3914776420524+0.021102849201698*'Precinct Vote Data'!I225*100+(-5.72594740176815)*0+0.927016741366831*('Precinct Vote Data'!H225*100))/100))</f>
        <v>0.6856062307</v>
      </c>
      <c r="F60" s="11">
        <f t="shared" si="1"/>
        <v>134</v>
      </c>
      <c r="G60" s="11">
        <f t="shared" si="2"/>
        <v>61</v>
      </c>
      <c r="H60" s="5" t="str">
        <f t="shared" si="3"/>
        <v>Democrat</v>
      </c>
    </row>
    <row r="61" ht="15.0" customHeight="1">
      <c r="A61" s="5" t="s">
        <v>143</v>
      </c>
      <c r="B61" s="5" t="s">
        <v>145</v>
      </c>
      <c r="C61" s="5" t="s">
        <v>59</v>
      </c>
      <c r="D61" s="11">
        <f>MAX(0, 2*'Precinct Vote Data'!G228 - 'Precinct Vote Data'!G226)</f>
        <v>231</v>
      </c>
      <c r="E61" s="10">
        <f>MIN(1,MAX(0,(5.3914776420524+0.021102849201698*'Precinct Vote Data'!I229*100+(-5.72594740176815)*0+0.927016741366831*('Precinct Vote Data'!H229*100))/100))</f>
        <v>0.754752559</v>
      </c>
      <c r="F61" s="11">
        <f t="shared" si="1"/>
        <v>174</v>
      </c>
      <c r="G61" s="11">
        <f t="shared" si="2"/>
        <v>57</v>
      </c>
      <c r="H61" s="5" t="str">
        <f t="shared" si="3"/>
        <v>Democrat</v>
      </c>
    </row>
    <row r="62" ht="15.0" customHeight="1">
      <c r="A62" s="5" t="s">
        <v>143</v>
      </c>
      <c r="B62" s="5" t="s">
        <v>145</v>
      </c>
      <c r="C62" s="5" t="s">
        <v>63</v>
      </c>
      <c r="D62" s="11">
        <f>MAX(0, 2*'Precinct Vote Data'!G232 - 'Precinct Vote Data'!G230)</f>
        <v>44</v>
      </c>
      <c r="E62" s="10">
        <f>MIN(1,MAX(0,(5.3914776420524+0.021102849201698*'Precinct Vote Data'!I233*100+(-5.72594740176815)*0+0.927016741366831*('Precinct Vote Data'!H233*100))/100))</f>
        <v>0.6318251166</v>
      </c>
      <c r="F62" s="11">
        <f t="shared" si="1"/>
        <v>28</v>
      </c>
      <c r="G62" s="11">
        <f t="shared" si="2"/>
        <v>16</v>
      </c>
      <c r="H62" s="5" t="str">
        <f t="shared" si="3"/>
        <v>Democrat</v>
      </c>
    </row>
    <row r="63" ht="15.0" customHeight="1">
      <c r="A63" s="5" t="s">
        <v>143</v>
      </c>
      <c r="B63" s="5" t="s">
        <v>145</v>
      </c>
      <c r="C63" s="5" t="s">
        <v>73</v>
      </c>
      <c r="D63" s="11">
        <f>MAX(0, 2*'Precinct Vote Data'!G236 - 'Precinct Vote Data'!G234)</f>
        <v>269</v>
      </c>
      <c r="E63" s="10">
        <f>MIN(1,MAX(0,(5.3914776420524+0.021102849201698*'Precinct Vote Data'!I237*100+(-5.72594740176815)*0+0.927016741366831*('Precinct Vote Data'!H237*100))/100))</f>
        <v>0.6300972461</v>
      </c>
      <c r="F63" s="11">
        <f t="shared" si="1"/>
        <v>169</v>
      </c>
      <c r="G63" s="11">
        <f t="shared" si="2"/>
        <v>100</v>
      </c>
      <c r="H63" s="5" t="str">
        <f t="shared" si="3"/>
        <v>Democrat</v>
      </c>
    </row>
    <row r="64" ht="15.0" customHeight="1">
      <c r="A64" s="5" t="s">
        <v>143</v>
      </c>
      <c r="B64" s="5" t="s">
        <v>145</v>
      </c>
      <c r="C64" s="5" t="s">
        <v>74</v>
      </c>
      <c r="D64" s="11">
        <f>MAX(0, 2*'Precinct Vote Data'!G240 - 'Precinct Vote Data'!G238)</f>
        <v>331</v>
      </c>
      <c r="E64" s="10">
        <f>MIN(1,MAX(0,(5.3914776420524+0.021102849201698*'Precinct Vote Data'!I241*100+(-5.72594740176815)*0+0.927016741366831*('Precinct Vote Data'!H241*100))/100))</f>
        <v>0.738692181</v>
      </c>
      <c r="F64" s="11">
        <f t="shared" si="1"/>
        <v>245</v>
      </c>
      <c r="G64" s="11">
        <f t="shared" si="2"/>
        <v>86</v>
      </c>
      <c r="H64" s="5" t="str">
        <f t="shared" si="3"/>
        <v>Democrat</v>
      </c>
    </row>
    <row r="65" ht="15.0" customHeight="1">
      <c r="A65" s="5" t="s">
        <v>143</v>
      </c>
      <c r="B65" s="5" t="s">
        <v>145</v>
      </c>
      <c r="C65" s="5" t="s">
        <v>78</v>
      </c>
      <c r="D65" s="11">
        <f>MAX(0, 2*'Precinct Vote Data'!G244 - 'Precinct Vote Data'!G242)</f>
        <v>93</v>
      </c>
      <c r="E65" s="10">
        <f>MIN(1,MAX(0,(5.3914776420524+0.021102849201698*'Precinct Vote Data'!I245*100+(-5.72594740176815)*0+0.927016741366831*('Precinct Vote Data'!H245*100))/100))</f>
        <v>0.7277111596</v>
      </c>
      <c r="F65" s="11">
        <f t="shared" si="1"/>
        <v>68</v>
      </c>
      <c r="G65" s="11">
        <f t="shared" si="2"/>
        <v>25</v>
      </c>
      <c r="H65" s="5" t="str">
        <f t="shared" si="3"/>
        <v>Democrat</v>
      </c>
    </row>
    <row r="66" ht="15.0" customHeight="1">
      <c r="A66" s="5" t="s">
        <v>143</v>
      </c>
      <c r="B66" s="5" t="s">
        <v>145</v>
      </c>
      <c r="C66" s="5" t="s">
        <v>79</v>
      </c>
      <c r="D66" s="11">
        <f>MAX(0, 2*'Precinct Vote Data'!G248 - 'Precinct Vote Data'!G246)</f>
        <v>90</v>
      </c>
      <c r="E66" s="10">
        <f>MIN(1,MAX(0,(5.3914776420524+0.021102849201698*'Precinct Vote Data'!I249*100+(-5.72594740176815)*0+0.927016741366831*('Precinct Vote Data'!H249*100))/100))</f>
        <v>0.7181162078</v>
      </c>
      <c r="F66" s="11">
        <f t="shared" si="1"/>
        <v>65</v>
      </c>
      <c r="G66" s="11">
        <f t="shared" si="2"/>
        <v>25</v>
      </c>
      <c r="H66" s="5" t="str">
        <f t="shared" si="3"/>
        <v>Democrat</v>
      </c>
    </row>
    <row r="67" ht="15.0" customHeight="1">
      <c r="A67" s="5" t="s">
        <v>143</v>
      </c>
      <c r="B67" s="5" t="s">
        <v>145</v>
      </c>
      <c r="C67" s="5" t="s">
        <v>87</v>
      </c>
      <c r="D67" s="11">
        <f>MAX(0, 2*'Precinct Vote Data'!G252 - 'Precinct Vote Data'!G250)</f>
        <v>218</v>
      </c>
      <c r="E67" s="10">
        <f>MIN(1,MAX(0,(5.3914776420524+0.021102849201698*'Precinct Vote Data'!I253*100+(-5.72594740176815)*0+0.927016741366831*('Precinct Vote Data'!H253*100))/100))</f>
        <v>0.7469534884</v>
      </c>
      <c r="F67" s="11">
        <f t="shared" si="1"/>
        <v>163</v>
      </c>
      <c r="G67" s="11">
        <f t="shared" si="2"/>
        <v>55</v>
      </c>
      <c r="H67" s="5" t="str">
        <f t="shared" si="3"/>
        <v>Democrat</v>
      </c>
    </row>
    <row r="68" ht="15.0" customHeight="1">
      <c r="A68" s="5" t="s">
        <v>143</v>
      </c>
      <c r="B68" s="5" t="s">
        <v>145</v>
      </c>
      <c r="C68" s="5" t="s">
        <v>88</v>
      </c>
      <c r="D68" s="11">
        <f>MAX(0, 2*'Precinct Vote Data'!G256 - 'Precinct Vote Data'!G254)</f>
        <v>441</v>
      </c>
      <c r="E68" s="10">
        <f>MIN(1,MAX(0,(5.3914776420524+0.021102849201698*'Precinct Vote Data'!I257*100+(-5.72594740176815)*0+0.927016741366831*('Precinct Vote Data'!H257*100))/100))</f>
        <v>0.6846424292</v>
      </c>
      <c r="F68" s="11">
        <f t="shared" si="1"/>
        <v>302</v>
      </c>
      <c r="G68" s="11">
        <f t="shared" si="2"/>
        <v>139</v>
      </c>
      <c r="H68" s="5" t="str">
        <f t="shared" si="3"/>
        <v>Democrat</v>
      </c>
    </row>
    <row r="69" ht="15.0" customHeight="1">
      <c r="A69" s="5" t="s">
        <v>143</v>
      </c>
      <c r="B69" s="5" t="s">
        <v>145</v>
      </c>
      <c r="C69" s="5" t="s">
        <v>89</v>
      </c>
      <c r="D69" s="11">
        <f>MAX(0, 2*'Precinct Vote Data'!G260 - 'Precinct Vote Data'!G258)</f>
        <v>171</v>
      </c>
      <c r="E69" s="10">
        <f>MIN(1,MAX(0,(5.3914776420524+0.021102849201698*'Precinct Vote Data'!I261*100+(-5.72594740176815)*0+0.927016741366831*('Precinct Vote Data'!H261*100))/100))</f>
        <v>0.694100549</v>
      </c>
      <c r="F69" s="11">
        <f t="shared" si="1"/>
        <v>119</v>
      </c>
      <c r="G69" s="11">
        <f t="shared" si="2"/>
        <v>52</v>
      </c>
      <c r="H69" s="5" t="str">
        <f t="shared" si="3"/>
        <v>Democrat</v>
      </c>
    </row>
    <row r="70" ht="15.0" customHeight="1">
      <c r="A70" s="5" t="s">
        <v>143</v>
      </c>
      <c r="B70" s="5" t="s">
        <v>145</v>
      </c>
      <c r="C70" s="5" t="s">
        <v>91</v>
      </c>
      <c r="D70" s="11">
        <f>MAX(0, 2*'Precinct Vote Data'!G264 - 'Precinct Vote Data'!G262)</f>
        <v>135</v>
      </c>
      <c r="E70" s="10">
        <f>MIN(1,MAX(0,(5.3914776420524+0.021102849201698*'Precinct Vote Data'!I265*100+(-5.72594740176815)*0+0.927016741366831*('Precinct Vote Data'!H265*100))/100))</f>
        <v>0.6897278411</v>
      </c>
      <c r="F70" s="11">
        <f t="shared" si="1"/>
        <v>93</v>
      </c>
      <c r="G70" s="11">
        <f t="shared" si="2"/>
        <v>42</v>
      </c>
      <c r="H70" s="5" t="str">
        <f t="shared" si="3"/>
        <v>Democrat</v>
      </c>
    </row>
    <row r="71" ht="15.0" customHeight="1">
      <c r="A71" s="5" t="s">
        <v>143</v>
      </c>
      <c r="B71" s="5" t="s">
        <v>145</v>
      </c>
      <c r="C71" s="5" t="s">
        <v>92</v>
      </c>
      <c r="D71" s="11">
        <f>MAX(0, 2*'Precinct Vote Data'!G268 - 'Precinct Vote Data'!G266)</f>
        <v>331</v>
      </c>
      <c r="E71" s="10">
        <f>MIN(1,MAX(0,(5.3914776420524+0.021102849201698*'Precinct Vote Data'!I269*100+(-5.72594740176815)*0+0.927016741366831*('Precinct Vote Data'!H269*100))/100))</f>
        <v>0.6311984492</v>
      </c>
      <c r="F71" s="11">
        <f t="shared" si="1"/>
        <v>209</v>
      </c>
      <c r="G71" s="11">
        <f t="shared" si="2"/>
        <v>122</v>
      </c>
      <c r="H71" s="5" t="str">
        <f t="shared" si="3"/>
        <v>Democrat</v>
      </c>
    </row>
    <row r="72" ht="15.0" customHeight="1">
      <c r="A72" s="5" t="s">
        <v>143</v>
      </c>
      <c r="B72" s="5" t="s">
        <v>145</v>
      </c>
      <c r="C72" s="5" t="s">
        <v>94</v>
      </c>
      <c r="D72" s="11">
        <f>MAX(0, 2*'Precinct Vote Data'!G272 - 'Precinct Vote Data'!G270)</f>
        <v>247</v>
      </c>
      <c r="E72" s="10">
        <f>MIN(1,MAX(0,(5.3914776420524+0.021102849201698*'Precinct Vote Data'!I273*100+(-5.72594740176815)*0+0.927016741366831*('Precinct Vote Data'!H273*100))/100))</f>
        <v>0.6990641718</v>
      </c>
      <c r="F72" s="11">
        <f t="shared" si="1"/>
        <v>173</v>
      </c>
      <c r="G72" s="11">
        <f t="shared" si="2"/>
        <v>74</v>
      </c>
      <c r="H72" s="5" t="str">
        <f t="shared" si="3"/>
        <v>Democrat</v>
      </c>
    </row>
    <row r="73" ht="15.0" customHeight="1">
      <c r="A73" s="5" t="s">
        <v>143</v>
      </c>
      <c r="B73" s="5" t="s">
        <v>145</v>
      </c>
      <c r="C73" s="5" t="s">
        <v>95</v>
      </c>
      <c r="D73" s="11">
        <f>MAX(0, 2*'Precinct Vote Data'!G276 - 'Precinct Vote Data'!G274)</f>
        <v>279</v>
      </c>
      <c r="E73" s="10">
        <f>MIN(1,MAX(0,(5.3914776420524+0.021102849201698*'Precinct Vote Data'!I277*100+(-5.72594740176815)*0+0.927016741366831*('Precinct Vote Data'!H277*100))/100))</f>
        <v>0.7269331141</v>
      </c>
      <c r="F73" s="11">
        <f t="shared" si="1"/>
        <v>203</v>
      </c>
      <c r="G73" s="11">
        <f t="shared" si="2"/>
        <v>76</v>
      </c>
      <c r="H73" s="5" t="str">
        <f t="shared" si="3"/>
        <v>Democrat</v>
      </c>
    </row>
    <row r="74" ht="15.0" customHeight="1">
      <c r="A74" s="5" t="s">
        <v>143</v>
      </c>
      <c r="B74" s="5" t="s">
        <v>145</v>
      </c>
      <c r="C74" s="5" t="s">
        <v>96</v>
      </c>
      <c r="D74" s="11">
        <f>MAX(0, 2*'Precinct Vote Data'!G280 - 'Precinct Vote Data'!G278)</f>
        <v>99</v>
      </c>
      <c r="E74" s="10">
        <f>MIN(1,MAX(0,(5.3914776420524+0.021102849201698*'Precinct Vote Data'!I281*100+(-5.72594740176815)*0+0.927016741366831*('Precinct Vote Data'!H281*100))/100))</f>
        <v>0.6692608595</v>
      </c>
      <c r="F74" s="11">
        <f t="shared" si="1"/>
        <v>66</v>
      </c>
      <c r="G74" s="11">
        <f t="shared" si="2"/>
        <v>33</v>
      </c>
      <c r="H74" s="5" t="str">
        <f t="shared" si="3"/>
        <v>Democrat</v>
      </c>
    </row>
    <row r="75" ht="15.0" customHeight="1">
      <c r="A75" s="5" t="s">
        <v>143</v>
      </c>
      <c r="B75" s="5" t="s">
        <v>145</v>
      </c>
      <c r="C75" s="5" t="s">
        <v>98</v>
      </c>
      <c r="D75" s="11">
        <f>MAX(0, 2*'Precinct Vote Data'!G284 - 'Precinct Vote Data'!G282)</f>
        <v>163</v>
      </c>
      <c r="E75" s="10">
        <f>MIN(1,MAX(0,(5.3914776420524+0.021102849201698*'Precinct Vote Data'!I285*100+(-5.72594740176815)*0+0.927016741366831*('Precinct Vote Data'!H285*100))/100))</f>
        <v>0.7134456376</v>
      </c>
      <c r="F75" s="11">
        <f t="shared" si="1"/>
        <v>116</v>
      </c>
      <c r="G75" s="11">
        <f t="shared" si="2"/>
        <v>47</v>
      </c>
      <c r="H75" s="5" t="str">
        <f t="shared" si="3"/>
        <v>Democrat</v>
      </c>
    </row>
    <row r="76" ht="15.0" customHeight="1">
      <c r="A76" s="5" t="s">
        <v>143</v>
      </c>
      <c r="B76" s="5" t="s">
        <v>145</v>
      </c>
      <c r="C76" s="5" t="s">
        <v>100</v>
      </c>
      <c r="D76" s="11">
        <f>MAX(0, 2*'Precinct Vote Data'!G288 - 'Precinct Vote Data'!G286)</f>
        <v>173</v>
      </c>
      <c r="E76" s="10">
        <f>MIN(1,MAX(0,(5.3914776420524+0.021102849201698*'Precinct Vote Data'!I289*100+(-5.72594740176815)*0+0.927016741366831*('Precinct Vote Data'!H289*100))/100))</f>
        <v>0.6911066539</v>
      </c>
      <c r="F76" s="11">
        <f t="shared" si="1"/>
        <v>120</v>
      </c>
      <c r="G76" s="11">
        <f t="shared" si="2"/>
        <v>53</v>
      </c>
      <c r="H76" s="5" t="str">
        <f t="shared" si="3"/>
        <v>Democrat</v>
      </c>
    </row>
    <row r="77" ht="15.0" customHeight="1">
      <c r="A77" s="5" t="s">
        <v>143</v>
      </c>
      <c r="B77" s="5" t="s">
        <v>145</v>
      </c>
      <c r="C77" s="5" t="s">
        <v>102</v>
      </c>
      <c r="D77" s="11">
        <f>MAX(0, 2*'Precinct Vote Data'!G292 - 'Precinct Vote Data'!G290)</f>
        <v>109</v>
      </c>
      <c r="E77" s="10">
        <f>MIN(1,MAX(0,(5.3914776420524+0.021102849201698*'Precinct Vote Data'!I293*100+(-5.72594740176815)*0+0.927016741366831*('Precinct Vote Data'!H293*100))/100))</f>
        <v>0.7369955125</v>
      </c>
      <c r="F77" s="11">
        <f t="shared" si="1"/>
        <v>80</v>
      </c>
      <c r="G77" s="11">
        <f t="shared" si="2"/>
        <v>29</v>
      </c>
      <c r="H77" s="5" t="str">
        <f t="shared" si="3"/>
        <v>Democrat</v>
      </c>
    </row>
    <row r="78" ht="15.0" customHeight="1">
      <c r="A78" s="5" t="s">
        <v>143</v>
      </c>
      <c r="B78" s="5" t="s">
        <v>145</v>
      </c>
      <c r="C78" s="5" t="s">
        <v>103</v>
      </c>
      <c r="D78" s="11">
        <f>MAX(0, 2*'Precinct Vote Data'!G296 - 'Precinct Vote Data'!G294)</f>
        <v>258</v>
      </c>
      <c r="E78" s="10">
        <f>MIN(1,MAX(0,(5.3914776420524+0.021102849201698*'Precinct Vote Data'!I297*100+(-5.72594740176815)*0+0.927016741366831*('Precinct Vote Data'!H297*100))/100))</f>
        <v>0.7103306686</v>
      </c>
      <c r="F78" s="11">
        <f t="shared" si="1"/>
        <v>183</v>
      </c>
      <c r="G78" s="11">
        <f t="shared" si="2"/>
        <v>75</v>
      </c>
      <c r="H78" s="5" t="str">
        <f t="shared" si="3"/>
        <v>Democrat</v>
      </c>
    </row>
    <row r="79" ht="15.0" customHeight="1">
      <c r="A79" s="5" t="s">
        <v>143</v>
      </c>
      <c r="B79" s="5" t="s">
        <v>145</v>
      </c>
      <c r="C79" s="5" t="s">
        <v>104</v>
      </c>
      <c r="D79" s="11">
        <f>MAX(0, 2*'Precinct Vote Data'!G300 - 'Precinct Vote Data'!G298)</f>
        <v>606</v>
      </c>
      <c r="E79" s="10">
        <f>MIN(1,MAX(0,(5.3914776420524+0.021102849201698*'Precinct Vote Data'!I301*100+(-5.72594740176815)*0+0.927016741366831*('Precinct Vote Data'!H301*100))/100))</f>
        <v>0.7912516054</v>
      </c>
      <c r="F79" s="11">
        <f t="shared" si="1"/>
        <v>479</v>
      </c>
      <c r="G79" s="11">
        <f t="shared" si="2"/>
        <v>127</v>
      </c>
      <c r="H79" s="5" t="str">
        <f t="shared" si="3"/>
        <v>Democrat</v>
      </c>
    </row>
    <row r="80" ht="15.0" customHeight="1">
      <c r="A80" s="5" t="s">
        <v>143</v>
      </c>
      <c r="B80" s="5" t="s">
        <v>145</v>
      </c>
      <c r="C80" s="5" t="s">
        <v>106</v>
      </c>
      <c r="D80" s="11">
        <f>MAX(0, 2*'Precinct Vote Data'!G304 - 'Precinct Vote Data'!G302)</f>
        <v>369</v>
      </c>
      <c r="E80" s="10">
        <f>MIN(1,MAX(0,(5.3914776420524+0.021102849201698*'Precinct Vote Data'!I305*100+(-5.72594740176815)*0+0.927016741366831*('Precinct Vote Data'!H305*100))/100))</f>
        <v>0.6769383847</v>
      </c>
      <c r="F80" s="11">
        <f t="shared" si="1"/>
        <v>250</v>
      </c>
      <c r="G80" s="11">
        <f t="shared" si="2"/>
        <v>119</v>
      </c>
      <c r="H80" s="5" t="str">
        <f t="shared" si="3"/>
        <v>Democrat</v>
      </c>
    </row>
    <row r="81" ht="15.0" customHeight="1">
      <c r="A81" s="5" t="s">
        <v>143</v>
      </c>
      <c r="B81" s="5" t="s">
        <v>145</v>
      </c>
      <c r="C81" s="5" t="s">
        <v>109</v>
      </c>
      <c r="D81" s="11">
        <f>MAX(0, 2*'Precinct Vote Data'!G308 - 'Precinct Vote Data'!G306)</f>
        <v>643</v>
      </c>
      <c r="E81" s="10">
        <f>MIN(1,MAX(0,(5.3914776420524+0.021102849201698*'Precinct Vote Data'!I309*100+(-5.72594740176815)*0+0.927016741366831*('Precinct Vote Data'!H309*100))/100))</f>
        <v>0.6228547284</v>
      </c>
      <c r="F81" s="11">
        <f t="shared" si="1"/>
        <v>400</v>
      </c>
      <c r="G81" s="11">
        <f t="shared" si="2"/>
        <v>243</v>
      </c>
      <c r="H81" s="5" t="str">
        <f t="shared" si="3"/>
        <v>Democrat</v>
      </c>
    </row>
    <row r="82" ht="15.0" customHeight="1">
      <c r="A82" s="5" t="s">
        <v>143</v>
      </c>
      <c r="B82" s="5" t="s">
        <v>145</v>
      </c>
      <c r="C82" s="5" t="s">
        <v>110</v>
      </c>
      <c r="D82" s="11">
        <f>MAX(0, 2*'Precinct Vote Data'!G312 - 'Precinct Vote Data'!G310)</f>
        <v>543</v>
      </c>
      <c r="E82" s="10">
        <f>MIN(1,MAX(0,(5.3914776420524+0.021102849201698*'Precinct Vote Data'!I313*100+(-5.72594740176815)*0+0.927016741366831*('Precinct Vote Data'!H313*100))/100))</f>
        <v>0.6419288713</v>
      </c>
      <c r="F82" s="11">
        <f t="shared" si="1"/>
        <v>349</v>
      </c>
      <c r="G82" s="11">
        <f t="shared" si="2"/>
        <v>194</v>
      </c>
      <c r="H82" s="5" t="str">
        <f t="shared" si="3"/>
        <v>Democrat</v>
      </c>
    </row>
    <row r="83" ht="15.0" customHeight="1">
      <c r="A83" s="5" t="s">
        <v>143</v>
      </c>
      <c r="B83" s="5" t="s">
        <v>145</v>
      </c>
      <c r="C83" s="5" t="s">
        <v>111</v>
      </c>
      <c r="D83" s="11">
        <f>MAX(0, 2*'Precinct Vote Data'!G316 - 'Precinct Vote Data'!G314)</f>
        <v>297</v>
      </c>
      <c r="E83" s="10">
        <f>MIN(1,MAX(0,(5.3914776420524+0.021102849201698*'Precinct Vote Data'!I317*100+(-5.72594740176815)*0+0.927016741366831*('Precinct Vote Data'!H317*100))/100))</f>
        <v>0.6983792566</v>
      </c>
      <c r="F83" s="11">
        <f t="shared" si="1"/>
        <v>207</v>
      </c>
      <c r="G83" s="11">
        <f t="shared" si="2"/>
        <v>90</v>
      </c>
      <c r="H83" s="5" t="str">
        <f t="shared" si="3"/>
        <v>Democrat</v>
      </c>
    </row>
    <row r="84" ht="15.0" customHeight="1">
      <c r="A84" s="5" t="s">
        <v>143</v>
      </c>
      <c r="B84" s="5" t="s">
        <v>145</v>
      </c>
      <c r="C84" s="5" t="s">
        <v>113</v>
      </c>
      <c r="D84" s="11">
        <f>MAX(0, 2*'Precinct Vote Data'!G320 - 'Precinct Vote Data'!G318)</f>
        <v>375</v>
      </c>
      <c r="E84" s="10">
        <f>MIN(1,MAX(0,(5.3914776420524+0.021102849201698*'Precinct Vote Data'!I321*100+(-5.72594740176815)*0+0.927016741366831*('Precinct Vote Data'!H321*100))/100))</f>
        <v>0.6510659427</v>
      </c>
      <c r="F84" s="11">
        <f t="shared" si="1"/>
        <v>244</v>
      </c>
      <c r="G84" s="11">
        <f t="shared" si="2"/>
        <v>131</v>
      </c>
      <c r="H84" s="5" t="str">
        <f t="shared" si="3"/>
        <v>Democrat</v>
      </c>
    </row>
    <row r="85" ht="15.0" customHeight="1">
      <c r="A85" s="5" t="s">
        <v>143</v>
      </c>
      <c r="B85" s="5" t="s">
        <v>145</v>
      </c>
      <c r="C85" s="5" t="s">
        <v>114</v>
      </c>
      <c r="D85" s="11">
        <f>MAX(0, 2*'Precinct Vote Data'!G324 - 'Precinct Vote Data'!G322)</f>
        <v>491</v>
      </c>
      <c r="E85" s="10">
        <f>MIN(1,MAX(0,(5.3914776420524+0.021102849201698*'Precinct Vote Data'!I325*100+(-5.72594740176815)*0+0.927016741366831*('Precinct Vote Data'!H325*100))/100))</f>
        <v>0.6474074593</v>
      </c>
      <c r="F85" s="11">
        <f t="shared" si="1"/>
        <v>318</v>
      </c>
      <c r="G85" s="11">
        <f t="shared" si="2"/>
        <v>173</v>
      </c>
      <c r="H85" s="5" t="str">
        <f t="shared" si="3"/>
        <v>Democrat</v>
      </c>
    </row>
    <row r="86" ht="15.0" customHeight="1">
      <c r="A86" s="5" t="s">
        <v>143</v>
      </c>
      <c r="B86" s="5" t="s">
        <v>145</v>
      </c>
      <c r="C86" s="5" t="s">
        <v>116</v>
      </c>
      <c r="D86" s="11">
        <f>MAX(0, 2*'Precinct Vote Data'!G328 - 'Precinct Vote Data'!G326)</f>
        <v>632</v>
      </c>
      <c r="E86" s="10">
        <f>MIN(1,MAX(0,(5.3914776420524+0.021102849201698*'Precinct Vote Data'!I329*100+(-5.72594740176815)*0+0.927016741366831*('Precinct Vote Data'!H329*100))/100))</f>
        <v>0.5789846427</v>
      </c>
      <c r="F86" s="11">
        <f t="shared" si="1"/>
        <v>366</v>
      </c>
      <c r="G86" s="11">
        <f t="shared" si="2"/>
        <v>266</v>
      </c>
      <c r="H86" s="5" t="str">
        <f t="shared" si="3"/>
        <v>Democrat</v>
      </c>
    </row>
    <row r="87" ht="15.0" customHeight="1">
      <c r="A87" s="5" t="s">
        <v>143</v>
      </c>
      <c r="B87" s="5" t="s">
        <v>145</v>
      </c>
      <c r="C87" s="5" t="s">
        <v>118</v>
      </c>
      <c r="D87" s="11">
        <f>MAX(0, 2*'Precinct Vote Data'!G332 - 'Precinct Vote Data'!G330)</f>
        <v>354</v>
      </c>
      <c r="E87" s="10">
        <f>MIN(1,MAX(0,(5.3914776420524+0.021102849201698*'Precinct Vote Data'!I333*100+(-5.72594740176815)*0+0.927016741366831*('Precinct Vote Data'!H333*100))/100))</f>
        <v>0.617942293</v>
      </c>
      <c r="F87" s="11">
        <f t="shared" si="1"/>
        <v>219</v>
      </c>
      <c r="G87" s="11">
        <f t="shared" si="2"/>
        <v>135</v>
      </c>
      <c r="H87" s="5" t="str">
        <f t="shared" si="3"/>
        <v>Democrat</v>
      </c>
    </row>
    <row r="88" ht="15.0" customHeight="1">
      <c r="A88" s="5" t="s">
        <v>143</v>
      </c>
      <c r="B88" s="5" t="s">
        <v>145</v>
      </c>
      <c r="C88" s="5" t="s">
        <v>119</v>
      </c>
      <c r="D88" s="11">
        <f>MAX(0, 2*'Precinct Vote Data'!G336 - 'Precinct Vote Data'!G334)</f>
        <v>263</v>
      </c>
      <c r="E88" s="10">
        <f>MIN(1,MAX(0,(5.3914776420524+0.021102849201698*'Precinct Vote Data'!I337*100+(-5.72594740176815)*0+0.927016741366831*('Precinct Vote Data'!H337*100))/100))</f>
        <v>0.7047505288</v>
      </c>
      <c r="F88" s="11">
        <f t="shared" si="1"/>
        <v>185</v>
      </c>
      <c r="G88" s="11">
        <f t="shared" si="2"/>
        <v>78</v>
      </c>
      <c r="H88" s="5" t="str">
        <f t="shared" si="3"/>
        <v>Democrat</v>
      </c>
    </row>
    <row r="89" ht="15.0" customHeight="1">
      <c r="A89" s="5" t="s">
        <v>143</v>
      </c>
      <c r="B89" s="5" t="s">
        <v>145</v>
      </c>
      <c r="C89" s="5" t="s">
        <v>120</v>
      </c>
      <c r="D89" s="11">
        <f>MAX(0, 2*'Precinct Vote Data'!G340 - 'Precinct Vote Data'!G338)</f>
        <v>204</v>
      </c>
      <c r="E89" s="10">
        <f>MIN(1,MAX(0,(5.3914776420524+0.021102849201698*'Precinct Vote Data'!I341*100+(-5.72594740176815)*0+0.927016741366831*('Precinct Vote Data'!H341*100))/100))</f>
        <v>0.6448031399</v>
      </c>
      <c r="F89" s="11">
        <f t="shared" si="1"/>
        <v>132</v>
      </c>
      <c r="G89" s="11">
        <f t="shared" si="2"/>
        <v>72</v>
      </c>
      <c r="H89" s="5" t="str">
        <f t="shared" si="3"/>
        <v>Democrat</v>
      </c>
    </row>
    <row r="90" ht="15.0" customHeight="1">
      <c r="A90" s="5" t="s">
        <v>143</v>
      </c>
      <c r="B90" s="5" t="s">
        <v>145</v>
      </c>
      <c r="C90" s="5" t="s">
        <v>122</v>
      </c>
      <c r="D90" s="11">
        <f>MAX(0, 2*'Precinct Vote Data'!G344 - 'Precinct Vote Data'!G342)</f>
        <v>297</v>
      </c>
      <c r="E90" s="10">
        <f>MIN(1,MAX(0,(5.3914776420524+0.021102849201698*'Precinct Vote Data'!I345*100+(-5.72594740176815)*0+0.927016741366831*('Precinct Vote Data'!H345*100))/100))</f>
        <v>0.6690343437</v>
      </c>
      <c r="F90" s="11">
        <f t="shared" si="1"/>
        <v>199</v>
      </c>
      <c r="G90" s="11">
        <f t="shared" si="2"/>
        <v>98</v>
      </c>
      <c r="H90" s="5" t="str">
        <f t="shared" si="3"/>
        <v>Democrat</v>
      </c>
    </row>
    <row r="91" ht="15.0" customHeight="1">
      <c r="A91" s="5" t="s">
        <v>143</v>
      </c>
      <c r="B91" s="5" t="s">
        <v>145</v>
      </c>
      <c r="C91" s="5" t="s">
        <v>124</v>
      </c>
      <c r="D91" s="11">
        <f>MAX(0, 2*'Precinct Vote Data'!G348 - 'Precinct Vote Data'!G346)</f>
        <v>245</v>
      </c>
      <c r="E91" s="10">
        <f>MIN(1,MAX(0,(5.3914776420524+0.021102849201698*'Precinct Vote Data'!I349*100+(-5.72594740176815)*0+0.927016741366831*('Precinct Vote Data'!H349*100))/100))</f>
        <v>0.6820756553</v>
      </c>
      <c r="F91" s="11">
        <f t="shared" si="1"/>
        <v>167</v>
      </c>
      <c r="G91" s="11">
        <f t="shared" si="2"/>
        <v>78</v>
      </c>
      <c r="H91" s="5" t="str">
        <f t="shared" si="3"/>
        <v>Democrat</v>
      </c>
    </row>
    <row r="92" ht="15.0" customHeight="1">
      <c r="A92" s="5" t="s">
        <v>143</v>
      </c>
      <c r="B92" s="5" t="s">
        <v>145</v>
      </c>
      <c r="C92" s="5" t="s">
        <v>130</v>
      </c>
      <c r="D92" s="11">
        <f>MAX(0, 2*'Precinct Vote Data'!G352 - 'Precinct Vote Data'!G350)</f>
        <v>493</v>
      </c>
      <c r="E92" s="10">
        <f>MIN(1,MAX(0,(5.3914776420524+0.021102849201698*'Precinct Vote Data'!I353*100+(-5.72594740176815)*0+0.927016741366831*('Precinct Vote Data'!H353*100))/100))</f>
        <v>0.6518084747</v>
      </c>
      <c r="F92" s="11">
        <f t="shared" si="1"/>
        <v>321</v>
      </c>
      <c r="G92" s="11">
        <f t="shared" si="2"/>
        <v>172</v>
      </c>
      <c r="H92" s="5" t="str">
        <f t="shared" si="3"/>
        <v>Democrat</v>
      </c>
    </row>
    <row r="93" ht="15.0" customHeight="1">
      <c r="A93" s="5" t="s">
        <v>143</v>
      </c>
      <c r="B93" s="5" t="s">
        <v>145</v>
      </c>
      <c r="C93" s="5" t="s">
        <v>131</v>
      </c>
      <c r="D93" s="11">
        <f>MAX(0, 2*'Precinct Vote Data'!G356 - 'Precinct Vote Data'!G354)</f>
        <v>485</v>
      </c>
      <c r="E93" s="10">
        <f>MIN(1,MAX(0,(5.3914776420524+0.021102849201698*'Precinct Vote Data'!I357*100+(-5.72594740176815)*0+0.927016741366831*('Precinct Vote Data'!H357*100))/100))</f>
        <v>0.6555350317</v>
      </c>
      <c r="F93" s="11">
        <f t="shared" si="1"/>
        <v>318</v>
      </c>
      <c r="G93" s="11">
        <f t="shared" si="2"/>
        <v>167</v>
      </c>
      <c r="H93" s="5" t="str">
        <f t="shared" si="3"/>
        <v>Democrat</v>
      </c>
    </row>
    <row r="94" ht="15.0" customHeight="1">
      <c r="A94" s="5" t="s">
        <v>143</v>
      </c>
      <c r="B94" s="5" t="s">
        <v>145</v>
      </c>
      <c r="C94" s="5" t="s">
        <v>132</v>
      </c>
      <c r="D94" s="11">
        <f>MAX(0, 2*'Precinct Vote Data'!G360 - 'Precinct Vote Data'!G358)</f>
        <v>529</v>
      </c>
      <c r="E94" s="10">
        <f>MIN(1,MAX(0,(5.3914776420524+0.021102849201698*'Precinct Vote Data'!I361*100+(-5.72594740176815)*0+0.927016741366831*('Precinct Vote Data'!H361*100))/100))</f>
        <v>0.5591734508</v>
      </c>
      <c r="F94" s="11">
        <f t="shared" si="1"/>
        <v>296</v>
      </c>
      <c r="G94" s="11">
        <f t="shared" si="2"/>
        <v>233</v>
      </c>
      <c r="H94" s="5" t="str">
        <f t="shared" si="3"/>
        <v>Democrat</v>
      </c>
    </row>
    <row r="95" ht="15.0" customHeight="1">
      <c r="A95" s="5" t="s">
        <v>143</v>
      </c>
      <c r="B95" s="5" t="s">
        <v>145</v>
      </c>
      <c r="C95" s="5" t="s">
        <v>133</v>
      </c>
      <c r="D95" s="11">
        <f>MAX(0, 2*'Precinct Vote Data'!G364 - 'Precinct Vote Data'!G362)</f>
        <v>611</v>
      </c>
      <c r="E95" s="10">
        <f>MIN(1,MAX(0,(5.3914776420524+0.021102849201698*'Precinct Vote Data'!I365*100+(-5.72594740176815)*0+0.927016741366831*('Precinct Vote Data'!H365*100))/100))</f>
        <v>0.6322726621</v>
      </c>
      <c r="F95" s="11">
        <f t="shared" si="1"/>
        <v>386</v>
      </c>
      <c r="G95" s="11">
        <f t="shared" si="2"/>
        <v>225</v>
      </c>
      <c r="H95" s="5" t="str">
        <f t="shared" si="3"/>
        <v>Democrat</v>
      </c>
    </row>
    <row r="96" ht="15.0" customHeight="1">
      <c r="A96" s="5" t="s">
        <v>143</v>
      </c>
      <c r="B96" s="5" t="s">
        <v>145</v>
      </c>
      <c r="C96" s="5" t="s">
        <v>135</v>
      </c>
      <c r="D96" s="11">
        <f>MAX(0, 2*'Precinct Vote Data'!G368 - 'Precinct Vote Data'!G366)</f>
        <v>612</v>
      </c>
      <c r="E96" s="10">
        <f>MIN(1,MAX(0,(5.3914776420524+0.021102849201698*'Precinct Vote Data'!I369*100+(-5.72594740176815)*0+0.927016741366831*('Precinct Vote Data'!H369*100))/100))</f>
        <v>0.6225088224</v>
      </c>
      <c r="F96" s="11">
        <f t="shared" si="1"/>
        <v>381</v>
      </c>
      <c r="G96" s="11">
        <f t="shared" si="2"/>
        <v>231</v>
      </c>
      <c r="H96" s="5" t="str">
        <f t="shared" si="3"/>
        <v>Democrat</v>
      </c>
    </row>
    <row r="97" ht="15.0" customHeight="1">
      <c r="A97" s="5" t="s">
        <v>143</v>
      </c>
      <c r="B97" s="5" t="s">
        <v>145</v>
      </c>
      <c r="C97" s="5" t="s">
        <v>136</v>
      </c>
      <c r="D97" s="11">
        <f>MAX(0, 2*'Precinct Vote Data'!G372 - 'Precinct Vote Data'!G370)</f>
        <v>451</v>
      </c>
      <c r="E97" s="10">
        <f>MIN(1,MAX(0,(5.3914776420524+0.021102849201698*'Precinct Vote Data'!I373*100+(-5.72594740176815)*0+0.927016741366831*('Precinct Vote Data'!H373*100))/100))</f>
        <v>0.5886229323</v>
      </c>
      <c r="F97" s="11">
        <f t="shared" si="1"/>
        <v>265</v>
      </c>
      <c r="G97" s="11">
        <f t="shared" si="2"/>
        <v>186</v>
      </c>
      <c r="H97" s="5" t="str">
        <f t="shared" si="3"/>
        <v>Democrat</v>
      </c>
    </row>
    <row r="98" ht="15.0" customHeight="1">
      <c r="A98" s="5" t="s">
        <v>143</v>
      </c>
      <c r="B98" s="5" t="s">
        <v>145</v>
      </c>
      <c r="C98" s="5" t="s">
        <v>139</v>
      </c>
      <c r="D98" s="11">
        <f>MAX(0, 2*'Precinct Vote Data'!G376 - 'Precinct Vote Data'!G374)</f>
        <v>341</v>
      </c>
      <c r="E98" s="10">
        <f>MIN(1,MAX(0,(5.3914776420524+0.021102849201698*'Precinct Vote Data'!I377*100+(-5.72594740176815)*0+0.927016741366831*('Precinct Vote Data'!H377*100))/100))</f>
        <v>0.6401421751</v>
      </c>
      <c r="F98" s="11">
        <f t="shared" si="1"/>
        <v>218</v>
      </c>
      <c r="G98" s="11">
        <f t="shared" si="2"/>
        <v>123</v>
      </c>
      <c r="H98" s="5" t="str">
        <f t="shared" si="3"/>
        <v>Democrat</v>
      </c>
    </row>
    <row r="99" ht="15.0" customHeight="1">
      <c r="A99" s="5" t="s">
        <v>143</v>
      </c>
      <c r="B99" s="5" t="s">
        <v>145</v>
      </c>
      <c r="C99" s="5" t="s">
        <v>140</v>
      </c>
      <c r="D99" s="11">
        <f>MAX(0, 2*'Precinct Vote Data'!G380 - 'Precinct Vote Data'!G378)</f>
        <v>734</v>
      </c>
      <c r="E99" s="10">
        <f>MIN(1,MAX(0,(5.3914776420524+0.021102849201698*'Precinct Vote Data'!I381*100+(-5.72594740176815)*0+0.927016741366831*('Precinct Vote Data'!H381*100))/100))</f>
        <v>0.6006738159</v>
      </c>
      <c r="F99" s="11">
        <f t="shared" si="1"/>
        <v>441</v>
      </c>
      <c r="G99" s="11">
        <f t="shared" si="2"/>
        <v>293</v>
      </c>
      <c r="H99" s="5" t="str">
        <f t="shared" si="3"/>
        <v>Democrat</v>
      </c>
    </row>
    <row r="100" ht="15.0" customHeight="1">
      <c r="A100" s="5" t="s">
        <v>143</v>
      </c>
      <c r="B100" s="5" t="s">
        <v>145</v>
      </c>
      <c r="C100" s="5" t="s">
        <v>142</v>
      </c>
      <c r="D100" s="11">
        <f>MAX(0, 2*'Precinct Vote Data'!G384 - 'Precinct Vote Data'!G382)</f>
        <v>486</v>
      </c>
      <c r="E100" s="10">
        <f>MIN(1,MAX(0,(5.3914776420524+0.021102849201698*'Precinct Vote Data'!I385*100+(-5.72594740176815)*0+0.927016741366831*('Precinct Vote Data'!H385*100))/100))</f>
        <v>0.6868439392</v>
      </c>
      <c r="F100" s="11">
        <f t="shared" si="1"/>
        <v>334</v>
      </c>
      <c r="G100" s="11">
        <f t="shared" si="2"/>
        <v>152</v>
      </c>
      <c r="H100" s="5" t="str">
        <f t="shared" si="3"/>
        <v>Democrat</v>
      </c>
    </row>
    <row r="101" ht="15.0" customHeight="1">
      <c r="A101" s="5" t="s">
        <v>143</v>
      </c>
      <c r="B101" s="5" t="s">
        <v>145</v>
      </c>
      <c r="C101" s="5" t="s">
        <v>148</v>
      </c>
      <c r="D101" s="11">
        <f>MAX(0, 2*'Precinct Vote Data'!G388 - 'Precinct Vote Data'!G386)</f>
        <v>657</v>
      </c>
      <c r="E101" s="10">
        <f>MIN(1,MAX(0,(5.3914776420524+0.021102849201698*'Precinct Vote Data'!I389*100+(-5.72594740176815)*0+0.927016741366831*('Precinct Vote Data'!H389*100))/100))</f>
        <v>0.6585740966</v>
      </c>
      <c r="F101" s="11">
        <f t="shared" si="1"/>
        <v>433</v>
      </c>
      <c r="G101" s="11">
        <f t="shared" si="2"/>
        <v>224</v>
      </c>
      <c r="H101" s="5" t="str">
        <f t="shared" si="3"/>
        <v>Democrat</v>
      </c>
    </row>
    <row r="102" ht="15.0" customHeight="1">
      <c r="A102" s="5" t="s">
        <v>143</v>
      </c>
      <c r="B102" s="5" t="s">
        <v>145</v>
      </c>
      <c r="C102" s="5" t="s">
        <v>149</v>
      </c>
      <c r="D102" s="11">
        <f>MAX(0, 2*'Precinct Vote Data'!G392 - 'Precinct Vote Data'!G390)</f>
        <v>720</v>
      </c>
      <c r="E102" s="10">
        <f>MIN(1,MAX(0,(5.3914776420524+0.021102849201698*'Precinct Vote Data'!I393*100+(-5.72594740176815)*0+0.927016741366831*('Precinct Vote Data'!H393*100))/100))</f>
        <v>0.6502467501</v>
      </c>
      <c r="F102" s="11">
        <f t="shared" si="1"/>
        <v>468</v>
      </c>
      <c r="G102" s="11">
        <f t="shared" si="2"/>
        <v>252</v>
      </c>
      <c r="H102" s="5" t="str">
        <f t="shared" si="3"/>
        <v>Democrat</v>
      </c>
    </row>
    <row r="103" ht="15.0" customHeight="1">
      <c r="A103" s="5" t="s">
        <v>143</v>
      </c>
      <c r="B103" s="5" t="s">
        <v>145</v>
      </c>
      <c r="C103" s="5" t="s">
        <v>150</v>
      </c>
      <c r="D103" s="11">
        <f>MAX(0, 2*'Precinct Vote Data'!G396 - 'Precinct Vote Data'!G394)</f>
        <v>585</v>
      </c>
      <c r="E103" s="10">
        <f>MIN(1,MAX(0,(5.3914776420524+0.021102849201698*'Precinct Vote Data'!I397*100+(-5.72594740176815)*0+0.927016741366831*('Precinct Vote Data'!H397*100))/100))</f>
        <v>0.6713054739</v>
      </c>
      <c r="F103" s="11">
        <f t="shared" si="1"/>
        <v>393</v>
      </c>
      <c r="G103" s="11">
        <f t="shared" si="2"/>
        <v>192</v>
      </c>
      <c r="H103" s="5" t="str">
        <f t="shared" si="3"/>
        <v>Democrat</v>
      </c>
    </row>
    <row r="104" ht="15.0" customHeight="1">
      <c r="A104" s="5" t="s">
        <v>143</v>
      </c>
      <c r="B104" s="5" t="s">
        <v>145</v>
      </c>
      <c r="C104" s="5" t="s">
        <v>151</v>
      </c>
      <c r="D104" s="11">
        <f>MAX(0, 2*'Precinct Vote Data'!G400 - 'Precinct Vote Data'!G398)</f>
        <v>353</v>
      </c>
      <c r="E104" s="10">
        <f>MIN(1,MAX(0,(5.3914776420524+0.021102849201698*'Precinct Vote Data'!I401*100+(-5.72594740176815)*0+0.927016741366831*('Precinct Vote Data'!H401*100))/100))</f>
        <v>0.5688766531</v>
      </c>
      <c r="F104" s="11">
        <f t="shared" si="1"/>
        <v>201</v>
      </c>
      <c r="G104" s="11">
        <f t="shared" si="2"/>
        <v>152</v>
      </c>
      <c r="H104" s="5" t="str">
        <f t="shared" si="3"/>
        <v>Democrat</v>
      </c>
    </row>
    <row r="105" ht="15.0" customHeight="1">
      <c r="A105" s="5" t="s">
        <v>143</v>
      </c>
      <c r="B105" s="5" t="s">
        <v>145</v>
      </c>
      <c r="C105" s="5" t="s">
        <v>152</v>
      </c>
      <c r="D105" s="11">
        <f>MAX(0, 2*'Precinct Vote Data'!G404 - 'Precinct Vote Data'!G402)</f>
        <v>443</v>
      </c>
      <c r="E105" s="10">
        <f>MIN(1,MAX(0,(5.3914776420524+0.021102849201698*'Precinct Vote Data'!I405*100+(-5.72594740176815)*0+0.927016741366831*('Precinct Vote Data'!H405*100))/100))</f>
        <v>0.6548718394</v>
      </c>
      <c r="F105" s="11">
        <f t="shared" si="1"/>
        <v>290</v>
      </c>
      <c r="G105" s="11">
        <f t="shared" si="2"/>
        <v>153</v>
      </c>
      <c r="H105" s="5" t="str">
        <f t="shared" si="3"/>
        <v>Democrat</v>
      </c>
    </row>
    <row r="106" ht="15.0" customHeight="1">
      <c r="A106" s="5" t="s">
        <v>143</v>
      </c>
      <c r="B106" s="5" t="s">
        <v>145</v>
      </c>
      <c r="C106" s="5" t="s">
        <v>153</v>
      </c>
      <c r="D106" s="11">
        <f>MAX(0, 2*'Precinct Vote Data'!G408 - 'Precinct Vote Data'!G406)</f>
        <v>418</v>
      </c>
      <c r="E106" s="10">
        <f>MIN(1,MAX(0,(5.3914776420524+0.021102849201698*'Precinct Vote Data'!I409*100+(-5.72594740176815)*0+0.927016741366831*('Precinct Vote Data'!H409*100))/100))</f>
        <v>0.6031759543</v>
      </c>
      <c r="F106" s="11">
        <f t="shared" si="1"/>
        <v>252</v>
      </c>
      <c r="G106" s="11">
        <f t="shared" si="2"/>
        <v>166</v>
      </c>
      <c r="H106" s="5" t="str">
        <f t="shared" si="3"/>
        <v>Democrat</v>
      </c>
    </row>
    <row r="107" ht="15.0" customHeight="1">
      <c r="A107" s="5" t="s">
        <v>143</v>
      </c>
      <c r="B107" s="5" t="s">
        <v>145</v>
      </c>
      <c r="C107" s="5" t="s">
        <v>154</v>
      </c>
      <c r="D107" s="11">
        <f>MAX(0, 2*'Precinct Vote Data'!G412 - 'Precinct Vote Data'!G410)</f>
        <v>361</v>
      </c>
      <c r="E107" s="10">
        <f>MIN(1,MAX(0,(5.3914776420524+0.021102849201698*'Precinct Vote Data'!I413*100+(-5.72594740176815)*0+0.927016741366831*('Precinct Vote Data'!H413*100))/100))</f>
        <v>0.6455206883</v>
      </c>
      <c r="F107" s="11">
        <f t="shared" si="1"/>
        <v>233</v>
      </c>
      <c r="G107" s="11">
        <f t="shared" si="2"/>
        <v>128</v>
      </c>
      <c r="H107" s="5" t="str">
        <f t="shared" si="3"/>
        <v>Democrat</v>
      </c>
    </row>
    <row r="108" ht="15.0" customHeight="1">
      <c r="A108" s="5" t="s">
        <v>143</v>
      </c>
      <c r="B108" s="5" t="s">
        <v>145</v>
      </c>
      <c r="C108" s="5" t="s">
        <v>155</v>
      </c>
      <c r="D108" s="11">
        <f>MAX(0, 2*'Precinct Vote Data'!G416 - 'Precinct Vote Data'!G414)</f>
        <v>595</v>
      </c>
      <c r="E108" s="10">
        <f>MIN(1,MAX(0,(5.3914776420524+0.021102849201698*'Precinct Vote Data'!I417*100+(-5.72594740176815)*0+0.927016741366831*('Precinct Vote Data'!H417*100))/100))</f>
        <v>0.6164799101</v>
      </c>
      <c r="F108" s="11">
        <f t="shared" si="1"/>
        <v>367</v>
      </c>
      <c r="G108" s="11">
        <f t="shared" si="2"/>
        <v>228</v>
      </c>
      <c r="H108" s="5" t="str">
        <f t="shared" si="3"/>
        <v>Democrat</v>
      </c>
    </row>
    <row r="109" ht="15.0" customHeight="1">
      <c r="A109" s="5" t="s">
        <v>143</v>
      </c>
      <c r="B109" s="5" t="s">
        <v>145</v>
      </c>
      <c r="C109" s="5" t="s">
        <v>156</v>
      </c>
      <c r="D109" s="11">
        <f>MAX(0, 2*'Precinct Vote Data'!G420 - 'Precinct Vote Data'!G418)</f>
        <v>698</v>
      </c>
      <c r="E109" s="10">
        <f>MIN(1,MAX(0,(5.3914776420524+0.021102849201698*'Precinct Vote Data'!I421*100+(-5.72594740176815)*0+0.927016741366831*('Precinct Vote Data'!H421*100))/100))</f>
        <v>0.6349226405</v>
      </c>
      <c r="F109" s="11">
        <f t="shared" si="1"/>
        <v>443</v>
      </c>
      <c r="G109" s="11">
        <f t="shared" si="2"/>
        <v>255</v>
      </c>
      <c r="H109" s="5" t="str">
        <f t="shared" si="3"/>
        <v>Democrat</v>
      </c>
    </row>
    <row r="110" ht="15.0" customHeight="1">
      <c r="A110" s="5" t="s">
        <v>143</v>
      </c>
      <c r="B110" s="5" t="s">
        <v>157</v>
      </c>
      <c r="C110" s="5" t="s">
        <v>158</v>
      </c>
      <c r="D110" s="11">
        <f>MAX(0, 2*'Precinct Vote Data'!G424 - 'Precinct Vote Data'!G422)</f>
        <v>700</v>
      </c>
      <c r="E110" s="10">
        <f>MIN(1,MAX(0,(5.3914776420524+0.021102849201698*'Precinct Vote Data'!I425*100+(-5.72594740176815)*0+0.927016741366831*('Precinct Vote Data'!H425*100))/100))</f>
        <v>0.7132687276</v>
      </c>
      <c r="F110" s="11">
        <f t="shared" si="1"/>
        <v>499</v>
      </c>
      <c r="G110" s="11">
        <f t="shared" si="2"/>
        <v>201</v>
      </c>
      <c r="H110" s="5" t="str">
        <f t="shared" si="3"/>
        <v>Democrat</v>
      </c>
    </row>
    <row r="111" ht="15.0" customHeight="1">
      <c r="A111" s="5" t="s">
        <v>143</v>
      </c>
      <c r="B111" s="5" t="s">
        <v>157</v>
      </c>
      <c r="C111" s="5" t="s">
        <v>159</v>
      </c>
      <c r="D111" s="11">
        <f>MAX(0, 2*'Precinct Vote Data'!G428 - 'Precinct Vote Data'!G426)</f>
        <v>493</v>
      </c>
      <c r="E111" s="10">
        <f>MIN(1,MAX(0,(5.3914776420524+0.021102849201698*'Precinct Vote Data'!I429*100+(-5.72594740176815)*0+0.927016741366831*('Precinct Vote Data'!H429*100))/100))</f>
        <v>0.6743745503</v>
      </c>
      <c r="F111" s="11">
        <f t="shared" si="1"/>
        <v>332</v>
      </c>
      <c r="G111" s="11">
        <f t="shared" si="2"/>
        <v>161</v>
      </c>
      <c r="H111" s="5" t="str">
        <f t="shared" si="3"/>
        <v>Democrat</v>
      </c>
    </row>
    <row r="112" ht="15.0" customHeight="1">
      <c r="A112" s="5" t="s">
        <v>143</v>
      </c>
      <c r="B112" s="5" t="s">
        <v>157</v>
      </c>
      <c r="C112" s="5" t="s">
        <v>160</v>
      </c>
      <c r="D112" s="11">
        <f>MAX(0, 2*'Precinct Vote Data'!G432 - 'Precinct Vote Data'!G430)</f>
        <v>543</v>
      </c>
      <c r="E112" s="10">
        <f>MIN(1,MAX(0,(5.3914776420524+0.021102849201698*'Precinct Vote Data'!I433*100+(-5.72594740176815)*0+0.927016741366831*('Precinct Vote Data'!H433*100))/100))</f>
        <v>0.723078212</v>
      </c>
      <c r="F112" s="11">
        <f t="shared" si="1"/>
        <v>393</v>
      </c>
      <c r="G112" s="11">
        <f t="shared" si="2"/>
        <v>150</v>
      </c>
      <c r="H112" s="5" t="str">
        <f t="shared" si="3"/>
        <v>Democrat</v>
      </c>
    </row>
    <row r="113" ht="15.0" customHeight="1">
      <c r="A113" s="5" t="s">
        <v>143</v>
      </c>
      <c r="B113" s="5" t="s">
        <v>157</v>
      </c>
      <c r="C113" s="5" t="s">
        <v>161</v>
      </c>
      <c r="D113" s="11">
        <f>MAX(0, 2*'Precinct Vote Data'!G436 - 'Precinct Vote Data'!G434)</f>
        <v>674</v>
      </c>
      <c r="E113" s="10">
        <f>MIN(1,MAX(0,(5.3914776420524+0.021102849201698*'Precinct Vote Data'!I437*100+(-5.72594740176815)*0+0.927016741366831*('Precinct Vote Data'!H437*100))/100))</f>
        <v>0.6903204656</v>
      </c>
      <c r="F113" s="11">
        <f t="shared" si="1"/>
        <v>465</v>
      </c>
      <c r="G113" s="11">
        <f t="shared" si="2"/>
        <v>209</v>
      </c>
      <c r="H113" s="5" t="str">
        <f t="shared" si="3"/>
        <v>Democrat</v>
      </c>
    </row>
    <row r="114" ht="15.0" customHeight="1">
      <c r="A114" s="5" t="s">
        <v>143</v>
      </c>
      <c r="B114" s="5" t="s">
        <v>157</v>
      </c>
      <c r="C114" s="5" t="s">
        <v>162</v>
      </c>
      <c r="D114" s="11">
        <f>MAX(0, 2*'Precinct Vote Data'!G440 - 'Precinct Vote Data'!G438)</f>
        <v>932</v>
      </c>
      <c r="E114" s="10">
        <f>MIN(1,MAX(0,(5.3914776420524+0.021102849201698*'Precinct Vote Data'!I441*100+(-5.72594740176815)*0+0.927016741366831*('Precinct Vote Data'!H441*100))/100))</f>
        <v>0.671294824</v>
      </c>
      <c r="F114" s="11">
        <f t="shared" si="1"/>
        <v>626</v>
      </c>
      <c r="G114" s="11">
        <f t="shared" si="2"/>
        <v>306</v>
      </c>
      <c r="H114" s="5" t="str">
        <f t="shared" si="3"/>
        <v>Democrat</v>
      </c>
    </row>
    <row r="115" ht="15.0" customHeight="1">
      <c r="A115" s="5" t="s">
        <v>143</v>
      </c>
      <c r="B115" s="5" t="s">
        <v>157</v>
      </c>
      <c r="C115" s="5" t="s">
        <v>163</v>
      </c>
      <c r="D115" s="11">
        <f>MAX(0, 2*'Precinct Vote Data'!G444 - 'Precinct Vote Data'!G442)</f>
        <v>681</v>
      </c>
      <c r="E115" s="10">
        <f>MIN(1,MAX(0,(5.3914776420524+0.021102849201698*'Precinct Vote Data'!I445*100+(-5.72594740176815)*0+0.927016741366831*('Precinct Vote Data'!H445*100))/100))</f>
        <v>0.6276837313</v>
      </c>
      <c r="F115" s="11">
        <f t="shared" si="1"/>
        <v>427</v>
      </c>
      <c r="G115" s="11">
        <f t="shared" si="2"/>
        <v>254</v>
      </c>
      <c r="H115" s="5" t="str">
        <f t="shared" si="3"/>
        <v>Democrat</v>
      </c>
    </row>
    <row r="116" ht="15.0" customHeight="1">
      <c r="A116" s="5" t="s">
        <v>143</v>
      </c>
      <c r="B116" s="5" t="s">
        <v>157</v>
      </c>
      <c r="C116" s="5" t="s">
        <v>164</v>
      </c>
      <c r="D116" s="11">
        <f>MAX(0, 2*'Precinct Vote Data'!G448 - 'Precinct Vote Data'!G446)</f>
        <v>810</v>
      </c>
      <c r="E116" s="10">
        <f>MIN(1,MAX(0,(5.3914776420524+0.021102849201698*'Precinct Vote Data'!I449*100+(-5.72594740176815)*0+0.927016741366831*('Precinct Vote Data'!H449*100))/100))</f>
        <v>0.6149254201</v>
      </c>
      <c r="F116" s="11">
        <f t="shared" si="1"/>
        <v>498</v>
      </c>
      <c r="G116" s="11">
        <f t="shared" si="2"/>
        <v>312</v>
      </c>
      <c r="H116" s="5" t="str">
        <f t="shared" si="3"/>
        <v>Democrat</v>
      </c>
    </row>
    <row r="117" ht="15.0" customHeight="1">
      <c r="A117" s="5" t="s">
        <v>143</v>
      </c>
      <c r="B117" s="5" t="s">
        <v>157</v>
      </c>
      <c r="C117" s="5" t="s">
        <v>165</v>
      </c>
      <c r="D117" s="11">
        <f>MAX(0, 2*'Precinct Vote Data'!G452 - 'Precinct Vote Data'!G450)</f>
        <v>1034</v>
      </c>
      <c r="E117" s="10">
        <f>MIN(1,MAX(0,(5.3914776420524+0.021102849201698*'Precinct Vote Data'!I453*100+(-5.72594740176815)*0+0.927016741366831*('Precinct Vote Data'!H453*100))/100))</f>
        <v>0.6149899889</v>
      </c>
      <c r="F117" s="11">
        <f t="shared" si="1"/>
        <v>636</v>
      </c>
      <c r="G117" s="11">
        <f t="shared" si="2"/>
        <v>398</v>
      </c>
      <c r="H117" s="5" t="str">
        <f t="shared" si="3"/>
        <v>Democrat</v>
      </c>
    </row>
    <row r="118" ht="15.0" customHeight="1">
      <c r="A118" s="5" t="s">
        <v>143</v>
      </c>
      <c r="B118" s="5" t="s">
        <v>157</v>
      </c>
      <c r="C118" s="5" t="s">
        <v>166</v>
      </c>
      <c r="D118" s="11">
        <f>MAX(0, 2*'Precinct Vote Data'!G456 - 'Precinct Vote Data'!G454)</f>
        <v>696</v>
      </c>
      <c r="E118" s="10">
        <f>MIN(1,MAX(0,(5.3914776420524+0.021102849201698*'Precinct Vote Data'!I457*100+(-5.72594740176815)*0+0.927016741366831*('Precinct Vote Data'!H457*100))/100))</f>
        <v>0.6291217387</v>
      </c>
      <c r="F118" s="11">
        <f t="shared" si="1"/>
        <v>438</v>
      </c>
      <c r="G118" s="11">
        <f t="shared" si="2"/>
        <v>258</v>
      </c>
      <c r="H118" s="5" t="str">
        <f t="shared" si="3"/>
        <v>Democrat</v>
      </c>
    </row>
    <row r="119" ht="15.0" customHeight="1">
      <c r="A119" s="5" t="s">
        <v>143</v>
      </c>
      <c r="B119" s="5" t="s">
        <v>157</v>
      </c>
      <c r="C119" s="5" t="s">
        <v>167</v>
      </c>
      <c r="D119" s="11">
        <f>MAX(0, 2*'Precinct Vote Data'!G460 - 'Precinct Vote Data'!G458)</f>
        <v>684</v>
      </c>
      <c r="E119" s="10">
        <f>MIN(1,MAX(0,(5.3914776420524+0.021102849201698*'Precinct Vote Data'!I461*100+(-5.72594740176815)*0+0.927016741366831*('Precinct Vote Data'!H461*100))/100))</f>
        <v>0.5757548392</v>
      </c>
      <c r="F119" s="11">
        <f t="shared" si="1"/>
        <v>394</v>
      </c>
      <c r="G119" s="11">
        <f t="shared" si="2"/>
        <v>290</v>
      </c>
      <c r="H119" s="5" t="str">
        <f t="shared" si="3"/>
        <v>Democrat</v>
      </c>
    </row>
    <row r="120" ht="15.0" customHeight="1">
      <c r="A120" s="5" t="s">
        <v>143</v>
      </c>
      <c r="B120" s="5" t="s">
        <v>157</v>
      </c>
      <c r="C120" s="5" t="s">
        <v>168</v>
      </c>
      <c r="D120" s="11">
        <f>MAX(0, 2*'Precinct Vote Data'!G464 - 'Precinct Vote Data'!G462)</f>
        <v>715</v>
      </c>
      <c r="E120" s="10">
        <f>MIN(1,MAX(0,(5.3914776420524+0.021102849201698*'Precinct Vote Data'!I465*100+(-5.72594740176815)*0+0.927016741366831*('Precinct Vote Data'!H465*100))/100))</f>
        <v>0.6423538241</v>
      </c>
      <c r="F120" s="11">
        <f t="shared" si="1"/>
        <v>459</v>
      </c>
      <c r="G120" s="11">
        <f t="shared" si="2"/>
        <v>256</v>
      </c>
      <c r="H120" s="5" t="str">
        <f t="shared" si="3"/>
        <v>Democrat</v>
      </c>
    </row>
    <row r="121" ht="15.0" customHeight="1">
      <c r="A121" s="5" t="s">
        <v>143</v>
      </c>
      <c r="B121" s="5" t="s">
        <v>157</v>
      </c>
      <c r="C121" s="5" t="s">
        <v>169</v>
      </c>
      <c r="D121" s="11">
        <f>MAX(0, 2*'Precinct Vote Data'!G468 - 'Precinct Vote Data'!G466)</f>
        <v>820</v>
      </c>
      <c r="E121" s="10">
        <f>MIN(1,MAX(0,(5.3914776420524+0.021102849201698*'Precinct Vote Data'!I469*100+(-5.72594740176815)*0+0.927016741366831*('Precinct Vote Data'!H469*100))/100))</f>
        <v>0.6170860258</v>
      </c>
      <c r="F121" s="11">
        <f t="shared" si="1"/>
        <v>506</v>
      </c>
      <c r="G121" s="11">
        <f t="shared" si="2"/>
        <v>314</v>
      </c>
      <c r="H121" s="5" t="str">
        <f t="shared" si="3"/>
        <v>Democrat</v>
      </c>
    </row>
    <row r="122" ht="15.0" customHeight="1">
      <c r="A122" s="5" t="s">
        <v>143</v>
      </c>
      <c r="B122" s="5" t="s">
        <v>170</v>
      </c>
      <c r="C122" s="5" t="s">
        <v>171</v>
      </c>
      <c r="D122" s="11">
        <f>MAX(0, 2*'Precinct Vote Data'!G472 - 'Precinct Vote Data'!G470)</f>
        <v>745</v>
      </c>
      <c r="E122" s="10">
        <f>MIN(1,MAX(0,(5.3914776420524+0.021102849201698*'Precinct Vote Data'!I473*100+(-5.72594740176815)*0+0.927016741366831*('Precinct Vote Data'!H473*100))/100))</f>
        <v>0.5684646839</v>
      </c>
      <c r="F122" s="11">
        <f t="shared" si="1"/>
        <v>424</v>
      </c>
      <c r="G122" s="11">
        <f t="shared" si="2"/>
        <v>321</v>
      </c>
      <c r="H122" s="5" t="str">
        <f t="shared" si="3"/>
        <v>Democrat</v>
      </c>
    </row>
    <row r="123" ht="15.0" customHeight="1">
      <c r="A123" s="5" t="s">
        <v>143</v>
      </c>
      <c r="B123" s="5" t="s">
        <v>170</v>
      </c>
      <c r="C123" s="5" t="s">
        <v>172</v>
      </c>
      <c r="D123" s="11">
        <f>MAX(0, 2*'Precinct Vote Data'!G476 - 'Precinct Vote Data'!G474)</f>
        <v>691</v>
      </c>
      <c r="E123" s="10">
        <f>MIN(1,MAX(0,(5.3914776420524+0.021102849201698*'Precinct Vote Data'!I477*100+(-5.72594740176815)*0+0.927016741366831*('Precinct Vote Data'!H477*100))/100))</f>
        <v>0.49720925</v>
      </c>
      <c r="F123" s="11">
        <f t="shared" si="1"/>
        <v>344</v>
      </c>
      <c r="G123" s="11">
        <f t="shared" si="2"/>
        <v>347</v>
      </c>
      <c r="H123" s="5" t="str">
        <f t="shared" si="3"/>
        <v>Republican</v>
      </c>
    </row>
    <row r="124" ht="15.0" customHeight="1">
      <c r="A124" s="5" t="s">
        <v>143</v>
      </c>
      <c r="B124" s="5" t="s">
        <v>170</v>
      </c>
      <c r="C124" s="5" t="s">
        <v>173</v>
      </c>
      <c r="D124" s="11">
        <f>MAX(0, 2*'Precinct Vote Data'!G480 - 'Precinct Vote Data'!G478)</f>
        <v>826</v>
      </c>
      <c r="E124" s="10">
        <f>MIN(1,MAX(0,(5.3914776420524+0.021102849201698*'Precinct Vote Data'!I481*100+(-5.72594740176815)*0+0.927016741366831*('Precinct Vote Data'!H481*100))/100))</f>
        <v>0.5236601353</v>
      </c>
      <c r="F124" s="11">
        <f t="shared" si="1"/>
        <v>433</v>
      </c>
      <c r="G124" s="11">
        <f t="shared" si="2"/>
        <v>393</v>
      </c>
      <c r="H124" s="5" t="str">
        <f t="shared" si="3"/>
        <v>Democrat</v>
      </c>
    </row>
    <row r="125" ht="15.0" customHeight="1">
      <c r="A125" s="5" t="s">
        <v>143</v>
      </c>
      <c r="B125" s="5" t="s">
        <v>174</v>
      </c>
      <c r="C125" s="5" t="s">
        <v>175</v>
      </c>
      <c r="D125" s="11">
        <f>MAX(0, 2*'Precinct Vote Data'!G484 - 'Precinct Vote Data'!G482)</f>
        <v>1479</v>
      </c>
      <c r="E125" s="10">
        <f>MIN(1,MAX(0,(5.3914776420524+0.021102849201698*'Precinct Vote Data'!I485*100+(-5.72594740176815)*0+0.927016741366831*('Precinct Vote Data'!H485*100))/100))</f>
        <v>0.4944832486</v>
      </c>
      <c r="F125" s="11">
        <f t="shared" si="1"/>
        <v>731</v>
      </c>
      <c r="G125" s="11">
        <f t="shared" si="2"/>
        <v>748</v>
      </c>
      <c r="H125" s="5" t="str">
        <f t="shared" si="3"/>
        <v>Republican</v>
      </c>
    </row>
    <row r="126" ht="15.0" customHeight="1">
      <c r="A126" s="5" t="s">
        <v>143</v>
      </c>
      <c r="B126" s="5" t="s">
        <v>176</v>
      </c>
      <c r="C126" s="5" t="s">
        <v>177</v>
      </c>
      <c r="D126" s="11">
        <f>MAX(0, 2*'Precinct Vote Data'!G488 - 'Precinct Vote Data'!G486)</f>
        <v>584</v>
      </c>
      <c r="E126" s="10">
        <f>MIN(1,MAX(0,(5.3914776420524+0.021102849201698*'Precinct Vote Data'!I489*100+(-5.72594740176815)*0+0.927016741366831*('Precinct Vote Data'!H489*100))/100))</f>
        <v>0.5122126633</v>
      </c>
      <c r="F126" s="11">
        <f t="shared" si="1"/>
        <v>299</v>
      </c>
      <c r="G126" s="11">
        <f t="shared" si="2"/>
        <v>285</v>
      </c>
      <c r="H126" s="5" t="str">
        <f t="shared" si="3"/>
        <v>Democrat</v>
      </c>
    </row>
    <row r="127" ht="15.0" customHeight="1">
      <c r="A127" s="5" t="s">
        <v>143</v>
      </c>
      <c r="B127" s="5" t="s">
        <v>176</v>
      </c>
      <c r="C127" s="5" t="s">
        <v>178</v>
      </c>
      <c r="D127" s="11">
        <f>MAX(0, 2*'Precinct Vote Data'!G492 - 'Precinct Vote Data'!G490)</f>
        <v>835</v>
      </c>
      <c r="E127" s="10">
        <f>MIN(1,MAX(0,(5.3914776420524+0.021102849201698*'Precinct Vote Data'!I493*100+(-5.72594740176815)*0+0.927016741366831*('Precinct Vote Data'!H493*100))/100))</f>
        <v>0.5252511916</v>
      </c>
      <c r="F127" s="11">
        <f t="shared" si="1"/>
        <v>439</v>
      </c>
      <c r="G127" s="11">
        <f t="shared" si="2"/>
        <v>396</v>
      </c>
      <c r="H127" s="5" t="str">
        <f t="shared" si="3"/>
        <v>Democrat</v>
      </c>
    </row>
    <row r="128" ht="15.0" customHeight="1">
      <c r="A128" s="5" t="s">
        <v>143</v>
      </c>
      <c r="B128" s="5" t="s">
        <v>179</v>
      </c>
      <c r="C128" s="5" t="s">
        <v>180</v>
      </c>
      <c r="D128" s="11">
        <f>MAX(0, 2*'Precinct Vote Data'!G496 - 'Precinct Vote Data'!G494)</f>
        <v>954</v>
      </c>
      <c r="E128" s="10">
        <f>MIN(1,MAX(0,(5.3914776420524+0.021102849201698*'Precinct Vote Data'!I497*100+(-5.72594740176815)*0+0.927016741366831*('Precinct Vote Data'!H497*100))/100))</f>
        <v>0.5474406111</v>
      </c>
      <c r="F128" s="11">
        <f t="shared" si="1"/>
        <v>522</v>
      </c>
      <c r="G128" s="11">
        <f t="shared" si="2"/>
        <v>432</v>
      </c>
      <c r="H128" s="5" t="str">
        <f t="shared" si="3"/>
        <v>Democrat</v>
      </c>
    </row>
    <row r="129" ht="15.0" customHeight="1">
      <c r="A129" s="5" t="s">
        <v>143</v>
      </c>
      <c r="B129" s="5" t="s">
        <v>179</v>
      </c>
      <c r="C129" s="5" t="s">
        <v>181</v>
      </c>
      <c r="D129" s="11">
        <f>MAX(0, 2*'Precinct Vote Data'!G500 - 'Precinct Vote Data'!G498)</f>
        <v>890</v>
      </c>
      <c r="E129" s="10">
        <f>MIN(1,MAX(0,(5.3914776420524+0.021102849201698*'Precinct Vote Data'!I501*100+(-5.72594740176815)*0+0.927016741366831*('Precinct Vote Data'!H501*100))/100))</f>
        <v>0.5432871438</v>
      </c>
      <c r="F129" s="11">
        <f t="shared" si="1"/>
        <v>484</v>
      </c>
      <c r="G129" s="11">
        <f t="shared" si="2"/>
        <v>406</v>
      </c>
      <c r="H129" s="5" t="str">
        <f t="shared" si="3"/>
        <v>Democrat</v>
      </c>
    </row>
    <row r="130" ht="15.0" customHeight="1">
      <c r="A130" s="5" t="s">
        <v>143</v>
      </c>
      <c r="B130" s="5" t="s">
        <v>179</v>
      </c>
      <c r="C130" s="5" t="s">
        <v>182</v>
      </c>
      <c r="D130" s="11">
        <f>MAX(0, 2*'Precinct Vote Data'!G504 - 'Precinct Vote Data'!G502)</f>
        <v>1176</v>
      </c>
      <c r="E130" s="10">
        <f>MIN(1,MAX(0,(5.3914776420524+0.021102849201698*'Precinct Vote Data'!I505*100+(-5.72594740176815)*0+0.927016741366831*('Precinct Vote Data'!H505*100))/100))</f>
        <v>0.5251931369</v>
      </c>
      <c r="F130" s="11">
        <f t="shared" si="1"/>
        <v>618</v>
      </c>
      <c r="G130" s="11">
        <f t="shared" si="2"/>
        <v>558</v>
      </c>
      <c r="H130" s="5" t="str">
        <f t="shared" si="3"/>
        <v>Democrat</v>
      </c>
    </row>
    <row r="131" ht="15.0" customHeight="1">
      <c r="A131" s="5" t="s">
        <v>143</v>
      </c>
      <c r="B131" s="5" t="s">
        <v>179</v>
      </c>
      <c r="C131" s="5" t="s">
        <v>183</v>
      </c>
      <c r="D131" s="11">
        <f>MAX(0, 2*'Precinct Vote Data'!G508 - 'Precinct Vote Data'!G506)</f>
        <v>1034</v>
      </c>
      <c r="E131" s="10">
        <f>MIN(1,MAX(0,(5.3914776420524+0.021102849201698*'Precinct Vote Data'!I509*100+(-5.72594740176815)*0+0.927016741366831*('Precinct Vote Data'!H509*100))/100))</f>
        <v>0.5582345652</v>
      </c>
      <c r="F131" s="11">
        <f t="shared" si="1"/>
        <v>577</v>
      </c>
      <c r="G131" s="11">
        <f t="shared" si="2"/>
        <v>457</v>
      </c>
      <c r="H131" s="5" t="str">
        <f t="shared" si="3"/>
        <v>Democrat</v>
      </c>
    </row>
    <row r="132" ht="15.0" customHeight="1">
      <c r="A132" s="5" t="s">
        <v>143</v>
      </c>
      <c r="B132" s="5" t="s">
        <v>179</v>
      </c>
      <c r="C132" s="5" t="s">
        <v>184</v>
      </c>
      <c r="D132" s="11">
        <f>MAX(0, 2*'Precinct Vote Data'!G512 - 'Precinct Vote Data'!G510)</f>
        <v>618</v>
      </c>
      <c r="E132" s="10">
        <f>MIN(1,MAX(0,(5.3914776420524+0.021102849201698*'Precinct Vote Data'!I513*100+(-5.72594740176815)*0+0.927016741366831*('Precinct Vote Data'!H513*100))/100))</f>
        <v>0.5117194852</v>
      </c>
      <c r="F132" s="11">
        <f t="shared" si="1"/>
        <v>316</v>
      </c>
      <c r="G132" s="11">
        <f t="shared" si="2"/>
        <v>302</v>
      </c>
      <c r="H132" s="5" t="str">
        <f t="shared" si="3"/>
        <v>Democrat</v>
      </c>
    </row>
    <row r="133" ht="15.0" customHeight="1">
      <c r="A133" s="5" t="s">
        <v>143</v>
      </c>
      <c r="B133" s="5" t="s">
        <v>179</v>
      </c>
      <c r="C133" s="5" t="s">
        <v>185</v>
      </c>
      <c r="D133" s="11">
        <f>MAX(0, 2*'Precinct Vote Data'!G516 - 'Precinct Vote Data'!G514)</f>
        <v>1107</v>
      </c>
      <c r="E133" s="10">
        <f>MIN(1,MAX(0,(5.3914776420524+0.021102849201698*'Precinct Vote Data'!I517*100+(-5.72594740176815)*0+0.927016741366831*('Precinct Vote Data'!H517*100))/100))</f>
        <v>0.5895409823</v>
      </c>
      <c r="F133" s="11">
        <f t="shared" si="1"/>
        <v>653</v>
      </c>
      <c r="G133" s="11">
        <f t="shared" si="2"/>
        <v>454</v>
      </c>
      <c r="H133" s="5" t="str">
        <f t="shared" si="3"/>
        <v>Democrat</v>
      </c>
    </row>
    <row r="134" ht="15.0" customHeight="1">
      <c r="A134" s="5" t="s">
        <v>143</v>
      </c>
      <c r="B134" s="5" t="s">
        <v>186</v>
      </c>
      <c r="C134" s="5" t="s">
        <v>187</v>
      </c>
      <c r="D134" s="11">
        <f>MAX(0, 2*'Precinct Vote Data'!G520 - 'Precinct Vote Data'!G518)</f>
        <v>575</v>
      </c>
      <c r="E134" s="10">
        <f>MIN(1,MAX(0,(5.3914776420524+0.021102849201698*'Precinct Vote Data'!I521*100+(-5.72594740176815)*0+0.927016741366831*('Precinct Vote Data'!H521*100))/100))</f>
        <v>0.677335492</v>
      </c>
      <c r="F134" s="11">
        <f t="shared" si="1"/>
        <v>389</v>
      </c>
      <c r="G134" s="11">
        <f t="shared" si="2"/>
        <v>186</v>
      </c>
      <c r="H134" s="5" t="str">
        <f t="shared" si="3"/>
        <v>Democrat</v>
      </c>
    </row>
    <row r="135" ht="15.0" customHeight="1">
      <c r="A135" s="5" t="s">
        <v>143</v>
      </c>
      <c r="B135" s="5" t="s">
        <v>186</v>
      </c>
      <c r="C135" s="5" t="s">
        <v>188</v>
      </c>
      <c r="D135" s="11">
        <f>MAX(0, 2*'Precinct Vote Data'!G524 - 'Precinct Vote Data'!G522)</f>
        <v>445</v>
      </c>
      <c r="E135" s="10">
        <f>MIN(1,MAX(0,(5.3914776420524+0.021102849201698*'Precinct Vote Data'!I525*100+(-5.72594740176815)*0+0.927016741366831*('Precinct Vote Data'!H525*100))/100))</f>
        <v>0.6422693787</v>
      </c>
      <c r="F135" s="11">
        <f t="shared" si="1"/>
        <v>286</v>
      </c>
      <c r="G135" s="11">
        <f t="shared" si="2"/>
        <v>159</v>
      </c>
      <c r="H135" s="5" t="str">
        <f t="shared" si="3"/>
        <v>Democrat</v>
      </c>
    </row>
    <row r="136" ht="15.0" customHeight="1">
      <c r="A136" s="5" t="s">
        <v>143</v>
      </c>
      <c r="B136" s="5" t="s">
        <v>186</v>
      </c>
      <c r="C136" s="5" t="s">
        <v>189</v>
      </c>
      <c r="D136" s="11">
        <f>MAX(0, 2*'Precinct Vote Data'!G528 - 'Precinct Vote Data'!G526)</f>
        <v>538</v>
      </c>
      <c r="E136" s="10">
        <f>MIN(1,MAX(0,(5.3914776420524+0.021102849201698*'Precinct Vote Data'!I529*100+(-5.72594740176815)*0+0.927016741366831*('Precinct Vote Data'!H529*100))/100))</f>
        <v>0.6472686811</v>
      </c>
      <c r="F136" s="11">
        <f t="shared" si="1"/>
        <v>348</v>
      </c>
      <c r="G136" s="11">
        <f t="shared" si="2"/>
        <v>190</v>
      </c>
      <c r="H136" s="5" t="str">
        <f t="shared" si="3"/>
        <v>Democrat</v>
      </c>
    </row>
    <row r="137" ht="15.0" customHeight="1">
      <c r="A137" s="5" t="s">
        <v>143</v>
      </c>
      <c r="B137" s="5" t="s">
        <v>190</v>
      </c>
      <c r="C137" s="5" t="s">
        <v>191</v>
      </c>
      <c r="D137" s="11">
        <f>MAX(0, 2*'Precinct Vote Data'!G532 - 'Precinct Vote Data'!G530)</f>
        <v>442</v>
      </c>
      <c r="E137" s="10">
        <f>MIN(1,MAX(0,(5.3914776420524+0.021102849201698*'Precinct Vote Data'!I533*100+(-5.72594740176815)*0+0.927016741366831*('Precinct Vote Data'!H533*100))/100))</f>
        <v>0.5524049389</v>
      </c>
      <c r="F137" s="11">
        <f t="shared" si="1"/>
        <v>244</v>
      </c>
      <c r="G137" s="11">
        <f t="shared" si="2"/>
        <v>198</v>
      </c>
      <c r="H137" s="5" t="str">
        <f t="shared" si="3"/>
        <v>Democrat</v>
      </c>
    </row>
    <row r="138" ht="15.0" customHeight="1">
      <c r="A138" s="5" t="s">
        <v>143</v>
      </c>
      <c r="B138" s="5" t="s">
        <v>192</v>
      </c>
      <c r="C138" s="5" t="s">
        <v>193</v>
      </c>
      <c r="D138" s="11">
        <f>MAX(0, 2*'Precinct Vote Data'!G536 - 'Precinct Vote Data'!G534)</f>
        <v>1826</v>
      </c>
      <c r="E138" s="10">
        <f>MIN(1,MAX(0,(5.3914776420524+0.021102849201698*'Precinct Vote Data'!I537*100+(-5.72594740176815)*0+0.927016741366831*('Precinct Vote Data'!H537*100))/100))</f>
        <v>0.3364238499</v>
      </c>
      <c r="F138" s="11">
        <f t="shared" si="1"/>
        <v>614</v>
      </c>
      <c r="G138" s="11">
        <f t="shared" si="2"/>
        <v>1212</v>
      </c>
      <c r="H138" s="5" t="str">
        <f t="shared" si="3"/>
        <v>Republican</v>
      </c>
    </row>
    <row r="139" ht="15.0" customHeight="1">
      <c r="A139" s="5" t="s">
        <v>143</v>
      </c>
      <c r="B139" s="5" t="s">
        <v>194</v>
      </c>
      <c r="C139" s="5" t="s">
        <v>195</v>
      </c>
      <c r="D139" s="11">
        <f>MAX(0, 2*'Precinct Vote Data'!G540 - 'Precinct Vote Data'!G538)</f>
        <v>1804</v>
      </c>
      <c r="E139" s="10">
        <f>MIN(1,MAX(0,(5.3914776420524+0.021102849201698*'Precinct Vote Data'!I541*100+(-5.72594740176815)*0+0.927016741366831*('Precinct Vote Data'!H541*100))/100))</f>
        <v>0.5129753311</v>
      </c>
      <c r="F139" s="11">
        <f t="shared" si="1"/>
        <v>925</v>
      </c>
      <c r="G139" s="11">
        <f t="shared" si="2"/>
        <v>879</v>
      </c>
      <c r="H139" s="5" t="str">
        <f t="shared" si="3"/>
        <v>Democrat</v>
      </c>
    </row>
    <row r="140" ht="15.0" customHeight="1">
      <c r="A140" s="5" t="s">
        <v>143</v>
      </c>
      <c r="B140" s="5" t="s">
        <v>194</v>
      </c>
      <c r="C140" s="5" t="s">
        <v>196</v>
      </c>
      <c r="D140" s="11">
        <f>MAX(0, 2*'Precinct Vote Data'!G544 - 'Precinct Vote Data'!G542)</f>
        <v>3248</v>
      </c>
      <c r="E140" s="10">
        <f>MIN(1,MAX(0,(5.3914776420524+0.021102849201698*'Precinct Vote Data'!I545*100+(-5.72594740176815)*0+0.927016741366831*('Precinct Vote Data'!H545*100))/100))</f>
        <v>0.5150059078</v>
      </c>
      <c r="F140" s="11">
        <f t="shared" si="1"/>
        <v>1673</v>
      </c>
      <c r="G140" s="11">
        <f t="shared" si="2"/>
        <v>1575</v>
      </c>
      <c r="H140" s="5" t="str">
        <f t="shared" si="3"/>
        <v>Democrat</v>
      </c>
    </row>
    <row r="141" ht="15.0" customHeight="1">
      <c r="A141" s="5" t="s">
        <v>143</v>
      </c>
      <c r="B141" s="5" t="s">
        <v>194</v>
      </c>
      <c r="C141" s="5" t="s">
        <v>197</v>
      </c>
      <c r="D141" s="11">
        <f>MAX(0, 2*'Precinct Vote Data'!G548 - 'Precinct Vote Data'!G546)</f>
        <v>1699</v>
      </c>
      <c r="E141" s="10">
        <f>MIN(1,MAX(0,(5.3914776420524+0.021102849201698*'Precinct Vote Data'!I549*100+(-5.72594740176815)*0+0.927016741366831*('Precinct Vote Data'!H549*100))/100))</f>
        <v>0.4977785036</v>
      </c>
      <c r="F141" s="11">
        <f t="shared" si="1"/>
        <v>846</v>
      </c>
      <c r="G141" s="11">
        <f t="shared" si="2"/>
        <v>853</v>
      </c>
      <c r="H141" s="5" t="str">
        <f t="shared" si="3"/>
        <v>Republican</v>
      </c>
    </row>
    <row r="142" ht="15.0" customHeight="1">
      <c r="A142" s="5" t="s">
        <v>143</v>
      </c>
      <c r="B142" s="5" t="s">
        <v>194</v>
      </c>
      <c r="C142" s="5" t="s">
        <v>198</v>
      </c>
      <c r="D142" s="11">
        <f>MAX(0, 2*'Precinct Vote Data'!G552 - 'Precinct Vote Data'!G550)</f>
        <v>1440</v>
      </c>
      <c r="E142" s="10">
        <f>MIN(1,MAX(0,(5.3914776420524+0.021102849201698*'Precinct Vote Data'!I553*100+(-5.72594740176815)*0+0.927016741366831*('Precinct Vote Data'!H553*100))/100))</f>
        <v>0.5011954039</v>
      </c>
      <c r="F142" s="11">
        <f t="shared" si="1"/>
        <v>722</v>
      </c>
      <c r="G142" s="11">
        <f t="shared" si="2"/>
        <v>718</v>
      </c>
      <c r="H142" s="5" t="str">
        <f t="shared" si="3"/>
        <v>Democrat</v>
      </c>
    </row>
    <row r="143" ht="15.0" customHeight="1">
      <c r="A143" s="5" t="s">
        <v>143</v>
      </c>
      <c r="B143" s="5" t="s">
        <v>194</v>
      </c>
      <c r="C143" s="5" t="s">
        <v>199</v>
      </c>
      <c r="D143" s="11">
        <f>MAX(0, 2*'Precinct Vote Data'!G556 - 'Precinct Vote Data'!G554)</f>
        <v>1337</v>
      </c>
      <c r="E143" s="10">
        <f>MIN(1,MAX(0,(5.3914776420524+0.021102849201698*'Precinct Vote Data'!I557*100+(-5.72594740176815)*0+0.927016741366831*('Precinct Vote Data'!H557*100))/100))</f>
        <v>0.5278521525</v>
      </c>
      <c r="F143" s="11">
        <f t="shared" si="1"/>
        <v>706</v>
      </c>
      <c r="G143" s="11">
        <f t="shared" si="2"/>
        <v>631</v>
      </c>
      <c r="H143" s="5" t="str">
        <f t="shared" si="3"/>
        <v>Democrat</v>
      </c>
    </row>
    <row r="144" ht="15.0" customHeight="1">
      <c r="A144" s="5" t="s">
        <v>143</v>
      </c>
      <c r="B144" s="5" t="s">
        <v>194</v>
      </c>
      <c r="C144" s="5" t="s">
        <v>200</v>
      </c>
      <c r="D144" s="11">
        <f>MAX(0, 2*'Precinct Vote Data'!G560 - 'Precinct Vote Data'!G558)</f>
        <v>2641</v>
      </c>
      <c r="E144" s="10">
        <f>MIN(1,MAX(0,(5.3914776420524+0.021102849201698*'Precinct Vote Data'!I561*100+(-5.72594740176815)*0+0.927016741366831*('Precinct Vote Data'!H561*100))/100))</f>
        <v>0.50150975</v>
      </c>
      <c r="F144" s="11">
        <f t="shared" si="1"/>
        <v>1324</v>
      </c>
      <c r="G144" s="11">
        <f t="shared" si="2"/>
        <v>1317</v>
      </c>
      <c r="H144" s="5" t="str">
        <f t="shared" si="3"/>
        <v>Democrat</v>
      </c>
    </row>
    <row r="145" ht="15.0" customHeight="1">
      <c r="A145" s="5" t="s">
        <v>143</v>
      </c>
      <c r="B145" s="5" t="s">
        <v>194</v>
      </c>
      <c r="C145" s="5" t="s">
        <v>201</v>
      </c>
      <c r="D145" s="11">
        <f>MAX(0, 2*'Precinct Vote Data'!G564 - 'Precinct Vote Data'!G562)</f>
        <v>1453</v>
      </c>
      <c r="E145" s="10">
        <f>MIN(1,MAX(0,(5.3914776420524+0.021102849201698*'Precinct Vote Data'!I565*100+(-5.72594740176815)*0+0.927016741366831*('Precinct Vote Data'!H565*100))/100))</f>
        <v>0.5450247576</v>
      </c>
      <c r="F145" s="11">
        <f t="shared" si="1"/>
        <v>792</v>
      </c>
      <c r="G145" s="11">
        <f t="shared" si="2"/>
        <v>661</v>
      </c>
      <c r="H145" s="5" t="str">
        <f t="shared" si="3"/>
        <v>Democrat</v>
      </c>
    </row>
    <row r="146" ht="15.0" customHeight="1">
      <c r="A146" s="5" t="s">
        <v>143</v>
      </c>
      <c r="B146" s="5" t="s">
        <v>194</v>
      </c>
      <c r="C146" s="5" t="s">
        <v>202</v>
      </c>
      <c r="D146" s="11">
        <f>MAX(0, 2*'Precinct Vote Data'!G568 - 'Precinct Vote Data'!G566)</f>
        <v>1559</v>
      </c>
      <c r="E146" s="10">
        <f>MIN(1,MAX(0,(5.3914776420524+0.021102849201698*'Precinct Vote Data'!I569*100+(-5.72594740176815)*0+0.927016741366831*('Precinct Vote Data'!H569*100))/100))</f>
        <v>0.5209410555</v>
      </c>
      <c r="F146" s="11">
        <f t="shared" si="1"/>
        <v>812</v>
      </c>
      <c r="G146" s="11">
        <f t="shared" si="2"/>
        <v>747</v>
      </c>
      <c r="H146" s="5" t="str">
        <f t="shared" si="3"/>
        <v>Democrat</v>
      </c>
    </row>
    <row r="147" ht="15.0" customHeight="1">
      <c r="A147" s="5" t="s">
        <v>143</v>
      </c>
      <c r="B147" s="5" t="s">
        <v>194</v>
      </c>
      <c r="C147" s="5" t="s">
        <v>203</v>
      </c>
      <c r="D147" s="11">
        <f>MAX(0, 2*'Precinct Vote Data'!G572 - 'Precinct Vote Data'!G570)</f>
        <v>949</v>
      </c>
      <c r="E147" s="10">
        <f>MIN(1,MAX(0,(5.3914776420524+0.021102849201698*'Precinct Vote Data'!I573*100+(-5.72594740176815)*0+0.927016741366831*('Precinct Vote Data'!H573*100))/100))</f>
        <v>0.514819196</v>
      </c>
      <c r="F147" s="11">
        <f t="shared" si="1"/>
        <v>489</v>
      </c>
      <c r="G147" s="11">
        <f t="shared" si="2"/>
        <v>460</v>
      </c>
      <c r="H147" s="5" t="str">
        <f t="shared" si="3"/>
        <v>Democrat</v>
      </c>
    </row>
    <row r="148" ht="15.0" customHeight="1">
      <c r="A148" s="5" t="s">
        <v>143</v>
      </c>
      <c r="B148" s="5" t="s">
        <v>194</v>
      </c>
      <c r="C148" s="5" t="s">
        <v>204</v>
      </c>
      <c r="D148" s="11">
        <f>MAX(0, 2*'Precinct Vote Data'!G576 - 'Precinct Vote Data'!G574)</f>
        <v>1694</v>
      </c>
      <c r="E148" s="10">
        <f>MIN(1,MAX(0,(5.3914776420524+0.021102849201698*'Precinct Vote Data'!I577*100+(-5.72594740176815)*0+0.927016741366831*('Precinct Vote Data'!H577*100))/100))</f>
        <v>0.5008359714</v>
      </c>
      <c r="F148" s="11">
        <f t="shared" si="1"/>
        <v>848</v>
      </c>
      <c r="G148" s="11">
        <f t="shared" si="2"/>
        <v>846</v>
      </c>
      <c r="H148" s="5" t="str">
        <f t="shared" si="3"/>
        <v>Democrat</v>
      </c>
    </row>
    <row r="149" ht="15.0" customHeight="1">
      <c r="A149" s="5" t="s">
        <v>143</v>
      </c>
      <c r="B149" s="5" t="s">
        <v>205</v>
      </c>
      <c r="C149" s="5" t="s">
        <v>206</v>
      </c>
      <c r="D149" s="11">
        <f>MAX(0, 2*'Precinct Vote Data'!G580 - 'Precinct Vote Data'!G578)</f>
        <v>2470</v>
      </c>
      <c r="E149" s="10">
        <f>MIN(1,MAX(0,(5.3914776420524+0.021102849201698*'Precinct Vote Data'!I581*100+(-5.72594740176815)*0+0.927016741366831*('Precinct Vote Data'!H581*100))/100))</f>
        <v>0.4033350176</v>
      </c>
      <c r="F149" s="11">
        <f t="shared" si="1"/>
        <v>996</v>
      </c>
      <c r="G149" s="11">
        <f t="shared" si="2"/>
        <v>1474</v>
      </c>
      <c r="H149" s="5" t="str">
        <f t="shared" si="3"/>
        <v>Republican</v>
      </c>
    </row>
    <row r="150" ht="15.0" customHeight="1">
      <c r="A150" s="5" t="s">
        <v>143</v>
      </c>
      <c r="B150" s="5" t="s">
        <v>207</v>
      </c>
      <c r="C150" s="5" t="s">
        <v>208</v>
      </c>
      <c r="D150" s="11">
        <f>MAX(0, 2*'Precinct Vote Data'!G584 - 'Precinct Vote Data'!G582)</f>
        <v>1343</v>
      </c>
      <c r="E150" s="10">
        <f>MIN(1,MAX(0,(5.3914776420524+0.021102849201698*'Precinct Vote Data'!I585*100+(-5.72594740176815)*0+0.927016741366831*('Precinct Vote Data'!H585*100))/100))</f>
        <v>0.3757164549</v>
      </c>
      <c r="F150" s="11">
        <f t="shared" si="1"/>
        <v>505</v>
      </c>
      <c r="G150" s="11">
        <f t="shared" si="2"/>
        <v>838</v>
      </c>
      <c r="H150" s="5" t="str">
        <f t="shared" si="3"/>
        <v>Republican</v>
      </c>
    </row>
    <row r="151" ht="15.0" customHeight="1">
      <c r="A151" s="5" t="s">
        <v>143</v>
      </c>
      <c r="B151" s="5" t="s">
        <v>209</v>
      </c>
      <c r="C151" s="5" t="s">
        <v>210</v>
      </c>
      <c r="D151" s="11">
        <f>MAX(0, 2*'Precinct Vote Data'!G588 - 'Precinct Vote Data'!G586)</f>
        <v>655</v>
      </c>
      <c r="E151" s="10">
        <f>MIN(1,MAX(0,(5.3914776420524+0.021102849201698*'Precinct Vote Data'!I589*100+(-5.72594740176815)*0+0.927016741366831*('Precinct Vote Data'!H589*100))/100))</f>
        <v>0.2979829387</v>
      </c>
      <c r="F151" s="11">
        <f t="shared" si="1"/>
        <v>195</v>
      </c>
      <c r="G151" s="11">
        <f t="shared" si="2"/>
        <v>460</v>
      </c>
      <c r="H151" s="5" t="str">
        <f t="shared" si="3"/>
        <v>Republican</v>
      </c>
    </row>
    <row r="152" ht="15.0" customHeight="1">
      <c r="A152" s="5" t="s">
        <v>143</v>
      </c>
      <c r="B152" s="5" t="s">
        <v>209</v>
      </c>
      <c r="C152" s="5" t="s">
        <v>211</v>
      </c>
      <c r="D152" s="11">
        <f>MAX(0, 2*'Precinct Vote Data'!G592 - 'Precinct Vote Data'!G590)</f>
        <v>369</v>
      </c>
      <c r="E152" s="10">
        <f>MIN(1,MAX(0,(5.3914776420524+0.021102849201698*'Precinct Vote Data'!I593*100+(-5.72594740176815)*0+0.927016741366831*('Precinct Vote Data'!H593*100))/100))</f>
        <v>0.3426370563</v>
      </c>
      <c r="F152" s="11">
        <f t="shared" si="1"/>
        <v>126</v>
      </c>
      <c r="G152" s="11">
        <f t="shared" si="2"/>
        <v>243</v>
      </c>
      <c r="H152" s="5" t="str">
        <f t="shared" si="3"/>
        <v>Republican</v>
      </c>
    </row>
    <row r="153" ht="15.0" customHeight="1">
      <c r="A153" s="5" t="s">
        <v>143</v>
      </c>
      <c r="B153" s="5" t="s">
        <v>209</v>
      </c>
      <c r="C153" s="5" t="s">
        <v>212</v>
      </c>
      <c r="D153" s="11">
        <f>MAX(0, 2*'Precinct Vote Data'!G596 - 'Precinct Vote Data'!G594)</f>
        <v>1426</v>
      </c>
      <c r="E153" s="10">
        <f>MIN(1,MAX(0,(5.3914776420524+0.021102849201698*'Precinct Vote Data'!I597*100+(-5.72594740176815)*0+0.927016741366831*('Precinct Vote Data'!H597*100))/100))</f>
        <v>0.3527277982</v>
      </c>
      <c r="F153" s="11">
        <f t="shared" si="1"/>
        <v>503</v>
      </c>
      <c r="G153" s="11">
        <f t="shared" si="2"/>
        <v>923</v>
      </c>
      <c r="H153" s="5" t="str">
        <f t="shared" si="3"/>
        <v>Republican</v>
      </c>
    </row>
    <row r="154" ht="15.0" customHeight="1">
      <c r="A154" s="5" t="s">
        <v>143</v>
      </c>
      <c r="B154" s="5" t="s">
        <v>213</v>
      </c>
      <c r="C154" s="5" t="s">
        <v>214</v>
      </c>
      <c r="D154" s="11">
        <f>MAX(0, 2*'Precinct Vote Data'!G600 - 'Precinct Vote Data'!G598)</f>
        <v>1557</v>
      </c>
      <c r="E154" s="10">
        <f>MIN(1,MAX(0,(5.3914776420524+0.021102849201698*'Precinct Vote Data'!I601*100+(-5.72594740176815)*0+0.927016741366831*('Precinct Vote Data'!H601*100))/100))</f>
        <v>0.5451913926</v>
      </c>
      <c r="F154" s="11">
        <f t="shared" si="1"/>
        <v>849</v>
      </c>
      <c r="G154" s="11">
        <f t="shared" si="2"/>
        <v>708</v>
      </c>
      <c r="H154" s="5" t="str">
        <f t="shared" si="3"/>
        <v>Democrat</v>
      </c>
    </row>
    <row r="155" ht="15.0" customHeight="1">
      <c r="A155" s="5" t="s">
        <v>143</v>
      </c>
      <c r="B155" s="5" t="s">
        <v>215</v>
      </c>
      <c r="C155" s="5" t="s">
        <v>216</v>
      </c>
      <c r="D155" s="11">
        <f>MAX(0, 2*'Precinct Vote Data'!G604 - 'Precinct Vote Data'!G602)</f>
        <v>2087</v>
      </c>
      <c r="E155" s="10">
        <f>MIN(1,MAX(0,(5.3914776420524+0.021102849201698*'Precinct Vote Data'!I605*100+(-5.72594740176815)*0+0.927016741366831*('Precinct Vote Data'!H605*100))/100))</f>
        <v>0.4496257105</v>
      </c>
      <c r="F155" s="11">
        <f t="shared" si="1"/>
        <v>938</v>
      </c>
      <c r="G155" s="11">
        <f t="shared" si="2"/>
        <v>1149</v>
      </c>
      <c r="H155" s="5" t="str">
        <f t="shared" si="3"/>
        <v>Republican</v>
      </c>
    </row>
    <row r="156" ht="15.0" customHeight="1">
      <c r="A156" s="5" t="s">
        <v>143</v>
      </c>
      <c r="B156" s="5" t="s">
        <v>215</v>
      </c>
      <c r="C156" s="5" t="s">
        <v>217</v>
      </c>
      <c r="D156" s="11">
        <f>MAX(0, 2*'Precinct Vote Data'!G608 - 'Precinct Vote Data'!G606)</f>
        <v>1923</v>
      </c>
      <c r="E156" s="10">
        <f>MIN(1,MAX(0,(5.3914776420524+0.021102849201698*'Precinct Vote Data'!I609*100+(-5.72594740176815)*0+0.927016741366831*('Precinct Vote Data'!H609*100))/100))</f>
        <v>0.4142359237</v>
      </c>
      <c r="F156" s="11">
        <f t="shared" si="1"/>
        <v>797</v>
      </c>
      <c r="G156" s="11">
        <f t="shared" si="2"/>
        <v>1126</v>
      </c>
      <c r="H156" s="5" t="str">
        <f t="shared" si="3"/>
        <v>Republican</v>
      </c>
    </row>
    <row r="157" ht="15.0" customHeight="1">
      <c r="A157" s="5" t="s">
        <v>143</v>
      </c>
      <c r="B157" s="5" t="s">
        <v>215</v>
      </c>
      <c r="C157" s="5" t="s">
        <v>218</v>
      </c>
      <c r="D157" s="11">
        <f>MAX(0, 2*'Precinct Vote Data'!G612 - 'Precinct Vote Data'!G610)</f>
        <v>996</v>
      </c>
      <c r="E157" s="10">
        <f>MIN(1,MAX(0,(5.3914776420524+0.021102849201698*'Precinct Vote Data'!I613*100+(-5.72594740176815)*0+0.927016741366831*('Precinct Vote Data'!H613*100))/100))</f>
        <v>0.4110038742</v>
      </c>
      <c r="F157" s="11">
        <f t="shared" si="1"/>
        <v>409</v>
      </c>
      <c r="G157" s="11">
        <f t="shared" si="2"/>
        <v>587</v>
      </c>
      <c r="H157" s="5" t="str">
        <f t="shared" si="3"/>
        <v>Republican</v>
      </c>
    </row>
    <row r="158" ht="15.0" customHeight="1">
      <c r="A158" s="5" t="s">
        <v>143</v>
      </c>
      <c r="B158" s="5" t="s">
        <v>215</v>
      </c>
      <c r="C158" s="5" t="s">
        <v>219</v>
      </c>
      <c r="D158" s="11">
        <f>MAX(0, 2*'Precinct Vote Data'!G616 - 'Precinct Vote Data'!G614)</f>
        <v>1512</v>
      </c>
      <c r="E158" s="10">
        <f>MIN(1,MAX(0,(5.3914776420524+0.021102849201698*'Precinct Vote Data'!I617*100+(-5.72594740176815)*0+0.927016741366831*('Precinct Vote Data'!H617*100))/100))</f>
        <v>0.4217928279</v>
      </c>
      <c r="F158" s="11">
        <f t="shared" si="1"/>
        <v>638</v>
      </c>
      <c r="G158" s="11">
        <f t="shared" si="2"/>
        <v>874</v>
      </c>
      <c r="H158" s="5" t="str">
        <f t="shared" si="3"/>
        <v>Republican</v>
      </c>
    </row>
    <row r="159" ht="15.0" customHeight="1">
      <c r="A159" s="5" t="s">
        <v>143</v>
      </c>
      <c r="B159" s="5" t="s">
        <v>215</v>
      </c>
      <c r="C159" s="5" t="s">
        <v>220</v>
      </c>
      <c r="D159" s="11">
        <f>MAX(0, 2*'Precinct Vote Data'!G620 - 'Precinct Vote Data'!G618)</f>
        <v>1358</v>
      </c>
      <c r="E159" s="10">
        <f>MIN(1,MAX(0,(5.3914776420524+0.021102849201698*'Precinct Vote Data'!I621*100+(-5.72594740176815)*0+0.927016741366831*('Precinct Vote Data'!H621*100))/100))</f>
        <v>0.4059671239</v>
      </c>
      <c r="F159" s="11">
        <f t="shared" si="1"/>
        <v>551</v>
      </c>
      <c r="G159" s="11">
        <f t="shared" si="2"/>
        <v>807</v>
      </c>
      <c r="H159" s="5" t="str">
        <f t="shared" si="3"/>
        <v>Republican</v>
      </c>
    </row>
    <row r="160" ht="15.0" customHeight="1">
      <c r="A160" s="5" t="s">
        <v>143</v>
      </c>
      <c r="B160" s="5" t="s">
        <v>215</v>
      </c>
      <c r="C160" s="5" t="s">
        <v>221</v>
      </c>
      <c r="D160" s="11">
        <f>MAX(0, 2*'Precinct Vote Data'!G624 - 'Precinct Vote Data'!G622)</f>
        <v>929</v>
      </c>
      <c r="E160" s="10">
        <f>MIN(1,MAX(0,(5.3914776420524+0.021102849201698*'Precinct Vote Data'!I625*100+(-5.72594740176815)*0+0.927016741366831*('Precinct Vote Data'!H625*100))/100))</f>
        <v>0.4418883203</v>
      </c>
      <c r="F160" s="11">
        <f t="shared" si="1"/>
        <v>411</v>
      </c>
      <c r="G160" s="11">
        <f t="shared" si="2"/>
        <v>518</v>
      </c>
      <c r="H160" s="5" t="str">
        <f t="shared" si="3"/>
        <v>Republican</v>
      </c>
    </row>
    <row r="161" ht="15.0" customHeight="1">
      <c r="A161" s="5" t="s">
        <v>143</v>
      </c>
      <c r="B161" s="5" t="s">
        <v>222</v>
      </c>
      <c r="C161" s="5" t="s">
        <v>223</v>
      </c>
      <c r="D161" s="11">
        <f>MAX(0, 2*'Precinct Vote Data'!G628 - 'Precinct Vote Data'!G626)</f>
        <v>1080</v>
      </c>
      <c r="E161" s="10">
        <f>MIN(1,MAX(0,(5.3914776420524+0.021102849201698*'Precinct Vote Data'!I629*100+(-5.72594740176815)*0+0.927016741366831*('Precinct Vote Data'!H629*100))/100))</f>
        <v>0.5107766352</v>
      </c>
      <c r="F161" s="11">
        <f t="shared" si="1"/>
        <v>552</v>
      </c>
      <c r="G161" s="11">
        <f t="shared" si="2"/>
        <v>528</v>
      </c>
      <c r="H161" s="5" t="str">
        <f t="shared" si="3"/>
        <v>Democrat</v>
      </c>
    </row>
    <row r="162" ht="15.0" customHeight="1">
      <c r="A162" s="5" t="s">
        <v>143</v>
      </c>
      <c r="B162" s="5" t="s">
        <v>222</v>
      </c>
      <c r="C162" s="5" t="s">
        <v>224</v>
      </c>
      <c r="D162" s="11">
        <f>MAX(0, 2*'Precinct Vote Data'!G632 - 'Precinct Vote Data'!G630)</f>
        <v>1318</v>
      </c>
      <c r="E162" s="10">
        <f>MIN(1,MAX(0,(5.3914776420524+0.021102849201698*'Precinct Vote Data'!I633*100+(-5.72594740176815)*0+0.927016741366831*('Precinct Vote Data'!H633*100))/100))</f>
        <v>0.5152211223</v>
      </c>
      <c r="F162" s="11">
        <f t="shared" si="1"/>
        <v>679</v>
      </c>
      <c r="G162" s="11">
        <f t="shared" si="2"/>
        <v>639</v>
      </c>
      <c r="H162" s="5" t="str">
        <f t="shared" si="3"/>
        <v>Democrat</v>
      </c>
    </row>
    <row r="163" ht="15.0" customHeight="1">
      <c r="A163" s="5" t="s">
        <v>143</v>
      </c>
      <c r="B163" s="5" t="s">
        <v>222</v>
      </c>
      <c r="C163" s="5" t="s">
        <v>225</v>
      </c>
      <c r="D163" s="11">
        <f>MAX(0, 2*'Precinct Vote Data'!G636 - 'Precinct Vote Data'!G634)</f>
        <v>633</v>
      </c>
      <c r="E163" s="10">
        <f>MIN(1,MAX(0,(5.3914776420524+0.021102849201698*'Precinct Vote Data'!I637*100+(-5.72594740176815)*0+0.927016741366831*('Precinct Vote Data'!H637*100))/100))</f>
        <v>0.5062715548</v>
      </c>
      <c r="F163" s="11">
        <f t="shared" si="1"/>
        <v>320</v>
      </c>
      <c r="G163" s="11">
        <f t="shared" si="2"/>
        <v>313</v>
      </c>
      <c r="H163" s="5" t="str">
        <f t="shared" si="3"/>
        <v>Democrat</v>
      </c>
    </row>
    <row r="164" ht="15.0" customHeight="1">
      <c r="A164" s="5" t="s">
        <v>143</v>
      </c>
      <c r="B164" s="5" t="s">
        <v>222</v>
      </c>
      <c r="C164" s="5" t="s">
        <v>226</v>
      </c>
      <c r="D164" s="11">
        <f>MAX(0, 2*'Precinct Vote Data'!G640 - 'Precinct Vote Data'!G638)</f>
        <v>727</v>
      </c>
      <c r="E164" s="10">
        <f>MIN(1,MAX(0,(5.3914776420524+0.021102849201698*'Precinct Vote Data'!I641*100+(-5.72594740176815)*0+0.927016741366831*('Precinct Vote Data'!H641*100))/100))</f>
        <v>0.5151490772</v>
      </c>
      <c r="F164" s="11">
        <f t="shared" si="1"/>
        <v>375</v>
      </c>
      <c r="G164" s="11">
        <f t="shared" si="2"/>
        <v>352</v>
      </c>
      <c r="H164" s="5" t="str">
        <f t="shared" si="3"/>
        <v>Democrat</v>
      </c>
    </row>
    <row r="165" ht="15.0" customHeight="1">
      <c r="A165" s="5" t="s">
        <v>143</v>
      </c>
      <c r="B165" s="5" t="s">
        <v>222</v>
      </c>
      <c r="C165" s="5" t="s">
        <v>227</v>
      </c>
      <c r="D165" s="11">
        <f>MAX(0, 2*'Precinct Vote Data'!G644 - 'Precinct Vote Data'!G642)</f>
        <v>913</v>
      </c>
      <c r="E165" s="10">
        <f>MIN(1,MAX(0,(5.3914776420524+0.021102849201698*'Precinct Vote Data'!I645*100+(-5.72594740176815)*0+0.927016741366831*('Precinct Vote Data'!H645*100))/100))</f>
        <v>0.5039672122</v>
      </c>
      <c r="F165" s="11">
        <f t="shared" si="1"/>
        <v>460</v>
      </c>
      <c r="G165" s="11">
        <f t="shared" si="2"/>
        <v>453</v>
      </c>
      <c r="H165" s="5" t="str">
        <f t="shared" si="3"/>
        <v>Democrat</v>
      </c>
    </row>
    <row r="166" ht="15.0" customHeight="1">
      <c r="A166" s="5" t="s">
        <v>143</v>
      </c>
      <c r="B166" s="5" t="s">
        <v>222</v>
      </c>
      <c r="C166" s="5" t="s">
        <v>228</v>
      </c>
      <c r="D166" s="11">
        <f>MAX(0, 2*'Precinct Vote Data'!G648 - 'Precinct Vote Data'!G646)</f>
        <v>620</v>
      </c>
      <c r="E166" s="10">
        <f>MIN(1,MAX(0,(5.3914776420524+0.021102849201698*'Precinct Vote Data'!I649*100+(-5.72594740176815)*0+0.927016741366831*('Precinct Vote Data'!H649*100))/100))</f>
        <v>0.483687966</v>
      </c>
      <c r="F166" s="11">
        <f t="shared" si="1"/>
        <v>300</v>
      </c>
      <c r="G166" s="11">
        <f t="shared" si="2"/>
        <v>320</v>
      </c>
      <c r="H166" s="5" t="str">
        <f t="shared" si="3"/>
        <v>Republican</v>
      </c>
    </row>
    <row r="167" ht="15.0" customHeight="1">
      <c r="A167" s="5" t="s">
        <v>143</v>
      </c>
      <c r="B167" s="5" t="s">
        <v>222</v>
      </c>
      <c r="C167" s="5" t="s">
        <v>229</v>
      </c>
      <c r="D167" s="11">
        <f>MAX(0, 2*'Precinct Vote Data'!G652 - 'Precinct Vote Data'!G650)</f>
        <v>700</v>
      </c>
      <c r="E167" s="10">
        <f>MIN(1,MAX(0,(5.3914776420524+0.021102849201698*'Precinct Vote Data'!I653*100+(-5.72594740176815)*0+0.927016741366831*('Precinct Vote Data'!H653*100))/100))</f>
        <v>0.5427518671</v>
      </c>
      <c r="F167" s="11">
        <f t="shared" si="1"/>
        <v>380</v>
      </c>
      <c r="G167" s="11">
        <f t="shared" si="2"/>
        <v>320</v>
      </c>
      <c r="H167" s="5" t="str">
        <f t="shared" si="3"/>
        <v>Democrat</v>
      </c>
    </row>
    <row r="168" ht="15.0" customHeight="1">
      <c r="A168" s="5" t="s">
        <v>143</v>
      </c>
      <c r="B168" s="5" t="s">
        <v>222</v>
      </c>
      <c r="C168" s="5" t="s">
        <v>230</v>
      </c>
      <c r="D168" s="11">
        <f>MAX(0, 2*'Precinct Vote Data'!G656 - 'Precinct Vote Data'!G654)</f>
        <v>956</v>
      </c>
      <c r="E168" s="10">
        <f>MIN(1,MAX(0,(5.3914776420524+0.021102849201698*'Precinct Vote Data'!I657*100+(-5.72594740176815)*0+0.927016741366831*('Precinct Vote Data'!H657*100))/100))</f>
        <v>0.5160761192</v>
      </c>
      <c r="F168" s="11">
        <f t="shared" si="1"/>
        <v>493</v>
      </c>
      <c r="G168" s="11">
        <f t="shared" si="2"/>
        <v>463</v>
      </c>
      <c r="H168" s="5" t="str">
        <f t="shared" si="3"/>
        <v>Democrat</v>
      </c>
    </row>
    <row r="169" ht="15.0" customHeight="1">
      <c r="A169" s="5" t="s">
        <v>143</v>
      </c>
      <c r="B169" s="5" t="s">
        <v>231</v>
      </c>
      <c r="C169" s="5" t="s">
        <v>232</v>
      </c>
      <c r="D169" s="11">
        <f>MAX(0, 2*'Precinct Vote Data'!G660 - 'Precinct Vote Data'!G658)</f>
        <v>442</v>
      </c>
      <c r="E169" s="10">
        <f>MIN(1,MAX(0,(5.3914776420524+0.021102849201698*'Precinct Vote Data'!I661*100+(-5.72594740176815)*0+0.927016741366831*('Precinct Vote Data'!H661*100))/100))</f>
        <v>0.4405073341</v>
      </c>
      <c r="F169" s="11">
        <f t="shared" si="1"/>
        <v>195</v>
      </c>
      <c r="G169" s="11">
        <f t="shared" si="2"/>
        <v>247</v>
      </c>
      <c r="H169" s="5" t="str">
        <f t="shared" si="3"/>
        <v>Republican</v>
      </c>
    </row>
    <row r="170" ht="15.0" customHeight="1">
      <c r="A170" s="5" t="s">
        <v>143</v>
      </c>
      <c r="B170" s="5" t="s">
        <v>231</v>
      </c>
      <c r="C170" s="5" t="s">
        <v>233</v>
      </c>
      <c r="D170" s="11">
        <f>MAX(0, 2*'Precinct Vote Data'!G664 - 'Precinct Vote Data'!G662)</f>
        <v>324</v>
      </c>
      <c r="E170" s="10">
        <f>MIN(1,MAX(0,(5.3914776420524+0.021102849201698*'Precinct Vote Data'!I665*100+(-5.72594740176815)*0+0.927016741366831*('Precinct Vote Data'!H665*100))/100))</f>
        <v>0.4139450827</v>
      </c>
      <c r="F170" s="11">
        <f t="shared" si="1"/>
        <v>134</v>
      </c>
      <c r="G170" s="11">
        <f t="shared" si="2"/>
        <v>190</v>
      </c>
      <c r="H170" s="5" t="str">
        <f t="shared" si="3"/>
        <v>Republican</v>
      </c>
    </row>
    <row r="171" ht="15.0" customHeight="1">
      <c r="A171" s="5" t="s">
        <v>143</v>
      </c>
      <c r="B171" s="5" t="s">
        <v>231</v>
      </c>
      <c r="C171" s="5" t="s">
        <v>234</v>
      </c>
      <c r="D171" s="11">
        <f>MAX(0, 2*'Precinct Vote Data'!G668 - 'Precinct Vote Data'!G666)</f>
        <v>773</v>
      </c>
      <c r="E171" s="10">
        <f>MIN(1,MAX(0,(5.3914776420524+0.021102849201698*'Precinct Vote Data'!I669*100+(-5.72594740176815)*0+0.927016741366831*('Precinct Vote Data'!H669*100))/100))</f>
        <v>0.434258575</v>
      </c>
      <c r="F171" s="11">
        <f t="shared" si="1"/>
        <v>336</v>
      </c>
      <c r="G171" s="11">
        <f t="shared" si="2"/>
        <v>437</v>
      </c>
      <c r="H171" s="5" t="str">
        <f t="shared" si="3"/>
        <v>Republican</v>
      </c>
    </row>
    <row r="172" ht="15.0" customHeight="1">
      <c r="A172" s="5" t="s">
        <v>143</v>
      </c>
      <c r="B172" s="5" t="s">
        <v>235</v>
      </c>
      <c r="C172" s="5" t="s">
        <v>236</v>
      </c>
      <c r="D172" s="11">
        <f>MAX(0, 2*'Precinct Vote Data'!G672 - 'Precinct Vote Data'!G670)</f>
        <v>1565</v>
      </c>
      <c r="E172" s="10">
        <f>MIN(1,MAX(0,(5.3914776420524+0.021102849201698*'Precinct Vote Data'!I673*100+(-5.72594740176815)*0+0.927016741366831*('Precinct Vote Data'!H673*100))/100))</f>
        <v>0.5050311886</v>
      </c>
      <c r="F172" s="11">
        <f t="shared" si="1"/>
        <v>790</v>
      </c>
      <c r="G172" s="11">
        <f t="shared" si="2"/>
        <v>775</v>
      </c>
      <c r="H172" s="5" t="str">
        <f t="shared" si="3"/>
        <v>Democrat</v>
      </c>
    </row>
    <row r="173" ht="15.0" customHeight="1">
      <c r="A173" s="5" t="s">
        <v>143</v>
      </c>
      <c r="B173" s="5" t="s">
        <v>235</v>
      </c>
      <c r="C173" s="5" t="s">
        <v>237</v>
      </c>
      <c r="D173" s="11">
        <f>MAX(0, 2*'Precinct Vote Data'!G676 - 'Precinct Vote Data'!G674)</f>
        <v>679</v>
      </c>
      <c r="E173" s="10">
        <f>MIN(1,MAX(0,(5.3914776420524+0.021102849201698*'Precinct Vote Data'!I677*100+(-5.72594740176815)*0+0.927016741366831*('Precinct Vote Data'!H677*100))/100))</f>
        <v>0.5189739185</v>
      </c>
      <c r="F173" s="11">
        <f t="shared" si="1"/>
        <v>352</v>
      </c>
      <c r="G173" s="11">
        <f t="shared" si="2"/>
        <v>327</v>
      </c>
      <c r="H173" s="5" t="str">
        <f t="shared" si="3"/>
        <v>Democrat</v>
      </c>
    </row>
    <row r="174" ht="15.0" customHeight="1">
      <c r="A174" s="5" t="s">
        <v>143</v>
      </c>
      <c r="B174" s="5" t="s">
        <v>235</v>
      </c>
      <c r="C174" s="5" t="s">
        <v>238</v>
      </c>
      <c r="D174" s="11">
        <f>MAX(0, 2*'Precinct Vote Data'!G680 - 'Precinct Vote Data'!G678)</f>
        <v>1823</v>
      </c>
      <c r="E174" s="10">
        <f>MIN(1,MAX(0,(5.3914776420524+0.021102849201698*'Precinct Vote Data'!I681*100+(-5.72594740176815)*0+0.927016741366831*('Precinct Vote Data'!H681*100))/100))</f>
        <v>0.5744599446</v>
      </c>
      <c r="F174" s="11">
        <f t="shared" si="1"/>
        <v>1047</v>
      </c>
      <c r="G174" s="11">
        <f t="shared" si="2"/>
        <v>776</v>
      </c>
      <c r="H174" s="5" t="str">
        <f t="shared" si="3"/>
        <v>Democrat</v>
      </c>
    </row>
    <row r="175" ht="15.0" customHeight="1">
      <c r="A175" s="5" t="s">
        <v>143</v>
      </c>
      <c r="B175" s="5" t="s">
        <v>235</v>
      </c>
      <c r="C175" s="5" t="s">
        <v>239</v>
      </c>
      <c r="D175" s="11">
        <f>MAX(0, 2*'Precinct Vote Data'!G684 - 'Precinct Vote Data'!G682)</f>
        <v>893</v>
      </c>
      <c r="E175" s="10">
        <f>MIN(1,MAX(0,(5.3914776420524+0.021102849201698*'Precinct Vote Data'!I685*100+(-5.72594740176815)*0+0.927016741366831*('Precinct Vote Data'!H685*100))/100))</f>
        <v>0.4988462732</v>
      </c>
      <c r="F175" s="11">
        <f t="shared" si="1"/>
        <v>445</v>
      </c>
      <c r="G175" s="11">
        <f t="shared" si="2"/>
        <v>448</v>
      </c>
      <c r="H175" s="5" t="str">
        <f t="shared" si="3"/>
        <v>Republican</v>
      </c>
    </row>
    <row r="176" ht="15.0" customHeight="1">
      <c r="A176" s="5" t="s">
        <v>143</v>
      </c>
      <c r="B176" s="5" t="s">
        <v>235</v>
      </c>
      <c r="C176" s="5" t="s">
        <v>240</v>
      </c>
      <c r="D176" s="11">
        <f>MAX(0, 2*'Precinct Vote Data'!G688 - 'Precinct Vote Data'!G686)</f>
        <v>1498</v>
      </c>
      <c r="E176" s="10">
        <f>MIN(1,MAX(0,(5.3914776420524+0.021102849201698*'Precinct Vote Data'!I689*100+(-5.72594740176815)*0+0.927016741366831*('Precinct Vote Data'!H689*100))/100))</f>
        <v>0.6145439113</v>
      </c>
      <c r="F176" s="11">
        <f t="shared" si="1"/>
        <v>921</v>
      </c>
      <c r="G176" s="11">
        <f t="shared" si="2"/>
        <v>577</v>
      </c>
      <c r="H176" s="5" t="str">
        <f t="shared" si="3"/>
        <v>Democrat</v>
      </c>
    </row>
    <row r="177" ht="15.0" customHeight="1">
      <c r="A177" s="5" t="s">
        <v>143</v>
      </c>
      <c r="B177" s="5" t="s">
        <v>235</v>
      </c>
      <c r="C177" s="5" t="s">
        <v>241</v>
      </c>
      <c r="D177" s="11">
        <f>MAX(0, 2*'Precinct Vote Data'!G692 - 'Precinct Vote Data'!G690)</f>
        <v>1582</v>
      </c>
      <c r="E177" s="10">
        <f>MIN(1,MAX(0,(5.3914776420524+0.021102849201698*'Precinct Vote Data'!I693*100+(-5.72594740176815)*0+0.927016741366831*('Precinct Vote Data'!H693*100))/100))</f>
        <v>0.6116944773</v>
      </c>
      <c r="F177" s="11">
        <f t="shared" si="1"/>
        <v>968</v>
      </c>
      <c r="G177" s="11">
        <f t="shared" si="2"/>
        <v>614</v>
      </c>
      <c r="H177" s="5" t="str">
        <f t="shared" si="3"/>
        <v>Democrat</v>
      </c>
    </row>
    <row r="178" ht="15.0" customHeight="1">
      <c r="A178" s="5" t="s">
        <v>143</v>
      </c>
      <c r="B178" s="5" t="s">
        <v>235</v>
      </c>
      <c r="C178" s="5" t="s">
        <v>242</v>
      </c>
      <c r="D178" s="11">
        <f>MAX(0, 2*'Precinct Vote Data'!G696 - 'Precinct Vote Data'!G694)</f>
        <v>863</v>
      </c>
      <c r="E178" s="10">
        <f>MIN(1,MAX(0,(5.3914776420524+0.021102849201698*'Precinct Vote Data'!I697*100+(-5.72594740176815)*0+0.927016741366831*('Precinct Vote Data'!H697*100))/100))</f>
        <v>0.518770375</v>
      </c>
      <c r="F178" s="11">
        <f t="shared" si="1"/>
        <v>448</v>
      </c>
      <c r="G178" s="11">
        <f t="shared" si="2"/>
        <v>415</v>
      </c>
      <c r="H178" s="5" t="str">
        <f t="shared" si="3"/>
        <v>Democrat</v>
      </c>
    </row>
    <row r="179" ht="15.0" customHeight="1">
      <c r="A179" s="5" t="s">
        <v>143</v>
      </c>
      <c r="B179" s="5" t="s">
        <v>235</v>
      </c>
      <c r="C179" s="5" t="s">
        <v>243</v>
      </c>
      <c r="D179" s="11">
        <f>MAX(0, 2*'Precinct Vote Data'!G700 - 'Precinct Vote Data'!G698)</f>
        <v>2487</v>
      </c>
      <c r="E179" s="10">
        <f>MIN(1,MAX(0,(5.3914776420524+0.021102849201698*'Precinct Vote Data'!I701*100+(-5.72594740176815)*0+0.927016741366831*('Precinct Vote Data'!H701*100))/100))</f>
        <v>0.5217971094</v>
      </c>
      <c r="F179" s="11">
        <f t="shared" si="1"/>
        <v>1298</v>
      </c>
      <c r="G179" s="11">
        <f t="shared" si="2"/>
        <v>1189</v>
      </c>
      <c r="H179" s="5" t="str">
        <f t="shared" si="3"/>
        <v>Democrat</v>
      </c>
    </row>
    <row r="180" ht="15.0" customHeight="1">
      <c r="A180" s="5" t="s">
        <v>143</v>
      </c>
      <c r="B180" s="5" t="s">
        <v>244</v>
      </c>
      <c r="C180" s="5" t="s">
        <v>245</v>
      </c>
      <c r="D180" s="11">
        <f>MAX(0, 2*'Precinct Vote Data'!G704 - 'Precinct Vote Data'!G702)</f>
        <v>1633</v>
      </c>
      <c r="E180" s="10">
        <f>MIN(1,MAX(0,(5.3914776420524+0.021102849201698*'Precinct Vote Data'!I705*100+(-5.72594740176815)*0+0.927016741366831*('Precinct Vote Data'!H705*100))/100))</f>
        <v>0.5190436408</v>
      </c>
      <c r="F180" s="11">
        <f t="shared" si="1"/>
        <v>848</v>
      </c>
      <c r="G180" s="11">
        <f t="shared" si="2"/>
        <v>785</v>
      </c>
      <c r="H180" s="5" t="str">
        <f t="shared" si="3"/>
        <v>Democrat</v>
      </c>
    </row>
    <row r="181" ht="15.0" customHeight="1">
      <c r="A181" s="5" t="s">
        <v>143</v>
      </c>
      <c r="B181" s="5" t="s">
        <v>244</v>
      </c>
      <c r="C181" s="5" t="s">
        <v>246</v>
      </c>
      <c r="D181" s="11">
        <f>MAX(0, 2*'Precinct Vote Data'!G708 - 'Precinct Vote Data'!G706)</f>
        <v>2245</v>
      </c>
      <c r="E181" s="10">
        <f>MIN(1,MAX(0,(5.3914776420524+0.021102849201698*'Precinct Vote Data'!I709*100+(-5.72594740176815)*0+0.927016741366831*('Precinct Vote Data'!H709*100))/100))</f>
        <v>0.5256793345</v>
      </c>
      <c r="F181" s="11">
        <f t="shared" si="1"/>
        <v>1180</v>
      </c>
      <c r="G181" s="11">
        <f t="shared" si="2"/>
        <v>1065</v>
      </c>
      <c r="H181" s="5" t="str">
        <f t="shared" si="3"/>
        <v>Democrat</v>
      </c>
    </row>
    <row r="182" ht="15.0" customHeight="1">
      <c r="A182" s="5" t="s">
        <v>143</v>
      </c>
      <c r="B182" s="5" t="s">
        <v>244</v>
      </c>
      <c r="C182" s="5" t="s">
        <v>247</v>
      </c>
      <c r="D182" s="11">
        <f>MAX(0, 2*'Precinct Vote Data'!G712 - 'Precinct Vote Data'!G710)</f>
        <v>1549</v>
      </c>
      <c r="E182" s="10">
        <f>MIN(1,MAX(0,(5.3914776420524+0.021102849201698*'Precinct Vote Data'!I713*100+(-5.72594740176815)*0+0.927016741366831*('Precinct Vote Data'!H713*100))/100))</f>
        <v>0.4782625683</v>
      </c>
      <c r="F182" s="11">
        <f t="shared" si="1"/>
        <v>741</v>
      </c>
      <c r="G182" s="11">
        <f t="shared" si="2"/>
        <v>808</v>
      </c>
      <c r="H182" s="5" t="str">
        <f t="shared" si="3"/>
        <v>Republican</v>
      </c>
    </row>
    <row r="183" ht="15.0" customHeight="1">
      <c r="A183" s="5" t="s">
        <v>143</v>
      </c>
      <c r="B183" s="5" t="s">
        <v>244</v>
      </c>
      <c r="C183" s="5" t="s">
        <v>248</v>
      </c>
      <c r="D183" s="11">
        <f>MAX(0, 2*'Precinct Vote Data'!G716 - 'Precinct Vote Data'!G714)</f>
        <v>1100</v>
      </c>
      <c r="E183" s="10">
        <f>MIN(1,MAX(0,(5.3914776420524+0.021102849201698*'Precinct Vote Data'!I717*100+(-5.72594740176815)*0+0.927016741366831*('Precinct Vote Data'!H717*100))/100))</f>
        <v>0.5456777541</v>
      </c>
      <c r="F183" s="11">
        <f t="shared" si="1"/>
        <v>600</v>
      </c>
      <c r="G183" s="11">
        <f t="shared" si="2"/>
        <v>500</v>
      </c>
      <c r="H183" s="5" t="str">
        <f t="shared" si="3"/>
        <v>Democrat</v>
      </c>
    </row>
    <row r="184" ht="15.0" customHeight="1">
      <c r="A184" s="5" t="s">
        <v>143</v>
      </c>
      <c r="B184" s="5" t="s">
        <v>244</v>
      </c>
      <c r="C184" s="5" t="s">
        <v>249</v>
      </c>
      <c r="D184" s="11">
        <f>MAX(0, 2*'Precinct Vote Data'!G720 - 'Precinct Vote Data'!G718)</f>
        <v>3095</v>
      </c>
      <c r="E184" s="10">
        <f>MIN(1,MAX(0,(5.3914776420524+0.021102849201698*'Precinct Vote Data'!I721*100+(-5.72594740176815)*0+0.927016741366831*('Precinct Vote Data'!H721*100))/100))</f>
        <v>0.5502742371</v>
      </c>
      <c r="F184" s="11">
        <f t="shared" si="1"/>
        <v>1703</v>
      </c>
      <c r="G184" s="11">
        <f t="shared" si="2"/>
        <v>1392</v>
      </c>
      <c r="H184" s="5" t="str">
        <f t="shared" si="3"/>
        <v>Democrat</v>
      </c>
    </row>
    <row r="185" ht="15.0" customHeight="1">
      <c r="A185" s="5" t="s">
        <v>143</v>
      </c>
      <c r="B185" s="5" t="s">
        <v>244</v>
      </c>
      <c r="C185" s="5" t="s">
        <v>250</v>
      </c>
      <c r="D185" s="11">
        <f>MAX(0, 2*'Precinct Vote Data'!G724 - 'Precinct Vote Data'!G722)</f>
        <v>1114</v>
      </c>
      <c r="E185" s="10">
        <f>MIN(1,MAX(0,(5.3914776420524+0.021102849201698*'Precinct Vote Data'!I725*100+(-5.72594740176815)*0+0.927016741366831*('Precinct Vote Data'!H725*100))/100))</f>
        <v>0.5278014054</v>
      </c>
      <c r="F185" s="11">
        <f t="shared" si="1"/>
        <v>588</v>
      </c>
      <c r="G185" s="11">
        <f t="shared" si="2"/>
        <v>526</v>
      </c>
      <c r="H185" s="5" t="str">
        <f t="shared" si="3"/>
        <v>Democrat</v>
      </c>
    </row>
    <row r="186" ht="15.0" customHeight="1">
      <c r="A186" s="5" t="s">
        <v>143</v>
      </c>
      <c r="B186" s="5" t="s">
        <v>244</v>
      </c>
      <c r="C186" s="5" t="s">
        <v>251</v>
      </c>
      <c r="D186" s="11">
        <f>MAX(0, 2*'Precinct Vote Data'!G728 - 'Precinct Vote Data'!G726)</f>
        <v>997</v>
      </c>
      <c r="E186" s="10">
        <f>MIN(1,MAX(0,(5.3914776420524+0.021102849201698*'Precinct Vote Data'!I729*100+(-5.72594740176815)*0+0.927016741366831*('Precinct Vote Data'!H729*100))/100))</f>
        <v>0.559900622</v>
      </c>
      <c r="F186" s="11">
        <f t="shared" si="1"/>
        <v>558</v>
      </c>
      <c r="G186" s="11">
        <f t="shared" si="2"/>
        <v>439</v>
      </c>
      <c r="H186" s="5" t="str">
        <f t="shared" si="3"/>
        <v>Democrat</v>
      </c>
    </row>
    <row r="187" ht="15.0" customHeight="1">
      <c r="A187" s="5" t="s">
        <v>143</v>
      </c>
      <c r="B187" s="5" t="s">
        <v>244</v>
      </c>
      <c r="C187" s="5" t="s">
        <v>252</v>
      </c>
      <c r="D187" s="11">
        <f>MAX(0, 2*'Precinct Vote Data'!G732 - 'Precinct Vote Data'!G730)</f>
        <v>1167</v>
      </c>
      <c r="E187" s="10">
        <f>MIN(1,MAX(0,(5.3914776420524+0.021102849201698*'Precinct Vote Data'!I733*100+(-5.72594740176815)*0+0.927016741366831*('Precinct Vote Data'!H733*100))/100))</f>
        <v>0.5302946248</v>
      </c>
      <c r="F187" s="11">
        <f t="shared" si="1"/>
        <v>619</v>
      </c>
      <c r="G187" s="11">
        <f t="shared" si="2"/>
        <v>548</v>
      </c>
      <c r="H187" s="5" t="str">
        <f t="shared" si="3"/>
        <v>Democrat</v>
      </c>
    </row>
    <row r="188" ht="15.0" customHeight="1">
      <c r="A188" s="5" t="s">
        <v>143</v>
      </c>
      <c r="B188" s="5" t="s">
        <v>253</v>
      </c>
      <c r="C188" s="5" t="s">
        <v>254</v>
      </c>
      <c r="D188" s="11">
        <f>MAX(0, 2*'Precinct Vote Data'!G736 - 'Precinct Vote Data'!G734)</f>
        <v>3091</v>
      </c>
      <c r="E188" s="10">
        <f>MIN(1,MAX(0,(5.3914776420524+0.021102849201698*'Precinct Vote Data'!I737*100+(-5.72594740176815)*0+0.927016741366831*('Precinct Vote Data'!H737*100))/100))</f>
        <v>0.4831906473</v>
      </c>
      <c r="F188" s="11">
        <f t="shared" si="1"/>
        <v>1494</v>
      </c>
      <c r="G188" s="11">
        <f t="shared" si="2"/>
        <v>1597</v>
      </c>
      <c r="H188" s="5" t="str">
        <f t="shared" si="3"/>
        <v>Republican</v>
      </c>
    </row>
    <row r="189" ht="15.0" customHeight="1">
      <c r="A189" s="5" t="s">
        <v>143</v>
      </c>
      <c r="B189" s="5" t="s">
        <v>253</v>
      </c>
      <c r="C189" s="5" t="s">
        <v>255</v>
      </c>
      <c r="D189" s="11">
        <f>MAX(0, 2*'Precinct Vote Data'!G740 - 'Precinct Vote Data'!G738)</f>
        <v>2236</v>
      </c>
      <c r="E189" s="10">
        <f>MIN(1,MAX(0,(5.3914776420524+0.021102849201698*'Precinct Vote Data'!I741*100+(-5.72594740176815)*0+0.927016741366831*('Precinct Vote Data'!H741*100))/100))</f>
        <v>0.4067337087</v>
      </c>
      <c r="F189" s="11">
        <f t="shared" si="1"/>
        <v>909</v>
      </c>
      <c r="G189" s="11">
        <f t="shared" si="2"/>
        <v>1327</v>
      </c>
      <c r="H189" s="5" t="str">
        <f t="shared" si="3"/>
        <v>Republican</v>
      </c>
    </row>
    <row r="190" ht="15.0" customHeight="1">
      <c r="A190" s="5" t="s">
        <v>143</v>
      </c>
      <c r="B190" s="5" t="s">
        <v>256</v>
      </c>
      <c r="C190" s="5" t="s">
        <v>257</v>
      </c>
      <c r="D190" s="11">
        <f>MAX(0, 2*'Precinct Vote Data'!G744 - 'Precinct Vote Data'!G742)</f>
        <v>1924</v>
      </c>
      <c r="E190" s="10">
        <f>MIN(1,MAX(0,(5.3914776420524+0.021102849201698*'Precinct Vote Data'!I745*100+(-5.72594740176815)*0+0.927016741366831*('Precinct Vote Data'!H745*100))/100))</f>
        <v>0.5031230404</v>
      </c>
      <c r="F190" s="11">
        <f t="shared" si="1"/>
        <v>968</v>
      </c>
      <c r="G190" s="11">
        <f t="shared" si="2"/>
        <v>956</v>
      </c>
      <c r="H190" s="5" t="str">
        <f t="shared" si="3"/>
        <v>Democrat</v>
      </c>
    </row>
    <row r="191" ht="15.0" customHeight="1">
      <c r="A191" s="5" t="s">
        <v>143</v>
      </c>
      <c r="B191" s="5" t="s">
        <v>256</v>
      </c>
      <c r="C191" s="5" t="s">
        <v>258</v>
      </c>
      <c r="D191" s="11">
        <f>MAX(0, 2*'Precinct Vote Data'!G748 - 'Precinct Vote Data'!G746)</f>
        <v>1475</v>
      </c>
      <c r="E191" s="10">
        <f>MIN(1,MAX(0,(5.3914776420524+0.021102849201698*'Precinct Vote Data'!I749*100+(-5.72594740176815)*0+0.927016741366831*('Precinct Vote Data'!H749*100))/100))</f>
        <v>0.4878399965</v>
      </c>
      <c r="F191" s="11">
        <f t="shared" si="1"/>
        <v>720</v>
      </c>
      <c r="G191" s="11">
        <f t="shared" si="2"/>
        <v>755</v>
      </c>
      <c r="H191" s="5" t="str">
        <f t="shared" si="3"/>
        <v>Republican</v>
      </c>
    </row>
    <row r="192" ht="15.0" customHeight="1">
      <c r="A192" s="5" t="s">
        <v>143</v>
      </c>
      <c r="B192" s="5" t="s">
        <v>256</v>
      </c>
      <c r="C192" s="5" t="s">
        <v>259</v>
      </c>
      <c r="D192" s="11">
        <f>MAX(0, 2*'Precinct Vote Data'!G752 - 'Precinct Vote Data'!G750)</f>
        <v>1216</v>
      </c>
      <c r="E192" s="10">
        <f>MIN(1,MAX(0,(5.3914776420524+0.021102849201698*'Precinct Vote Data'!I753*100+(-5.72594740176815)*0+0.927016741366831*('Precinct Vote Data'!H753*100))/100))</f>
        <v>0.494449111</v>
      </c>
      <c r="F192" s="11">
        <f t="shared" si="1"/>
        <v>601</v>
      </c>
      <c r="G192" s="11">
        <f t="shared" si="2"/>
        <v>615</v>
      </c>
      <c r="H192" s="5" t="str">
        <f t="shared" si="3"/>
        <v>Republican</v>
      </c>
    </row>
    <row r="193" ht="15.0" customHeight="1">
      <c r="A193" s="5" t="s">
        <v>143</v>
      </c>
      <c r="B193" s="5" t="s">
        <v>256</v>
      </c>
      <c r="C193" s="5" t="s">
        <v>260</v>
      </c>
      <c r="D193" s="11">
        <f>MAX(0, 2*'Precinct Vote Data'!G756 - 'Precinct Vote Data'!G754)</f>
        <v>3093</v>
      </c>
      <c r="E193" s="10">
        <f>MIN(1,MAX(0,(5.3914776420524+0.021102849201698*'Precinct Vote Data'!I757*100+(-5.72594740176815)*0+0.927016741366831*('Precinct Vote Data'!H757*100))/100))</f>
        <v>0.4967831913</v>
      </c>
      <c r="F193" s="11">
        <f t="shared" si="1"/>
        <v>1537</v>
      </c>
      <c r="G193" s="11">
        <f t="shared" si="2"/>
        <v>1556</v>
      </c>
      <c r="H193" s="5" t="str">
        <f t="shared" si="3"/>
        <v>Republican</v>
      </c>
    </row>
    <row r="194" ht="15.0" customHeight="1">
      <c r="A194" s="5" t="s">
        <v>143</v>
      </c>
      <c r="B194" s="5" t="s">
        <v>256</v>
      </c>
      <c r="C194" s="5" t="s">
        <v>261</v>
      </c>
      <c r="D194" s="11">
        <f>MAX(0, 2*'Precinct Vote Data'!G760 - 'Precinct Vote Data'!G758)</f>
        <v>1192</v>
      </c>
      <c r="E194" s="10">
        <f>MIN(1,MAX(0,(5.3914776420524+0.021102849201698*'Precinct Vote Data'!I761*100+(-5.72594740176815)*0+0.927016741366831*('Precinct Vote Data'!H761*100))/100))</f>
        <v>0.522708638</v>
      </c>
      <c r="F194" s="11">
        <f t="shared" si="1"/>
        <v>623</v>
      </c>
      <c r="G194" s="11">
        <f t="shared" si="2"/>
        <v>569</v>
      </c>
      <c r="H194" s="5" t="str">
        <f t="shared" si="3"/>
        <v>Democrat</v>
      </c>
    </row>
    <row r="195" ht="15.0" customHeight="1">
      <c r="A195" s="5" t="s">
        <v>143</v>
      </c>
      <c r="B195" s="5" t="s">
        <v>256</v>
      </c>
      <c r="C195" s="5" t="s">
        <v>262</v>
      </c>
      <c r="D195" s="11">
        <f>MAX(0, 2*'Precinct Vote Data'!G764 - 'Precinct Vote Data'!G762)</f>
        <v>1230</v>
      </c>
      <c r="E195" s="10">
        <f>MIN(1,MAX(0,(5.3914776420524+0.021102849201698*'Precinct Vote Data'!I765*100+(-5.72594740176815)*0+0.927016741366831*('Precinct Vote Data'!H765*100))/100))</f>
        <v>0.540705283</v>
      </c>
      <c r="F195" s="11">
        <f t="shared" si="1"/>
        <v>665</v>
      </c>
      <c r="G195" s="11">
        <f t="shared" si="2"/>
        <v>565</v>
      </c>
      <c r="H195" s="5" t="str">
        <f t="shared" si="3"/>
        <v>Democrat</v>
      </c>
    </row>
    <row r="196" ht="15.0" customHeight="1">
      <c r="A196" s="5" t="s">
        <v>143</v>
      </c>
      <c r="B196" s="5" t="s">
        <v>263</v>
      </c>
      <c r="C196" s="5" t="s">
        <v>264</v>
      </c>
      <c r="D196" s="11">
        <f>MAX(0, 2*'Precinct Vote Data'!G768 - 'Precinct Vote Data'!G766)</f>
        <v>705</v>
      </c>
      <c r="E196" s="10">
        <f>MIN(1,MAX(0,(5.3914776420524+0.021102849201698*'Precinct Vote Data'!I769*100+(-5.72594740176815)*0+0.927016741366831*('Precinct Vote Data'!H769*100))/100))</f>
        <v>0.339079978</v>
      </c>
      <c r="F196" s="11">
        <f t="shared" si="1"/>
        <v>239</v>
      </c>
      <c r="G196" s="11">
        <f t="shared" si="2"/>
        <v>466</v>
      </c>
      <c r="H196" s="5" t="str">
        <f t="shared" si="3"/>
        <v>Republican</v>
      </c>
    </row>
    <row r="197" ht="15.0" customHeight="1">
      <c r="A197" s="5" t="s">
        <v>143</v>
      </c>
      <c r="B197" s="5" t="s">
        <v>263</v>
      </c>
      <c r="C197" s="5" t="s">
        <v>265</v>
      </c>
      <c r="D197" s="11">
        <f>MAX(0, 2*'Precinct Vote Data'!G772 - 'Precinct Vote Data'!G770)</f>
        <v>2230</v>
      </c>
      <c r="E197" s="10">
        <f>MIN(1,MAX(0,(5.3914776420524+0.021102849201698*'Precinct Vote Data'!I773*100+(-5.72594740176815)*0+0.927016741366831*('Precinct Vote Data'!H773*100))/100))</f>
        <v>0.3610541379</v>
      </c>
      <c r="F197" s="11">
        <f t="shared" si="1"/>
        <v>805</v>
      </c>
      <c r="G197" s="11">
        <f t="shared" si="2"/>
        <v>1425</v>
      </c>
      <c r="H197" s="5" t="str">
        <f t="shared" si="3"/>
        <v>Republican</v>
      </c>
    </row>
    <row r="198" ht="15.0" customHeight="1">
      <c r="A198" s="5" t="s">
        <v>143</v>
      </c>
      <c r="B198" s="5" t="s">
        <v>263</v>
      </c>
      <c r="C198" s="5" t="s">
        <v>266</v>
      </c>
      <c r="D198" s="11">
        <f>MAX(0, 2*'Precinct Vote Data'!G776 - 'Precinct Vote Data'!G774)</f>
        <v>610</v>
      </c>
      <c r="E198" s="10">
        <f>MIN(1,MAX(0,(5.3914776420524+0.021102849201698*'Precinct Vote Data'!I777*100+(-5.72594740176815)*0+0.927016741366831*('Precinct Vote Data'!H777*100))/100))</f>
        <v>0.2993934158</v>
      </c>
      <c r="F198" s="11">
        <f t="shared" si="1"/>
        <v>183</v>
      </c>
      <c r="G198" s="11">
        <f t="shared" si="2"/>
        <v>427</v>
      </c>
      <c r="H198" s="5" t="str">
        <f t="shared" si="3"/>
        <v>Republican</v>
      </c>
    </row>
    <row r="199" ht="15.0" customHeight="1">
      <c r="A199" s="5" t="s">
        <v>143</v>
      </c>
      <c r="B199" s="5" t="s">
        <v>267</v>
      </c>
      <c r="C199" s="5" t="s">
        <v>268</v>
      </c>
      <c r="D199" s="11">
        <f>MAX(0, 2*'Precinct Vote Data'!G780 - 'Precinct Vote Data'!G778)</f>
        <v>3043</v>
      </c>
      <c r="E199" s="10">
        <f>MIN(1,MAX(0,(5.3914776420524+0.021102849201698*'Precinct Vote Data'!I781*100+(-5.72594740176815)*0+0.927016741366831*('Precinct Vote Data'!H781*100))/100))</f>
        <v>0.3691391619</v>
      </c>
      <c r="F199" s="11">
        <f t="shared" si="1"/>
        <v>1123</v>
      </c>
      <c r="G199" s="11">
        <f t="shared" si="2"/>
        <v>1920</v>
      </c>
      <c r="H199" s="5" t="str">
        <f t="shared" si="3"/>
        <v>Republican</v>
      </c>
    </row>
    <row r="200" ht="15.0" customHeight="1">
      <c r="A200" s="5" t="s">
        <v>143</v>
      </c>
      <c r="B200" s="5" t="s">
        <v>269</v>
      </c>
      <c r="C200" s="5" t="s">
        <v>270</v>
      </c>
      <c r="D200" s="11">
        <f>MAX(0, 2*'Precinct Vote Data'!G784 - 'Precinct Vote Data'!G782)</f>
        <v>1044</v>
      </c>
      <c r="E200" s="10">
        <f>MIN(1,MAX(0,(5.3914776420524+0.021102849201698*'Precinct Vote Data'!I785*100+(-5.72594740176815)*0+0.927016741366831*('Precinct Vote Data'!H785*100))/100))</f>
        <v>0.6022685664</v>
      </c>
      <c r="F200" s="11">
        <f t="shared" si="1"/>
        <v>629</v>
      </c>
      <c r="G200" s="11">
        <f t="shared" si="2"/>
        <v>415</v>
      </c>
      <c r="H200" s="5" t="str">
        <f t="shared" si="3"/>
        <v>Democrat</v>
      </c>
    </row>
    <row r="201" ht="15.0" customHeight="1">
      <c r="A201" s="5" t="s">
        <v>143</v>
      </c>
      <c r="B201" s="5" t="s">
        <v>269</v>
      </c>
      <c r="C201" s="5" t="s">
        <v>271</v>
      </c>
      <c r="D201" s="11">
        <f>MAX(0, 2*'Precinct Vote Data'!G788 - 'Precinct Vote Data'!G786)</f>
        <v>373</v>
      </c>
      <c r="E201" s="10">
        <f>MIN(1,MAX(0,(5.3914776420524+0.021102849201698*'Precinct Vote Data'!I789*100+(-5.72594740176815)*0+0.927016741366831*('Precinct Vote Data'!H789*100))/100))</f>
        <v>0.5565313598</v>
      </c>
      <c r="F201" s="11">
        <f t="shared" si="1"/>
        <v>208</v>
      </c>
      <c r="G201" s="11">
        <f t="shared" si="2"/>
        <v>165</v>
      </c>
      <c r="H201" s="5" t="str">
        <f t="shared" si="3"/>
        <v>Democrat</v>
      </c>
    </row>
    <row r="202" ht="15.0" customHeight="1">
      <c r="A202" s="5" t="s">
        <v>143</v>
      </c>
      <c r="B202" s="5" t="s">
        <v>269</v>
      </c>
      <c r="C202" s="5" t="s">
        <v>272</v>
      </c>
      <c r="D202" s="11">
        <f>MAX(0, 2*'Precinct Vote Data'!G792 - 'Precinct Vote Data'!G790)</f>
        <v>547</v>
      </c>
      <c r="E202" s="10">
        <f>MIN(1,MAX(0,(5.3914776420524+0.021102849201698*'Precinct Vote Data'!I793*100+(-5.72594740176815)*0+0.927016741366831*('Precinct Vote Data'!H793*100))/100))</f>
        <v>0.6118045975</v>
      </c>
      <c r="F202" s="11">
        <f t="shared" si="1"/>
        <v>335</v>
      </c>
      <c r="G202" s="11">
        <f t="shared" si="2"/>
        <v>212</v>
      </c>
      <c r="H202" s="5" t="str">
        <f t="shared" si="3"/>
        <v>Democrat</v>
      </c>
    </row>
    <row r="203" ht="15.0" customHeight="1">
      <c r="A203" s="5" t="s">
        <v>143</v>
      </c>
      <c r="B203" s="5" t="s">
        <v>269</v>
      </c>
      <c r="C203" s="5" t="s">
        <v>273</v>
      </c>
      <c r="D203" s="11">
        <f>MAX(0, 2*'Precinct Vote Data'!G796 - 'Precinct Vote Data'!G794)</f>
        <v>757</v>
      </c>
      <c r="E203" s="10">
        <f>MIN(1,MAX(0,(5.3914776420524+0.021102849201698*'Precinct Vote Data'!I797*100+(-5.72594740176815)*0+0.927016741366831*('Precinct Vote Data'!H797*100))/100))</f>
        <v>0.5728198491</v>
      </c>
      <c r="F203" s="11">
        <f t="shared" si="1"/>
        <v>434</v>
      </c>
      <c r="G203" s="11">
        <f t="shared" si="2"/>
        <v>323</v>
      </c>
      <c r="H203" s="5" t="str">
        <f t="shared" si="3"/>
        <v>Democrat</v>
      </c>
    </row>
    <row r="204" ht="15.0" customHeight="1">
      <c r="A204" s="5" t="s">
        <v>143</v>
      </c>
      <c r="B204" s="5" t="s">
        <v>269</v>
      </c>
      <c r="C204" s="5" t="s">
        <v>274</v>
      </c>
      <c r="D204" s="11">
        <f>MAX(0, 2*'Precinct Vote Data'!G800 - 'Precinct Vote Data'!G798)</f>
        <v>464</v>
      </c>
      <c r="E204" s="10">
        <f>MIN(1,MAX(0,(5.3914776420524+0.021102849201698*'Precinct Vote Data'!I801*100+(-5.72594740176815)*0+0.927016741366831*('Precinct Vote Data'!H801*100))/100))</f>
        <v>0.4881756351</v>
      </c>
      <c r="F204" s="11">
        <f t="shared" si="1"/>
        <v>227</v>
      </c>
      <c r="G204" s="11">
        <f t="shared" si="2"/>
        <v>237</v>
      </c>
      <c r="H204" s="5" t="str">
        <f t="shared" si="3"/>
        <v>Republican</v>
      </c>
    </row>
    <row r="205" ht="15.0" customHeight="1">
      <c r="A205" s="5" t="s">
        <v>143</v>
      </c>
      <c r="B205" s="5" t="s">
        <v>269</v>
      </c>
      <c r="C205" s="5" t="s">
        <v>275</v>
      </c>
      <c r="D205" s="11">
        <f>MAX(0, 2*'Precinct Vote Data'!G804 - 'Precinct Vote Data'!G802)</f>
        <v>823</v>
      </c>
      <c r="E205" s="10">
        <f>MIN(1,MAX(0,(5.3914776420524+0.021102849201698*'Precinct Vote Data'!I805*100+(-5.72594740176815)*0+0.927016741366831*('Precinct Vote Data'!H805*100))/100))</f>
        <v>0.5310887163</v>
      </c>
      <c r="F205" s="11">
        <f t="shared" si="1"/>
        <v>437</v>
      </c>
      <c r="G205" s="11">
        <f t="shared" si="2"/>
        <v>386</v>
      </c>
      <c r="H205" s="5" t="str">
        <f t="shared" si="3"/>
        <v>Democrat</v>
      </c>
    </row>
    <row r="206" ht="15.0" customHeight="1">
      <c r="A206" s="5" t="s">
        <v>143</v>
      </c>
      <c r="B206" s="5" t="s">
        <v>269</v>
      </c>
      <c r="C206" s="5" t="s">
        <v>276</v>
      </c>
      <c r="D206" s="11">
        <f>MAX(0, 2*'Precinct Vote Data'!G808 - 'Precinct Vote Data'!G806)</f>
        <v>1522</v>
      </c>
      <c r="E206" s="10">
        <f>MIN(1,MAX(0,(5.3914776420524+0.021102849201698*'Precinct Vote Data'!I809*100+(-5.72594740176815)*0+0.927016741366831*('Precinct Vote Data'!H809*100))/100))</f>
        <v>0.4809582632</v>
      </c>
      <c r="F206" s="11">
        <f t="shared" si="1"/>
        <v>732</v>
      </c>
      <c r="G206" s="11">
        <f t="shared" si="2"/>
        <v>790</v>
      </c>
      <c r="H206" s="5" t="str">
        <f t="shared" si="3"/>
        <v>Republican</v>
      </c>
    </row>
    <row r="207" ht="15.0" customHeight="1">
      <c r="A207" s="5" t="s">
        <v>143</v>
      </c>
      <c r="B207" s="5" t="s">
        <v>269</v>
      </c>
      <c r="C207" s="5" t="s">
        <v>277</v>
      </c>
      <c r="D207" s="11">
        <f>MAX(0, 2*'Precinct Vote Data'!G812 - 'Precinct Vote Data'!G810)</f>
        <v>1339</v>
      </c>
      <c r="E207" s="10">
        <f>MIN(1,MAX(0,(5.3914776420524+0.021102849201698*'Precinct Vote Data'!I813*100+(-5.72594740176815)*0+0.927016741366831*('Precinct Vote Data'!H813*100))/100))</f>
        <v>0.5026409548</v>
      </c>
      <c r="F207" s="11">
        <f t="shared" si="1"/>
        <v>673</v>
      </c>
      <c r="G207" s="11">
        <f t="shared" si="2"/>
        <v>666</v>
      </c>
      <c r="H207" s="5" t="str">
        <f t="shared" si="3"/>
        <v>Democrat</v>
      </c>
    </row>
    <row r="208" ht="15.0" customHeight="1">
      <c r="A208" s="5" t="s">
        <v>143</v>
      </c>
      <c r="B208" s="5" t="s">
        <v>269</v>
      </c>
      <c r="C208" s="5" t="s">
        <v>278</v>
      </c>
      <c r="D208" s="11">
        <f>MAX(0, 2*'Precinct Vote Data'!G816 - 'Precinct Vote Data'!G814)</f>
        <v>897</v>
      </c>
      <c r="E208" s="10">
        <f>MIN(1,MAX(0,(5.3914776420524+0.021102849201698*'Precinct Vote Data'!I817*100+(-5.72594740176815)*0+0.927016741366831*('Precinct Vote Data'!H817*100))/100))</f>
        <v>0.5279638194</v>
      </c>
      <c r="F208" s="11">
        <f t="shared" si="1"/>
        <v>474</v>
      </c>
      <c r="G208" s="11">
        <f t="shared" si="2"/>
        <v>423</v>
      </c>
      <c r="H208" s="5" t="str">
        <f t="shared" si="3"/>
        <v>Democrat</v>
      </c>
    </row>
    <row r="209" ht="15.0" customHeight="1">
      <c r="A209" s="5" t="s">
        <v>143</v>
      </c>
      <c r="B209" s="5" t="s">
        <v>269</v>
      </c>
      <c r="C209" s="5" t="s">
        <v>279</v>
      </c>
      <c r="D209" s="11">
        <f>MAX(0, 2*'Precinct Vote Data'!G820 - 'Precinct Vote Data'!G818)</f>
        <v>1493</v>
      </c>
      <c r="E209" s="10">
        <f>MIN(1,MAX(0,(5.3914776420524+0.021102849201698*'Precinct Vote Data'!I821*100+(-5.72594740176815)*0+0.927016741366831*('Precinct Vote Data'!H821*100))/100))</f>
        <v>0.4883820696</v>
      </c>
      <c r="F209" s="11">
        <f t="shared" si="1"/>
        <v>729</v>
      </c>
      <c r="G209" s="11">
        <f t="shared" si="2"/>
        <v>764</v>
      </c>
      <c r="H209" s="5" t="str">
        <f t="shared" si="3"/>
        <v>Republican</v>
      </c>
    </row>
    <row r="210" ht="15.0" customHeight="1">
      <c r="A210" s="5" t="s">
        <v>143</v>
      </c>
      <c r="B210" s="5" t="s">
        <v>269</v>
      </c>
      <c r="C210" s="5" t="s">
        <v>280</v>
      </c>
      <c r="D210" s="11">
        <f>MAX(0, 2*'Precinct Vote Data'!G824 - 'Precinct Vote Data'!G822)</f>
        <v>1141</v>
      </c>
      <c r="E210" s="10">
        <f>MIN(1,MAX(0,(5.3914776420524+0.021102849201698*'Precinct Vote Data'!I825*100+(-5.72594740176815)*0+0.927016741366831*('Precinct Vote Data'!H825*100))/100))</f>
        <v>0.4959722566</v>
      </c>
      <c r="F210" s="11">
        <f t="shared" si="1"/>
        <v>566</v>
      </c>
      <c r="G210" s="11">
        <f t="shared" si="2"/>
        <v>575</v>
      </c>
      <c r="H210" s="5" t="str">
        <f t="shared" si="3"/>
        <v>Republican</v>
      </c>
    </row>
    <row r="211" ht="15.0" customHeight="1">
      <c r="A211" s="5" t="s">
        <v>143</v>
      </c>
      <c r="B211" s="5" t="s">
        <v>269</v>
      </c>
      <c r="C211" s="5" t="s">
        <v>281</v>
      </c>
      <c r="D211" s="11">
        <f>MAX(0, 2*'Precinct Vote Data'!G828 - 'Precinct Vote Data'!G826)</f>
        <v>919</v>
      </c>
      <c r="E211" s="10">
        <f>MIN(1,MAX(0,(5.3914776420524+0.021102849201698*'Precinct Vote Data'!I829*100+(-5.72594740176815)*0+0.927016741366831*('Precinct Vote Data'!H829*100))/100))</f>
        <v>0.5613655917</v>
      </c>
      <c r="F211" s="11">
        <f t="shared" si="1"/>
        <v>516</v>
      </c>
      <c r="G211" s="11">
        <f t="shared" si="2"/>
        <v>403</v>
      </c>
      <c r="H211" s="5" t="str">
        <f t="shared" si="3"/>
        <v>Democrat</v>
      </c>
    </row>
    <row r="212" ht="15.0" customHeight="1">
      <c r="A212" s="5" t="s">
        <v>282</v>
      </c>
      <c r="B212" s="5" t="s">
        <v>283</v>
      </c>
      <c r="C212" s="5" t="s">
        <v>284</v>
      </c>
      <c r="D212" s="11">
        <f>MAX(0, 2*'Precinct Vote Data'!G832 - 'Precinct Vote Data'!G830)</f>
        <v>784</v>
      </c>
      <c r="E212" s="10">
        <f>MIN(1,MAX(0,(5.3914776420524+0.021102849201698*'Precinct Vote Data'!I833*100+(-5.72594740176815)*0+0.927016741366831*('Precinct Vote Data'!H833*100))/100))</f>
        <v>0.4963268956</v>
      </c>
      <c r="F212" s="11">
        <f t="shared" si="1"/>
        <v>389</v>
      </c>
      <c r="G212" s="11">
        <f t="shared" si="2"/>
        <v>395</v>
      </c>
      <c r="H212" s="5" t="str">
        <f t="shared" si="3"/>
        <v>Republican</v>
      </c>
    </row>
    <row r="213" ht="15.0" customHeight="1">
      <c r="A213" s="5" t="s">
        <v>282</v>
      </c>
      <c r="B213" s="5" t="s">
        <v>283</v>
      </c>
      <c r="C213" s="5" t="s">
        <v>285</v>
      </c>
      <c r="D213" s="11">
        <f>MAX(0, 2*'Precinct Vote Data'!G836 - 'Precinct Vote Data'!G834)</f>
        <v>1205</v>
      </c>
      <c r="E213" s="10">
        <f>MIN(1,MAX(0,(5.3914776420524+0.021102849201698*'Precinct Vote Data'!I837*100+(-5.72594740176815)*0+0.927016741366831*('Precinct Vote Data'!H837*100))/100))</f>
        <v>0.4745965278</v>
      </c>
      <c r="F213" s="11">
        <f t="shared" si="1"/>
        <v>572</v>
      </c>
      <c r="G213" s="11">
        <f t="shared" si="2"/>
        <v>633</v>
      </c>
      <c r="H213" s="5" t="str">
        <f t="shared" si="3"/>
        <v>Republican</v>
      </c>
    </row>
    <row r="214" ht="15.0" customHeight="1">
      <c r="A214" s="5" t="s">
        <v>282</v>
      </c>
      <c r="B214" s="5" t="s">
        <v>286</v>
      </c>
      <c r="C214" s="5" t="s">
        <v>287</v>
      </c>
      <c r="D214" s="11">
        <f>MAX(0, 2*'Precinct Vote Data'!G840 - 'Precinct Vote Data'!G838)</f>
        <v>2287</v>
      </c>
      <c r="E214" s="10">
        <f>MIN(1,MAX(0,(5.3914776420524+0.021102849201698*'Precinct Vote Data'!I841*100+(-5.72594740176815)*0+0.927016741366831*('Precinct Vote Data'!H841*100))/100))</f>
        <v>0.4624135305</v>
      </c>
      <c r="F214" s="11">
        <f t="shared" si="1"/>
        <v>1058</v>
      </c>
      <c r="G214" s="11">
        <f t="shared" si="2"/>
        <v>1229</v>
      </c>
      <c r="H214" s="5" t="str">
        <f t="shared" si="3"/>
        <v>Republican</v>
      </c>
    </row>
    <row r="215" ht="15.0" customHeight="1">
      <c r="A215" s="5" t="s">
        <v>282</v>
      </c>
      <c r="B215" s="5" t="s">
        <v>286</v>
      </c>
      <c r="C215" s="5" t="s">
        <v>288</v>
      </c>
      <c r="D215" s="11">
        <f>MAX(0, 2*'Precinct Vote Data'!G844 - 'Precinct Vote Data'!G842)</f>
        <v>1935</v>
      </c>
      <c r="E215" s="10">
        <f>MIN(1,MAX(0,(5.3914776420524+0.021102849201698*'Precinct Vote Data'!I845*100+(-5.72594740176815)*0+0.927016741366831*('Precinct Vote Data'!H845*100))/100))</f>
        <v>0.4497594026</v>
      </c>
      <c r="F215" s="11">
        <f t="shared" si="1"/>
        <v>870</v>
      </c>
      <c r="G215" s="11">
        <f t="shared" si="2"/>
        <v>1065</v>
      </c>
      <c r="H215" s="5" t="str">
        <f t="shared" si="3"/>
        <v>Republican</v>
      </c>
    </row>
    <row r="216" ht="15.0" customHeight="1">
      <c r="A216" s="5" t="s">
        <v>282</v>
      </c>
      <c r="B216" s="5" t="s">
        <v>286</v>
      </c>
      <c r="C216" s="5" t="s">
        <v>289</v>
      </c>
      <c r="D216" s="11">
        <f>MAX(0, 2*'Precinct Vote Data'!G848 - 'Precinct Vote Data'!G846)</f>
        <v>1258</v>
      </c>
      <c r="E216" s="10">
        <f>MIN(1,MAX(0,(5.3914776420524+0.021102849201698*'Precinct Vote Data'!I849*100+(-5.72594740176815)*0+0.927016741366831*('Precinct Vote Data'!H849*100))/100))</f>
        <v>0.4701685239</v>
      </c>
      <c r="F216" s="11">
        <f t="shared" si="1"/>
        <v>591</v>
      </c>
      <c r="G216" s="11">
        <f t="shared" si="2"/>
        <v>667</v>
      </c>
      <c r="H216" s="5" t="str">
        <f t="shared" si="3"/>
        <v>Republican</v>
      </c>
    </row>
    <row r="217" ht="15.0" customHeight="1">
      <c r="A217" s="5" t="s">
        <v>282</v>
      </c>
      <c r="B217" s="5" t="s">
        <v>286</v>
      </c>
      <c r="C217" s="5" t="s">
        <v>290</v>
      </c>
      <c r="D217" s="11">
        <f>MAX(0, 2*'Precinct Vote Data'!G852 - 'Precinct Vote Data'!G850)</f>
        <v>1565</v>
      </c>
      <c r="E217" s="10">
        <f>MIN(1,MAX(0,(5.3914776420524+0.021102849201698*'Precinct Vote Data'!I853*100+(-5.72594740176815)*0+0.927016741366831*('Precinct Vote Data'!H853*100))/100))</f>
        <v>0.4059636189</v>
      </c>
      <c r="F217" s="11">
        <f t="shared" si="1"/>
        <v>635</v>
      </c>
      <c r="G217" s="11">
        <f t="shared" si="2"/>
        <v>930</v>
      </c>
      <c r="H217" s="5" t="str">
        <f t="shared" si="3"/>
        <v>Republican</v>
      </c>
    </row>
    <row r="218" ht="15.0" customHeight="1">
      <c r="A218" s="5" t="s">
        <v>282</v>
      </c>
      <c r="B218" s="5" t="s">
        <v>291</v>
      </c>
      <c r="C218" s="5" t="s">
        <v>292</v>
      </c>
      <c r="D218" s="11">
        <f>MAX(0, 2*'Precinct Vote Data'!G856 - 'Precinct Vote Data'!G854)</f>
        <v>1333</v>
      </c>
      <c r="E218" s="10">
        <f>MIN(1,MAX(0,(5.3914776420524+0.021102849201698*'Precinct Vote Data'!I857*100+(-5.72594740176815)*0+0.927016741366831*('Precinct Vote Data'!H857*100))/100))</f>
        <v>0.5492700733</v>
      </c>
      <c r="F218" s="11">
        <f t="shared" si="1"/>
        <v>732</v>
      </c>
      <c r="G218" s="11">
        <f t="shared" si="2"/>
        <v>601</v>
      </c>
      <c r="H218" s="5" t="str">
        <f t="shared" si="3"/>
        <v>Democrat</v>
      </c>
    </row>
    <row r="219" ht="15.0" customHeight="1">
      <c r="A219" s="5" t="s">
        <v>282</v>
      </c>
      <c r="B219" s="5" t="s">
        <v>291</v>
      </c>
      <c r="C219" s="5" t="s">
        <v>293</v>
      </c>
      <c r="D219" s="11">
        <f>MAX(0, 2*'Precinct Vote Data'!G860 - 'Precinct Vote Data'!G858)</f>
        <v>839</v>
      </c>
      <c r="E219" s="10">
        <f>MIN(1,MAX(0,(5.3914776420524+0.021102849201698*'Precinct Vote Data'!I861*100+(-5.72594740176815)*0+0.927016741366831*('Precinct Vote Data'!H861*100))/100))</f>
        <v>0.6010558083</v>
      </c>
      <c r="F219" s="11">
        <f t="shared" si="1"/>
        <v>504</v>
      </c>
      <c r="G219" s="11">
        <f t="shared" si="2"/>
        <v>335</v>
      </c>
      <c r="H219" s="5" t="str">
        <f t="shared" si="3"/>
        <v>Democrat</v>
      </c>
    </row>
    <row r="220" ht="15.0" customHeight="1">
      <c r="A220" s="5" t="s">
        <v>282</v>
      </c>
      <c r="B220" s="5" t="s">
        <v>291</v>
      </c>
      <c r="C220" s="5" t="s">
        <v>294</v>
      </c>
      <c r="D220" s="11">
        <f>MAX(0, 2*'Precinct Vote Data'!G864 - 'Precinct Vote Data'!G862)</f>
        <v>1610</v>
      </c>
      <c r="E220" s="10">
        <f>MIN(1,MAX(0,(5.3914776420524+0.021102849201698*'Precinct Vote Data'!I865*100+(-5.72594740176815)*0+0.927016741366831*('Precinct Vote Data'!H865*100))/100))</f>
        <v>0.7294861079</v>
      </c>
      <c r="F220" s="11">
        <f t="shared" si="1"/>
        <v>1174</v>
      </c>
      <c r="G220" s="11">
        <f t="shared" si="2"/>
        <v>436</v>
      </c>
      <c r="H220" s="5" t="str">
        <f t="shared" si="3"/>
        <v>Democrat</v>
      </c>
    </row>
    <row r="221" ht="15.0" customHeight="1">
      <c r="A221" s="5" t="s">
        <v>282</v>
      </c>
      <c r="B221" s="5" t="s">
        <v>291</v>
      </c>
      <c r="C221" s="5" t="s">
        <v>295</v>
      </c>
      <c r="D221" s="11">
        <f>MAX(0, 2*'Precinct Vote Data'!G868 - 'Precinct Vote Data'!G866)</f>
        <v>1502</v>
      </c>
      <c r="E221" s="10">
        <f>MIN(1,MAX(0,(5.3914776420524+0.021102849201698*'Precinct Vote Data'!I869*100+(-5.72594740176815)*0+0.927016741366831*('Precinct Vote Data'!H869*100))/100))</f>
        <v>0.6774045221</v>
      </c>
      <c r="F221" s="11">
        <f t="shared" si="1"/>
        <v>1017</v>
      </c>
      <c r="G221" s="11">
        <f t="shared" si="2"/>
        <v>485</v>
      </c>
      <c r="H221" s="5" t="str">
        <f t="shared" si="3"/>
        <v>Democrat</v>
      </c>
    </row>
    <row r="222" ht="15.0" customHeight="1">
      <c r="A222" s="5" t="s">
        <v>282</v>
      </c>
      <c r="B222" s="5" t="s">
        <v>296</v>
      </c>
      <c r="C222" s="5" t="s">
        <v>59</v>
      </c>
      <c r="D222" s="11">
        <f>MAX(0, 2*'Precinct Vote Data'!G872 - 'Precinct Vote Data'!G870)</f>
        <v>296</v>
      </c>
      <c r="E222" s="10">
        <f>MIN(1,MAX(0,(5.3914776420524+0.021102849201698*'Precinct Vote Data'!I873*100+(-5.72594740176815)*0+0.927016741366831*('Precinct Vote Data'!H873*100))/100))</f>
        <v>0.6686883487</v>
      </c>
      <c r="F222" s="11">
        <f t="shared" si="1"/>
        <v>198</v>
      </c>
      <c r="G222" s="11">
        <f t="shared" si="2"/>
        <v>98</v>
      </c>
      <c r="H222" s="5" t="str">
        <f t="shared" si="3"/>
        <v>Democrat</v>
      </c>
    </row>
    <row r="223" ht="15.0" customHeight="1">
      <c r="A223" s="5" t="s">
        <v>282</v>
      </c>
      <c r="B223" s="5" t="s">
        <v>297</v>
      </c>
      <c r="C223" s="5" t="s">
        <v>63</v>
      </c>
      <c r="D223" s="11">
        <f>MAX(0, 2*'Precinct Vote Data'!G876 - 'Precinct Vote Data'!G874)</f>
        <v>446</v>
      </c>
      <c r="E223" s="10">
        <f>MIN(1,MAX(0,(5.3914776420524+0.021102849201698*'Precinct Vote Data'!I877*100+(-5.72594740176815)*0+0.927016741366831*('Precinct Vote Data'!H877*100))/100))</f>
        <v>0.688876178</v>
      </c>
      <c r="F223" s="11">
        <f t="shared" si="1"/>
        <v>307</v>
      </c>
      <c r="G223" s="11">
        <f t="shared" si="2"/>
        <v>139</v>
      </c>
      <c r="H223" s="5" t="str">
        <f t="shared" si="3"/>
        <v>Democrat</v>
      </c>
    </row>
    <row r="224" ht="15.0" customHeight="1">
      <c r="A224" s="5" t="s">
        <v>282</v>
      </c>
      <c r="B224" s="5" t="s">
        <v>297</v>
      </c>
      <c r="C224" s="5" t="s">
        <v>73</v>
      </c>
      <c r="D224" s="11">
        <f>MAX(0, 2*'Precinct Vote Data'!G880 - 'Precinct Vote Data'!G878)</f>
        <v>0</v>
      </c>
      <c r="E224" s="10">
        <f>MIN(1,MAX(0,(5.3914776420524+0.021102849201698*'Precinct Vote Data'!I881*100+(-5.72594740176815)*0+0.927016741366831*('Precinct Vote Data'!H881*100))/100))</f>
        <v>0.7318749301</v>
      </c>
      <c r="F224" s="11">
        <f t="shared" si="1"/>
        <v>0</v>
      </c>
      <c r="G224" s="11">
        <f t="shared" si="2"/>
        <v>0</v>
      </c>
      <c r="H224" s="5" t="str">
        <f t="shared" si="3"/>
        <v>Democrat</v>
      </c>
    </row>
    <row r="225" ht="15.0" customHeight="1">
      <c r="A225" s="5" t="s">
        <v>282</v>
      </c>
      <c r="B225" s="5" t="s">
        <v>297</v>
      </c>
      <c r="C225" s="5" t="s">
        <v>74</v>
      </c>
      <c r="D225" s="11">
        <f>MAX(0, 2*'Precinct Vote Data'!G884 - 'Precinct Vote Data'!G882)</f>
        <v>181</v>
      </c>
      <c r="E225" s="10">
        <f>MIN(1,MAX(0,(5.3914776420524+0.021102849201698*'Precinct Vote Data'!I885*100+(-5.72594740176815)*0+0.927016741366831*('Precinct Vote Data'!H885*100))/100))</f>
        <v>0.6247129642</v>
      </c>
      <c r="F225" s="11">
        <f t="shared" si="1"/>
        <v>113</v>
      </c>
      <c r="G225" s="11">
        <f t="shared" si="2"/>
        <v>68</v>
      </c>
      <c r="H225" s="5" t="str">
        <f t="shared" si="3"/>
        <v>Democrat</v>
      </c>
    </row>
    <row r="226" ht="15.0" customHeight="1">
      <c r="A226" s="5" t="s">
        <v>282</v>
      </c>
      <c r="B226" s="5" t="s">
        <v>297</v>
      </c>
      <c r="C226" s="5" t="s">
        <v>76</v>
      </c>
      <c r="D226" s="11">
        <f>MAX(0, 2*'Precinct Vote Data'!G888 - 'Precinct Vote Data'!G886)</f>
        <v>541</v>
      </c>
      <c r="E226" s="10">
        <f>MIN(1,MAX(0,(5.3914776420524+0.021102849201698*'Precinct Vote Data'!I889*100+(-5.72594740176815)*0+0.927016741366831*('Precinct Vote Data'!H889*100))/100))</f>
        <v>0.6058147976</v>
      </c>
      <c r="F226" s="11">
        <f t="shared" si="1"/>
        <v>328</v>
      </c>
      <c r="G226" s="11">
        <f t="shared" si="2"/>
        <v>213</v>
      </c>
      <c r="H226" s="5" t="str">
        <f t="shared" si="3"/>
        <v>Democrat</v>
      </c>
    </row>
    <row r="227" ht="15.0" customHeight="1">
      <c r="A227" s="5" t="s">
        <v>282</v>
      </c>
      <c r="B227" s="5" t="s">
        <v>297</v>
      </c>
      <c r="C227" s="5" t="s">
        <v>78</v>
      </c>
      <c r="D227" s="11">
        <f>MAX(0, 2*'Precinct Vote Data'!G892 - 'Precinct Vote Data'!G890)</f>
        <v>462</v>
      </c>
      <c r="E227" s="10">
        <f>MIN(1,MAX(0,(5.3914776420524+0.021102849201698*'Precinct Vote Data'!I893*100+(-5.72594740176815)*0+0.927016741366831*('Precinct Vote Data'!H893*100))/100))</f>
        <v>0.5698275631</v>
      </c>
      <c r="F227" s="11">
        <f t="shared" si="1"/>
        <v>263</v>
      </c>
      <c r="G227" s="11">
        <f t="shared" si="2"/>
        <v>199</v>
      </c>
      <c r="H227" s="5" t="str">
        <f t="shared" si="3"/>
        <v>Democrat</v>
      </c>
    </row>
    <row r="228" ht="15.0" customHeight="1">
      <c r="A228" s="5" t="s">
        <v>282</v>
      </c>
      <c r="B228" s="5" t="s">
        <v>297</v>
      </c>
      <c r="C228" s="5" t="s">
        <v>79</v>
      </c>
      <c r="D228" s="11">
        <f>MAX(0, 2*'Precinct Vote Data'!G896 - 'Precinct Vote Data'!G894)</f>
        <v>569</v>
      </c>
      <c r="E228" s="10">
        <f>MIN(1,MAX(0,(5.3914776420524+0.021102849201698*'Precinct Vote Data'!I897*100+(-5.72594740176815)*0+0.927016741366831*('Precinct Vote Data'!H897*100))/100))</f>
        <v>0.6219972316</v>
      </c>
      <c r="F228" s="11">
        <f t="shared" si="1"/>
        <v>354</v>
      </c>
      <c r="G228" s="11">
        <f t="shared" si="2"/>
        <v>215</v>
      </c>
      <c r="H228" s="5" t="str">
        <f t="shared" si="3"/>
        <v>Democrat</v>
      </c>
    </row>
    <row r="229" ht="15.0" customHeight="1">
      <c r="A229" s="5" t="s">
        <v>282</v>
      </c>
      <c r="B229" s="5" t="s">
        <v>298</v>
      </c>
      <c r="C229" s="5" t="s">
        <v>87</v>
      </c>
      <c r="D229" s="11">
        <f>MAX(0, 2*'Precinct Vote Data'!G900 - 'Precinct Vote Data'!G898)</f>
        <v>1408</v>
      </c>
      <c r="E229" s="10">
        <f>MIN(1,MAX(0,(5.3914776420524+0.021102849201698*'Precinct Vote Data'!I901*100+(-5.72594740176815)*0+0.927016741366831*('Precinct Vote Data'!H901*100))/100))</f>
        <v>0.3219503549</v>
      </c>
      <c r="F229" s="11">
        <f t="shared" si="1"/>
        <v>453</v>
      </c>
      <c r="G229" s="11">
        <f t="shared" si="2"/>
        <v>955</v>
      </c>
      <c r="H229" s="5" t="str">
        <f t="shared" si="3"/>
        <v>Republican</v>
      </c>
    </row>
    <row r="230" ht="15.0" customHeight="1">
      <c r="A230" s="5" t="s">
        <v>282</v>
      </c>
      <c r="B230" s="5" t="s">
        <v>299</v>
      </c>
      <c r="C230" s="5" t="s">
        <v>88</v>
      </c>
      <c r="D230" s="11">
        <f>MAX(0, 2*'Precinct Vote Data'!G904 - 'Precinct Vote Data'!G902)</f>
        <v>2376</v>
      </c>
      <c r="E230" s="10">
        <f>MIN(1,MAX(0,(5.3914776420524+0.021102849201698*'Precinct Vote Data'!I905*100+(-5.72594740176815)*0+0.927016741366831*('Precinct Vote Data'!H905*100))/100))</f>
        <v>0.4894399875</v>
      </c>
      <c r="F230" s="11">
        <f t="shared" si="1"/>
        <v>1163</v>
      </c>
      <c r="G230" s="11">
        <f t="shared" si="2"/>
        <v>1213</v>
      </c>
      <c r="H230" s="5" t="str">
        <f t="shared" si="3"/>
        <v>Republican</v>
      </c>
    </row>
    <row r="231" ht="15.0" customHeight="1">
      <c r="A231" s="5" t="s">
        <v>282</v>
      </c>
      <c r="B231" s="5" t="s">
        <v>299</v>
      </c>
      <c r="C231" s="5" t="s">
        <v>89</v>
      </c>
      <c r="D231" s="11">
        <f>MAX(0, 2*'Precinct Vote Data'!G908 - 'Precinct Vote Data'!G906)</f>
        <v>1624</v>
      </c>
      <c r="E231" s="10">
        <f>MIN(1,MAX(0,(5.3914776420524+0.021102849201698*'Precinct Vote Data'!I909*100+(-5.72594740176815)*0+0.927016741366831*('Precinct Vote Data'!H909*100))/100))</f>
        <v>0.4590345036</v>
      </c>
      <c r="F231" s="11">
        <f t="shared" si="1"/>
        <v>745</v>
      </c>
      <c r="G231" s="11">
        <f t="shared" si="2"/>
        <v>879</v>
      </c>
      <c r="H231" s="5" t="str">
        <f t="shared" si="3"/>
        <v>Republican</v>
      </c>
    </row>
    <row r="232" ht="15.0" customHeight="1">
      <c r="A232" s="5" t="s">
        <v>282</v>
      </c>
      <c r="B232" s="5" t="s">
        <v>300</v>
      </c>
      <c r="C232" s="5" t="s">
        <v>91</v>
      </c>
      <c r="D232" s="11">
        <f>MAX(0, 2*'Precinct Vote Data'!G912 - 'Precinct Vote Data'!G910)</f>
        <v>203</v>
      </c>
      <c r="E232" s="10">
        <f>MIN(1,MAX(0,(5.3914776420524+0.021102849201698*'Precinct Vote Data'!I913*100+(-5.72594740176815)*0+0.927016741366831*('Precinct Vote Data'!H913*100))/100))</f>
        <v>0.4966145458</v>
      </c>
      <c r="F232" s="11">
        <f t="shared" si="1"/>
        <v>101</v>
      </c>
      <c r="G232" s="11">
        <f t="shared" si="2"/>
        <v>102</v>
      </c>
      <c r="H232" s="5" t="str">
        <f t="shared" si="3"/>
        <v>Republican</v>
      </c>
    </row>
    <row r="233" ht="15.0" customHeight="1">
      <c r="A233" s="5" t="s">
        <v>282</v>
      </c>
      <c r="B233" s="5" t="s">
        <v>301</v>
      </c>
      <c r="C233" s="5" t="s">
        <v>302</v>
      </c>
      <c r="D233" s="11">
        <f>MAX(0, 2*'Precinct Vote Data'!G916 - 'Precinct Vote Data'!G914)</f>
        <v>2659</v>
      </c>
      <c r="E233" s="10">
        <f>MIN(1,MAX(0,(5.3914776420524+0.021102849201698*'Precinct Vote Data'!I917*100+(-5.72594740176815)*0+0.927016741366831*('Precinct Vote Data'!H917*100))/100))</f>
        <v>0.5860205371</v>
      </c>
      <c r="F233" s="11">
        <f t="shared" si="1"/>
        <v>1558</v>
      </c>
      <c r="G233" s="11">
        <f t="shared" si="2"/>
        <v>1101</v>
      </c>
      <c r="H233" s="5" t="str">
        <f t="shared" si="3"/>
        <v>Democrat</v>
      </c>
    </row>
    <row r="234" ht="15.0" customHeight="1">
      <c r="A234" s="5" t="s">
        <v>282</v>
      </c>
      <c r="B234" s="5" t="s">
        <v>303</v>
      </c>
      <c r="C234" s="5" t="s">
        <v>94</v>
      </c>
      <c r="D234" s="11">
        <f>MAX(0, 2*'Precinct Vote Data'!G920 - 'Precinct Vote Data'!G918)</f>
        <v>845</v>
      </c>
      <c r="E234" s="10">
        <f>MIN(1,MAX(0,(5.3914776420524+0.021102849201698*'Precinct Vote Data'!I921*100+(-5.72594740176815)*0+0.927016741366831*('Precinct Vote Data'!H921*100))/100))</f>
        <v>0.6079442967</v>
      </c>
      <c r="F234" s="11">
        <f t="shared" si="1"/>
        <v>514</v>
      </c>
      <c r="G234" s="11">
        <f t="shared" si="2"/>
        <v>331</v>
      </c>
      <c r="H234" s="5" t="str">
        <f t="shared" si="3"/>
        <v>Democrat</v>
      </c>
    </row>
    <row r="235" ht="15.0" customHeight="1">
      <c r="A235" s="5" t="s">
        <v>282</v>
      </c>
      <c r="B235" s="5" t="s">
        <v>304</v>
      </c>
      <c r="C235" s="5" t="s">
        <v>95</v>
      </c>
      <c r="D235" s="11">
        <f>MAX(0, 2*'Precinct Vote Data'!G924 - 'Precinct Vote Data'!G922)</f>
        <v>1363</v>
      </c>
      <c r="E235" s="10">
        <f>MIN(1,MAX(0,(5.3914776420524+0.021102849201698*'Precinct Vote Data'!I925*100+(-5.72594740176815)*0+0.927016741366831*('Precinct Vote Data'!H925*100))/100))</f>
        <v>0.4789858361</v>
      </c>
      <c r="F235" s="11">
        <f t="shared" si="1"/>
        <v>653</v>
      </c>
      <c r="G235" s="11">
        <f t="shared" si="2"/>
        <v>710</v>
      </c>
      <c r="H235" s="5" t="str">
        <f t="shared" si="3"/>
        <v>Republican</v>
      </c>
    </row>
    <row r="236" ht="15.0" customHeight="1">
      <c r="A236" s="5" t="s">
        <v>282</v>
      </c>
      <c r="B236" s="5" t="s">
        <v>305</v>
      </c>
      <c r="C236" s="5" t="s">
        <v>306</v>
      </c>
      <c r="D236" s="11">
        <f>MAX(0, 2*'Precinct Vote Data'!G928 - 'Precinct Vote Data'!G926)</f>
        <v>865</v>
      </c>
      <c r="E236" s="10">
        <f>MIN(1,MAX(0,(5.3914776420524+0.021102849201698*'Precinct Vote Data'!I929*100+(-5.72594740176815)*0+0.927016741366831*('Precinct Vote Data'!H929*100))/100))</f>
        <v>0.5283866029</v>
      </c>
      <c r="F236" s="11">
        <f t="shared" si="1"/>
        <v>457</v>
      </c>
      <c r="G236" s="11">
        <f t="shared" si="2"/>
        <v>408</v>
      </c>
      <c r="H236" s="5" t="str">
        <f t="shared" si="3"/>
        <v>Democrat</v>
      </c>
    </row>
    <row r="237" ht="15.0" customHeight="1">
      <c r="A237" s="5" t="s">
        <v>282</v>
      </c>
      <c r="B237" s="5" t="s">
        <v>305</v>
      </c>
      <c r="C237" s="5" t="s">
        <v>307</v>
      </c>
      <c r="D237" s="11">
        <f>MAX(0, 2*'Precinct Vote Data'!G932 - 'Precinct Vote Data'!G930)</f>
        <v>1078</v>
      </c>
      <c r="E237" s="10">
        <f>MIN(1,MAX(0,(5.3914776420524+0.021102849201698*'Precinct Vote Data'!I933*100+(-5.72594740176815)*0+0.927016741366831*('Precinct Vote Data'!H933*100))/100))</f>
        <v>0.5520202768</v>
      </c>
      <c r="F237" s="11">
        <f t="shared" si="1"/>
        <v>595</v>
      </c>
      <c r="G237" s="11">
        <f t="shared" si="2"/>
        <v>483</v>
      </c>
      <c r="H237" s="5" t="str">
        <f t="shared" si="3"/>
        <v>Democrat</v>
      </c>
    </row>
    <row r="238" ht="15.0" customHeight="1">
      <c r="A238" s="5" t="s">
        <v>282</v>
      </c>
      <c r="B238" s="5" t="s">
        <v>305</v>
      </c>
      <c r="C238" s="5" t="s">
        <v>308</v>
      </c>
      <c r="D238" s="11">
        <f>MAX(0, 2*'Precinct Vote Data'!G936 - 'Precinct Vote Data'!G934)</f>
        <v>1052</v>
      </c>
      <c r="E238" s="10">
        <f>MIN(1,MAX(0,(5.3914776420524+0.021102849201698*'Precinct Vote Data'!I937*100+(-5.72594740176815)*0+0.927016741366831*('Precinct Vote Data'!H937*100))/100))</f>
        <v>0.5283207422</v>
      </c>
      <c r="F238" s="11">
        <f t="shared" si="1"/>
        <v>556</v>
      </c>
      <c r="G238" s="11">
        <f t="shared" si="2"/>
        <v>496</v>
      </c>
      <c r="H238" s="5" t="str">
        <f t="shared" si="3"/>
        <v>Democrat</v>
      </c>
    </row>
    <row r="239" ht="15.0" customHeight="1">
      <c r="A239" s="5" t="s">
        <v>282</v>
      </c>
      <c r="B239" s="5" t="s">
        <v>305</v>
      </c>
      <c r="C239" s="5" t="s">
        <v>309</v>
      </c>
      <c r="D239" s="11">
        <f>MAX(0, 2*'Precinct Vote Data'!G940 - 'Precinct Vote Data'!G938)</f>
        <v>1502</v>
      </c>
      <c r="E239" s="10">
        <f>MIN(1,MAX(0,(5.3914776420524+0.021102849201698*'Precinct Vote Data'!I941*100+(-5.72594740176815)*0+0.927016741366831*('Precinct Vote Data'!H941*100))/100))</f>
        <v>0.5486751486</v>
      </c>
      <c r="F239" s="11">
        <f t="shared" si="1"/>
        <v>824</v>
      </c>
      <c r="G239" s="11">
        <f t="shared" si="2"/>
        <v>678</v>
      </c>
      <c r="H239" s="5" t="str">
        <f t="shared" si="3"/>
        <v>Democrat</v>
      </c>
    </row>
    <row r="240" ht="15.0" customHeight="1">
      <c r="A240" s="5" t="s">
        <v>282</v>
      </c>
      <c r="B240" s="5" t="s">
        <v>310</v>
      </c>
      <c r="C240" s="5" t="s">
        <v>100</v>
      </c>
      <c r="D240" s="11">
        <f>MAX(0, 2*'Precinct Vote Data'!G944 - 'Precinct Vote Data'!G942)</f>
        <v>3530</v>
      </c>
      <c r="E240" s="10">
        <f>MIN(1,MAX(0,(5.3914776420524+0.021102849201698*'Precinct Vote Data'!I945*100+(-5.72594740176815)*0+0.927016741366831*('Precinct Vote Data'!H945*100))/100))</f>
        <v>0.3538855274</v>
      </c>
      <c r="F240" s="11">
        <f t="shared" si="1"/>
        <v>1249</v>
      </c>
      <c r="G240" s="11">
        <f t="shared" si="2"/>
        <v>2281</v>
      </c>
      <c r="H240" s="5" t="str">
        <f t="shared" si="3"/>
        <v>Republican</v>
      </c>
    </row>
    <row r="241" ht="15.0" customHeight="1">
      <c r="A241" s="5" t="s">
        <v>282</v>
      </c>
      <c r="B241" s="5" t="s">
        <v>311</v>
      </c>
      <c r="C241" s="5" t="s">
        <v>102</v>
      </c>
      <c r="D241" s="11">
        <f>MAX(0, 2*'Precinct Vote Data'!G948 - 'Precinct Vote Data'!G946)</f>
        <v>1587</v>
      </c>
      <c r="E241" s="10">
        <f>MIN(1,MAX(0,(5.3914776420524+0.021102849201698*'Precinct Vote Data'!I949*100+(-5.72594740176815)*0+0.927016741366831*('Precinct Vote Data'!H949*100))/100))</f>
        <v>0.5450781296</v>
      </c>
      <c r="F241" s="11">
        <f t="shared" si="1"/>
        <v>865</v>
      </c>
      <c r="G241" s="11">
        <f t="shared" si="2"/>
        <v>722</v>
      </c>
      <c r="H241" s="5" t="str">
        <f t="shared" si="3"/>
        <v>Democrat</v>
      </c>
    </row>
    <row r="242" ht="15.0" customHeight="1">
      <c r="A242" s="5" t="s">
        <v>282</v>
      </c>
      <c r="B242" s="5" t="s">
        <v>312</v>
      </c>
      <c r="C242" s="5" t="s">
        <v>313</v>
      </c>
      <c r="D242" s="11">
        <f>MAX(0, 2*'Precinct Vote Data'!G952 - 'Precinct Vote Data'!G950)</f>
        <v>1459</v>
      </c>
      <c r="E242" s="10">
        <f>MIN(1,MAX(0,(5.3914776420524+0.021102849201698*'Precinct Vote Data'!I953*100+(-5.72594740176815)*0+0.927016741366831*('Precinct Vote Data'!H953*100))/100))</f>
        <v>0.6147617567</v>
      </c>
      <c r="F242" s="11">
        <f t="shared" si="1"/>
        <v>897</v>
      </c>
      <c r="G242" s="11">
        <f t="shared" si="2"/>
        <v>562</v>
      </c>
      <c r="H242" s="5" t="str">
        <f t="shared" si="3"/>
        <v>Democrat</v>
      </c>
    </row>
    <row r="243" ht="15.0" customHeight="1">
      <c r="A243" s="5" t="s">
        <v>282</v>
      </c>
      <c r="B243" s="5" t="s">
        <v>312</v>
      </c>
      <c r="C243" s="5" t="s">
        <v>314</v>
      </c>
      <c r="D243" s="11">
        <f>MAX(0, 2*'Precinct Vote Data'!G956 - 'Precinct Vote Data'!G954)</f>
        <v>912</v>
      </c>
      <c r="E243" s="10">
        <f>MIN(1,MAX(0,(5.3914776420524+0.021102849201698*'Precinct Vote Data'!I957*100+(-5.72594740176815)*0+0.927016741366831*('Precinct Vote Data'!H957*100))/100))</f>
        <v>0.5529135463</v>
      </c>
      <c r="F243" s="11">
        <f t="shared" si="1"/>
        <v>504</v>
      </c>
      <c r="G243" s="11">
        <f t="shared" si="2"/>
        <v>408</v>
      </c>
      <c r="H243" s="5" t="str">
        <f t="shared" si="3"/>
        <v>Democrat</v>
      </c>
    </row>
    <row r="244" ht="15.0" customHeight="1">
      <c r="A244" s="5" t="s">
        <v>282</v>
      </c>
      <c r="B244" s="5" t="s">
        <v>312</v>
      </c>
      <c r="C244" s="5" t="s">
        <v>315</v>
      </c>
      <c r="D244" s="11">
        <f>MAX(0, 2*'Precinct Vote Data'!G960 - 'Precinct Vote Data'!G958)</f>
        <v>739</v>
      </c>
      <c r="E244" s="10">
        <f>MIN(1,MAX(0,(5.3914776420524+0.021102849201698*'Precinct Vote Data'!I961*100+(-5.72594740176815)*0+0.927016741366831*('Precinct Vote Data'!H961*100))/100))</f>
        <v>0.618501933</v>
      </c>
      <c r="F244" s="11">
        <f t="shared" si="1"/>
        <v>457</v>
      </c>
      <c r="G244" s="11">
        <f t="shared" si="2"/>
        <v>282</v>
      </c>
      <c r="H244" s="5" t="str">
        <f t="shared" si="3"/>
        <v>Democrat</v>
      </c>
    </row>
    <row r="245" ht="15.0" customHeight="1">
      <c r="A245" s="5" t="s">
        <v>282</v>
      </c>
      <c r="B245" s="5" t="s">
        <v>316</v>
      </c>
      <c r="C245" s="5" t="s">
        <v>317</v>
      </c>
      <c r="D245" s="11">
        <f>MAX(0, 2*'Precinct Vote Data'!G964 - 'Precinct Vote Data'!G962)</f>
        <v>1611</v>
      </c>
      <c r="E245" s="10">
        <f>MIN(1,MAX(0,(5.3914776420524+0.021102849201698*'Precinct Vote Data'!I965*100+(-5.72594740176815)*0+0.927016741366831*('Precinct Vote Data'!H965*100))/100))</f>
        <v>0.6596557248</v>
      </c>
      <c r="F245" s="11">
        <f t="shared" si="1"/>
        <v>1063</v>
      </c>
      <c r="G245" s="11">
        <f t="shared" si="2"/>
        <v>548</v>
      </c>
      <c r="H245" s="5" t="str">
        <f t="shared" si="3"/>
        <v>Democrat</v>
      </c>
    </row>
    <row r="246" ht="15.0" customHeight="1">
      <c r="A246" s="5" t="s">
        <v>282</v>
      </c>
      <c r="B246" s="5" t="s">
        <v>316</v>
      </c>
      <c r="C246" s="5" t="s">
        <v>318</v>
      </c>
      <c r="D246" s="11">
        <f>MAX(0, 2*'Precinct Vote Data'!G968 - 'Precinct Vote Data'!G966)</f>
        <v>1454</v>
      </c>
      <c r="E246" s="10">
        <f>MIN(1,MAX(0,(5.3914776420524+0.021102849201698*'Precinct Vote Data'!I969*100+(-5.72594740176815)*0+0.927016741366831*('Precinct Vote Data'!H969*100))/100))</f>
        <v>0.683742404</v>
      </c>
      <c r="F246" s="11">
        <f t="shared" si="1"/>
        <v>994</v>
      </c>
      <c r="G246" s="11">
        <f t="shared" si="2"/>
        <v>460</v>
      </c>
      <c r="H246" s="5" t="str">
        <f t="shared" si="3"/>
        <v>Democrat</v>
      </c>
    </row>
    <row r="247" ht="15.0" customHeight="1">
      <c r="A247" s="5" t="s">
        <v>282</v>
      </c>
      <c r="B247" s="5" t="s">
        <v>316</v>
      </c>
      <c r="C247" s="5" t="s">
        <v>319</v>
      </c>
      <c r="D247" s="11">
        <f>MAX(0, 2*'Precinct Vote Data'!G972 - 'Precinct Vote Data'!G970)</f>
        <v>1211</v>
      </c>
      <c r="E247" s="10">
        <f>MIN(1,MAX(0,(5.3914776420524+0.021102849201698*'Precinct Vote Data'!I973*100+(-5.72594740176815)*0+0.927016741366831*('Precinct Vote Data'!H973*100))/100))</f>
        <v>0.6123470629</v>
      </c>
      <c r="F247" s="11">
        <f t="shared" si="1"/>
        <v>742</v>
      </c>
      <c r="G247" s="11">
        <f t="shared" si="2"/>
        <v>469</v>
      </c>
      <c r="H247" s="5" t="str">
        <f t="shared" si="3"/>
        <v>Democrat</v>
      </c>
    </row>
    <row r="248" ht="15.0" customHeight="1">
      <c r="A248" s="5" t="s">
        <v>282</v>
      </c>
      <c r="B248" s="5" t="s">
        <v>316</v>
      </c>
      <c r="C248" s="5" t="s">
        <v>320</v>
      </c>
      <c r="D248" s="11">
        <f>MAX(0, 2*'Precinct Vote Data'!G976 - 'Precinct Vote Data'!G974)</f>
        <v>1149</v>
      </c>
      <c r="E248" s="10">
        <f>MIN(1,MAX(0,(5.3914776420524+0.021102849201698*'Precinct Vote Data'!I977*100+(-5.72594740176815)*0+0.927016741366831*('Precinct Vote Data'!H977*100))/100))</f>
        <v>0.5534479146</v>
      </c>
      <c r="F248" s="11">
        <f t="shared" si="1"/>
        <v>636</v>
      </c>
      <c r="G248" s="11">
        <f t="shared" si="2"/>
        <v>513</v>
      </c>
      <c r="H248" s="5" t="str">
        <f t="shared" si="3"/>
        <v>Democrat</v>
      </c>
    </row>
    <row r="249" ht="15.0" customHeight="1">
      <c r="A249" s="5" t="s">
        <v>282</v>
      </c>
      <c r="B249" s="5" t="s">
        <v>316</v>
      </c>
      <c r="C249" s="5" t="s">
        <v>321</v>
      </c>
      <c r="D249" s="11">
        <f>MAX(0, 2*'Precinct Vote Data'!G980 - 'Precinct Vote Data'!G978)</f>
        <v>697</v>
      </c>
      <c r="E249" s="10">
        <f>MIN(1,MAX(0,(5.3914776420524+0.021102849201698*'Precinct Vote Data'!I981*100+(-5.72594740176815)*0+0.927016741366831*('Precinct Vote Data'!H981*100))/100))</f>
        <v>0.5876071247</v>
      </c>
      <c r="F249" s="11">
        <f t="shared" si="1"/>
        <v>410</v>
      </c>
      <c r="G249" s="11">
        <f t="shared" si="2"/>
        <v>287</v>
      </c>
      <c r="H249" s="5" t="str">
        <f t="shared" si="3"/>
        <v>Democrat</v>
      </c>
    </row>
    <row r="250" ht="15.0" customHeight="1">
      <c r="A250" s="5" t="s">
        <v>282</v>
      </c>
      <c r="B250" s="5" t="s">
        <v>316</v>
      </c>
      <c r="C250" s="5" t="s">
        <v>322</v>
      </c>
      <c r="D250" s="11">
        <f>MAX(0, 2*'Precinct Vote Data'!G984 - 'Precinct Vote Data'!G982)</f>
        <v>971</v>
      </c>
      <c r="E250" s="10">
        <f>MIN(1,MAX(0,(5.3914776420524+0.021102849201698*'Precinct Vote Data'!I985*100+(-5.72594740176815)*0+0.927016741366831*('Precinct Vote Data'!H985*100))/100))</f>
        <v>0.5714186342</v>
      </c>
      <c r="F250" s="11">
        <f t="shared" si="1"/>
        <v>555</v>
      </c>
      <c r="G250" s="11">
        <f t="shared" si="2"/>
        <v>416</v>
      </c>
      <c r="H250" s="5" t="str">
        <f t="shared" si="3"/>
        <v>Democrat</v>
      </c>
    </row>
    <row r="251" ht="15.0" customHeight="1">
      <c r="A251" s="5" t="s">
        <v>282</v>
      </c>
      <c r="B251" s="5" t="s">
        <v>316</v>
      </c>
      <c r="C251" s="5" t="s">
        <v>323</v>
      </c>
      <c r="D251" s="11">
        <f>MAX(0, 2*'Precinct Vote Data'!G988 - 'Precinct Vote Data'!G986)</f>
        <v>331</v>
      </c>
      <c r="E251" s="10">
        <f>MIN(1,MAX(0,(5.3914776420524+0.021102849201698*'Precinct Vote Data'!I989*100+(-5.72594740176815)*0+0.927016741366831*('Precinct Vote Data'!H989*100))/100))</f>
        <v>0.5035251053</v>
      </c>
      <c r="F251" s="11">
        <f t="shared" si="1"/>
        <v>167</v>
      </c>
      <c r="G251" s="11">
        <f t="shared" si="2"/>
        <v>164</v>
      </c>
      <c r="H251" s="5" t="str">
        <f t="shared" si="3"/>
        <v>Democrat</v>
      </c>
    </row>
    <row r="252" ht="15.0" customHeight="1">
      <c r="A252" s="5" t="s">
        <v>282</v>
      </c>
      <c r="B252" s="5" t="s">
        <v>324</v>
      </c>
      <c r="C252" s="5" t="s">
        <v>113</v>
      </c>
      <c r="D252" s="11">
        <f>MAX(0, 2*'Precinct Vote Data'!G992 - 'Precinct Vote Data'!G990)</f>
        <v>121</v>
      </c>
      <c r="E252" s="10">
        <f>MIN(1,MAX(0,(5.3914776420524+0.021102849201698*'Precinct Vote Data'!I993*100+(-5.72594740176815)*0+0.927016741366831*('Precinct Vote Data'!H993*100))/100))</f>
        <v>0.7473209243</v>
      </c>
      <c r="F252" s="11">
        <f t="shared" si="1"/>
        <v>90</v>
      </c>
      <c r="G252" s="11">
        <f t="shared" si="2"/>
        <v>31</v>
      </c>
      <c r="H252" s="5" t="str">
        <f t="shared" si="3"/>
        <v>Democrat</v>
      </c>
    </row>
    <row r="253" ht="15.0" customHeight="1">
      <c r="A253" s="5" t="s">
        <v>282</v>
      </c>
      <c r="B253" s="5" t="s">
        <v>324</v>
      </c>
      <c r="C253" s="5" t="s">
        <v>114</v>
      </c>
      <c r="D253" s="11">
        <f>MAX(0, 2*'Precinct Vote Data'!G996 - 'Precinct Vote Data'!G994)</f>
        <v>326</v>
      </c>
      <c r="E253" s="10">
        <f>MIN(1,MAX(0,(5.3914776420524+0.021102849201698*'Precinct Vote Data'!I997*100+(-5.72594740176815)*0+0.927016741366831*('Precinct Vote Data'!H997*100))/100))</f>
        <v>0.7086595928</v>
      </c>
      <c r="F253" s="11">
        <f t="shared" si="1"/>
        <v>231</v>
      </c>
      <c r="G253" s="11">
        <f t="shared" si="2"/>
        <v>95</v>
      </c>
      <c r="H253" s="5" t="str">
        <f t="shared" si="3"/>
        <v>Democrat</v>
      </c>
    </row>
    <row r="254" ht="15.0" customHeight="1">
      <c r="A254" s="5" t="s">
        <v>282</v>
      </c>
      <c r="B254" s="5" t="s">
        <v>324</v>
      </c>
      <c r="C254" s="5" t="s">
        <v>116</v>
      </c>
      <c r="D254" s="11">
        <f>MAX(0, 2*'Precinct Vote Data'!G1000 - 'Precinct Vote Data'!G998)</f>
        <v>342</v>
      </c>
      <c r="E254" s="10">
        <f>MIN(1,MAX(0,(5.3914776420524+0.021102849201698*'Precinct Vote Data'!I1001*100+(-5.72594740176815)*0+0.927016741366831*('Precinct Vote Data'!H1001*100))/100))</f>
        <v>0.6445043567</v>
      </c>
      <c r="F254" s="11">
        <f t="shared" si="1"/>
        <v>220</v>
      </c>
      <c r="G254" s="11">
        <f t="shared" si="2"/>
        <v>122</v>
      </c>
      <c r="H254" s="5" t="str">
        <f t="shared" si="3"/>
        <v>Democrat</v>
      </c>
    </row>
    <row r="255" ht="15.0" customHeight="1">
      <c r="A255" s="5" t="s">
        <v>282</v>
      </c>
      <c r="B255" s="5" t="s">
        <v>324</v>
      </c>
      <c r="C255" s="5" t="s">
        <v>118</v>
      </c>
      <c r="D255" s="11">
        <f>MAX(0, 2*'Precinct Vote Data'!G1004 - 'Precinct Vote Data'!G1002)</f>
        <v>484</v>
      </c>
      <c r="E255" s="10">
        <f>MIN(1,MAX(0,(5.3914776420524+0.021102849201698*'Precinct Vote Data'!I1005*100+(-5.72594740176815)*0+0.927016741366831*('Precinct Vote Data'!H1005*100))/100))</f>
        <v>0.6981930364</v>
      </c>
      <c r="F255" s="11">
        <f t="shared" si="1"/>
        <v>338</v>
      </c>
      <c r="G255" s="11">
        <f t="shared" si="2"/>
        <v>146</v>
      </c>
      <c r="H255" s="5" t="str">
        <f t="shared" si="3"/>
        <v>Democrat</v>
      </c>
    </row>
    <row r="256" ht="15.0" customHeight="1">
      <c r="A256" s="5" t="s">
        <v>282</v>
      </c>
      <c r="B256" s="5" t="s">
        <v>324</v>
      </c>
      <c r="C256" s="5" t="s">
        <v>119</v>
      </c>
      <c r="D256" s="11">
        <f>MAX(0, 2*'Precinct Vote Data'!G1008 - 'Precinct Vote Data'!G1006)</f>
        <v>644</v>
      </c>
      <c r="E256" s="10">
        <f>MIN(1,MAX(0,(5.3914776420524+0.021102849201698*'Precinct Vote Data'!I1009*100+(-5.72594740176815)*0+0.927016741366831*('Precinct Vote Data'!H1009*100))/100))</f>
        <v>0.6646175047</v>
      </c>
      <c r="F256" s="11">
        <f t="shared" si="1"/>
        <v>428</v>
      </c>
      <c r="G256" s="11">
        <f t="shared" si="2"/>
        <v>216</v>
      </c>
      <c r="H256" s="5" t="str">
        <f t="shared" si="3"/>
        <v>Democrat</v>
      </c>
    </row>
    <row r="257" ht="15.0" customHeight="1">
      <c r="A257" s="5" t="s">
        <v>282</v>
      </c>
      <c r="B257" s="5" t="s">
        <v>325</v>
      </c>
      <c r="C257" s="5" t="s">
        <v>120</v>
      </c>
      <c r="D257" s="11">
        <f>MAX(0, 2*'Precinct Vote Data'!G1012 - 'Precinct Vote Data'!G1010)</f>
        <v>2074</v>
      </c>
      <c r="E257" s="10">
        <f>MIN(1,MAX(0,(5.3914776420524+0.021102849201698*'Precinct Vote Data'!I1013*100+(-5.72594740176815)*0+0.927016741366831*('Precinct Vote Data'!H1013*100))/100))</f>
        <v>0.5919728171</v>
      </c>
      <c r="F257" s="11">
        <f t="shared" si="1"/>
        <v>1228</v>
      </c>
      <c r="G257" s="11">
        <f t="shared" si="2"/>
        <v>846</v>
      </c>
      <c r="H257" s="5" t="str">
        <f t="shared" si="3"/>
        <v>Democrat</v>
      </c>
    </row>
    <row r="258" ht="15.0" customHeight="1">
      <c r="A258" s="5" t="s">
        <v>282</v>
      </c>
      <c r="B258" s="5" t="s">
        <v>325</v>
      </c>
      <c r="C258" s="5" t="s">
        <v>122</v>
      </c>
      <c r="D258" s="11">
        <f>MAX(0, 2*'Precinct Vote Data'!G1016 - 'Precinct Vote Data'!G1014)</f>
        <v>1266</v>
      </c>
      <c r="E258" s="10">
        <f>MIN(1,MAX(0,(5.3914776420524+0.021102849201698*'Precinct Vote Data'!I1017*100+(-5.72594740176815)*0+0.927016741366831*('Precinct Vote Data'!H1017*100))/100))</f>
        <v>0.4535808766</v>
      </c>
      <c r="F258" s="11">
        <f t="shared" si="1"/>
        <v>574</v>
      </c>
      <c r="G258" s="11">
        <f t="shared" si="2"/>
        <v>692</v>
      </c>
      <c r="H258" s="5" t="str">
        <f t="shared" si="3"/>
        <v>Republican</v>
      </c>
    </row>
    <row r="259" ht="15.0" customHeight="1">
      <c r="A259" s="5" t="s">
        <v>282</v>
      </c>
      <c r="B259" s="5" t="s">
        <v>326</v>
      </c>
      <c r="C259" s="5" t="s">
        <v>124</v>
      </c>
      <c r="D259" s="11">
        <f>MAX(0, 2*'Precinct Vote Data'!G1020 - 'Precinct Vote Data'!G1018)</f>
        <v>1951</v>
      </c>
      <c r="E259" s="10">
        <f>MIN(1,MAX(0,(5.3914776420524+0.021102849201698*'Precinct Vote Data'!I1021*100+(-5.72594740176815)*0+0.927016741366831*('Precinct Vote Data'!H1021*100))/100))</f>
        <v>0.5340270713</v>
      </c>
      <c r="F259" s="11">
        <f t="shared" si="1"/>
        <v>1042</v>
      </c>
      <c r="G259" s="11">
        <f t="shared" si="2"/>
        <v>909</v>
      </c>
      <c r="H259" s="5" t="str">
        <f t="shared" si="3"/>
        <v>Democrat</v>
      </c>
    </row>
    <row r="260" ht="15.0" customHeight="1">
      <c r="A260" s="5" t="s">
        <v>327</v>
      </c>
      <c r="B260" s="5" t="s">
        <v>328</v>
      </c>
      <c r="C260" s="5" t="s">
        <v>18</v>
      </c>
      <c r="D260" s="11">
        <f>MAX(0, 2*'Precinct Vote Data'!G1024 - 'Precinct Vote Data'!G1022)</f>
        <v>442</v>
      </c>
      <c r="E260" s="10">
        <f>MIN(1,MAX(0,(5.3914776420524+0.021102849201698*'Precinct Vote Data'!I1025*100+(-5.72594740176815)*0+0.927016741366831*('Precinct Vote Data'!H1025*100))/100))</f>
        <v>0.4265458291</v>
      </c>
      <c r="F260" s="11">
        <f t="shared" si="1"/>
        <v>189</v>
      </c>
      <c r="G260" s="11">
        <f t="shared" si="2"/>
        <v>253</v>
      </c>
      <c r="H260" s="5" t="str">
        <f t="shared" si="3"/>
        <v>Republican</v>
      </c>
    </row>
    <row r="261" ht="15.0" customHeight="1">
      <c r="A261" s="5" t="s">
        <v>327</v>
      </c>
      <c r="B261" s="5" t="s">
        <v>329</v>
      </c>
      <c r="C261" s="5" t="s">
        <v>146</v>
      </c>
      <c r="D261" s="11">
        <f>MAX(0, 2*'Precinct Vote Data'!G1028 - 'Precinct Vote Data'!G1026)</f>
        <v>430</v>
      </c>
      <c r="E261" s="10">
        <f>MIN(1,MAX(0,(5.3914776420524+0.021102849201698*'Precinct Vote Data'!I1029*100+(-5.72594740176815)*0+0.927016741366831*('Precinct Vote Data'!H1029*100))/100))</f>
        <v>0.4317929524</v>
      </c>
      <c r="F261" s="11">
        <f t="shared" si="1"/>
        <v>186</v>
      </c>
      <c r="G261" s="11">
        <f t="shared" si="2"/>
        <v>244</v>
      </c>
      <c r="H261" s="5" t="str">
        <f t="shared" si="3"/>
        <v>Republican</v>
      </c>
    </row>
    <row r="262" ht="15.0" customHeight="1">
      <c r="A262" s="5" t="s">
        <v>327</v>
      </c>
      <c r="B262" s="5" t="s">
        <v>329</v>
      </c>
      <c r="C262" s="5" t="s">
        <v>147</v>
      </c>
      <c r="D262" s="11">
        <f>MAX(0, 2*'Precinct Vote Data'!G1032 - 'Precinct Vote Data'!G1030)</f>
        <v>447</v>
      </c>
      <c r="E262" s="10">
        <f>MIN(1,MAX(0,(5.3914776420524+0.021102849201698*'Precinct Vote Data'!I1033*100+(-5.72594740176815)*0+0.927016741366831*('Precinct Vote Data'!H1033*100))/100))</f>
        <v>0.4534732684</v>
      </c>
      <c r="F262" s="11">
        <f t="shared" si="1"/>
        <v>203</v>
      </c>
      <c r="G262" s="11">
        <f t="shared" si="2"/>
        <v>244</v>
      </c>
      <c r="H262" s="5" t="str">
        <f t="shared" si="3"/>
        <v>Republican</v>
      </c>
    </row>
    <row r="263" ht="15.0" customHeight="1">
      <c r="A263" s="5" t="s">
        <v>327</v>
      </c>
      <c r="B263" s="5" t="s">
        <v>329</v>
      </c>
      <c r="C263" s="5" t="s">
        <v>55</v>
      </c>
      <c r="D263" s="11">
        <f>MAX(0, 2*'Precinct Vote Data'!G1036 - 'Precinct Vote Data'!G1034)</f>
        <v>527</v>
      </c>
      <c r="E263" s="10">
        <f>MIN(1,MAX(0,(5.3914776420524+0.021102849201698*'Precinct Vote Data'!I1037*100+(-5.72594740176815)*0+0.927016741366831*('Precinct Vote Data'!H1037*100))/100))</f>
        <v>0.4374887175</v>
      </c>
      <c r="F263" s="11">
        <f t="shared" si="1"/>
        <v>231</v>
      </c>
      <c r="G263" s="11">
        <f t="shared" si="2"/>
        <v>296</v>
      </c>
      <c r="H263" s="5" t="str">
        <f t="shared" si="3"/>
        <v>Republican</v>
      </c>
    </row>
    <row r="264" ht="15.0" customHeight="1">
      <c r="A264" s="5" t="s">
        <v>327</v>
      </c>
      <c r="B264" s="5" t="s">
        <v>329</v>
      </c>
      <c r="C264" s="5" t="s">
        <v>57</v>
      </c>
      <c r="D264" s="11">
        <f>MAX(0, 2*'Precinct Vote Data'!G1040 - 'Precinct Vote Data'!G1038)</f>
        <v>429</v>
      </c>
      <c r="E264" s="10">
        <f>MIN(1,MAX(0,(5.3914776420524+0.021102849201698*'Precinct Vote Data'!I1041*100+(-5.72594740176815)*0+0.927016741366831*('Precinct Vote Data'!H1041*100))/100))</f>
        <v>0.415723213</v>
      </c>
      <c r="F264" s="11">
        <f t="shared" si="1"/>
        <v>178</v>
      </c>
      <c r="G264" s="11">
        <f t="shared" si="2"/>
        <v>251</v>
      </c>
      <c r="H264" s="5" t="str">
        <f t="shared" si="3"/>
        <v>Republican</v>
      </c>
    </row>
    <row r="265" ht="15.0" customHeight="1">
      <c r="A265" s="5" t="s">
        <v>327</v>
      </c>
      <c r="B265" s="5" t="s">
        <v>330</v>
      </c>
      <c r="C265" s="5" t="s">
        <v>59</v>
      </c>
      <c r="D265" s="11">
        <f>MAX(0, 2*'Precinct Vote Data'!G1044 - 'Precinct Vote Data'!G1042)</f>
        <v>1132</v>
      </c>
      <c r="E265" s="10">
        <f>MIN(1,MAX(0,(5.3914776420524+0.021102849201698*'Precinct Vote Data'!I1045*100+(-5.72594740176815)*0+0.927016741366831*('Precinct Vote Data'!H1045*100))/100))</f>
        <v>0.4813006913</v>
      </c>
      <c r="F265" s="11">
        <f t="shared" si="1"/>
        <v>545</v>
      </c>
      <c r="G265" s="11">
        <f t="shared" si="2"/>
        <v>587</v>
      </c>
      <c r="H265" s="5" t="str">
        <f t="shared" si="3"/>
        <v>Republican</v>
      </c>
    </row>
    <row r="266" ht="15.0" customHeight="1">
      <c r="A266" s="5" t="s">
        <v>327</v>
      </c>
      <c r="B266" s="5" t="s">
        <v>157</v>
      </c>
      <c r="C266" s="5" t="s">
        <v>60</v>
      </c>
      <c r="D266" s="11">
        <f>MAX(0, 2*'Precinct Vote Data'!G1048 - 'Precinct Vote Data'!G1046)</f>
        <v>444</v>
      </c>
      <c r="E266" s="10">
        <f>MIN(1,MAX(0,(5.3914776420524+0.021102849201698*'Precinct Vote Data'!I1049*100+(-5.72594740176815)*0+0.927016741366831*('Precinct Vote Data'!H1049*100))/100))</f>
        <v>0.7273086474</v>
      </c>
      <c r="F266" s="11">
        <f t="shared" si="1"/>
        <v>323</v>
      </c>
      <c r="G266" s="11">
        <f t="shared" si="2"/>
        <v>121</v>
      </c>
      <c r="H266" s="5" t="str">
        <f t="shared" si="3"/>
        <v>Democrat</v>
      </c>
    </row>
    <row r="267" ht="15.0" customHeight="1">
      <c r="A267" s="5" t="s">
        <v>327</v>
      </c>
      <c r="B267" s="5" t="s">
        <v>157</v>
      </c>
      <c r="C267" s="5" t="s">
        <v>63</v>
      </c>
      <c r="D267" s="11">
        <f>MAX(0, 2*'Precinct Vote Data'!G1052 - 'Precinct Vote Data'!G1050)</f>
        <v>311</v>
      </c>
      <c r="E267" s="10">
        <f>MIN(1,MAX(0,(5.3914776420524+0.021102849201698*'Precinct Vote Data'!I1053*100+(-5.72594740176815)*0+0.927016741366831*('Precinct Vote Data'!H1053*100))/100))</f>
        <v>0.7423714138</v>
      </c>
      <c r="F267" s="11">
        <f t="shared" si="1"/>
        <v>231</v>
      </c>
      <c r="G267" s="11">
        <f t="shared" si="2"/>
        <v>80</v>
      </c>
      <c r="H267" s="5" t="str">
        <f t="shared" si="3"/>
        <v>Democrat</v>
      </c>
    </row>
    <row r="268" ht="15.0" customHeight="1">
      <c r="A268" s="5" t="s">
        <v>327</v>
      </c>
      <c r="B268" s="5" t="s">
        <v>157</v>
      </c>
      <c r="C268" s="5" t="s">
        <v>331</v>
      </c>
      <c r="D268" s="11">
        <f>MAX(0, 2*'Precinct Vote Data'!G1056 - 'Precinct Vote Data'!G1054)</f>
        <v>516</v>
      </c>
      <c r="E268" s="10">
        <f>MIN(1,MAX(0,(5.3914776420524+0.021102849201698*'Precinct Vote Data'!I1057*100+(-5.72594740176815)*0+0.927016741366831*('Precinct Vote Data'!H1057*100))/100))</f>
        <v>0.7551233923</v>
      </c>
      <c r="F268" s="11">
        <f t="shared" si="1"/>
        <v>390</v>
      </c>
      <c r="G268" s="11">
        <f t="shared" si="2"/>
        <v>126</v>
      </c>
      <c r="H268" s="5" t="str">
        <f t="shared" si="3"/>
        <v>Democrat</v>
      </c>
    </row>
    <row r="269" ht="15.0" customHeight="1">
      <c r="A269" s="5" t="s">
        <v>327</v>
      </c>
      <c r="B269" s="5" t="s">
        <v>157</v>
      </c>
      <c r="C269" s="5" t="s">
        <v>74</v>
      </c>
      <c r="D269" s="11">
        <f>MAX(0, 2*'Precinct Vote Data'!G1060 - 'Precinct Vote Data'!G1058)</f>
        <v>739</v>
      </c>
      <c r="E269" s="10">
        <f>MIN(1,MAX(0,(5.3914776420524+0.021102849201698*'Precinct Vote Data'!I1061*100+(-5.72594740176815)*0+0.927016741366831*('Precinct Vote Data'!H1061*100))/100))</f>
        <v>0.8201874821</v>
      </c>
      <c r="F269" s="11">
        <f t="shared" si="1"/>
        <v>606</v>
      </c>
      <c r="G269" s="11">
        <f t="shared" si="2"/>
        <v>133</v>
      </c>
      <c r="H269" s="5" t="str">
        <f t="shared" si="3"/>
        <v>Democrat</v>
      </c>
    </row>
    <row r="270" ht="15.0" customHeight="1">
      <c r="A270" s="5" t="s">
        <v>327</v>
      </c>
      <c r="B270" s="5" t="s">
        <v>157</v>
      </c>
      <c r="C270" s="5" t="s">
        <v>332</v>
      </c>
      <c r="D270" s="11">
        <f>MAX(0, 2*'Precinct Vote Data'!G1064 - 'Precinct Vote Data'!G1062)</f>
        <v>514</v>
      </c>
      <c r="E270" s="10">
        <f>MIN(1,MAX(0,(5.3914776420524+0.021102849201698*'Precinct Vote Data'!I1065*100+(-5.72594740176815)*0+0.927016741366831*('Precinct Vote Data'!H1065*100))/100))</f>
        <v>0.7358793737</v>
      </c>
      <c r="F270" s="11">
        <f t="shared" si="1"/>
        <v>378</v>
      </c>
      <c r="G270" s="11">
        <f t="shared" si="2"/>
        <v>136</v>
      </c>
      <c r="H270" s="5" t="str">
        <f t="shared" si="3"/>
        <v>Democrat</v>
      </c>
    </row>
    <row r="271" ht="15.0" customHeight="1">
      <c r="A271" s="5" t="s">
        <v>327</v>
      </c>
      <c r="B271" s="5" t="s">
        <v>157</v>
      </c>
      <c r="C271" s="5" t="s">
        <v>87</v>
      </c>
      <c r="D271" s="11">
        <f>MAX(0, 2*'Precinct Vote Data'!G1068 - 'Precinct Vote Data'!G1066)</f>
        <v>420</v>
      </c>
      <c r="E271" s="10">
        <f>MIN(1,MAX(0,(5.3914776420524+0.021102849201698*'Precinct Vote Data'!I1069*100+(-5.72594740176815)*0+0.927016741366831*('Precinct Vote Data'!H1069*100))/100))</f>
        <v>0.7139165323</v>
      </c>
      <c r="F271" s="11">
        <f t="shared" si="1"/>
        <v>300</v>
      </c>
      <c r="G271" s="11">
        <f t="shared" si="2"/>
        <v>120</v>
      </c>
      <c r="H271" s="5" t="str">
        <f t="shared" si="3"/>
        <v>Democrat</v>
      </c>
    </row>
    <row r="272" ht="15.0" customHeight="1">
      <c r="A272" s="5" t="s">
        <v>327</v>
      </c>
      <c r="B272" s="5" t="s">
        <v>157</v>
      </c>
      <c r="C272" s="5" t="s">
        <v>88</v>
      </c>
      <c r="D272" s="11">
        <f>MAX(0, 2*'Precinct Vote Data'!G1072 - 'Precinct Vote Data'!G1070)</f>
        <v>614</v>
      </c>
      <c r="E272" s="10">
        <f>MIN(1,MAX(0,(5.3914776420524+0.021102849201698*'Precinct Vote Data'!I1073*100+(-5.72594740176815)*0+0.927016741366831*('Precinct Vote Data'!H1073*100))/100))</f>
        <v>0.7610625983</v>
      </c>
      <c r="F272" s="11">
        <f t="shared" si="1"/>
        <v>467</v>
      </c>
      <c r="G272" s="11">
        <f t="shared" si="2"/>
        <v>147</v>
      </c>
      <c r="H272" s="5" t="str">
        <f t="shared" si="3"/>
        <v>Democrat</v>
      </c>
    </row>
    <row r="273" ht="15.0" customHeight="1">
      <c r="A273" s="5" t="s">
        <v>327</v>
      </c>
      <c r="B273" s="5" t="s">
        <v>157</v>
      </c>
      <c r="C273" s="5" t="s">
        <v>89</v>
      </c>
      <c r="D273" s="11">
        <f>MAX(0, 2*'Precinct Vote Data'!G1076 - 'Precinct Vote Data'!G1074)</f>
        <v>798</v>
      </c>
      <c r="E273" s="10">
        <f>MIN(1,MAX(0,(5.3914776420524+0.021102849201698*'Precinct Vote Data'!I1077*100+(-5.72594740176815)*0+0.927016741366831*('Precinct Vote Data'!H1077*100))/100))</f>
        <v>0.7220545106</v>
      </c>
      <c r="F273" s="11">
        <f t="shared" si="1"/>
        <v>576</v>
      </c>
      <c r="G273" s="11">
        <f t="shared" si="2"/>
        <v>222</v>
      </c>
      <c r="H273" s="5" t="str">
        <f t="shared" si="3"/>
        <v>Democrat</v>
      </c>
    </row>
    <row r="274" ht="15.0" customHeight="1">
      <c r="A274" s="5" t="s">
        <v>327</v>
      </c>
      <c r="B274" s="5" t="s">
        <v>157</v>
      </c>
      <c r="C274" s="5" t="s">
        <v>91</v>
      </c>
      <c r="D274" s="11">
        <f>MAX(0, 2*'Precinct Vote Data'!G1080 - 'Precinct Vote Data'!G1078)</f>
        <v>680</v>
      </c>
      <c r="E274" s="10">
        <f>MIN(1,MAX(0,(5.3914776420524+0.021102849201698*'Precinct Vote Data'!I1081*100+(-5.72594740176815)*0+0.927016741366831*('Precinct Vote Data'!H1081*100))/100))</f>
        <v>0.6968867982</v>
      </c>
      <c r="F274" s="11">
        <f t="shared" si="1"/>
        <v>474</v>
      </c>
      <c r="G274" s="11">
        <f t="shared" si="2"/>
        <v>206</v>
      </c>
      <c r="H274" s="5" t="str">
        <f t="shared" si="3"/>
        <v>Democrat</v>
      </c>
    </row>
    <row r="275" ht="15.0" customHeight="1">
      <c r="A275" s="5" t="s">
        <v>327</v>
      </c>
      <c r="B275" s="5" t="s">
        <v>157</v>
      </c>
      <c r="C275" s="5" t="s">
        <v>92</v>
      </c>
      <c r="D275" s="11">
        <f>MAX(0, 2*'Precinct Vote Data'!G1084 - 'Precinct Vote Data'!G1082)</f>
        <v>350</v>
      </c>
      <c r="E275" s="10">
        <f>MIN(1,MAX(0,(5.3914776420524+0.021102849201698*'Precinct Vote Data'!I1085*100+(-5.72594740176815)*0+0.927016741366831*('Precinct Vote Data'!H1085*100))/100))</f>
        <v>0.6626399466</v>
      </c>
      <c r="F275" s="11">
        <f t="shared" si="1"/>
        <v>232</v>
      </c>
      <c r="G275" s="11">
        <f t="shared" si="2"/>
        <v>118</v>
      </c>
      <c r="H275" s="5" t="str">
        <f t="shared" si="3"/>
        <v>Democrat</v>
      </c>
    </row>
    <row r="276" ht="15.0" customHeight="1">
      <c r="A276" s="5" t="s">
        <v>327</v>
      </c>
      <c r="B276" s="5" t="s">
        <v>157</v>
      </c>
      <c r="C276" s="5" t="s">
        <v>94</v>
      </c>
      <c r="D276" s="11">
        <f>MAX(0, 2*'Precinct Vote Data'!G1088 - 'Precinct Vote Data'!G1086)</f>
        <v>451</v>
      </c>
      <c r="E276" s="10">
        <f>MIN(1,MAX(0,(5.3914776420524+0.021102849201698*'Precinct Vote Data'!I1089*100+(-5.72594740176815)*0+0.927016741366831*('Precinct Vote Data'!H1089*100))/100))</f>
        <v>0.7069880326</v>
      </c>
      <c r="F276" s="11">
        <f t="shared" si="1"/>
        <v>319</v>
      </c>
      <c r="G276" s="11">
        <f t="shared" si="2"/>
        <v>132</v>
      </c>
      <c r="H276" s="5" t="str">
        <f t="shared" si="3"/>
        <v>Democrat</v>
      </c>
    </row>
    <row r="277" ht="15.0" customHeight="1">
      <c r="A277" s="5" t="s">
        <v>327</v>
      </c>
      <c r="B277" s="5" t="s">
        <v>157</v>
      </c>
      <c r="C277" s="5" t="s">
        <v>95</v>
      </c>
      <c r="D277" s="11">
        <f>MAX(0, 2*'Precinct Vote Data'!G1092 - 'Precinct Vote Data'!G1090)</f>
        <v>917</v>
      </c>
      <c r="E277" s="10">
        <f>MIN(1,MAX(0,(5.3914776420524+0.021102849201698*'Precinct Vote Data'!I1093*100+(-5.72594740176815)*0+0.927016741366831*('Precinct Vote Data'!H1093*100))/100))</f>
        <v>0.6871105421</v>
      </c>
      <c r="F277" s="11">
        <f t="shared" si="1"/>
        <v>630</v>
      </c>
      <c r="G277" s="11">
        <f t="shared" si="2"/>
        <v>287</v>
      </c>
      <c r="H277" s="5" t="str">
        <f t="shared" si="3"/>
        <v>Democrat</v>
      </c>
    </row>
    <row r="278" ht="15.0" customHeight="1">
      <c r="A278" s="5" t="s">
        <v>327</v>
      </c>
      <c r="B278" s="5" t="s">
        <v>157</v>
      </c>
      <c r="C278" s="5" t="s">
        <v>96</v>
      </c>
      <c r="D278" s="11">
        <f>MAX(0, 2*'Precinct Vote Data'!G1096 - 'Precinct Vote Data'!G1094)</f>
        <v>1045</v>
      </c>
      <c r="E278" s="10">
        <f>MIN(1,MAX(0,(5.3914776420524+0.021102849201698*'Precinct Vote Data'!I1097*100+(-5.72594740176815)*0+0.927016741366831*('Precinct Vote Data'!H1097*100))/100))</f>
        <v>0.6464581935</v>
      </c>
      <c r="F278" s="11">
        <f t="shared" si="1"/>
        <v>676</v>
      </c>
      <c r="G278" s="11">
        <f t="shared" si="2"/>
        <v>369</v>
      </c>
      <c r="H278" s="5" t="str">
        <f t="shared" si="3"/>
        <v>Democrat</v>
      </c>
    </row>
    <row r="279" ht="15.0" customHeight="1">
      <c r="A279" s="5" t="s">
        <v>327</v>
      </c>
      <c r="B279" s="5" t="s">
        <v>157</v>
      </c>
      <c r="C279" s="5" t="s">
        <v>98</v>
      </c>
      <c r="D279" s="11">
        <f>MAX(0, 2*'Precinct Vote Data'!G1100 - 'Precinct Vote Data'!G1098)</f>
        <v>1555</v>
      </c>
      <c r="E279" s="10">
        <f>MIN(1,MAX(0,(5.3914776420524+0.021102849201698*'Precinct Vote Data'!I1101*100+(-5.72594740176815)*0+0.927016741366831*('Precinct Vote Data'!H1101*100))/100))</f>
        <v>0.603129845</v>
      </c>
      <c r="F279" s="11">
        <f t="shared" si="1"/>
        <v>938</v>
      </c>
      <c r="G279" s="11">
        <f t="shared" si="2"/>
        <v>617</v>
      </c>
      <c r="H279" s="5" t="str">
        <f t="shared" si="3"/>
        <v>Democrat</v>
      </c>
    </row>
    <row r="280" ht="15.0" customHeight="1">
      <c r="A280" s="5" t="s">
        <v>327</v>
      </c>
      <c r="B280" s="5" t="s">
        <v>157</v>
      </c>
      <c r="C280" s="5" t="s">
        <v>100</v>
      </c>
      <c r="D280" s="11">
        <f>MAX(0, 2*'Precinct Vote Data'!G1104 - 'Precinct Vote Data'!G1102)</f>
        <v>971</v>
      </c>
      <c r="E280" s="10">
        <f>MIN(1,MAX(0,(5.3914776420524+0.021102849201698*'Precinct Vote Data'!I1105*100+(-5.72594740176815)*0+0.927016741366831*('Precinct Vote Data'!H1105*100))/100))</f>
        <v>0.6530595828</v>
      </c>
      <c r="F280" s="11">
        <f t="shared" si="1"/>
        <v>634</v>
      </c>
      <c r="G280" s="11">
        <f t="shared" si="2"/>
        <v>337</v>
      </c>
      <c r="H280" s="5" t="str">
        <f t="shared" si="3"/>
        <v>Democrat</v>
      </c>
    </row>
    <row r="281" ht="15.0" customHeight="1">
      <c r="A281" s="5" t="s">
        <v>327</v>
      </c>
      <c r="B281" s="5" t="s">
        <v>157</v>
      </c>
      <c r="C281" s="5" t="s">
        <v>102</v>
      </c>
      <c r="D281" s="11">
        <f>MAX(0, 2*'Precinct Vote Data'!G1108 - 'Precinct Vote Data'!G1106)</f>
        <v>762</v>
      </c>
      <c r="E281" s="10">
        <f>MIN(1,MAX(0,(5.3914776420524+0.021102849201698*'Precinct Vote Data'!I1109*100+(-5.72594740176815)*0+0.927016741366831*('Precinct Vote Data'!H1109*100))/100))</f>
        <v>0.6505196584</v>
      </c>
      <c r="F281" s="11">
        <f t="shared" si="1"/>
        <v>496</v>
      </c>
      <c r="G281" s="11">
        <f t="shared" si="2"/>
        <v>266</v>
      </c>
      <c r="H281" s="5" t="str">
        <f t="shared" si="3"/>
        <v>Democrat</v>
      </c>
    </row>
    <row r="282" ht="15.0" customHeight="1">
      <c r="A282" s="5" t="s">
        <v>327</v>
      </c>
      <c r="B282" s="5" t="s">
        <v>157</v>
      </c>
      <c r="C282" s="5" t="s">
        <v>103</v>
      </c>
      <c r="D282" s="11">
        <f>MAX(0, 2*'Precinct Vote Data'!G1112 - 'Precinct Vote Data'!G1110)</f>
        <v>1068</v>
      </c>
      <c r="E282" s="10">
        <f>MIN(1,MAX(0,(5.3914776420524+0.021102849201698*'Precinct Vote Data'!I1113*100+(-5.72594740176815)*0+0.927016741366831*('Precinct Vote Data'!H1113*100))/100))</f>
        <v>0.6091595186</v>
      </c>
      <c r="F282" s="11">
        <f t="shared" si="1"/>
        <v>651</v>
      </c>
      <c r="G282" s="11">
        <f t="shared" si="2"/>
        <v>417</v>
      </c>
      <c r="H282" s="5" t="str">
        <f t="shared" si="3"/>
        <v>Democrat</v>
      </c>
    </row>
    <row r="283" ht="15.0" customHeight="1">
      <c r="A283" s="5" t="s">
        <v>327</v>
      </c>
      <c r="B283" s="5" t="s">
        <v>157</v>
      </c>
      <c r="C283" s="5" t="s">
        <v>104</v>
      </c>
      <c r="D283" s="11">
        <f>MAX(0, 2*'Precinct Vote Data'!G1116 - 'Precinct Vote Data'!G1114)</f>
        <v>1345</v>
      </c>
      <c r="E283" s="10">
        <f>MIN(1,MAX(0,(5.3914776420524+0.021102849201698*'Precinct Vote Data'!I1117*100+(-5.72594740176815)*0+0.927016741366831*('Precinct Vote Data'!H1117*100))/100))</f>
        <v>0.6381384588</v>
      </c>
      <c r="F283" s="11">
        <f t="shared" si="1"/>
        <v>858</v>
      </c>
      <c r="G283" s="11">
        <f t="shared" si="2"/>
        <v>487</v>
      </c>
      <c r="H283" s="5" t="str">
        <f t="shared" si="3"/>
        <v>Democrat</v>
      </c>
    </row>
    <row r="284" ht="15.0" customHeight="1">
      <c r="A284" s="5" t="s">
        <v>327</v>
      </c>
      <c r="B284" s="5" t="s">
        <v>157</v>
      </c>
      <c r="C284" s="5" t="s">
        <v>333</v>
      </c>
      <c r="D284" s="11">
        <f>MAX(0, 2*'Precinct Vote Data'!G1120 - 'Precinct Vote Data'!G1118)</f>
        <v>1132</v>
      </c>
      <c r="E284" s="10">
        <f>MIN(1,MAX(0,(5.3914776420524+0.021102849201698*'Precinct Vote Data'!I1121*100+(-5.72594740176815)*0+0.927016741366831*('Precinct Vote Data'!H1121*100))/100))</f>
        <v>0.5854829591</v>
      </c>
      <c r="F284" s="11">
        <f t="shared" si="1"/>
        <v>663</v>
      </c>
      <c r="G284" s="11">
        <f t="shared" si="2"/>
        <v>469</v>
      </c>
      <c r="H284" s="5" t="str">
        <f t="shared" si="3"/>
        <v>Democrat</v>
      </c>
    </row>
    <row r="285" ht="15.0" customHeight="1">
      <c r="A285" s="5" t="s">
        <v>327</v>
      </c>
      <c r="B285" s="5" t="s">
        <v>157</v>
      </c>
      <c r="C285" s="5" t="s">
        <v>106</v>
      </c>
      <c r="D285" s="11">
        <f>MAX(0, 2*'Precinct Vote Data'!G1124 - 'Precinct Vote Data'!G1122)</f>
        <v>770</v>
      </c>
      <c r="E285" s="10">
        <f>MIN(1,MAX(0,(5.3914776420524+0.021102849201698*'Precinct Vote Data'!I1125*100+(-5.72594740176815)*0+0.927016741366831*('Precinct Vote Data'!H1125*100))/100))</f>
        <v>0.655571668</v>
      </c>
      <c r="F285" s="11">
        <f t="shared" si="1"/>
        <v>505</v>
      </c>
      <c r="G285" s="11">
        <f t="shared" si="2"/>
        <v>265</v>
      </c>
      <c r="H285" s="5" t="str">
        <f t="shared" si="3"/>
        <v>Democrat</v>
      </c>
    </row>
    <row r="286" ht="15.0" customHeight="1">
      <c r="A286" s="5" t="s">
        <v>327</v>
      </c>
      <c r="B286" s="5" t="s">
        <v>157</v>
      </c>
      <c r="C286" s="5" t="s">
        <v>109</v>
      </c>
      <c r="D286" s="11">
        <f>MAX(0, 2*'Precinct Vote Data'!G1128 - 'Precinct Vote Data'!G1126)</f>
        <v>838</v>
      </c>
      <c r="E286" s="10">
        <f>MIN(1,MAX(0,(5.3914776420524+0.021102849201698*'Precinct Vote Data'!I1129*100+(-5.72594740176815)*0+0.927016741366831*('Precinct Vote Data'!H1129*100))/100))</f>
        <v>0.6779946559</v>
      </c>
      <c r="F286" s="11">
        <f t="shared" si="1"/>
        <v>568</v>
      </c>
      <c r="G286" s="11">
        <f t="shared" si="2"/>
        <v>270</v>
      </c>
      <c r="H286" s="5" t="str">
        <f t="shared" si="3"/>
        <v>Democrat</v>
      </c>
    </row>
    <row r="287" ht="15.0" customHeight="1">
      <c r="A287" s="5" t="s">
        <v>327</v>
      </c>
      <c r="B287" s="5" t="s">
        <v>157</v>
      </c>
      <c r="C287" s="5" t="s">
        <v>110</v>
      </c>
      <c r="D287" s="11">
        <f>MAX(0, 2*'Precinct Vote Data'!G1132 - 'Precinct Vote Data'!G1130)</f>
        <v>1222</v>
      </c>
      <c r="E287" s="10">
        <f>MIN(1,MAX(0,(5.3914776420524+0.021102849201698*'Precinct Vote Data'!I1133*100+(-5.72594740176815)*0+0.927016741366831*('Precinct Vote Data'!H1133*100))/100))</f>
        <v>0.6224316057</v>
      </c>
      <c r="F287" s="11">
        <f t="shared" si="1"/>
        <v>761</v>
      </c>
      <c r="G287" s="11">
        <f t="shared" si="2"/>
        <v>461</v>
      </c>
      <c r="H287" s="5" t="str">
        <f t="shared" si="3"/>
        <v>Democrat</v>
      </c>
    </row>
    <row r="288" ht="15.0" customHeight="1">
      <c r="A288" s="5" t="s">
        <v>327</v>
      </c>
      <c r="B288" s="5" t="s">
        <v>157</v>
      </c>
      <c r="C288" s="5" t="s">
        <v>111</v>
      </c>
      <c r="D288" s="11">
        <f>MAX(0, 2*'Precinct Vote Data'!G1136 - 'Precinct Vote Data'!G1134)</f>
        <v>584</v>
      </c>
      <c r="E288" s="10">
        <f>MIN(1,MAX(0,(5.3914776420524+0.021102849201698*'Precinct Vote Data'!I1137*100+(-5.72594740176815)*0+0.927016741366831*('Precinct Vote Data'!H1137*100))/100))</f>
        <v>0.7083317427</v>
      </c>
      <c r="F288" s="11">
        <f t="shared" si="1"/>
        <v>414</v>
      </c>
      <c r="G288" s="11">
        <f t="shared" si="2"/>
        <v>170</v>
      </c>
      <c r="H288" s="5" t="str">
        <f t="shared" si="3"/>
        <v>Democrat</v>
      </c>
    </row>
    <row r="289" ht="15.0" customHeight="1">
      <c r="A289" s="5" t="s">
        <v>327</v>
      </c>
      <c r="B289" s="5" t="s">
        <v>157</v>
      </c>
      <c r="C289" s="5" t="s">
        <v>113</v>
      </c>
      <c r="D289" s="11">
        <f>MAX(0, 2*'Precinct Vote Data'!G1140 - 'Precinct Vote Data'!G1138)</f>
        <v>915</v>
      </c>
      <c r="E289" s="10">
        <f>MIN(1,MAX(0,(5.3914776420524+0.021102849201698*'Precinct Vote Data'!I1141*100+(-5.72594740176815)*0+0.927016741366831*('Precinct Vote Data'!H1141*100))/100))</f>
        <v>0.6467182532</v>
      </c>
      <c r="F289" s="11">
        <f t="shared" si="1"/>
        <v>592</v>
      </c>
      <c r="G289" s="11">
        <f t="shared" si="2"/>
        <v>323</v>
      </c>
      <c r="H289" s="5" t="str">
        <f t="shared" si="3"/>
        <v>Democrat</v>
      </c>
    </row>
    <row r="290" ht="15.0" customHeight="1">
      <c r="A290" s="5" t="s">
        <v>327</v>
      </c>
      <c r="B290" s="5" t="s">
        <v>157</v>
      </c>
      <c r="C290" s="5" t="s">
        <v>114</v>
      </c>
      <c r="D290" s="11">
        <f>MAX(0, 2*'Precinct Vote Data'!G1144 - 'Precinct Vote Data'!G1142)</f>
        <v>175</v>
      </c>
      <c r="E290" s="10">
        <f>MIN(1,MAX(0,(5.3914776420524+0.021102849201698*'Precinct Vote Data'!I1145*100+(-5.72594740176815)*0+0.927016741366831*('Precinct Vote Data'!H1145*100))/100))</f>
        <v>0.7297904776</v>
      </c>
      <c r="F290" s="11">
        <f t="shared" si="1"/>
        <v>128</v>
      </c>
      <c r="G290" s="11">
        <f t="shared" si="2"/>
        <v>47</v>
      </c>
      <c r="H290" s="5" t="str">
        <f t="shared" si="3"/>
        <v>Democrat</v>
      </c>
    </row>
    <row r="291" ht="15.0" customHeight="1">
      <c r="A291" s="5" t="s">
        <v>327</v>
      </c>
      <c r="B291" s="5" t="s">
        <v>157</v>
      </c>
      <c r="C291" s="5" t="s">
        <v>116</v>
      </c>
      <c r="D291" s="11">
        <f>MAX(0, 2*'Precinct Vote Data'!G1148 - 'Precinct Vote Data'!G1146)</f>
        <v>794</v>
      </c>
      <c r="E291" s="10">
        <f>MIN(1,MAX(0,(5.3914776420524+0.021102849201698*'Precinct Vote Data'!I1149*100+(-5.72594740176815)*0+0.927016741366831*('Precinct Vote Data'!H1149*100))/100))</f>
        <v>0.551383</v>
      </c>
      <c r="F291" s="11">
        <f t="shared" si="1"/>
        <v>438</v>
      </c>
      <c r="G291" s="11">
        <f t="shared" si="2"/>
        <v>356</v>
      </c>
      <c r="H291" s="5" t="str">
        <f t="shared" si="3"/>
        <v>Democrat</v>
      </c>
    </row>
    <row r="292" ht="15.0" customHeight="1">
      <c r="A292" s="5" t="s">
        <v>327</v>
      </c>
      <c r="B292" s="5" t="s">
        <v>157</v>
      </c>
      <c r="C292" s="5" t="s">
        <v>118</v>
      </c>
      <c r="D292" s="11">
        <f>MAX(0, 2*'Precinct Vote Data'!G1152 - 'Precinct Vote Data'!G1150)</f>
        <v>1000</v>
      </c>
      <c r="E292" s="10">
        <f>MIN(1,MAX(0,(5.3914776420524+0.021102849201698*'Precinct Vote Data'!I1153*100+(-5.72594740176815)*0+0.927016741366831*('Precinct Vote Data'!H1153*100))/100))</f>
        <v>0.539012789</v>
      </c>
      <c r="F292" s="11">
        <f t="shared" si="1"/>
        <v>539</v>
      </c>
      <c r="G292" s="11">
        <f t="shared" si="2"/>
        <v>461</v>
      </c>
      <c r="H292" s="5" t="str">
        <f t="shared" si="3"/>
        <v>Democrat</v>
      </c>
    </row>
    <row r="293" ht="15.0" customHeight="1">
      <c r="A293" s="5" t="s">
        <v>327</v>
      </c>
      <c r="B293" s="5" t="s">
        <v>157</v>
      </c>
      <c r="C293" s="5" t="s">
        <v>334</v>
      </c>
      <c r="D293" s="11">
        <f>MAX(0, 2*'Precinct Vote Data'!G1156 - 'Precinct Vote Data'!G1154)</f>
        <v>1164</v>
      </c>
      <c r="E293" s="10">
        <f>MIN(1,MAX(0,(5.3914776420524+0.021102849201698*'Precinct Vote Data'!I1157*100+(-5.72594740176815)*0+0.927016741366831*('Precinct Vote Data'!H1157*100))/100))</f>
        <v>0.5627218793</v>
      </c>
      <c r="F293" s="11">
        <f t="shared" si="1"/>
        <v>655</v>
      </c>
      <c r="G293" s="11">
        <f t="shared" si="2"/>
        <v>509</v>
      </c>
      <c r="H293" s="5" t="str">
        <f t="shared" si="3"/>
        <v>Democrat</v>
      </c>
    </row>
    <row r="294" ht="15.0" customHeight="1">
      <c r="A294" s="5" t="s">
        <v>327</v>
      </c>
      <c r="B294" s="5" t="s">
        <v>157</v>
      </c>
      <c r="C294" s="5" t="s">
        <v>335</v>
      </c>
      <c r="D294" s="11">
        <f>MAX(0, 2*'Precinct Vote Data'!G1160 - 'Precinct Vote Data'!G1158)</f>
        <v>543</v>
      </c>
      <c r="E294" s="10">
        <f>MIN(1,MAX(0,(5.3914776420524+0.021102849201698*'Precinct Vote Data'!I1161*100+(-5.72594740176815)*0+0.927016741366831*('Precinct Vote Data'!H1161*100))/100))</f>
        <v>0.5189350293</v>
      </c>
      <c r="F294" s="11">
        <f t="shared" si="1"/>
        <v>282</v>
      </c>
      <c r="G294" s="11">
        <f t="shared" si="2"/>
        <v>261</v>
      </c>
      <c r="H294" s="5" t="str">
        <f t="shared" si="3"/>
        <v>Democrat</v>
      </c>
    </row>
    <row r="295" ht="15.0" customHeight="1">
      <c r="A295" s="5" t="s">
        <v>327</v>
      </c>
      <c r="B295" s="5" t="s">
        <v>157</v>
      </c>
      <c r="C295" s="5" t="s">
        <v>119</v>
      </c>
      <c r="D295" s="11">
        <f>MAX(0, 2*'Precinct Vote Data'!G1164 - 'Precinct Vote Data'!G1162)</f>
        <v>830</v>
      </c>
      <c r="E295" s="10">
        <f>MIN(1,MAX(0,(5.3914776420524+0.021102849201698*'Precinct Vote Data'!I1165*100+(-5.72594740176815)*0+0.927016741366831*('Precinct Vote Data'!H1165*100))/100))</f>
        <v>0.562746627</v>
      </c>
      <c r="F295" s="11">
        <f t="shared" si="1"/>
        <v>467</v>
      </c>
      <c r="G295" s="11">
        <f t="shared" si="2"/>
        <v>363</v>
      </c>
      <c r="H295" s="5" t="str">
        <f t="shared" si="3"/>
        <v>Democrat</v>
      </c>
    </row>
    <row r="296" ht="15.0" customHeight="1">
      <c r="A296" s="5" t="s">
        <v>327</v>
      </c>
      <c r="B296" s="5" t="s">
        <v>157</v>
      </c>
      <c r="C296" s="5" t="s">
        <v>336</v>
      </c>
      <c r="D296" s="11">
        <f>MAX(0, 2*'Precinct Vote Data'!G1168 - 'Precinct Vote Data'!G1166)</f>
        <v>896</v>
      </c>
      <c r="E296" s="10">
        <f>MIN(1,MAX(0,(5.3914776420524+0.021102849201698*'Precinct Vote Data'!I1169*100+(-5.72594740176815)*0+0.927016741366831*('Precinct Vote Data'!H1169*100))/100))</f>
        <v>0.5344960559</v>
      </c>
      <c r="F296" s="11">
        <f t="shared" si="1"/>
        <v>479</v>
      </c>
      <c r="G296" s="11">
        <f t="shared" si="2"/>
        <v>417</v>
      </c>
      <c r="H296" s="5" t="str">
        <f t="shared" si="3"/>
        <v>Democrat</v>
      </c>
    </row>
    <row r="297" ht="15.0" customHeight="1">
      <c r="A297" s="5" t="s">
        <v>327</v>
      </c>
      <c r="B297" s="5" t="s">
        <v>157</v>
      </c>
      <c r="C297" s="5" t="s">
        <v>337</v>
      </c>
      <c r="D297" s="11">
        <f>MAX(0, 2*'Precinct Vote Data'!G1172 - 'Precinct Vote Data'!G1170)</f>
        <v>571</v>
      </c>
      <c r="E297" s="10">
        <f>MIN(1,MAX(0,(5.3914776420524+0.021102849201698*'Precinct Vote Data'!I1173*100+(-5.72594740176815)*0+0.927016741366831*('Precinct Vote Data'!H1173*100))/100))</f>
        <v>0.5507243991</v>
      </c>
      <c r="F297" s="11">
        <f t="shared" si="1"/>
        <v>314</v>
      </c>
      <c r="G297" s="11">
        <f t="shared" si="2"/>
        <v>257</v>
      </c>
      <c r="H297" s="5" t="str">
        <f t="shared" si="3"/>
        <v>Democrat</v>
      </c>
    </row>
    <row r="298" ht="15.0" customHeight="1">
      <c r="A298" s="5" t="s">
        <v>327</v>
      </c>
      <c r="B298" s="5" t="s">
        <v>157</v>
      </c>
      <c r="C298" s="5" t="s">
        <v>338</v>
      </c>
      <c r="D298" s="11">
        <f>MAX(0, 2*'Precinct Vote Data'!G1176 - 'Precinct Vote Data'!G1174)</f>
        <v>710</v>
      </c>
      <c r="E298" s="10">
        <f>MIN(1,MAX(0,(5.3914776420524+0.021102849201698*'Precinct Vote Data'!I1177*100+(-5.72594740176815)*0+0.927016741366831*('Precinct Vote Data'!H1177*100))/100))</f>
        <v>0.5868328771</v>
      </c>
      <c r="F298" s="11">
        <f t="shared" si="1"/>
        <v>417</v>
      </c>
      <c r="G298" s="11">
        <f t="shared" si="2"/>
        <v>293</v>
      </c>
      <c r="H298" s="5" t="str">
        <f t="shared" si="3"/>
        <v>Democrat</v>
      </c>
    </row>
    <row r="299" ht="15.0" customHeight="1">
      <c r="A299" s="5" t="s">
        <v>327</v>
      </c>
      <c r="B299" s="5" t="s">
        <v>157</v>
      </c>
      <c r="C299" s="5" t="s">
        <v>120</v>
      </c>
      <c r="D299" s="11">
        <f>MAX(0, 2*'Precinct Vote Data'!G1180 - 'Precinct Vote Data'!G1178)</f>
        <v>436</v>
      </c>
      <c r="E299" s="10">
        <f>MIN(1,MAX(0,(5.3914776420524+0.021102849201698*'Precinct Vote Data'!I1181*100+(-5.72594740176815)*0+0.927016741366831*('Precinct Vote Data'!H1181*100))/100))</f>
        <v>0.6159816471</v>
      </c>
      <c r="F299" s="11">
        <f t="shared" si="1"/>
        <v>269</v>
      </c>
      <c r="G299" s="11">
        <f t="shared" si="2"/>
        <v>167</v>
      </c>
      <c r="H299" s="5" t="str">
        <f t="shared" si="3"/>
        <v>Democrat</v>
      </c>
    </row>
    <row r="300" ht="15.0" customHeight="1">
      <c r="A300" s="5" t="s">
        <v>327</v>
      </c>
      <c r="B300" s="5" t="s">
        <v>157</v>
      </c>
      <c r="C300" s="5" t="s">
        <v>122</v>
      </c>
      <c r="D300" s="11">
        <f>MAX(0, 2*'Precinct Vote Data'!G1184 - 'Precinct Vote Data'!G1182)</f>
        <v>631</v>
      </c>
      <c r="E300" s="10">
        <f>MIN(1,MAX(0,(5.3914776420524+0.021102849201698*'Precinct Vote Data'!I1185*100+(-5.72594740176815)*0+0.927016741366831*('Precinct Vote Data'!H1185*100))/100))</f>
        <v>0.5354573694</v>
      </c>
      <c r="F300" s="11">
        <f t="shared" si="1"/>
        <v>338</v>
      </c>
      <c r="G300" s="11">
        <f t="shared" si="2"/>
        <v>293</v>
      </c>
      <c r="H300" s="5" t="str">
        <f t="shared" si="3"/>
        <v>Democrat</v>
      </c>
    </row>
    <row r="301" ht="15.0" customHeight="1">
      <c r="A301" s="5" t="s">
        <v>327</v>
      </c>
      <c r="B301" s="5" t="s">
        <v>157</v>
      </c>
      <c r="C301" s="5" t="s">
        <v>339</v>
      </c>
      <c r="D301" s="11">
        <f>MAX(0, 2*'Precinct Vote Data'!G1188 - 'Precinct Vote Data'!G1186)</f>
        <v>732</v>
      </c>
      <c r="E301" s="10">
        <f>MIN(1,MAX(0,(5.3914776420524+0.021102849201698*'Precinct Vote Data'!I1189*100+(-5.72594740176815)*0+0.927016741366831*('Precinct Vote Data'!H1189*100))/100))</f>
        <v>0.5434791187</v>
      </c>
      <c r="F301" s="11">
        <f t="shared" si="1"/>
        <v>398</v>
      </c>
      <c r="G301" s="11">
        <f t="shared" si="2"/>
        <v>334</v>
      </c>
      <c r="H301" s="5" t="str">
        <f t="shared" si="3"/>
        <v>Democrat</v>
      </c>
    </row>
    <row r="302" ht="15.0" customHeight="1">
      <c r="A302" s="5" t="s">
        <v>327</v>
      </c>
      <c r="B302" s="5" t="s">
        <v>157</v>
      </c>
      <c r="C302" s="5" t="s">
        <v>340</v>
      </c>
      <c r="D302" s="11">
        <f>MAX(0, 2*'Precinct Vote Data'!G1192 - 'Precinct Vote Data'!G1190)</f>
        <v>847</v>
      </c>
      <c r="E302" s="10">
        <f>MIN(1,MAX(0,(5.3914776420524+0.021102849201698*'Precinct Vote Data'!I1193*100+(-5.72594740176815)*0+0.927016741366831*('Precinct Vote Data'!H1193*100))/100))</f>
        <v>0.581211429</v>
      </c>
      <c r="F302" s="11">
        <f t="shared" si="1"/>
        <v>492</v>
      </c>
      <c r="G302" s="11">
        <f t="shared" si="2"/>
        <v>355</v>
      </c>
      <c r="H302" s="5" t="str">
        <f t="shared" si="3"/>
        <v>Democrat</v>
      </c>
    </row>
    <row r="303" ht="15.0" customHeight="1">
      <c r="A303" s="5" t="s">
        <v>327</v>
      </c>
      <c r="B303" s="5" t="s">
        <v>157</v>
      </c>
      <c r="C303" s="5" t="s">
        <v>341</v>
      </c>
      <c r="D303" s="11">
        <f>MAX(0, 2*'Precinct Vote Data'!G1196 - 'Precinct Vote Data'!G1194)</f>
        <v>785</v>
      </c>
      <c r="E303" s="10">
        <f>MIN(1,MAX(0,(5.3914776420524+0.021102849201698*'Precinct Vote Data'!I1197*100+(-5.72594740176815)*0+0.927016741366831*('Precinct Vote Data'!H1197*100))/100))</f>
        <v>0.5241529371</v>
      </c>
      <c r="F303" s="11">
        <f t="shared" si="1"/>
        <v>411</v>
      </c>
      <c r="G303" s="11">
        <f t="shared" si="2"/>
        <v>374</v>
      </c>
      <c r="H303" s="5" t="str">
        <f t="shared" si="3"/>
        <v>Democrat</v>
      </c>
    </row>
    <row r="304" ht="15.0" customHeight="1">
      <c r="A304" s="5" t="s">
        <v>327</v>
      </c>
      <c r="B304" s="5" t="s">
        <v>157</v>
      </c>
      <c r="C304" s="5" t="s">
        <v>124</v>
      </c>
      <c r="D304" s="11">
        <f>MAX(0, 2*'Precinct Vote Data'!G1200 - 'Precinct Vote Data'!G1198)</f>
        <v>1702</v>
      </c>
      <c r="E304" s="10">
        <f>MIN(1,MAX(0,(5.3914776420524+0.021102849201698*'Precinct Vote Data'!I1201*100+(-5.72594740176815)*0+0.927016741366831*('Precinct Vote Data'!H1201*100))/100))</f>
        <v>0.5796019749</v>
      </c>
      <c r="F304" s="11">
        <f t="shared" si="1"/>
        <v>986</v>
      </c>
      <c r="G304" s="11">
        <f t="shared" si="2"/>
        <v>716</v>
      </c>
      <c r="H304" s="5" t="str">
        <f t="shared" si="3"/>
        <v>Democrat</v>
      </c>
    </row>
    <row r="305" ht="15.0" customHeight="1">
      <c r="A305" s="5" t="s">
        <v>327</v>
      </c>
      <c r="B305" s="5" t="s">
        <v>157</v>
      </c>
      <c r="C305" s="5" t="s">
        <v>126</v>
      </c>
      <c r="D305" s="11">
        <f>MAX(0, 2*'Precinct Vote Data'!G1204 - 'Precinct Vote Data'!G1202)</f>
        <v>890</v>
      </c>
      <c r="E305" s="10">
        <f>MIN(1,MAX(0,(5.3914776420524+0.021102849201698*'Precinct Vote Data'!I1205*100+(-5.72594740176815)*0+0.927016741366831*('Precinct Vote Data'!H1205*100))/100))</f>
        <v>0.5258538171</v>
      </c>
      <c r="F305" s="11">
        <f t="shared" si="1"/>
        <v>468</v>
      </c>
      <c r="G305" s="11">
        <f t="shared" si="2"/>
        <v>422</v>
      </c>
      <c r="H305" s="5" t="str">
        <f t="shared" si="3"/>
        <v>Democrat</v>
      </c>
    </row>
    <row r="306" ht="15.0" customHeight="1">
      <c r="A306" s="5" t="s">
        <v>327</v>
      </c>
      <c r="B306" s="5" t="s">
        <v>157</v>
      </c>
      <c r="C306" s="5" t="s">
        <v>127</v>
      </c>
      <c r="D306" s="11">
        <f>MAX(0, 2*'Precinct Vote Data'!G1208 - 'Precinct Vote Data'!G1206)</f>
        <v>866</v>
      </c>
      <c r="E306" s="10">
        <f>MIN(1,MAX(0,(5.3914776420524+0.021102849201698*'Precinct Vote Data'!I1209*100+(-5.72594740176815)*0+0.927016741366831*('Precinct Vote Data'!H1209*100))/100))</f>
        <v>0.5328056079</v>
      </c>
      <c r="F306" s="11">
        <f t="shared" si="1"/>
        <v>461</v>
      </c>
      <c r="G306" s="11">
        <f t="shared" si="2"/>
        <v>405</v>
      </c>
      <c r="H306" s="5" t="str">
        <f t="shared" si="3"/>
        <v>Democrat</v>
      </c>
    </row>
    <row r="307" ht="15.0" customHeight="1">
      <c r="A307" s="5" t="s">
        <v>327</v>
      </c>
      <c r="B307" s="5" t="s">
        <v>157</v>
      </c>
      <c r="C307" s="5" t="s">
        <v>342</v>
      </c>
      <c r="D307" s="11">
        <f>MAX(0, 2*'Precinct Vote Data'!G1212 - 'Precinct Vote Data'!G1210)</f>
        <v>840</v>
      </c>
      <c r="E307" s="10">
        <f>MIN(1,MAX(0,(5.3914776420524+0.021102849201698*'Precinct Vote Data'!I1213*100+(-5.72594740176815)*0+0.927016741366831*('Precinct Vote Data'!H1213*100))/100))</f>
        <v>0.5355359017</v>
      </c>
      <c r="F307" s="11">
        <f t="shared" si="1"/>
        <v>450</v>
      </c>
      <c r="G307" s="11">
        <f t="shared" si="2"/>
        <v>390</v>
      </c>
      <c r="H307" s="5" t="str">
        <f t="shared" si="3"/>
        <v>Democrat</v>
      </c>
    </row>
    <row r="308" ht="15.0" customHeight="1">
      <c r="A308" s="5" t="s">
        <v>327</v>
      </c>
      <c r="B308" s="5" t="s">
        <v>343</v>
      </c>
      <c r="C308" s="5" t="s">
        <v>130</v>
      </c>
      <c r="D308" s="11">
        <f>MAX(0, 2*'Precinct Vote Data'!G1216 - 'Precinct Vote Data'!G1214)</f>
        <v>2225</v>
      </c>
      <c r="E308" s="10">
        <f>MIN(1,MAX(0,(5.3914776420524+0.021102849201698*'Precinct Vote Data'!I1217*100+(-5.72594740176815)*0+0.927016741366831*('Precinct Vote Data'!H1217*100))/100))</f>
        <v>0.4131300893</v>
      </c>
      <c r="F308" s="11">
        <f t="shared" si="1"/>
        <v>919</v>
      </c>
      <c r="G308" s="11">
        <f t="shared" si="2"/>
        <v>1306</v>
      </c>
      <c r="H308" s="5" t="str">
        <f t="shared" si="3"/>
        <v>Republican</v>
      </c>
    </row>
    <row r="309" ht="15.0" customHeight="1">
      <c r="A309" s="5" t="s">
        <v>327</v>
      </c>
      <c r="B309" s="5" t="s">
        <v>343</v>
      </c>
      <c r="C309" s="5" t="s">
        <v>131</v>
      </c>
      <c r="D309" s="11">
        <f>MAX(0, 2*'Precinct Vote Data'!G1220 - 'Precinct Vote Data'!G1218)</f>
        <v>1964</v>
      </c>
      <c r="E309" s="10">
        <f>MIN(1,MAX(0,(5.3914776420524+0.021102849201698*'Precinct Vote Data'!I1221*100+(-5.72594740176815)*0+0.927016741366831*('Precinct Vote Data'!H1221*100))/100))</f>
        <v>0.4292263124</v>
      </c>
      <c r="F309" s="11">
        <f t="shared" si="1"/>
        <v>843</v>
      </c>
      <c r="G309" s="11">
        <f t="shared" si="2"/>
        <v>1121</v>
      </c>
      <c r="H309" s="5" t="str">
        <f t="shared" si="3"/>
        <v>Republican</v>
      </c>
    </row>
    <row r="310" ht="15.0" customHeight="1">
      <c r="A310" s="5" t="s">
        <v>327</v>
      </c>
      <c r="B310" s="5" t="s">
        <v>343</v>
      </c>
      <c r="C310" s="5" t="s">
        <v>132</v>
      </c>
      <c r="D310" s="11">
        <f>MAX(0, 2*'Precinct Vote Data'!G1224 - 'Precinct Vote Data'!G1222)</f>
        <v>1096</v>
      </c>
      <c r="E310" s="10">
        <f>MIN(1,MAX(0,(5.3914776420524+0.021102849201698*'Precinct Vote Data'!I1225*100+(-5.72594740176815)*0+0.927016741366831*('Precinct Vote Data'!H1225*100))/100))</f>
        <v>0.3565563529</v>
      </c>
      <c r="F310" s="11">
        <f t="shared" si="1"/>
        <v>391</v>
      </c>
      <c r="G310" s="11">
        <f t="shared" si="2"/>
        <v>705</v>
      </c>
      <c r="H310" s="5" t="str">
        <f t="shared" si="3"/>
        <v>Republican</v>
      </c>
    </row>
    <row r="311" ht="15.0" customHeight="1">
      <c r="A311" s="5" t="s">
        <v>327</v>
      </c>
      <c r="B311" s="5" t="s">
        <v>344</v>
      </c>
      <c r="C311" s="5" t="s">
        <v>133</v>
      </c>
      <c r="D311" s="11">
        <f>MAX(0, 2*'Precinct Vote Data'!G1228 - 'Precinct Vote Data'!G1226)</f>
        <v>106</v>
      </c>
      <c r="E311" s="10">
        <f>MIN(1,MAX(0,(5.3914776420524+0.021102849201698*'Precinct Vote Data'!I1229*100+(-5.72594740176815)*0+0.927016741366831*('Precinct Vote Data'!H1229*100))/100))</f>
        <v>0.3502514225</v>
      </c>
      <c r="F311" s="11">
        <f t="shared" si="1"/>
        <v>37</v>
      </c>
      <c r="G311" s="11">
        <f t="shared" si="2"/>
        <v>69</v>
      </c>
      <c r="H311" s="5" t="str">
        <f t="shared" si="3"/>
        <v>Republican</v>
      </c>
    </row>
    <row r="312" ht="15.0" customHeight="1">
      <c r="A312" s="5" t="s">
        <v>327</v>
      </c>
      <c r="B312" s="5" t="s">
        <v>345</v>
      </c>
      <c r="C312" s="5" t="s">
        <v>135</v>
      </c>
      <c r="D312" s="11">
        <f>MAX(0, 2*'Precinct Vote Data'!G1232 - 'Precinct Vote Data'!G1230)</f>
        <v>1665</v>
      </c>
      <c r="E312" s="10">
        <f>MIN(1,MAX(0,(5.3914776420524+0.021102849201698*'Precinct Vote Data'!I1233*100+(-5.72594740176815)*0+0.927016741366831*('Precinct Vote Data'!H1233*100))/100))</f>
        <v>0.4481899581</v>
      </c>
      <c r="F312" s="11">
        <f t="shared" si="1"/>
        <v>746</v>
      </c>
      <c r="G312" s="11">
        <f t="shared" si="2"/>
        <v>919</v>
      </c>
      <c r="H312" s="5" t="str">
        <f t="shared" si="3"/>
        <v>Republican</v>
      </c>
    </row>
    <row r="313" ht="15.0" customHeight="1">
      <c r="A313" s="5" t="s">
        <v>327</v>
      </c>
      <c r="B313" s="5" t="s">
        <v>345</v>
      </c>
      <c r="C313" s="5" t="s">
        <v>136</v>
      </c>
      <c r="D313" s="11">
        <f>MAX(0, 2*'Precinct Vote Data'!G1236 - 'Precinct Vote Data'!G1234)</f>
        <v>1378</v>
      </c>
      <c r="E313" s="10">
        <f>MIN(1,MAX(0,(5.3914776420524+0.021102849201698*'Precinct Vote Data'!I1237*100+(-5.72594740176815)*0+0.927016741366831*('Precinct Vote Data'!H1237*100))/100))</f>
        <v>0.4540539912</v>
      </c>
      <c r="F313" s="11">
        <f t="shared" si="1"/>
        <v>626</v>
      </c>
      <c r="G313" s="11">
        <f t="shared" si="2"/>
        <v>752</v>
      </c>
      <c r="H313" s="5" t="str">
        <f t="shared" si="3"/>
        <v>Republican</v>
      </c>
    </row>
    <row r="314" ht="15.0" customHeight="1">
      <c r="A314" s="5" t="s">
        <v>327</v>
      </c>
      <c r="B314" s="5" t="s">
        <v>346</v>
      </c>
      <c r="C314" s="5" t="s">
        <v>139</v>
      </c>
      <c r="D314" s="11">
        <f>MAX(0, 2*'Precinct Vote Data'!G1240 - 'Precinct Vote Data'!G1238)</f>
        <v>369</v>
      </c>
      <c r="E314" s="10">
        <f>MIN(1,MAX(0,(5.3914776420524+0.021102849201698*'Precinct Vote Data'!I1241*100+(-5.72594740176815)*0+0.927016741366831*('Precinct Vote Data'!H1241*100))/100))</f>
        <v>0.4334368282</v>
      </c>
      <c r="F314" s="11">
        <f t="shared" si="1"/>
        <v>160</v>
      </c>
      <c r="G314" s="11">
        <f t="shared" si="2"/>
        <v>209</v>
      </c>
      <c r="H314" s="5" t="str">
        <f t="shared" si="3"/>
        <v>Republican</v>
      </c>
    </row>
    <row r="315" ht="15.0" customHeight="1">
      <c r="A315" s="5" t="s">
        <v>327</v>
      </c>
      <c r="B315" s="5" t="s">
        <v>347</v>
      </c>
      <c r="C315" s="5" t="s">
        <v>140</v>
      </c>
      <c r="D315" s="11">
        <f>MAX(0, 2*'Precinct Vote Data'!G1244 - 'Precinct Vote Data'!G1242)</f>
        <v>563</v>
      </c>
      <c r="E315" s="10">
        <f>MIN(1,MAX(0,(5.3914776420524+0.021102849201698*'Precinct Vote Data'!I1245*100+(-5.72594740176815)*0+0.927016741366831*('Precinct Vote Data'!H1245*100))/100))</f>
        <v>0.7235757036</v>
      </c>
      <c r="F315" s="11">
        <f t="shared" si="1"/>
        <v>407</v>
      </c>
      <c r="G315" s="11">
        <f t="shared" si="2"/>
        <v>156</v>
      </c>
      <c r="H315" s="5" t="str">
        <f t="shared" si="3"/>
        <v>Democrat</v>
      </c>
    </row>
    <row r="316" ht="15.0" customHeight="1">
      <c r="A316" s="5" t="s">
        <v>327</v>
      </c>
      <c r="B316" s="5" t="s">
        <v>347</v>
      </c>
      <c r="C316" s="5" t="s">
        <v>142</v>
      </c>
      <c r="D316" s="11">
        <f>MAX(0, 2*'Precinct Vote Data'!G1248 - 'Precinct Vote Data'!G1246)</f>
        <v>921</v>
      </c>
      <c r="E316" s="10">
        <f>MIN(1,MAX(0,(5.3914776420524+0.021102849201698*'Precinct Vote Data'!I1249*100+(-5.72594740176815)*0+0.927016741366831*('Precinct Vote Data'!H1249*100))/100))</f>
        <v>0.74537379</v>
      </c>
      <c r="F316" s="11">
        <f t="shared" si="1"/>
        <v>686</v>
      </c>
      <c r="G316" s="11">
        <f t="shared" si="2"/>
        <v>235</v>
      </c>
      <c r="H316" s="5" t="str">
        <f t="shared" si="3"/>
        <v>Democrat</v>
      </c>
    </row>
    <row r="317" ht="15.0" customHeight="1">
      <c r="A317" s="5" t="s">
        <v>327</v>
      </c>
      <c r="B317" s="5" t="s">
        <v>347</v>
      </c>
      <c r="C317" s="5" t="s">
        <v>148</v>
      </c>
      <c r="D317" s="11">
        <f>MAX(0, 2*'Precinct Vote Data'!G1252 - 'Precinct Vote Data'!G1250)</f>
        <v>541</v>
      </c>
      <c r="E317" s="10">
        <f>MIN(1,MAX(0,(5.3914776420524+0.021102849201698*'Precinct Vote Data'!I1253*100+(-5.72594740176815)*0+0.927016741366831*('Precinct Vote Data'!H1253*100))/100))</f>
        <v>0.7986877018</v>
      </c>
      <c r="F317" s="11">
        <f t="shared" si="1"/>
        <v>432</v>
      </c>
      <c r="G317" s="11">
        <f t="shared" si="2"/>
        <v>109</v>
      </c>
      <c r="H317" s="5" t="str">
        <f t="shared" si="3"/>
        <v>Democrat</v>
      </c>
    </row>
    <row r="318" ht="15.0" customHeight="1">
      <c r="A318" s="5" t="s">
        <v>327</v>
      </c>
      <c r="B318" s="5" t="s">
        <v>347</v>
      </c>
      <c r="C318" s="5" t="s">
        <v>149</v>
      </c>
      <c r="D318" s="11">
        <f>MAX(0, 2*'Precinct Vote Data'!G1256 - 'Precinct Vote Data'!G1254)</f>
        <v>821</v>
      </c>
      <c r="E318" s="10">
        <f>MIN(1,MAX(0,(5.3914776420524+0.021102849201698*'Precinct Vote Data'!I1257*100+(-5.72594740176815)*0+0.927016741366831*('Precinct Vote Data'!H1257*100))/100))</f>
        <v>0.6984772325</v>
      </c>
      <c r="F318" s="11">
        <f t="shared" si="1"/>
        <v>573</v>
      </c>
      <c r="G318" s="11">
        <f t="shared" si="2"/>
        <v>248</v>
      </c>
      <c r="H318" s="5" t="str">
        <f t="shared" si="3"/>
        <v>Democrat</v>
      </c>
    </row>
    <row r="319" ht="15.0" customHeight="1">
      <c r="A319" s="5" t="s">
        <v>327</v>
      </c>
      <c r="B319" s="5" t="s">
        <v>347</v>
      </c>
      <c r="C319" s="5" t="s">
        <v>348</v>
      </c>
      <c r="D319" s="11">
        <f>MAX(0, 2*'Precinct Vote Data'!G1260 - 'Precinct Vote Data'!G1258)</f>
        <v>576</v>
      </c>
      <c r="E319" s="10">
        <f>MIN(1,MAX(0,(5.3914776420524+0.021102849201698*'Precinct Vote Data'!I1261*100+(-5.72594740176815)*0+0.927016741366831*('Precinct Vote Data'!H1261*100))/100))</f>
        <v>0.673847919</v>
      </c>
      <c r="F319" s="11">
        <f t="shared" si="1"/>
        <v>388</v>
      </c>
      <c r="G319" s="11">
        <f t="shared" si="2"/>
        <v>188</v>
      </c>
      <c r="H319" s="5" t="str">
        <f t="shared" si="3"/>
        <v>Democrat</v>
      </c>
    </row>
    <row r="320" ht="15.0" customHeight="1">
      <c r="A320" s="5" t="s">
        <v>327</v>
      </c>
      <c r="B320" s="5" t="s">
        <v>347</v>
      </c>
      <c r="C320" s="5" t="s">
        <v>150</v>
      </c>
      <c r="D320" s="11">
        <f>MAX(0, 2*'Precinct Vote Data'!G1264 - 'Precinct Vote Data'!G1262)</f>
        <v>193</v>
      </c>
      <c r="E320" s="10">
        <f>MIN(1,MAX(0,(5.3914776420524+0.021102849201698*'Precinct Vote Data'!I1265*100+(-5.72594740176815)*0+0.927016741366831*('Precinct Vote Data'!H1265*100))/100))</f>
        <v>0.7438375775</v>
      </c>
      <c r="F320" s="11">
        <f t="shared" si="1"/>
        <v>144</v>
      </c>
      <c r="G320" s="11">
        <f t="shared" si="2"/>
        <v>49</v>
      </c>
      <c r="H320" s="5" t="str">
        <f t="shared" si="3"/>
        <v>Democrat</v>
      </c>
    </row>
    <row r="321" ht="15.0" customHeight="1">
      <c r="A321" s="5" t="s">
        <v>327</v>
      </c>
      <c r="B321" s="5" t="s">
        <v>347</v>
      </c>
      <c r="C321" s="5" t="s">
        <v>349</v>
      </c>
      <c r="D321" s="11">
        <f>MAX(0, 2*'Precinct Vote Data'!G1268 - 'Precinct Vote Data'!G1266)</f>
        <v>351</v>
      </c>
      <c r="E321" s="10">
        <f>MIN(1,MAX(0,(5.3914776420524+0.021102849201698*'Precinct Vote Data'!I1269*100+(-5.72594740176815)*0+0.927016741366831*('Precinct Vote Data'!H1269*100))/100))</f>
        <v>0.763958746</v>
      </c>
      <c r="F321" s="11">
        <f t="shared" si="1"/>
        <v>268</v>
      </c>
      <c r="G321" s="11">
        <f t="shared" si="2"/>
        <v>83</v>
      </c>
      <c r="H321" s="5" t="str">
        <f t="shared" si="3"/>
        <v>Democrat</v>
      </c>
    </row>
    <row r="322" ht="15.0" customHeight="1">
      <c r="A322" s="5" t="s">
        <v>327</v>
      </c>
      <c r="B322" s="5" t="s">
        <v>347</v>
      </c>
      <c r="C322" s="5" t="s">
        <v>151</v>
      </c>
      <c r="D322" s="11">
        <f>MAX(0, 2*'Precinct Vote Data'!G1272 - 'Precinct Vote Data'!G1270)</f>
        <v>347</v>
      </c>
      <c r="E322" s="10">
        <f>MIN(1,MAX(0,(5.3914776420524+0.021102849201698*'Precinct Vote Data'!I1273*100+(-5.72594740176815)*0+0.927016741366831*('Precinct Vote Data'!H1273*100))/100))</f>
        <v>0.6869831333</v>
      </c>
      <c r="F322" s="11">
        <f t="shared" si="1"/>
        <v>238</v>
      </c>
      <c r="G322" s="11">
        <f t="shared" si="2"/>
        <v>109</v>
      </c>
      <c r="H322" s="5" t="str">
        <f t="shared" si="3"/>
        <v>Democrat</v>
      </c>
    </row>
    <row r="323" ht="15.0" customHeight="1">
      <c r="A323" s="5" t="s">
        <v>327</v>
      </c>
      <c r="B323" s="5" t="s">
        <v>347</v>
      </c>
      <c r="C323" s="5" t="s">
        <v>152</v>
      </c>
      <c r="D323" s="11">
        <f>MAX(0, 2*'Precinct Vote Data'!G1276 - 'Precinct Vote Data'!G1274)</f>
        <v>328</v>
      </c>
      <c r="E323" s="10">
        <f>MIN(1,MAX(0,(5.3914776420524+0.021102849201698*'Precinct Vote Data'!I1277*100+(-5.72594740176815)*0+0.927016741366831*('Precinct Vote Data'!H1277*100))/100))</f>
        <v>0.6536348466</v>
      </c>
      <c r="F323" s="11">
        <f t="shared" si="1"/>
        <v>214</v>
      </c>
      <c r="G323" s="11">
        <f t="shared" si="2"/>
        <v>114</v>
      </c>
      <c r="H323" s="5" t="str">
        <f t="shared" si="3"/>
        <v>Democrat</v>
      </c>
    </row>
    <row r="324" ht="15.0" customHeight="1">
      <c r="A324" s="5" t="s">
        <v>327</v>
      </c>
      <c r="B324" s="5" t="s">
        <v>347</v>
      </c>
      <c r="C324" s="5" t="s">
        <v>153</v>
      </c>
      <c r="D324" s="11">
        <f>MAX(0, 2*'Precinct Vote Data'!G1280 - 'Precinct Vote Data'!G1278)</f>
        <v>410</v>
      </c>
      <c r="E324" s="10">
        <f>MIN(1,MAX(0,(5.3914776420524+0.021102849201698*'Precinct Vote Data'!I1281*100+(-5.72594740176815)*0+0.927016741366831*('Precinct Vote Data'!H1281*100))/100))</f>
        <v>0.6271662263</v>
      </c>
      <c r="F324" s="11">
        <f t="shared" si="1"/>
        <v>257</v>
      </c>
      <c r="G324" s="11">
        <f t="shared" si="2"/>
        <v>153</v>
      </c>
      <c r="H324" s="5" t="str">
        <f t="shared" si="3"/>
        <v>Democrat</v>
      </c>
    </row>
    <row r="325" ht="15.0" customHeight="1">
      <c r="A325" s="5" t="s">
        <v>327</v>
      </c>
      <c r="B325" s="5" t="s">
        <v>347</v>
      </c>
      <c r="C325" s="5" t="s">
        <v>154</v>
      </c>
      <c r="D325" s="11">
        <f>MAX(0, 2*'Precinct Vote Data'!G1284 - 'Precinct Vote Data'!G1282)</f>
        <v>896</v>
      </c>
      <c r="E325" s="10">
        <f>MIN(1,MAX(0,(5.3914776420524+0.021102849201698*'Precinct Vote Data'!I1285*100+(-5.72594740176815)*0+0.927016741366831*('Precinct Vote Data'!H1285*100))/100))</f>
        <v>0.6855603422</v>
      </c>
      <c r="F325" s="11">
        <f t="shared" si="1"/>
        <v>614</v>
      </c>
      <c r="G325" s="11">
        <f t="shared" si="2"/>
        <v>282</v>
      </c>
      <c r="H325" s="5" t="str">
        <f t="shared" si="3"/>
        <v>Democrat</v>
      </c>
    </row>
    <row r="326" ht="15.0" customHeight="1">
      <c r="A326" s="5" t="s">
        <v>327</v>
      </c>
      <c r="B326" s="5" t="s">
        <v>347</v>
      </c>
      <c r="C326" s="5" t="s">
        <v>155</v>
      </c>
      <c r="D326" s="11">
        <f>MAX(0, 2*'Precinct Vote Data'!G1288 - 'Precinct Vote Data'!G1286)</f>
        <v>282</v>
      </c>
      <c r="E326" s="10">
        <f>MIN(1,MAX(0,(5.3914776420524+0.021102849201698*'Precinct Vote Data'!I1289*100+(-5.72594740176815)*0+0.927016741366831*('Precinct Vote Data'!H1289*100))/100))</f>
        <v>0.6825722513</v>
      </c>
      <c r="F326" s="11">
        <f t="shared" si="1"/>
        <v>192</v>
      </c>
      <c r="G326" s="11">
        <f t="shared" si="2"/>
        <v>90</v>
      </c>
      <c r="H326" s="5" t="str">
        <f t="shared" si="3"/>
        <v>Democrat</v>
      </c>
    </row>
    <row r="327" ht="15.0" customHeight="1">
      <c r="A327" s="5" t="s">
        <v>327</v>
      </c>
      <c r="B327" s="5" t="s">
        <v>347</v>
      </c>
      <c r="C327" s="5" t="s">
        <v>156</v>
      </c>
      <c r="D327" s="11">
        <f>MAX(0, 2*'Precinct Vote Data'!G1292 - 'Precinct Vote Data'!G1290)</f>
        <v>536</v>
      </c>
      <c r="E327" s="10">
        <f>MIN(1,MAX(0,(5.3914776420524+0.021102849201698*'Precinct Vote Data'!I1293*100+(-5.72594740176815)*0+0.927016741366831*('Precinct Vote Data'!H1293*100))/100))</f>
        <v>0.6651784014</v>
      </c>
      <c r="F327" s="11">
        <f t="shared" si="1"/>
        <v>357</v>
      </c>
      <c r="G327" s="11">
        <f t="shared" si="2"/>
        <v>179</v>
      </c>
      <c r="H327" s="5" t="str">
        <f t="shared" si="3"/>
        <v>Democrat</v>
      </c>
    </row>
    <row r="328" ht="15.0" customHeight="1">
      <c r="A328" s="5" t="s">
        <v>327</v>
      </c>
      <c r="B328" s="5" t="s">
        <v>347</v>
      </c>
      <c r="C328" s="5" t="s">
        <v>158</v>
      </c>
      <c r="D328" s="11">
        <f>MAX(0, 2*'Precinct Vote Data'!G1296 - 'Precinct Vote Data'!G1294)</f>
        <v>447</v>
      </c>
      <c r="E328" s="10">
        <f>MIN(1,MAX(0,(5.3914776420524+0.021102849201698*'Precinct Vote Data'!I1297*100+(-5.72594740176815)*0+0.927016741366831*('Precinct Vote Data'!H1297*100))/100))</f>
        <v>0.69461134</v>
      </c>
      <c r="F328" s="11">
        <f t="shared" si="1"/>
        <v>310</v>
      </c>
      <c r="G328" s="11">
        <f t="shared" si="2"/>
        <v>137</v>
      </c>
      <c r="H328" s="5" t="str">
        <f t="shared" si="3"/>
        <v>Democrat</v>
      </c>
    </row>
    <row r="329" ht="15.0" customHeight="1">
      <c r="A329" s="5" t="s">
        <v>327</v>
      </c>
      <c r="B329" s="5" t="s">
        <v>347</v>
      </c>
      <c r="C329" s="5" t="s">
        <v>159</v>
      </c>
      <c r="D329" s="11">
        <f>MAX(0, 2*'Precinct Vote Data'!G1300 - 'Precinct Vote Data'!G1298)</f>
        <v>332</v>
      </c>
      <c r="E329" s="10">
        <f>MIN(1,MAX(0,(5.3914776420524+0.021102849201698*'Precinct Vote Data'!I1301*100+(-5.72594740176815)*0+0.927016741366831*('Precinct Vote Data'!H1301*100))/100))</f>
        <v>0.7073832777</v>
      </c>
      <c r="F329" s="11">
        <f t="shared" si="1"/>
        <v>235</v>
      </c>
      <c r="G329" s="11">
        <f t="shared" si="2"/>
        <v>97</v>
      </c>
      <c r="H329" s="5" t="str">
        <f t="shared" si="3"/>
        <v>Democrat</v>
      </c>
    </row>
    <row r="330" ht="15.0" customHeight="1">
      <c r="A330" s="5" t="s">
        <v>327</v>
      </c>
      <c r="B330" s="5" t="s">
        <v>350</v>
      </c>
      <c r="C330" s="5" t="s">
        <v>351</v>
      </c>
      <c r="D330" s="11">
        <f>MAX(0, 2*'Precinct Vote Data'!G1304 - 'Precinct Vote Data'!G1302)</f>
        <v>2546</v>
      </c>
      <c r="E330" s="10">
        <f>MIN(1,MAX(0,(5.3914776420524+0.021102849201698*'Precinct Vote Data'!I1305*100+(-5.72594740176815)*0+0.927016741366831*('Precinct Vote Data'!H1305*100))/100))</f>
        <v>0.5026728</v>
      </c>
      <c r="F330" s="11">
        <f t="shared" si="1"/>
        <v>1280</v>
      </c>
      <c r="G330" s="11">
        <f t="shared" si="2"/>
        <v>1266</v>
      </c>
      <c r="H330" s="5" t="str">
        <f t="shared" si="3"/>
        <v>Democrat</v>
      </c>
    </row>
    <row r="331" ht="15.0" customHeight="1">
      <c r="A331" s="5" t="s">
        <v>327</v>
      </c>
      <c r="B331" s="5" t="s">
        <v>350</v>
      </c>
      <c r="C331" s="5" t="s">
        <v>352</v>
      </c>
      <c r="D331" s="11">
        <f>MAX(0, 2*'Precinct Vote Data'!G1308 - 'Precinct Vote Data'!G1306)</f>
        <v>2873</v>
      </c>
      <c r="E331" s="10">
        <f>MIN(1,MAX(0,(5.3914776420524+0.021102849201698*'Precinct Vote Data'!I1309*100+(-5.72594740176815)*0+0.927016741366831*('Precinct Vote Data'!H1309*100))/100))</f>
        <v>0.551672084</v>
      </c>
      <c r="F331" s="11">
        <f t="shared" si="1"/>
        <v>1585</v>
      </c>
      <c r="G331" s="11">
        <f t="shared" si="2"/>
        <v>1288</v>
      </c>
      <c r="H331" s="5" t="str">
        <f t="shared" si="3"/>
        <v>Democrat</v>
      </c>
    </row>
    <row r="332" ht="15.0" customHeight="1">
      <c r="A332" s="5" t="s">
        <v>327</v>
      </c>
      <c r="B332" s="5" t="s">
        <v>350</v>
      </c>
      <c r="C332" s="5" t="s">
        <v>353</v>
      </c>
      <c r="D332" s="11">
        <f>MAX(0, 2*'Precinct Vote Data'!G1312 - 'Precinct Vote Data'!G1310)</f>
        <v>1692</v>
      </c>
      <c r="E332" s="10">
        <f>MIN(1,MAX(0,(5.3914776420524+0.021102849201698*'Precinct Vote Data'!I1313*100+(-5.72594740176815)*0+0.927016741366831*('Precinct Vote Data'!H1313*100))/100))</f>
        <v>0.5290715908</v>
      </c>
      <c r="F332" s="11">
        <f t="shared" si="1"/>
        <v>895</v>
      </c>
      <c r="G332" s="11">
        <f t="shared" si="2"/>
        <v>797</v>
      </c>
      <c r="H332" s="5" t="str">
        <f t="shared" si="3"/>
        <v>Democrat</v>
      </c>
    </row>
    <row r="333" ht="15.0" customHeight="1">
      <c r="A333" s="5" t="s">
        <v>327</v>
      </c>
      <c r="B333" s="5" t="s">
        <v>350</v>
      </c>
      <c r="C333" s="5" t="s">
        <v>354</v>
      </c>
      <c r="D333" s="11">
        <f>MAX(0, 2*'Precinct Vote Data'!G1316 - 'Precinct Vote Data'!G1314)</f>
        <v>2187</v>
      </c>
      <c r="E333" s="10">
        <f>MIN(1,MAX(0,(5.3914776420524+0.021102849201698*'Precinct Vote Data'!I1317*100+(-5.72594740176815)*0+0.927016741366831*('Precinct Vote Data'!H1317*100))/100))</f>
        <v>0.5470883599</v>
      </c>
      <c r="F333" s="11">
        <f t="shared" si="1"/>
        <v>1196</v>
      </c>
      <c r="G333" s="11">
        <f t="shared" si="2"/>
        <v>991</v>
      </c>
      <c r="H333" s="5" t="str">
        <f t="shared" si="3"/>
        <v>Democrat</v>
      </c>
    </row>
    <row r="334" ht="15.0" customHeight="1">
      <c r="A334" s="5" t="s">
        <v>327</v>
      </c>
      <c r="B334" s="5" t="s">
        <v>355</v>
      </c>
      <c r="C334" s="5" t="s">
        <v>162</v>
      </c>
      <c r="D334" s="11">
        <f>MAX(0, 2*'Precinct Vote Data'!G1320 - 'Precinct Vote Data'!G1318)</f>
        <v>870</v>
      </c>
      <c r="E334" s="10">
        <f>MIN(1,MAX(0,(5.3914776420524+0.021102849201698*'Precinct Vote Data'!I1321*100+(-5.72594740176815)*0+0.927016741366831*('Precinct Vote Data'!H1321*100))/100))</f>
        <v>0.6125958089</v>
      </c>
      <c r="F334" s="11">
        <f t="shared" si="1"/>
        <v>533</v>
      </c>
      <c r="G334" s="11">
        <f t="shared" si="2"/>
        <v>337</v>
      </c>
      <c r="H334" s="5" t="str">
        <f t="shared" si="3"/>
        <v>Democrat</v>
      </c>
    </row>
    <row r="335" ht="15.0" customHeight="1">
      <c r="A335" s="5" t="s">
        <v>327</v>
      </c>
      <c r="B335" s="5" t="s">
        <v>356</v>
      </c>
      <c r="C335" s="5" t="s">
        <v>163</v>
      </c>
      <c r="D335" s="11">
        <f>MAX(0, 2*'Precinct Vote Data'!G1324 - 'Precinct Vote Data'!G1322)</f>
        <v>171</v>
      </c>
      <c r="E335" s="10">
        <f>MIN(1,MAX(0,(5.3914776420524+0.021102849201698*'Precinct Vote Data'!I1325*100+(-5.72594740176815)*0+0.927016741366831*('Precinct Vote Data'!H1325*100))/100))</f>
        <v>0.5456433794</v>
      </c>
      <c r="F335" s="11">
        <f t="shared" si="1"/>
        <v>93</v>
      </c>
      <c r="G335" s="11">
        <f t="shared" si="2"/>
        <v>78</v>
      </c>
      <c r="H335" s="5" t="str">
        <f t="shared" si="3"/>
        <v>Democrat</v>
      </c>
    </row>
    <row r="336" ht="15.0" customHeight="1">
      <c r="A336" s="5" t="s">
        <v>327</v>
      </c>
      <c r="B336" s="5" t="s">
        <v>190</v>
      </c>
      <c r="C336" s="5" t="s">
        <v>164</v>
      </c>
      <c r="D336" s="11">
        <f>MAX(0, 2*'Precinct Vote Data'!G1328 - 'Precinct Vote Data'!G1326)</f>
        <v>1435</v>
      </c>
      <c r="E336" s="10">
        <f>MIN(1,MAX(0,(5.3914776420524+0.021102849201698*'Precinct Vote Data'!I1329*100+(-5.72594740176815)*0+0.927016741366831*('Precinct Vote Data'!H1329*100))/100))</f>
        <v>0.5936138487</v>
      </c>
      <c r="F336" s="11">
        <f t="shared" si="1"/>
        <v>852</v>
      </c>
      <c r="G336" s="11">
        <f t="shared" si="2"/>
        <v>583</v>
      </c>
      <c r="H336" s="5" t="str">
        <f t="shared" si="3"/>
        <v>Democrat</v>
      </c>
    </row>
    <row r="337" ht="15.0" customHeight="1">
      <c r="A337" s="5" t="s">
        <v>327</v>
      </c>
      <c r="B337" s="5" t="s">
        <v>190</v>
      </c>
      <c r="C337" s="5" t="s">
        <v>165</v>
      </c>
      <c r="D337" s="11">
        <f>MAX(0, 2*'Precinct Vote Data'!G1332 - 'Precinct Vote Data'!G1330)</f>
        <v>1499</v>
      </c>
      <c r="E337" s="10">
        <f>MIN(1,MAX(0,(5.3914776420524+0.021102849201698*'Precinct Vote Data'!I1333*100+(-5.72594740176815)*0+0.927016741366831*('Precinct Vote Data'!H1333*100))/100))</f>
        <v>0.5667374056</v>
      </c>
      <c r="F337" s="11">
        <f t="shared" si="1"/>
        <v>850</v>
      </c>
      <c r="G337" s="11">
        <f t="shared" si="2"/>
        <v>649</v>
      </c>
      <c r="H337" s="5" t="str">
        <f t="shared" si="3"/>
        <v>Democrat</v>
      </c>
    </row>
    <row r="338" ht="15.0" customHeight="1">
      <c r="A338" s="5" t="s">
        <v>327</v>
      </c>
      <c r="B338" s="5" t="s">
        <v>190</v>
      </c>
      <c r="C338" s="5" t="s">
        <v>166</v>
      </c>
      <c r="D338" s="11">
        <f>MAX(0, 2*'Precinct Vote Data'!G1336 - 'Precinct Vote Data'!G1334)</f>
        <v>822</v>
      </c>
      <c r="E338" s="10">
        <f>MIN(1,MAX(0,(5.3914776420524+0.021102849201698*'Precinct Vote Data'!I1337*100+(-5.72594740176815)*0+0.927016741366831*('Precinct Vote Data'!H1337*100))/100))</f>
        <v>0.5374166273</v>
      </c>
      <c r="F338" s="11">
        <f t="shared" si="1"/>
        <v>442</v>
      </c>
      <c r="G338" s="11">
        <f t="shared" si="2"/>
        <v>380</v>
      </c>
      <c r="H338" s="5" t="str">
        <f t="shared" si="3"/>
        <v>Democrat</v>
      </c>
    </row>
    <row r="339" ht="15.0" customHeight="1">
      <c r="A339" s="5" t="s">
        <v>327</v>
      </c>
      <c r="B339" s="5" t="s">
        <v>190</v>
      </c>
      <c r="C339" s="5" t="s">
        <v>167</v>
      </c>
      <c r="D339" s="11">
        <f>MAX(0, 2*'Precinct Vote Data'!G1340 - 'Precinct Vote Data'!G1338)</f>
        <v>1275</v>
      </c>
      <c r="E339" s="10">
        <f>MIN(1,MAX(0,(5.3914776420524+0.021102849201698*'Precinct Vote Data'!I1341*100+(-5.72594740176815)*0+0.927016741366831*('Precinct Vote Data'!H1341*100))/100))</f>
        <v>0.5396030439</v>
      </c>
      <c r="F339" s="11">
        <f t="shared" si="1"/>
        <v>688</v>
      </c>
      <c r="G339" s="11">
        <f t="shared" si="2"/>
        <v>587</v>
      </c>
      <c r="H339" s="5" t="str">
        <f t="shared" si="3"/>
        <v>Democrat</v>
      </c>
    </row>
    <row r="340" ht="15.0" customHeight="1">
      <c r="A340" s="5" t="s">
        <v>327</v>
      </c>
      <c r="B340" s="5" t="s">
        <v>190</v>
      </c>
      <c r="C340" s="5" t="s">
        <v>357</v>
      </c>
      <c r="D340" s="11">
        <f>MAX(0, 2*'Precinct Vote Data'!G1344 - 'Precinct Vote Data'!G1342)</f>
        <v>1345</v>
      </c>
      <c r="E340" s="10">
        <f>MIN(1,MAX(0,(5.3914776420524+0.021102849201698*'Precinct Vote Data'!I1345*100+(-5.72594740176815)*0+0.927016741366831*('Precinct Vote Data'!H1345*100))/100))</f>
        <v>0.5610472127</v>
      </c>
      <c r="F340" s="11">
        <f t="shared" si="1"/>
        <v>755</v>
      </c>
      <c r="G340" s="11">
        <f t="shared" si="2"/>
        <v>590</v>
      </c>
      <c r="H340" s="5" t="str">
        <f t="shared" si="3"/>
        <v>Democrat</v>
      </c>
    </row>
    <row r="341" ht="15.0" customHeight="1">
      <c r="A341" s="5" t="s">
        <v>327</v>
      </c>
      <c r="B341" s="5" t="s">
        <v>190</v>
      </c>
      <c r="C341" s="5" t="s">
        <v>358</v>
      </c>
      <c r="D341" s="11">
        <f>MAX(0, 2*'Precinct Vote Data'!G1348 - 'Precinct Vote Data'!G1346)</f>
        <v>845</v>
      </c>
      <c r="E341" s="10">
        <f>MIN(1,MAX(0,(5.3914776420524+0.021102849201698*'Precinct Vote Data'!I1349*100+(-5.72594740176815)*0+0.927016741366831*('Precinct Vote Data'!H1349*100))/100))</f>
        <v>0.5458824674</v>
      </c>
      <c r="F341" s="11">
        <f t="shared" si="1"/>
        <v>461</v>
      </c>
      <c r="G341" s="11">
        <f t="shared" si="2"/>
        <v>384</v>
      </c>
      <c r="H341" s="5" t="str">
        <f t="shared" si="3"/>
        <v>Democrat</v>
      </c>
    </row>
    <row r="342" ht="15.0" customHeight="1">
      <c r="A342" s="5" t="s">
        <v>327</v>
      </c>
      <c r="B342" s="5" t="s">
        <v>359</v>
      </c>
      <c r="C342" s="5" t="s">
        <v>168</v>
      </c>
      <c r="D342" s="11">
        <f>MAX(0, 2*'Precinct Vote Data'!G1352 - 'Precinct Vote Data'!G1350)</f>
        <v>1012</v>
      </c>
      <c r="E342" s="10">
        <f>MIN(1,MAX(0,(5.3914776420524+0.021102849201698*'Precinct Vote Data'!I1353*100+(-5.72594740176815)*0+0.927016741366831*('Precinct Vote Data'!H1353*100))/100))</f>
        <v>0.5066580077</v>
      </c>
      <c r="F342" s="11">
        <f t="shared" si="1"/>
        <v>513</v>
      </c>
      <c r="G342" s="11">
        <f t="shared" si="2"/>
        <v>499</v>
      </c>
      <c r="H342" s="5" t="str">
        <f t="shared" si="3"/>
        <v>Democrat</v>
      </c>
    </row>
    <row r="343" ht="15.0" customHeight="1">
      <c r="A343" s="5" t="s">
        <v>327</v>
      </c>
      <c r="B343" s="5" t="s">
        <v>359</v>
      </c>
      <c r="C343" s="5" t="s">
        <v>169</v>
      </c>
      <c r="D343" s="11">
        <f>MAX(0, 2*'Precinct Vote Data'!G1356 - 'Precinct Vote Data'!G1354)</f>
        <v>789</v>
      </c>
      <c r="E343" s="10">
        <f>MIN(1,MAX(0,(5.3914776420524+0.021102849201698*'Precinct Vote Data'!I1357*100+(-5.72594740176815)*0+0.927016741366831*('Precinct Vote Data'!H1357*100))/100))</f>
        <v>0.5232206992</v>
      </c>
      <c r="F343" s="11">
        <f t="shared" si="1"/>
        <v>413</v>
      </c>
      <c r="G343" s="11">
        <f t="shared" si="2"/>
        <v>376</v>
      </c>
      <c r="H343" s="5" t="str">
        <f t="shared" si="3"/>
        <v>Democrat</v>
      </c>
    </row>
    <row r="344" ht="15.0" customHeight="1">
      <c r="A344" s="5" t="s">
        <v>327</v>
      </c>
      <c r="B344" s="5" t="s">
        <v>359</v>
      </c>
      <c r="C344" s="5" t="s">
        <v>171</v>
      </c>
      <c r="D344" s="11">
        <f>MAX(0, 2*'Precinct Vote Data'!G1360 - 'Precinct Vote Data'!G1358)</f>
        <v>1133</v>
      </c>
      <c r="E344" s="10">
        <f>MIN(1,MAX(0,(5.3914776420524+0.021102849201698*'Precinct Vote Data'!I1361*100+(-5.72594740176815)*0+0.927016741366831*('Precinct Vote Data'!H1361*100))/100))</f>
        <v>0.5396067172</v>
      </c>
      <c r="F344" s="11">
        <f t="shared" si="1"/>
        <v>611</v>
      </c>
      <c r="G344" s="11">
        <f t="shared" si="2"/>
        <v>522</v>
      </c>
      <c r="H344" s="5" t="str">
        <f t="shared" si="3"/>
        <v>Democrat</v>
      </c>
    </row>
    <row r="345" ht="15.0" customHeight="1">
      <c r="A345" s="5" t="s">
        <v>327</v>
      </c>
      <c r="B345" s="5" t="s">
        <v>99</v>
      </c>
      <c r="C345" s="5" t="s">
        <v>172</v>
      </c>
      <c r="D345" s="11">
        <f>MAX(0, 2*'Precinct Vote Data'!G1364 - 'Precinct Vote Data'!G1362)</f>
        <v>1510</v>
      </c>
      <c r="E345" s="10">
        <f>MIN(1,MAX(0,(5.3914776420524+0.021102849201698*'Precinct Vote Data'!I1365*100+(-5.72594740176815)*0+0.927016741366831*('Precinct Vote Data'!H1365*100))/100))</f>
        <v>0.3584859643</v>
      </c>
      <c r="F345" s="11">
        <f t="shared" si="1"/>
        <v>541</v>
      </c>
      <c r="G345" s="11">
        <f t="shared" si="2"/>
        <v>969</v>
      </c>
      <c r="H345" s="5" t="str">
        <f t="shared" si="3"/>
        <v>Republican</v>
      </c>
    </row>
    <row r="346" ht="15.0" customHeight="1">
      <c r="A346" s="5" t="s">
        <v>327</v>
      </c>
      <c r="B346" s="5" t="s">
        <v>99</v>
      </c>
      <c r="C346" s="5" t="s">
        <v>173</v>
      </c>
      <c r="D346" s="11">
        <f>MAX(0, 2*'Precinct Vote Data'!G1368 - 'Precinct Vote Data'!G1366)</f>
        <v>1718</v>
      </c>
      <c r="E346" s="10">
        <f>MIN(1,MAX(0,(5.3914776420524+0.021102849201698*'Precinct Vote Data'!I1369*100+(-5.72594740176815)*0+0.927016741366831*('Precinct Vote Data'!H1369*100))/100))</f>
        <v>0.3606950355</v>
      </c>
      <c r="F346" s="11">
        <f t="shared" si="1"/>
        <v>620</v>
      </c>
      <c r="G346" s="11">
        <f t="shared" si="2"/>
        <v>1098</v>
      </c>
      <c r="H346" s="5" t="str">
        <f t="shared" si="3"/>
        <v>Republican</v>
      </c>
    </row>
    <row r="347" ht="15.0" customHeight="1">
      <c r="A347" s="5" t="s">
        <v>327</v>
      </c>
      <c r="B347" s="5" t="s">
        <v>99</v>
      </c>
      <c r="C347" s="5" t="s">
        <v>175</v>
      </c>
      <c r="D347" s="11">
        <f>MAX(0, 2*'Precinct Vote Data'!G1372 - 'Precinct Vote Data'!G1370)</f>
        <v>546</v>
      </c>
      <c r="E347" s="10">
        <f>MIN(1,MAX(0,(5.3914776420524+0.021102849201698*'Precinct Vote Data'!I1373*100+(-5.72594740176815)*0+0.927016741366831*('Precinct Vote Data'!H1373*100))/100))</f>
        <v>0.3375656787</v>
      </c>
      <c r="F347" s="11">
        <f t="shared" si="1"/>
        <v>184</v>
      </c>
      <c r="G347" s="11">
        <f t="shared" si="2"/>
        <v>362</v>
      </c>
      <c r="H347" s="5" t="str">
        <f t="shared" si="3"/>
        <v>Republican</v>
      </c>
    </row>
    <row r="348" ht="15.0" customHeight="1">
      <c r="A348" s="5" t="s">
        <v>327</v>
      </c>
      <c r="B348" s="5" t="s">
        <v>99</v>
      </c>
      <c r="C348" s="5" t="s">
        <v>177</v>
      </c>
      <c r="D348" s="11">
        <f>MAX(0, 2*'Precinct Vote Data'!G1376 - 'Precinct Vote Data'!G1374)</f>
        <v>1351</v>
      </c>
      <c r="E348" s="10">
        <f>MIN(1,MAX(0,(5.3914776420524+0.021102849201698*'Precinct Vote Data'!I1377*100+(-5.72594740176815)*0+0.927016741366831*('Precinct Vote Data'!H1377*100))/100))</f>
        <v>0.3600555977</v>
      </c>
      <c r="F348" s="11">
        <f t="shared" si="1"/>
        <v>486</v>
      </c>
      <c r="G348" s="11">
        <f t="shared" si="2"/>
        <v>865</v>
      </c>
      <c r="H348" s="5" t="str">
        <f t="shared" si="3"/>
        <v>Republican</v>
      </c>
    </row>
    <row r="349" ht="15.0" customHeight="1">
      <c r="A349" s="5" t="s">
        <v>327</v>
      </c>
      <c r="B349" s="5" t="s">
        <v>99</v>
      </c>
      <c r="C349" s="5" t="s">
        <v>178</v>
      </c>
      <c r="D349" s="11">
        <f>MAX(0, 2*'Precinct Vote Data'!G1380 - 'Precinct Vote Data'!G1378)</f>
        <v>836</v>
      </c>
      <c r="E349" s="10">
        <f>MIN(1,MAX(0,(5.3914776420524+0.021102849201698*'Precinct Vote Data'!I1381*100+(-5.72594740176815)*0+0.927016741366831*('Precinct Vote Data'!H1381*100))/100))</f>
        <v>0.3808799162</v>
      </c>
      <c r="F349" s="11">
        <f t="shared" si="1"/>
        <v>318</v>
      </c>
      <c r="G349" s="11">
        <f t="shared" si="2"/>
        <v>518</v>
      </c>
      <c r="H349" s="5" t="str">
        <f t="shared" si="3"/>
        <v>Republican</v>
      </c>
    </row>
    <row r="350" ht="15.0" customHeight="1">
      <c r="A350" s="5" t="s">
        <v>327</v>
      </c>
      <c r="B350" s="5" t="s">
        <v>360</v>
      </c>
      <c r="C350" s="5" t="s">
        <v>180</v>
      </c>
      <c r="D350" s="11">
        <f>MAX(0, 2*'Precinct Vote Data'!G1384 - 'Precinct Vote Data'!G1382)</f>
        <v>984</v>
      </c>
      <c r="E350" s="10">
        <f>MIN(1,MAX(0,(5.3914776420524+0.021102849201698*'Precinct Vote Data'!I1385*100+(-5.72594740176815)*0+0.927016741366831*('Precinct Vote Data'!H1385*100))/100))</f>
        <v>0.3965073842</v>
      </c>
      <c r="F350" s="11">
        <f t="shared" si="1"/>
        <v>390</v>
      </c>
      <c r="G350" s="11">
        <f t="shared" si="2"/>
        <v>594</v>
      </c>
      <c r="H350" s="5" t="str">
        <f t="shared" si="3"/>
        <v>Republican</v>
      </c>
    </row>
    <row r="351" ht="15.0" customHeight="1">
      <c r="A351" s="5" t="s">
        <v>327</v>
      </c>
      <c r="B351" s="5" t="s">
        <v>360</v>
      </c>
      <c r="C351" s="5" t="s">
        <v>181</v>
      </c>
      <c r="D351" s="11">
        <f>MAX(0, 2*'Precinct Vote Data'!G1388 - 'Precinct Vote Data'!G1386)</f>
        <v>1022</v>
      </c>
      <c r="E351" s="10">
        <f>MIN(1,MAX(0,(5.3914776420524+0.021102849201698*'Precinct Vote Data'!I1389*100+(-5.72594740176815)*0+0.927016741366831*('Precinct Vote Data'!H1389*100))/100))</f>
        <v>0.342487301</v>
      </c>
      <c r="F351" s="11">
        <f t="shared" si="1"/>
        <v>350</v>
      </c>
      <c r="G351" s="11">
        <f t="shared" si="2"/>
        <v>672</v>
      </c>
      <c r="H351" s="5" t="str">
        <f t="shared" si="3"/>
        <v>Republican</v>
      </c>
    </row>
    <row r="352" ht="15.0" customHeight="1">
      <c r="A352" s="5" t="s">
        <v>327</v>
      </c>
      <c r="B352" s="5" t="s">
        <v>361</v>
      </c>
      <c r="C352" s="5" t="s">
        <v>182</v>
      </c>
      <c r="D352" s="11">
        <f>MAX(0, 2*'Precinct Vote Data'!G1392 - 'Precinct Vote Data'!G1390)</f>
        <v>3094</v>
      </c>
      <c r="E352" s="10">
        <f>MIN(1,MAX(0,(5.3914776420524+0.021102849201698*'Precinct Vote Data'!I1393*100+(-5.72594740176815)*0+0.927016741366831*('Precinct Vote Data'!H1393*100))/100))</f>
        <v>0.4806216308</v>
      </c>
      <c r="F352" s="11">
        <f t="shared" si="1"/>
        <v>1487</v>
      </c>
      <c r="G352" s="11">
        <f t="shared" si="2"/>
        <v>1607</v>
      </c>
      <c r="H352" s="5" t="str">
        <f t="shared" si="3"/>
        <v>Republican</v>
      </c>
    </row>
    <row r="353" ht="15.0" customHeight="1">
      <c r="A353" s="5" t="s">
        <v>327</v>
      </c>
      <c r="B353" s="5" t="s">
        <v>361</v>
      </c>
      <c r="C353" s="5" t="s">
        <v>183</v>
      </c>
      <c r="D353" s="11">
        <f>MAX(0, 2*'Precinct Vote Data'!G1396 - 'Precinct Vote Data'!G1394)</f>
        <v>1334</v>
      </c>
      <c r="E353" s="10">
        <f>MIN(1,MAX(0,(5.3914776420524+0.021102849201698*'Precinct Vote Data'!I1397*100+(-5.72594740176815)*0+0.927016741366831*('Precinct Vote Data'!H1397*100))/100))</f>
        <v>0.4440737378</v>
      </c>
      <c r="F353" s="11">
        <f t="shared" si="1"/>
        <v>592</v>
      </c>
      <c r="G353" s="11">
        <f t="shared" si="2"/>
        <v>742</v>
      </c>
      <c r="H353" s="5" t="str">
        <f t="shared" si="3"/>
        <v>Republican</v>
      </c>
    </row>
    <row r="354" ht="15.0" customHeight="1">
      <c r="A354" s="5" t="s">
        <v>327</v>
      </c>
      <c r="B354" s="5" t="s">
        <v>362</v>
      </c>
      <c r="C354" s="5" t="s">
        <v>184</v>
      </c>
      <c r="D354" s="11">
        <f>MAX(0, 2*'Precinct Vote Data'!G1400 - 'Precinct Vote Data'!G1398)</f>
        <v>1024</v>
      </c>
      <c r="E354" s="10">
        <f>MIN(1,MAX(0,(5.3914776420524+0.021102849201698*'Precinct Vote Data'!I1401*100+(-5.72594740176815)*0+0.927016741366831*('Precinct Vote Data'!H1401*100))/100))</f>
        <v>0.5411979893</v>
      </c>
      <c r="F354" s="11">
        <f t="shared" si="1"/>
        <v>554</v>
      </c>
      <c r="G354" s="11">
        <f t="shared" si="2"/>
        <v>470</v>
      </c>
      <c r="H354" s="5" t="str">
        <f t="shared" si="3"/>
        <v>Democrat</v>
      </c>
    </row>
    <row r="355" ht="15.0" customHeight="1">
      <c r="A355" s="5" t="s">
        <v>327</v>
      </c>
      <c r="B355" s="5" t="s">
        <v>362</v>
      </c>
      <c r="C355" s="5" t="s">
        <v>185</v>
      </c>
      <c r="D355" s="11">
        <f>MAX(0, 2*'Precinct Vote Data'!G1404 - 'Precinct Vote Data'!G1402)</f>
        <v>1350</v>
      </c>
      <c r="E355" s="10">
        <f>MIN(1,MAX(0,(5.3914776420524+0.021102849201698*'Precinct Vote Data'!I1405*100+(-5.72594740176815)*0+0.927016741366831*('Precinct Vote Data'!H1405*100))/100))</f>
        <v>0.4397691096</v>
      </c>
      <c r="F355" s="11">
        <f t="shared" si="1"/>
        <v>594</v>
      </c>
      <c r="G355" s="11">
        <f t="shared" si="2"/>
        <v>756</v>
      </c>
      <c r="H355" s="5" t="str">
        <f t="shared" si="3"/>
        <v>Republican</v>
      </c>
    </row>
    <row r="356" ht="15.0" customHeight="1">
      <c r="A356" s="5" t="s">
        <v>327</v>
      </c>
      <c r="B356" s="5" t="s">
        <v>362</v>
      </c>
      <c r="C356" s="5" t="s">
        <v>187</v>
      </c>
      <c r="D356" s="11">
        <f>MAX(0, 2*'Precinct Vote Data'!G1408 - 'Precinct Vote Data'!G1406)</f>
        <v>474</v>
      </c>
      <c r="E356" s="10">
        <f>MIN(1,MAX(0,(5.3914776420524+0.021102849201698*'Precinct Vote Data'!I1409*100+(-5.72594740176815)*0+0.927016741366831*('Precinct Vote Data'!H1409*100))/100))</f>
        <v>0.4468053738</v>
      </c>
      <c r="F356" s="11">
        <f t="shared" si="1"/>
        <v>212</v>
      </c>
      <c r="G356" s="11">
        <f t="shared" si="2"/>
        <v>262</v>
      </c>
      <c r="H356" s="5" t="str">
        <f t="shared" si="3"/>
        <v>Republican</v>
      </c>
    </row>
    <row r="357" ht="15.0" customHeight="1">
      <c r="A357" s="5" t="s">
        <v>327</v>
      </c>
      <c r="B357" s="5" t="s">
        <v>362</v>
      </c>
      <c r="C357" s="5" t="s">
        <v>188</v>
      </c>
      <c r="D357" s="11">
        <f>MAX(0, 2*'Precinct Vote Data'!G1412 - 'Precinct Vote Data'!G1410)</f>
        <v>803</v>
      </c>
      <c r="E357" s="10">
        <f>MIN(1,MAX(0,(5.3914776420524+0.021102849201698*'Precinct Vote Data'!I1413*100+(-5.72594740176815)*0+0.927016741366831*('Precinct Vote Data'!H1413*100))/100))</f>
        <v>0.5367467409</v>
      </c>
      <c r="F357" s="11">
        <f t="shared" si="1"/>
        <v>431</v>
      </c>
      <c r="G357" s="11">
        <f t="shared" si="2"/>
        <v>372</v>
      </c>
      <c r="H357" s="5" t="str">
        <f t="shared" si="3"/>
        <v>Democrat</v>
      </c>
    </row>
    <row r="358" ht="15.0" customHeight="1">
      <c r="A358" s="5" t="s">
        <v>327</v>
      </c>
      <c r="B358" s="5" t="s">
        <v>362</v>
      </c>
      <c r="C358" s="5" t="s">
        <v>363</v>
      </c>
      <c r="D358" s="11">
        <f>MAX(0, 2*'Precinct Vote Data'!G1416 - 'Precinct Vote Data'!G1414)</f>
        <v>663</v>
      </c>
      <c r="E358" s="10">
        <f>MIN(1,MAX(0,(5.3914776420524+0.021102849201698*'Precinct Vote Data'!I1417*100+(-5.72594740176815)*0+0.927016741366831*('Precinct Vote Data'!H1417*100))/100))</f>
        <v>0.5307139312</v>
      </c>
      <c r="F358" s="11">
        <f t="shared" si="1"/>
        <v>352</v>
      </c>
      <c r="G358" s="11">
        <f t="shared" si="2"/>
        <v>311</v>
      </c>
      <c r="H358" s="5" t="str">
        <f t="shared" si="3"/>
        <v>Democrat</v>
      </c>
    </row>
    <row r="359" ht="15.0" customHeight="1">
      <c r="A359" s="5" t="s">
        <v>327</v>
      </c>
      <c r="B359" s="5" t="s">
        <v>362</v>
      </c>
      <c r="C359" s="5" t="s">
        <v>364</v>
      </c>
      <c r="D359" s="11">
        <f>MAX(0, 2*'Precinct Vote Data'!G1420 - 'Precinct Vote Data'!G1418)</f>
        <v>1002</v>
      </c>
      <c r="E359" s="10">
        <f>MIN(1,MAX(0,(5.3914776420524+0.021102849201698*'Precinct Vote Data'!I1421*100+(-5.72594740176815)*0+0.927016741366831*('Precinct Vote Data'!H1421*100))/100))</f>
        <v>0.5677955084</v>
      </c>
      <c r="F359" s="11">
        <f t="shared" si="1"/>
        <v>569</v>
      </c>
      <c r="G359" s="11">
        <f t="shared" si="2"/>
        <v>433</v>
      </c>
      <c r="H359" s="5" t="str">
        <f t="shared" si="3"/>
        <v>Democrat</v>
      </c>
    </row>
    <row r="360" ht="15.0" customHeight="1">
      <c r="A360" s="5" t="s">
        <v>327</v>
      </c>
      <c r="B360" s="5" t="s">
        <v>362</v>
      </c>
      <c r="C360" s="5" t="s">
        <v>189</v>
      </c>
      <c r="D360" s="11">
        <f>MAX(0, 2*'Precinct Vote Data'!G1424 - 'Precinct Vote Data'!G1422)</f>
        <v>407</v>
      </c>
      <c r="E360" s="10">
        <f>MIN(1,MAX(0,(5.3914776420524+0.021102849201698*'Precinct Vote Data'!I1425*100+(-5.72594740176815)*0+0.927016741366831*('Precinct Vote Data'!H1425*100))/100))</f>
        <v>0.4310779846</v>
      </c>
      <c r="F360" s="11">
        <f t="shared" si="1"/>
        <v>175</v>
      </c>
      <c r="G360" s="11">
        <f t="shared" si="2"/>
        <v>232</v>
      </c>
      <c r="H360" s="5" t="str">
        <f t="shared" si="3"/>
        <v>Republican</v>
      </c>
    </row>
    <row r="361" ht="15.0" customHeight="1">
      <c r="A361" s="5" t="s">
        <v>327</v>
      </c>
      <c r="B361" s="5" t="s">
        <v>362</v>
      </c>
      <c r="C361" s="5" t="s">
        <v>191</v>
      </c>
      <c r="D361" s="11">
        <f>MAX(0, 2*'Precinct Vote Data'!G1428 - 'Precinct Vote Data'!G1426)</f>
        <v>967</v>
      </c>
      <c r="E361" s="10">
        <f>MIN(1,MAX(0,(5.3914776420524+0.021102849201698*'Precinct Vote Data'!I1429*100+(-5.72594740176815)*0+0.927016741366831*('Precinct Vote Data'!H1429*100))/100))</f>
        <v>0.4370972064</v>
      </c>
      <c r="F361" s="11">
        <f t="shared" si="1"/>
        <v>423</v>
      </c>
      <c r="G361" s="11">
        <f t="shared" si="2"/>
        <v>544</v>
      </c>
      <c r="H361" s="5" t="str">
        <f t="shared" si="3"/>
        <v>Republican</v>
      </c>
    </row>
    <row r="362" ht="15.0" customHeight="1">
      <c r="A362" s="5" t="s">
        <v>327</v>
      </c>
      <c r="B362" s="5" t="s">
        <v>365</v>
      </c>
      <c r="C362" s="5" t="s">
        <v>193</v>
      </c>
      <c r="D362" s="11">
        <f>MAX(0, 2*'Precinct Vote Data'!G1432 - 'Precinct Vote Data'!G1430)</f>
        <v>1090</v>
      </c>
      <c r="E362" s="10">
        <f>MIN(1,MAX(0,(5.3914776420524+0.021102849201698*'Precinct Vote Data'!I1433*100+(-5.72594740176815)*0+0.927016741366831*('Precinct Vote Data'!H1433*100))/100))</f>
        <v>0.3712769754</v>
      </c>
      <c r="F362" s="11">
        <f t="shared" si="1"/>
        <v>405</v>
      </c>
      <c r="G362" s="11">
        <f t="shared" si="2"/>
        <v>685</v>
      </c>
      <c r="H362" s="5" t="str">
        <f t="shared" si="3"/>
        <v>Republican</v>
      </c>
    </row>
    <row r="363" ht="15.0" customHeight="1">
      <c r="A363" s="5" t="s">
        <v>327</v>
      </c>
      <c r="B363" s="5" t="s">
        <v>365</v>
      </c>
      <c r="C363" s="5" t="s">
        <v>195</v>
      </c>
      <c r="D363" s="11">
        <f>MAX(0, 2*'Precinct Vote Data'!G1436 - 'Precinct Vote Data'!G1434)</f>
        <v>2184</v>
      </c>
      <c r="E363" s="10">
        <f>MIN(1,MAX(0,(5.3914776420524+0.021102849201698*'Precinct Vote Data'!I1437*100+(-5.72594740176815)*0+0.927016741366831*('Precinct Vote Data'!H1437*100))/100))</f>
        <v>0.3622252388</v>
      </c>
      <c r="F363" s="11">
        <f t="shared" si="1"/>
        <v>791</v>
      </c>
      <c r="G363" s="11">
        <f t="shared" si="2"/>
        <v>1393</v>
      </c>
      <c r="H363" s="5" t="str">
        <f t="shared" si="3"/>
        <v>Republican</v>
      </c>
    </row>
    <row r="364" ht="15.0" customHeight="1">
      <c r="A364" s="5" t="s">
        <v>327</v>
      </c>
      <c r="B364" s="5" t="s">
        <v>365</v>
      </c>
      <c r="C364" s="5" t="s">
        <v>196</v>
      </c>
      <c r="D364" s="11">
        <f>MAX(0, 2*'Precinct Vote Data'!G1440 - 'Precinct Vote Data'!G1438)</f>
        <v>1581</v>
      </c>
      <c r="E364" s="10">
        <f>MIN(1,MAX(0,(5.3914776420524+0.021102849201698*'Precinct Vote Data'!I1441*100+(-5.72594740176815)*0+0.927016741366831*('Precinct Vote Data'!H1441*100))/100))</f>
        <v>0.3416885047</v>
      </c>
      <c r="F364" s="11">
        <f t="shared" si="1"/>
        <v>540</v>
      </c>
      <c r="G364" s="11">
        <f t="shared" si="2"/>
        <v>1041</v>
      </c>
      <c r="H364" s="5" t="str">
        <f t="shared" si="3"/>
        <v>Republican</v>
      </c>
    </row>
    <row r="365" ht="15.0" customHeight="1">
      <c r="A365" s="5" t="s">
        <v>327</v>
      </c>
      <c r="B365" s="5" t="s">
        <v>365</v>
      </c>
      <c r="C365" s="5" t="s">
        <v>197</v>
      </c>
      <c r="D365" s="11">
        <f>MAX(0, 2*'Precinct Vote Data'!G1444 - 'Precinct Vote Data'!G1442)</f>
        <v>733</v>
      </c>
      <c r="E365" s="10">
        <f>MIN(1,MAX(0,(5.3914776420524+0.021102849201698*'Precinct Vote Data'!I1445*100+(-5.72594740176815)*0+0.927016741366831*('Precinct Vote Data'!H1445*100))/100))</f>
        <v>0.338228584</v>
      </c>
      <c r="F365" s="11">
        <f t="shared" si="1"/>
        <v>248</v>
      </c>
      <c r="G365" s="11">
        <f t="shared" si="2"/>
        <v>485</v>
      </c>
      <c r="H365" s="5" t="str">
        <f t="shared" si="3"/>
        <v>Republican</v>
      </c>
    </row>
    <row r="366" ht="15.0" customHeight="1">
      <c r="A366" s="5" t="s">
        <v>327</v>
      </c>
      <c r="B366" s="5" t="s">
        <v>366</v>
      </c>
      <c r="C366" s="5" t="s">
        <v>198</v>
      </c>
      <c r="D366" s="11">
        <f>MAX(0, 2*'Precinct Vote Data'!G1448 - 'Precinct Vote Data'!G1446)</f>
        <v>1060</v>
      </c>
      <c r="E366" s="10">
        <f>MIN(1,MAX(0,(5.3914776420524+0.021102849201698*'Precinct Vote Data'!I1449*100+(-5.72594740176815)*0+0.927016741366831*('Precinct Vote Data'!H1449*100))/100))</f>
        <v>0.5144550327</v>
      </c>
      <c r="F366" s="11">
        <f t="shared" si="1"/>
        <v>545</v>
      </c>
      <c r="G366" s="11">
        <f t="shared" si="2"/>
        <v>515</v>
      </c>
      <c r="H366" s="5" t="str">
        <f t="shared" si="3"/>
        <v>Democrat</v>
      </c>
    </row>
    <row r="367" ht="15.0" customHeight="1">
      <c r="A367" s="5" t="s">
        <v>327</v>
      </c>
      <c r="B367" s="5" t="s">
        <v>366</v>
      </c>
      <c r="C367" s="5" t="s">
        <v>199</v>
      </c>
      <c r="D367" s="11">
        <f>MAX(0, 2*'Precinct Vote Data'!G1452 - 'Precinct Vote Data'!G1450)</f>
        <v>893</v>
      </c>
      <c r="E367" s="10">
        <f>MIN(1,MAX(0,(5.3914776420524+0.021102849201698*'Precinct Vote Data'!I1453*100+(-5.72594740176815)*0+0.927016741366831*('Precinct Vote Data'!H1453*100))/100))</f>
        <v>0.5094705264</v>
      </c>
      <c r="F367" s="11">
        <f t="shared" si="1"/>
        <v>455</v>
      </c>
      <c r="G367" s="11">
        <f t="shared" si="2"/>
        <v>438</v>
      </c>
      <c r="H367" s="5" t="str">
        <f t="shared" si="3"/>
        <v>Democrat</v>
      </c>
    </row>
    <row r="368" ht="15.0" customHeight="1">
      <c r="A368" s="5" t="s">
        <v>327</v>
      </c>
      <c r="B368" s="5" t="s">
        <v>366</v>
      </c>
      <c r="C368" s="5" t="s">
        <v>200</v>
      </c>
      <c r="D368" s="11">
        <f>MAX(0, 2*'Precinct Vote Data'!G1456 - 'Precinct Vote Data'!G1454)</f>
        <v>841</v>
      </c>
      <c r="E368" s="10">
        <f>MIN(1,MAX(0,(5.3914776420524+0.021102849201698*'Precinct Vote Data'!I1457*100+(-5.72594740176815)*0+0.927016741366831*('Precinct Vote Data'!H1457*100))/100))</f>
        <v>0.4969009485</v>
      </c>
      <c r="F368" s="11">
        <f t="shared" si="1"/>
        <v>418</v>
      </c>
      <c r="G368" s="11">
        <f t="shared" si="2"/>
        <v>423</v>
      </c>
      <c r="H368" s="5" t="str">
        <f t="shared" si="3"/>
        <v>Republican</v>
      </c>
    </row>
    <row r="369" ht="15.0" customHeight="1">
      <c r="A369" s="5" t="s">
        <v>327</v>
      </c>
      <c r="B369" s="5" t="s">
        <v>367</v>
      </c>
      <c r="C369" s="5" t="s">
        <v>206</v>
      </c>
      <c r="D369" s="11">
        <f>MAX(0, 2*'Precinct Vote Data'!G1460 - 'Precinct Vote Data'!G1458)</f>
        <v>432</v>
      </c>
      <c r="E369" s="10">
        <f>MIN(1,MAX(0,(5.3914776420524+0.021102849201698*'Precinct Vote Data'!I1461*100+(-5.72594740176815)*0+0.927016741366831*('Precinct Vote Data'!H1461*100))/100))</f>
        <v>0.4681423755</v>
      </c>
      <c r="F369" s="11">
        <f t="shared" si="1"/>
        <v>202</v>
      </c>
      <c r="G369" s="11">
        <f t="shared" si="2"/>
        <v>230</v>
      </c>
      <c r="H369" s="5" t="str">
        <f t="shared" si="3"/>
        <v>Republican</v>
      </c>
    </row>
    <row r="370" ht="15.0" customHeight="1">
      <c r="A370" s="5" t="s">
        <v>327</v>
      </c>
      <c r="B370" s="5" t="s">
        <v>367</v>
      </c>
      <c r="C370" s="5" t="s">
        <v>208</v>
      </c>
      <c r="D370" s="11">
        <f>MAX(0, 2*'Precinct Vote Data'!G1464 - 'Precinct Vote Data'!G1462)</f>
        <v>1067</v>
      </c>
      <c r="E370" s="10">
        <f>MIN(1,MAX(0,(5.3914776420524+0.021102849201698*'Precinct Vote Data'!I1465*100+(-5.72594740176815)*0+0.927016741366831*('Precinct Vote Data'!H1465*100))/100))</f>
        <v>0.5228655867</v>
      </c>
      <c r="F370" s="11">
        <f t="shared" si="1"/>
        <v>558</v>
      </c>
      <c r="G370" s="11">
        <f t="shared" si="2"/>
        <v>509</v>
      </c>
      <c r="H370" s="5" t="str">
        <f t="shared" si="3"/>
        <v>Democrat</v>
      </c>
    </row>
    <row r="371" ht="15.0" customHeight="1">
      <c r="A371" s="5" t="s">
        <v>327</v>
      </c>
      <c r="B371" s="5" t="s">
        <v>368</v>
      </c>
      <c r="C371" s="5" t="s">
        <v>210</v>
      </c>
      <c r="D371" s="11">
        <f>MAX(0, 2*'Precinct Vote Data'!G1468 - 'Precinct Vote Data'!G1466)</f>
        <v>1086</v>
      </c>
      <c r="E371" s="10">
        <f>MIN(1,MAX(0,(5.3914776420524+0.021102849201698*'Precinct Vote Data'!I1469*100+(-5.72594740176815)*0+0.927016741366831*('Precinct Vote Data'!H1469*100))/100))</f>
        <v>0.4858923047</v>
      </c>
      <c r="F371" s="11">
        <f t="shared" si="1"/>
        <v>528</v>
      </c>
      <c r="G371" s="11">
        <f t="shared" si="2"/>
        <v>558</v>
      </c>
      <c r="H371" s="5" t="str">
        <f t="shared" si="3"/>
        <v>Republican</v>
      </c>
    </row>
    <row r="372" ht="15.0" customHeight="1">
      <c r="A372" s="5" t="s">
        <v>327</v>
      </c>
      <c r="B372" s="5" t="s">
        <v>368</v>
      </c>
      <c r="C372" s="5" t="s">
        <v>211</v>
      </c>
      <c r="D372" s="11">
        <f>MAX(0, 2*'Precinct Vote Data'!G1472 - 'Precinct Vote Data'!G1470)</f>
        <v>978</v>
      </c>
      <c r="E372" s="10">
        <f>MIN(1,MAX(0,(5.3914776420524+0.021102849201698*'Precinct Vote Data'!I1473*100+(-5.72594740176815)*0+0.927016741366831*('Precinct Vote Data'!H1473*100))/100))</f>
        <v>0.5033325974</v>
      </c>
      <c r="F372" s="11">
        <f t="shared" si="1"/>
        <v>492</v>
      </c>
      <c r="G372" s="11">
        <f t="shared" si="2"/>
        <v>486</v>
      </c>
      <c r="H372" s="5" t="str">
        <f t="shared" si="3"/>
        <v>Democrat</v>
      </c>
    </row>
    <row r="373" ht="15.0" customHeight="1">
      <c r="A373" s="5" t="s">
        <v>327</v>
      </c>
      <c r="B373" s="5" t="s">
        <v>368</v>
      </c>
      <c r="C373" s="5" t="s">
        <v>212</v>
      </c>
      <c r="D373" s="11">
        <f>MAX(0, 2*'Precinct Vote Data'!G1476 - 'Precinct Vote Data'!G1474)</f>
        <v>2074</v>
      </c>
      <c r="E373" s="10">
        <f>MIN(1,MAX(0,(5.3914776420524+0.021102849201698*'Precinct Vote Data'!I1477*100+(-5.72594740176815)*0+0.927016741366831*('Precinct Vote Data'!H1477*100))/100))</f>
        <v>0.4741122871</v>
      </c>
      <c r="F373" s="11">
        <f t="shared" si="1"/>
        <v>983</v>
      </c>
      <c r="G373" s="11">
        <f t="shared" si="2"/>
        <v>1091</v>
      </c>
      <c r="H373" s="5" t="str">
        <f t="shared" si="3"/>
        <v>Republican</v>
      </c>
    </row>
    <row r="374" ht="15.0" customHeight="1">
      <c r="A374" s="5" t="s">
        <v>327</v>
      </c>
      <c r="B374" s="5" t="s">
        <v>368</v>
      </c>
      <c r="C374" s="5" t="s">
        <v>214</v>
      </c>
      <c r="D374" s="11">
        <f>MAX(0, 2*'Precinct Vote Data'!G1480 - 'Precinct Vote Data'!G1478)</f>
        <v>432</v>
      </c>
      <c r="E374" s="10">
        <f>MIN(1,MAX(0,(5.3914776420524+0.021102849201698*'Precinct Vote Data'!I1481*100+(-5.72594740176815)*0+0.927016741366831*('Precinct Vote Data'!H1481*100))/100))</f>
        <v>0.4455421698</v>
      </c>
      <c r="F374" s="11">
        <f t="shared" si="1"/>
        <v>192</v>
      </c>
      <c r="G374" s="11">
        <f t="shared" si="2"/>
        <v>240</v>
      </c>
      <c r="H374" s="5" t="str">
        <f t="shared" si="3"/>
        <v>Republican</v>
      </c>
    </row>
    <row r="375" ht="15.0" customHeight="1">
      <c r="A375" s="5" t="s">
        <v>327</v>
      </c>
      <c r="B375" s="5" t="s">
        <v>369</v>
      </c>
      <c r="C375" s="5" t="s">
        <v>216</v>
      </c>
      <c r="D375" s="11">
        <f>MAX(0, 2*'Precinct Vote Data'!G1484 - 'Precinct Vote Data'!G1482)</f>
        <v>2007</v>
      </c>
      <c r="E375" s="10">
        <f>MIN(1,MAX(0,(5.3914776420524+0.021102849201698*'Precinct Vote Data'!I1485*100+(-5.72594740176815)*0+0.927016741366831*('Precinct Vote Data'!H1485*100))/100))</f>
        <v>0.5630520571</v>
      </c>
      <c r="F375" s="11">
        <f t="shared" si="1"/>
        <v>1130</v>
      </c>
      <c r="G375" s="11">
        <f t="shared" si="2"/>
        <v>877</v>
      </c>
      <c r="H375" s="5" t="str">
        <f t="shared" si="3"/>
        <v>Democrat</v>
      </c>
    </row>
    <row r="376" ht="15.0" customHeight="1">
      <c r="A376" s="5" t="s">
        <v>327</v>
      </c>
      <c r="B376" s="5" t="s">
        <v>369</v>
      </c>
      <c r="C376" s="5" t="s">
        <v>217</v>
      </c>
      <c r="D376" s="11">
        <f>MAX(0, 2*'Precinct Vote Data'!G1488 - 'Precinct Vote Data'!G1486)</f>
        <v>1071</v>
      </c>
      <c r="E376" s="10">
        <f>MIN(1,MAX(0,(5.3914776420524+0.021102849201698*'Precinct Vote Data'!I1489*100+(-5.72594740176815)*0+0.927016741366831*('Precinct Vote Data'!H1489*100))/100))</f>
        <v>0.4883847718</v>
      </c>
      <c r="F376" s="11">
        <f t="shared" si="1"/>
        <v>523</v>
      </c>
      <c r="G376" s="11">
        <f t="shared" si="2"/>
        <v>548</v>
      </c>
      <c r="H376" s="5" t="str">
        <f t="shared" si="3"/>
        <v>Republican</v>
      </c>
    </row>
    <row r="377" ht="15.0" customHeight="1">
      <c r="A377" s="5" t="s">
        <v>327</v>
      </c>
      <c r="B377" s="5" t="s">
        <v>369</v>
      </c>
      <c r="C377" s="5" t="s">
        <v>218</v>
      </c>
      <c r="D377" s="11">
        <f>MAX(0, 2*'Precinct Vote Data'!G1492 - 'Precinct Vote Data'!G1490)</f>
        <v>1316</v>
      </c>
      <c r="E377" s="10">
        <f>MIN(1,MAX(0,(5.3914776420524+0.021102849201698*'Precinct Vote Data'!I1493*100+(-5.72594740176815)*0+0.927016741366831*('Precinct Vote Data'!H1493*100))/100))</f>
        <v>0.526983374</v>
      </c>
      <c r="F377" s="11">
        <f t="shared" si="1"/>
        <v>694</v>
      </c>
      <c r="G377" s="11">
        <f t="shared" si="2"/>
        <v>622</v>
      </c>
      <c r="H377" s="5" t="str">
        <f t="shared" si="3"/>
        <v>Democrat</v>
      </c>
    </row>
    <row r="378" ht="15.0" customHeight="1">
      <c r="A378" s="5" t="s">
        <v>327</v>
      </c>
      <c r="B378" s="5" t="s">
        <v>369</v>
      </c>
      <c r="C378" s="5" t="s">
        <v>219</v>
      </c>
      <c r="D378" s="11">
        <f>MAX(0, 2*'Precinct Vote Data'!G1496 - 'Precinct Vote Data'!G1494)</f>
        <v>2138</v>
      </c>
      <c r="E378" s="10">
        <f>MIN(1,MAX(0,(5.3914776420524+0.021102849201698*'Precinct Vote Data'!I1497*100+(-5.72594740176815)*0+0.927016741366831*('Precinct Vote Data'!H1497*100))/100))</f>
        <v>0.4911385336</v>
      </c>
      <c r="F378" s="11">
        <f t="shared" si="1"/>
        <v>1050</v>
      </c>
      <c r="G378" s="11">
        <f t="shared" si="2"/>
        <v>1088</v>
      </c>
      <c r="H378" s="5" t="str">
        <f t="shared" si="3"/>
        <v>Republican</v>
      </c>
    </row>
    <row r="379" ht="15.0" customHeight="1">
      <c r="A379" s="5" t="s">
        <v>327</v>
      </c>
      <c r="B379" s="5" t="s">
        <v>369</v>
      </c>
      <c r="C379" s="5" t="s">
        <v>223</v>
      </c>
      <c r="D379" s="11">
        <f>MAX(0, 2*'Precinct Vote Data'!G1500 - 'Precinct Vote Data'!G1498)</f>
        <v>3029</v>
      </c>
      <c r="E379" s="10">
        <f>MIN(1,MAX(0,(5.3914776420524+0.021102849201698*'Precinct Vote Data'!I1501*100+(-5.72594740176815)*0+0.927016741366831*('Precinct Vote Data'!H1501*100))/100))</f>
        <v>0.5646582797</v>
      </c>
      <c r="F379" s="11">
        <f t="shared" si="1"/>
        <v>1710</v>
      </c>
      <c r="G379" s="11">
        <f t="shared" si="2"/>
        <v>1319</v>
      </c>
      <c r="H379" s="5" t="str">
        <f t="shared" si="3"/>
        <v>Democrat</v>
      </c>
    </row>
    <row r="380" ht="15.0" customHeight="1">
      <c r="A380" s="5" t="s">
        <v>327</v>
      </c>
      <c r="B380" s="5" t="s">
        <v>369</v>
      </c>
      <c r="C380" s="5" t="s">
        <v>224</v>
      </c>
      <c r="D380" s="11">
        <f>MAX(0, 2*'Precinct Vote Data'!G1504 - 'Precinct Vote Data'!G1502)</f>
        <v>1457</v>
      </c>
      <c r="E380" s="10">
        <f>MIN(1,MAX(0,(5.3914776420524+0.021102849201698*'Precinct Vote Data'!I1505*100+(-5.72594740176815)*0+0.927016741366831*('Precinct Vote Data'!H1505*100))/100))</f>
        <v>0.5066655722</v>
      </c>
      <c r="F380" s="11">
        <f t="shared" si="1"/>
        <v>738</v>
      </c>
      <c r="G380" s="11">
        <f t="shared" si="2"/>
        <v>719</v>
      </c>
      <c r="H380" s="5" t="str">
        <f t="shared" si="3"/>
        <v>Democrat</v>
      </c>
    </row>
    <row r="381" ht="15.0" customHeight="1">
      <c r="A381" s="5" t="s">
        <v>327</v>
      </c>
      <c r="B381" s="5" t="s">
        <v>369</v>
      </c>
      <c r="C381" s="5" t="s">
        <v>225</v>
      </c>
      <c r="D381" s="11">
        <f>MAX(0, 2*'Precinct Vote Data'!G1508 - 'Precinct Vote Data'!G1506)</f>
        <v>709</v>
      </c>
      <c r="E381" s="10">
        <f>MIN(1,MAX(0,(5.3914776420524+0.021102849201698*'Precinct Vote Data'!I1509*100+(-5.72594740176815)*0+0.927016741366831*('Precinct Vote Data'!H1509*100))/100))</f>
        <v>0.4596204717</v>
      </c>
      <c r="F381" s="11">
        <f t="shared" si="1"/>
        <v>326</v>
      </c>
      <c r="G381" s="11">
        <f t="shared" si="2"/>
        <v>383</v>
      </c>
      <c r="H381" s="5" t="str">
        <f t="shared" si="3"/>
        <v>Republican</v>
      </c>
    </row>
    <row r="382" ht="15.0" customHeight="1">
      <c r="A382" s="5" t="s">
        <v>327</v>
      </c>
      <c r="B382" s="5" t="s">
        <v>370</v>
      </c>
      <c r="C382" s="5" t="s">
        <v>227</v>
      </c>
      <c r="D382" s="11">
        <f>MAX(0, 2*'Precinct Vote Data'!G1512 - 'Precinct Vote Data'!G1510)</f>
        <v>228</v>
      </c>
      <c r="E382" s="10">
        <f>MIN(1,MAX(0,(5.3914776420524+0.021102849201698*'Precinct Vote Data'!I1513*100+(-5.72594740176815)*0+0.927016741366831*('Precinct Vote Data'!H1513*100))/100))</f>
        <v>0.3834993685</v>
      </c>
      <c r="F382" s="11">
        <f t="shared" si="1"/>
        <v>87</v>
      </c>
      <c r="G382" s="11">
        <f t="shared" si="2"/>
        <v>141</v>
      </c>
      <c r="H382" s="5" t="str">
        <f t="shared" si="3"/>
        <v>Republican</v>
      </c>
    </row>
    <row r="383" ht="15.0" customHeight="1">
      <c r="A383" s="5" t="s">
        <v>327</v>
      </c>
      <c r="B383" s="5" t="s">
        <v>370</v>
      </c>
      <c r="C383" s="5" t="s">
        <v>228</v>
      </c>
      <c r="D383" s="11">
        <f>MAX(0, 2*'Precinct Vote Data'!G1516 - 'Precinct Vote Data'!G1514)</f>
        <v>617</v>
      </c>
      <c r="E383" s="10">
        <f>MIN(1,MAX(0,(5.3914776420524+0.021102849201698*'Precinct Vote Data'!I1517*100+(-5.72594740176815)*0+0.927016741366831*('Precinct Vote Data'!H1517*100))/100))</f>
        <v>0.3741628357</v>
      </c>
      <c r="F383" s="11">
        <f t="shared" si="1"/>
        <v>231</v>
      </c>
      <c r="G383" s="11">
        <f t="shared" si="2"/>
        <v>386</v>
      </c>
      <c r="H383" s="5" t="str">
        <f t="shared" si="3"/>
        <v>Republican</v>
      </c>
    </row>
    <row r="384" ht="15.0" customHeight="1">
      <c r="A384" s="5" t="s">
        <v>327</v>
      </c>
      <c r="B384" s="5" t="s">
        <v>370</v>
      </c>
      <c r="C384" s="5" t="s">
        <v>371</v>
      </c>
      <c r="D384" s="11">
        <f>MAX(0, 2*'Precinct Vote Data'!G1520 - 'Precinct Vote Data'!G1518)</f>
        <v>356</v>
      </c>
      <c r="E384" s="10">
        <f>MIN(1,MAX(0,(5.3914776420524+0.021102849201698*'Precinct Vote Data'!I1521*100+(-5.72594740176815)*0+0.927016741366831*('Precinct Vote Data'!H1521*100))/100))</f>
        <v>0.4260377484</v>
      </c>
      <c r="F384" s="11">
        <f t="shared" si="1"/>
        <v>152</v>
      </c>
      <c r="G384" s="11">
        <f t="shared" si="2"/>
        <v>204</v>
      </c>
      <c r="H384" s="5" t="str">
        <f t="shared" si="3"/>
        <v>Republican</v>
      </c>
    </row>
    <row r="385" ht="15.0" customHeight="1">
      <c r="A385" s="5" t="s">
        <v>327</v>
      </c>
      <c r="B385" s="5" t="s">
        <v>370</v>
      </c>
      <c r="C385" s="5" t="s">
        <v>230</v>
      </c>
      <c r="D385" s="11">
        <f>MAX(0, 2*'Precinct Vote Data'!G1524 - 'Precinct Vote Data'!G1522)</f>
        <v>208</v>
      </c>
      <c r="E385" s="10">
        <f>MIN(1,MAX(0,(5.3914776420524+0.021102849201698*'Precinct Vote Data'!I1525*100+(-5.72594740176815)*0+0.927016741366831*('Precinct Vote Data'!H1525*100))/100))</f>
        <v>0.4138625622</v>
      </c>
      <c r="F385" s="11">
        <f t="shared" si="1"/>
        <v>86</v>
      </c>
      <c r="G385" s="11">
        <f t="shared" si="2"/>
        <v>122</v>
      </c>
      <c r="H385" s="5" t="str">
        <f t="shared" si="3"/>
        <v>Republican</v>
      </c>
    </row>
    <row r="386" ht="15.0" customHeight="1">
      <c r="A386" s="5" t="s">
        <v>327</v>
      </c>
      <c r="B386" s="5" t="s">
        <v>372</v>
      </c>
      <c r="C386" s="5" t="s">
        <v>232</v>
      </c>
      <c r="D386" s="11">
        <f>MAX(0, 2*'Precinct Vote Data'!G1528 - 'Precinct Vote Data'!G1526)</f>
        <v>1055</v>
      </c>
      <c r="E386" s="10">
        <f>MIN(1,MAX(0,(5.3914776420524+0.021102849201698*'Precinct Vote Data'!I1529*100+(-5.72594740176815)*0+0.927016741366831*('Precinct Vote Data'!H1529*100))/100))</f>
        <v>0.3729974615</v>
      </c>
      <c r="F386" s="11">
        <f t="shared" si="1"/>
        <v>394</v>
      </c>
      <c r="G386" s="11">
        <f t="shared" si="2"/>
        <v>661</v>
      </c>
      <c r="H386" s="5" t="str">
        <f t="shared" si="3"/>
        <v>Republican</v>
      </c>
    </row>
    <row r="387" ht="15.0" customHeight="1">
      <c r="A387" s="5" t="s">
        <v>327</v>
      </c>
      <c r="B387" s="5" t="s">
        <v>372</v>
      </c>
      <c r="C387" s="5" t="s">
        <v>233</v>
      </c>
      <c r="D387" s="11">
        <f>MAX(0, 2*'Precinct Vote Data'!G1532 - 'Precinct Vote Data'!G1530)</f>
        <v>847</v>
      </c>
      <c r="E387" s="10">
        <f>MIN(1,MAX(0,(5.3914776420524+0.021102849201698*'Precinct Vote Data'!I1533*100+(-5.72594740176815)*0+0.927016741366831*('Precinct Vote Data'!H1533*100))/100))</f>
        <v>0.3854239913</v>
      </c>
      <c r="F387" s="11">
        <f t="shared" si="1"/>
        <v>326</v>
      </c>
      <c r="G387" s="11">
        <f t="shared" si="2"/>
        <v>521</v>
      </c>
      <c r="H387" s="5" t="str">
        <f t="shared" si="3"/>
        <v>Republican</v>
      </c>
    </row>
    <row r="388" ht="15.0" customHeight="1">
      <c r="A388" s="5" t="s">
        <v>327</v>
      </c>
      <c r="B388" s="5" t="s">
        <v>372</v>
      </c>
      <c r="C388" s="5" t="s">
        <v>234</v>
      </c>
      <c r="D388" s="11">
        <f>MAX(0, 2*'Precinct Vote Data'!G1536 - 'Precinct Vote Data'!G1534)</f>
        <v>868</v>
      </c>
      <c r="E388" s="10">
        <f>MIN(1,MAX(0,(5.3914776420524+0.021102849201698*'Precinct Vote Data'!I1537*100+(-5.72594740176815)*0+0.927016741366831*('Precinct Vote Data'!H1537*100))/100))</f>
        <v>0.3638468097</v>
      </c>
      <c r="F388" s="11">
        <f t="shared" si="1"/>
        <v>316</v>
      </c>
      <c r="G388" s="11">
        <f t="shared" si="2"/>
        <v>552</v>
      </c>
      <c r="H388" s="5" t="str">
        <f t="shared" si="3"/>
        <v>Republican</v>
      </c>
    </row>
    <row r="389" ht="15.0" customHeight="1">
      <c r="A389" s="5" t="s">
        <v>327</v>
      </c>
      <c r="B389" s="5" t="s">
        <v>372</v>
      </c>
      <c r="C389" s="5" t="s">
        <v>236</v>
      </c>
      <c r="D389" s="11">
        <f>MAX(0, 2*'Precinct Vote Data'!G1540 - 'Precinct Vote Data'!G1538)</f>
        <v>831</v>
      </c>
      <c r="E389" s="10">
        <f>MIN(1,MAX(0,(5.3914776420524+0.021102849201698*'Precinct Vote Data'!I1541*100+(-5.72594740176815)*0+0.927016741366831*('Precinct Vote Data'!H1541*100))/100))</f>
        <v>0.3564319879</v>
      </c>
      <c r="F389" s="11">
        <f t="shared" si="1"/>
        <v>296</v>
      </c>
      <c r="G389" s="11">
        <f t="shared" si="2"/>
        <v>535</v>
      </c>
      <c r="H389" s="5" t="str">
        <f t="shared" si="3"/>
        <v>Republican</v>
      </c>
    </row>
    <row r="390" ht="15.0" customHeight="1">
      <c r="A390" s="5" t="s">
        <v>327</v>
      </c>
      <c r="B390" s="5" t="s">
        <v>373</v>
      </c>
      <c r="C390" s="5" t="s">
        <v>237</v>
      </c>
      <c r="D390" s="11">
        <f>MAX(0, 2*'Precinct Vote Data'!G1544 - 'Precinct Vote Data'!G1542)</f>
        <v>222</v>
      </c>
      <c r="E390" s="10">
        <f>MIN(1,MAX(0,(5.3914776420524+0.021102849201698*'Precinct Vote Data'!I1545*100+(-5.72594740176815)*0+0.927016741366831*('Precinct Vote Data'!H1545*100))/100))</f>
        <v>0.3783721343</v>
      </c>
      <c r="F390" s="11">
        <f t="shared" si="1"/>
        <v>84</v>
      </c>
      <c r="G390" s="11">
        <f t="shared" si="2"/>
        <v>138</v>
      </c>
      <c r="H390" s="5" t="str">
        <f t="shared" si="3"/>
        <v>Republican</v>
      </c>
    </row>
    <row r="391" ht="15.0" customHeight="1">
      <c r="A391" s="5" t="s">
        <v>327</v>
      </c>
      <c r="B391" s="5" t="s">
        <v>374</v>
      </c>
      <c r="C391" s="5" t="s">
        <v>238</v>
      </c>
      <c r="D391" s="11">
        <f>MAX(0, 2*'Precinct Vote Data'!G1548 - 'Precinct Vote Data'!G1546)</f>
        <v>774</v>
      </c>
      <c r="E391" s="10">
        <f>MIN(1,MAX(0,(5.3914776420524+0.021102849201698*'Precinct Vote Data'!I1549*100+(-5.72594740176815)*0+0.927016741366831*('Precinct Vote Data'!H1549*100))/100))</f>
        <v>0.3902806453</v>
      </c>
      <c r="F391" s="11">
        <f t="shared" si="1"/>
        <v>302</v>
      </c>
      <c r="G391" s="11">
        <f t="shared" si="2"/>
        <v>472</v>
      </c>
      <c r="H391" s="5" t="str">
        <f t="shared" si="3"/>
        <v>Republican</v>
      </c>
    </row>
    <row r="392" ht="15.0" customHeight="1">
      <c r="A392" s="5" t="s">
        <v>327</v>
      </c>
      <c r="B392" s="5" t="s">
        <v>375</v>
      </c>
      <c r="C392" s="5" t="s">
        <v>239</v>
      </c>
      <c r="D392" s="11">
        <f>MAX(0, 2*'Precinct Vote Data'!G1552 - 'Precinct Vote Data'!G1550)</f>
        <v>460</v>
      </c>
      <c r="E392" s="10">
        <f>MIN(1,MAX(0,(5.3914776420524+0.021102849201698*'Precinct Vote Data'!I1553*100+(-5.72594740176815)*0+0.927016741366831*('Precinct Vote Data'!H1553*100))/100))</f>
        <v>0.4270900066</v>
      </c>
      <c r="F392" s="11">
        <f t="shared" si="1"/>
        <v>196</v>
      </c>
      <c r="G392" s="11">
        <f t="shared" si="2"/>
        <v>264</v>
      </c>
      <c r="H392" s="5" t="str">
        <f t="shared" si="3"/>
        <v>Republican</v>
      </c>
    </row>
    <row r="393" ht="15.0" customHeight="1">
      <c r="A393" s="5" t="s">
        <v>327</v>
      </c>
      <c r="B393" s="5" t="s">
        <v>376</v>
      </c>
      <c r="C393" s="5" t="s">
        <v>240</v>
      </c>
      <c r="D393" s="11">
        <f>MAX(0, 2*'Precinct Vote Data'!G1556 - 'Precinct Vote Data'!G1554)</f>
        <v>677</v>
      </c>
      <c r="E393" s="10">
        <f>MIN(1,MAX(0,(5.3914776420524+0.021102849201698*'Precinct Vote Data'!I1557*100+(-5.72594740176815)*0+0.927016741366831*('Precinct Vote Data'!H1557*100))/100))</f>
        <v>0.4409456234</v>
      </c>
      <c r="F393" s="11">
        <f t="shared" si="1"/>
        <v>299</v>
      </c>
      <c r="G393" s="11">
        <f t="shared" si="2"/>
        <v>378</v>
      </c>
      <c r="H393" s="5" t="str">
        <f t="shared" si="3"/>
        <v>Republican</v>
      </c>
    </row>
    <row r="394" ht="15.0" customHeight="1">
      <c r="A394" s="5" t="s">
        <v>327</v>
      </c>
      <c r="B394" s="5" t="s">
        <v>377</v>
      </c>
      <c r="C394" s="5" t="s">
        <v>241</v>
      </c>
      <c r="D394" s="11">
        <f>MAX(0, 2*'Precinct Vote Data'!G1560 - 'Precinct Vote Data'!G1558)</f>
        <v>953</v>
      </c>
      <c r="E394" s="10">
        <f>MIN(1,MAX(0,(5.3914776420524+0.021102849201698*'Precinct Vote Data'!I1561*100+(-5.72594740176815)*0+0.927016741366831*('Precinct Vote Data'!H1561*100))/100))</f>
        <v>0.3168091688</v>
      </c>
      <c r="F394" s="11">
        <f t="shared" si="1"/>
        <v>302</v>
      </c>
      <c r="G394" s="11">
        <f t="shared" si="2"/>
        <v>651</v>
      </c>
      <c r="H394" s="5" t="str">
        <f t="shared" si="3"/>
        <v>Republican</v>
      </c>
    </row>
    <row r="395" ht="15.0" customHeight="1">
      <c r="A395" s="5" t="s">
        <v>327</v>
      </c>
      <c r="B395" s="5" t="s">
        <v>377</v>
      </c>
      <c r="C395" s="5" t="s">
        <v>242</v>
      </c>
      <c r="D395" s="11">
        <f>MAX(0, 2*'Precinct Vote Data'!G1564 - 'Precinct Vote Data'!G1562)</f>
        <v>666</v>
      </c>
      <c r="E395" s="10">
        <f>MIN(1,MAX(0,(5.3914776420524+0.021102849201698*'Precinct Vote Data'!I1565*100+(-5.72594740176815)*0+0.927016741366831*('Precinct Vote Data'!H1565*100))/100))</f>
        <v>0.3466520046</v>
      </c>
      <c r="F395" s="11">
        <f t="shared" si="1"/>
        <v>231</v>
      </c>
      <c r="G395" s="11">
        <f t="shared" si="2"/>
        <v>435</v>
      </c>
      <c r="H395" s="5" t="str">
        <f t="shared" si="3"/>
        <v>Republican</v>
      </c>
    </row>
    <row r="396" ht="15.0" customHeight="1">
      <c r="A396" s="5" t="s">
        <v>327</v>
      </c>
      <c r="B396" s="5" t="s">
        <v>377</v>
      </c>
      <c r="C396" s="5" t="s">
        <v>243</v>
      </c>
      <c r="D396" s="11">
        <f>MAX(0, 2*'Precinct Vote Data'!G1568 - 'Precinct Vote Data'!G1566)</f>
        <v>615</v>
      </c>
      <c r="E396" s="10">
        <f>MIN(1,MAX(0,(5.3914776420524+0.021102849201698*'Precinct Vote Data'!I1569*100+(-5.72594740176815)*0+0.927016741366831*('Precinct Vote Data'!H1569*100))/100))</f>
        <v>0.2980071401</v>
      </c>
      <c r="F396" s="11">
        <f t="shared" si="1"/>
        <v>183</v>
      </c>
      <c r="G396" s="11">
        <f t="shared" si="2"/>
        <v>432</v>
      </c>
      <c r="H396" s="5" t="str">
        <f t="shared" si="3"/>
        <v>Republican</v>
      </c>
    </row>
    <row r="397" ht="15.0" customHeight="1">
      <c r="A397" s="5" t="s">
        <v>327</v>
      </c>
      <c r="B397" s="5" t="s">
        <v>377</v>
      </c>
      <c r="C397" s="5" t="s">
        <v>245</v>
      </c>
      <c r="D397" s="11">
        <f>MAX(0, 2*'Precinct Vote Data'!G1572 - 'Precinct Vote Data'!G1570)</f>
        <v>535</v>
      </c>
      <c r="E397" s="10">
        <f>MIN(1,MAX(0,(5.3914776420524+0.021102849201698*'Precinct Vote Data'!I1573*100+(-5.72594740176815)*0+0.927016741366831*('Precinct Vote Data'!H1573*100))/100))</f>
        <v>0.3198805567</v>
      </c>
      <c r="F397" s="11">
        <f t="shared" si="1"/>
        <v>171</v>
      </c>
      <c r="G397" s="11">
        <f t="shared" si="2"/>
        <v>364</v>
      </c>
      <c r="H397" s="5" t="str">
        <f t="shared" si="3"/>
        <v>Republican</v>
      </c>
    </row>
    <row r="398" ht="15.0" customHeight="1">
      <c r="A398" s="5" t="s">
        <v>327</v>
      </c>
      <c r="B398" s="5" t="s">
        <v>377</v>
      </c>
      <c r="C398" s="5" t="s">
        <v>246</v>
      </c>
      <c r="D398" s="11">
        <f>MAX(0, 2*'Precinct Vote Data'!G1576 - 'Precinct Vote Data'!G1574)</f>
        <v>805</v>
      </c>
      <c r="E398" s="10">
        <f>MIN(1,MAX(0,(5.3914776420524+0.021102849201698*'Precinct Vote Data'!I1577*100+(-5.72594740176815)*0+0.927016741366831*('Precinct Vote Data'!H1577*100))/100))</f>
        <v>0.3981039541</v>
      </c>
      <c r="F398" s="11">
        <f t="shared" si="1"/>
        <v>320</v>
      </c>
      <c r="G398" s="11">
        <f t="shared" si="2"/>
        <v>485</v>
      </c>
      <c r="H398" s="5" t="str">
        <f t="shared" si="3"/>
        <v>Republican</v>
      </c>
    </row>
    <row r="399" ht="15.0" customHeight="1">
      <c r="A399" s="5" t="s">
        <v>327</v>
      </c>
      <c r="B399" s="5" t="s">
        <v>378</v>
      </c>
      <c r="C399" s="5" t="s">
        <v>247</v>
      </c>
      <c r="D399" s="11">
        <f>MAX(0, 2*'Precinct Vote Data'!G1580 - 'Precinct Vote Data'!G1578)</f>
        <v>2255</v>
      </c>
      <c r="E399" s="10">
        <f>MIN(1,MAX(0,(5.3914776420524+0.021102849201698*'Precinct Vote Data'!I1581*100+(-5.72594740176815)*0+0.927016741366831*('Precinct Vote Data'!H1581*100))/100))</f>
        <v>0.4951326897</v>
      </c>
      <c r="F399" s="11">
        <f t="shared" si="1"/>
        <v>1117</v>
      </c>
      <c r="G399" s="11">
        <f t="shared" si="2"/>
        <v>1138</v>
      </c>
      <c r="H399" s="5" t="str">
        <f t="shared" si="3"/>
        <v>Republican</v>
      </c>
    </row>
    <row r="400" ht="15.0" customHeight="1">
      <c r="A400" s="5" t="s">
        <v>327</v>
      </c>
      <c r="B400" s="5" t="s">
        <v>378</v>
      </c>
      <c r="C400" s="5" t="s">
        <v>248</v>
      </c>
      <c r="D400" s="11">
        <f>MAX(0, 2*'Precinct Vote Data'!G1584 - 'Precinct Vote Data'!G1582)</f>
        <v>1548</v>
      </c>
      <c r="E400" s="10">
        <f>MIN(1,MAX(0,(5.3914776420524+0.021102849201698*'Precinct Vote Data'!I1585*100+(-5.72594740176815)*0+0.927016741366831*('Precinct Vote Data'!H1585*100))/100))</f>
        <v>0.4961732611</v>
      </c>
      <c r="F400" s="11">
        <f t="shared" si="1"/>
        <v>768</v>
      </c>
      <c r="G400" s="11">
        <f t="shared" si="2"/>
        <v>780</v>
      </c>
      <c r="H400" s="5" t="str">
        <f t="shared" si="3"/>
        <v>Republican</v>
      </c>
    </row>
    <row r="401" ht="15.0" customHeight="1">
      <c r="A401" s="5" t="s">
        <v>327</v>
      </c>
      <c r="B401" s="5" t="s">
        <v>379</v>
      </c>
      <c r="C401" s="5" t="s">
        <v>254</v>
      </c>
      <c r="D401" s="11">
        <f>MAX(0, 2*'Precinct Vote Data'!G1588 - 'Precinct Vote Data'!G1586)</f>
        <v>854</v>
      </c>
      <c r="E401" s="10">
        <f>MIN(1,MAX(0,(5.3914776420524+0.021102849201698*'Precinct Vote Data'!I1589*100+(-5.72594740176815)*0+0.927016741366831*('Precinct Vote Data'!H1589*100))/100))</f>
        <v>0.4100810717</v>
      </c>
      <c r="F401" s="11">
        <f t="shared" si="1"/>
        <v>350</v>
      </c>
      <c r="G401" s="11">
        <f t="shared" si="2"/>
        <v>504</v>
      </c>
      <c r="H401" s="5" t="str">
        <f t="shared" si="3"/>
        <v>Republican</v>
      </c>
    </row>
    <row r="402" ht="15.0" customHeight="1">
      <c r="A402" s="5" t="s">
        <v>327</v>
      </c>
      <c r="B402" s="5" t="s">
        <v>263</v>
      </c>
      <c r="C402" s="5" t="s">
        <v>255</v>
      </c>
      <c r="D402" s="11">
        <f>MAX(0, 2*'Precinct Vote Data'!G1592 - 'Precinct Vote Data'!G1590)</f>
        <v>2178</v>
      </c>
      <c r="E402" s="10">
        <f>MIN(1,MAX(0,(5.3914776420524+0.021102849201698*'Precinct Vote Data'!I1593*100+(-5.72594740176815)*0+0.927016741366831*('Precinct Vote Data'!H1593*100))/100))</f>
        <v>0.3529645671</v>
      </c>
      <c r="F402" s="11">
        <f t="shared" si="1"/>
        <v>769</v>
      </c>
      <c r="G402" s="11">
        <f t="shared" si="2"/>
        <v>1409</v>
      </c>
      <c r="H402" s="5" t="str">
        <f t="shared" si="3"/>
        <v>Republican</v>
      </c>
    </row>
    <row r="403" ht="15.0" customHeight="1">
      <c r="A403" s="5" t="s">
        <v>327</v>
      </c>
      <c r="B403" s="5" t="s">
        <v>263</v>
      </c>
      <c r="C403" s="5" t="s">
        <v>257</v>
      </c>
      <c r="D403" s="11">
        <f>MAX(0, 2*'Precinct Vote Data'!G1596 - 'Precinct Vote Data'!G1594)</f>
        <v>706</v>
      </c>
      <c r="E403" s="10">
        <f>MIN(1,MAX(0,(5.3914776420524+0.021102849201698*'Precinct Vote Data'!I1597*100+(-5.72594740176815)*0+0.927016741366831*('Precinct Vote Data'!H1597*100))/100))</f>
        <v>0.3621637822</v>
      </c>
      <c r="F403" s="11">
        <f t="shared" si="1"/>
        <v>256</v>
      </c>
      <c r="G403" s="11">
        <f t="shared" si="2"/>
        <v>450</v>
      </c>
      <c r="H403" s="5" t="str">
        <f t="shared" si="3"/>
        <v>Republican</v>
      </c>
    </row>
    <row r="404" ht="15.0" customHeight="1">
      <c r="A404" s="5" t="s">
        <v>327</v>
      </c>
      <c r="B404" s="5" t="s">
        <v>380</v>
      </c>
      <c r="C404" s="5" t="s">
        <v>258</v>
      </c>
      <c r="D404" s="11">
        <f>MAX(0, 2*'Precinct Vote Data'!G1600 - 'Precinct Vote Data'!G1598)</f>
        <v>473</v>
      </c>
      <c r="E404" s="10">
        <f>MIN(1,MAX(0,(5.3914776420524+0.021102849201698*'Precinct Vote Data'!I1601*100+(-5.72594740176815)*0+0.927016741366831*('Precinct Vote Data'!H1601*100))/100))</f>
        <v>0.4952615202</v>
      </c>
      <c r="F404" s="11">
        <f t="shared" si="1"/>
        <v>234</v>
      </c>
      <c r="G404" s="11">
        <f t="shared" si="2"/>
        <v>239</v>
      </c>
      <c r="H404" s="5" t="str">
        <f t="shared" si="3"/>
        <v>Republican</v>
      </c>
    </row>
    <row r="405" ht="15.0" customHeight="1">
      <c r="A405" s="5" t="s">
        <v>327</v>
      </c>
      <c r="B405" s="5" t="s">
        <v>381</v>
      </c>
      <c r="C405" s="5" t="s">
        <v>259</v>
      </c>
      <c r="D405" s="11">
        <f>MAX(0, 2*'Precinct Vote Data'!G1604 - 'Precinct Vote Data'!G1602)</f>
        <v>1156</v>
      </c>
      <c r="E405" s="10">
        <f>MIN(1,MAX(0,(5.3914776420524+0.021102849201698*'Precinct Vote Data'!I1605*100+(-5.72594740176815)*0+0.927016741366831*('Precinct Vote Data'!H1605*100))/100))</f>
        <v>0.4387674478</v>
      </c>
      <c r="F405" s="11">
        <f t="shared" si="1"/>
        <v>507</v>
      </c>
      <c r="G405" s="11">
        <f t="shared" si="2"/>
        <v>649</v>
      </c>
      <c r="H405" s="5" t="str">
        <f t="shared" si="3"/>
        <v>Republican</v>
      </c>
    </row>
    <row r="406" ht="15.0" customHeight="1">
      <c r="A406" s="5" t="s">
        <v>327</v>
      </c>
      <c r="B406" s="5" t="s">
        <v>381</v>
      </c>
      <c r="C406" s="5" t="s">
        <v>260</v>
      </c>
      <c r="D406" s="11">
        <f>MAX(0, 2*'Precinct Vote Data'!G1608 - 'Precinct Vote Data'!G1606)</f>
        <v>990</v>
      </c>
      <c r="E406" s="10">
        <f>MIN(1,MAX(0,(5.3914776420524+0.021102849201698*'Precinct Vote Data'!I1609*100+(-5.72594740176815)*0+0.927016741366831*('Precinct Vote Data'!H1609*100))/100))</f>
        <v>0.4143238204</v>
      </c>
      <c r="F406" s="11">
        <f t="shared" si="1"/>
        <v>410</v>
      </c>
      <c r="G406" s="11">
        <f t="shared" si="2"/>
        <v>580</v>
      </c>
      <c r="H406" s="5" t="str">
        <f t="shared" si="3"/>
        <v>Republican</v>
      </c>
    </row>
    <row r="407" ht="15.0" customHeight="1">
      <c r="A407" s="5" t="s">
        <v>327</v>
      </c>
      <c r="B407" s="5" t="s">
        <v>381</v>
      </c>
      <c r="C407" s="5" t="s">
        <v>264</v>
      </c>
      <c r="D407" s="11">
        <f>MAX(0, 2*'Precinct Vote Data'!G1612 - 'Precinct Vote Data'!G1610)</f>
        <v>1020</v>
      </c>
      <c r="E407" s="10">
        <f>MIN(1,MAX(0,(5.3914776420524+0.021102849201698*'Precinct Vote Data'!I1613*100+(-5.72594740176815)*0+0.927016741366831*('Precinct Vote Data'!H1613*100))/100))</f>
        <v>0.5196011197</v>
      </c>
      <c r="F407" s="11">
        <f t="shared" si="1"/>
        <v>530</v>
      </c>
      <c r="G407" s="11">
        <f t="shared" si="2"/>
        <v>490</v>
      </c>
      <c r="H407" s="5" t="str">
        <f t="shared" si="3"/>
        <v>Democrat</v>
      </c>
    </row>
    <row r="408" ht="15.0" customHeight="1">
      <c r="A408" s="5" t="s">
        <v>327</v>
      </c>
      <c r="B408" s="5" t="s">
        <v>381</v>
      </c>
      <c r="C408" s="5" t="s">
        <v>265</v>
      </c>
      <c r="D408" s="11">
        <f>MAX(0, 2*'Precinct Vote Data'!G1616 - 'Precinct Vote Data'!G1614)</f>
        <v>636</v>
      </c>
      <c r="E408" s="10">
        <f>MIN(1,MAX(0,(5.3914776420524+0.021102849201698*'Precinct Vote Data'!I1617*100+(-5.72594740176815)*0+0.927016741366831*('Precinct Vote Data'!H1617*100))/100))</f>
        <v>0.4283340102</v>
      </c>
      <c r="F408" s="11">
        <f t="shared" si="1"/>
        <v>272</v>
      </c>
      <c r="G408" s="11">
        <f t="shared" si="2"/>
        <v>364</v>
      </c>
      <c r="H408" s="5" t="str">
        <f t="shared" si="3"/>
        <v>Republican</v>
      </c>
    </row>
    <row r="409" ht="15.0" customHeight="1">
      <c r="A409" s="5" t="s">
        <v>327</v>
      </c>
      <c r="B409" s="5" t="s">
        <v>382</v>
      </c>
      <c r="C409" s="5" t="s">
        <v>266</v>
      </c>
      <c r="D409" s="11">
        <f>MAX(0, 2*'Precinct Vote Data'!G1620 - 'Precinct Vote Data'!G1618)</f>
        <v>837</v>
      </c>
      <c r="E409" s="10">
        <f>MIN(1,MAX(0,(5.3914776420524+0.021102849201698*'Precinct Vote Data'!I1621*100+(-5.72594740176815)*0+0.927016741366831*('Precinct Vote Data'!H1621*100))/100))</f>
        <v>0.5999499932</v>
      </c>
      <c r="F409" s="11">
        <f t="shared" si="1"/>
        <v>502</v>
      </c>
      <c r="G409" s="11">
        <f t="shared" si="2"/>
        <v>335</v>
      </c>
      <c r="H409" s="5" t="str">
        <f t="shared" si="3"/>
        <v>Democrat</v>
      </c>
    </row>
    <row r="410" ht="15.0" customHeight="1">
      <c r="A410" s="5" t="s">
        <v>327</v>
      </c>
      <c r="B410" s="5" t="s">
        <v>382</v>
      </c>
      <c r="C410" s="5" t="s">
        <v>268</v>
      </c>
      <c r="D410" s="11">
        <f>MAX(0, 2*'Precinct Vote Data'!G1624 - 'Precinct Vote Data'!G1622)</f>
        <v>670</v>
      </c>
      <c r="E410" s="10">
        <f>MIN(1,MAX(0,(5.3914776420524+0.021102849201698*'Precinct Vote Data'!I1625*100+(-5.72594740176815)*0+0.927016741366831*('Precinct Vote Data'!H1625*100))/100))</f>
        <v>0.5668470062</v>
      </c>
      <c r="F410" s="11">
        <f t="shared" si="1"/>
        <v>380</v>
      </c>
      <c r="G410" s="11">
        <f t="shared" si="2"/>
        <v>290</v>
      </c>
      <c r="H410" s="5" t="str">
        <f t="shared" si="3"/>
        <v>Democrat</v>
      </c>
    </row>
    <row r="411" ht="15.0" customHeight="1">
      <c r="A411" s="5" t="s">
        <v>327</v>
      </c>
      <c r="B411" s="5" t="s">
        <v>382</v>
      </c>
      <c r="C411" s="5" t="s">
        <v>270</v>
      </c>
      <c r="D411" s="11">
        <f>MAX(0, 2*'Precinct Vote Data'!G1628 - 'Precinct Vote Data'!G1626)</f>
        <v>1022</v>
      </c>
      <c r="E411" s="10">
        <f>MIN(1,MAX(0,(5.3914776420524+0.021102849201698*'Precinct Vote Data'!I1629*100+(-5.72594740176815)*0+0.927016741366831*('Precinct Vote Data'!H1629*100))/100))</f>
        <v>0.5482819711</v>
      </c>
      <c r="F411" s="11">
        <f t="shared" si="1"/>
        <v>560</v>
      </c>
      <c r="G411" s="11">
        <f t="shared" si="2"/>
        <v>462</v>
      </c>
      <c r="H411" s="5" t="str">
        <f t="shared" si="3"/>
        <v>Democrat</v>
      </c>
    </row>
    <row r="412" ht="15.0" customHeight="1">
      <c r="A412" s="5" t="s">
        <v>327</v>
      </c>
      <c r="B412" s="5" t="s">
        <v>383</v>
      </c>
      <c r="C412" s="5" t="s">
        <v>271</v>
      </c>
      <c r="D412" s="11">
        <f>MAX(0, 2*'Precinct Vote Data'!G1632 - 'Precinct Vote Data'!G1630)</f>
        <v>1391</v>
      </c>
      <c r="E412" s="10">
        <f>MIN(1,MAX(0,(5.3914776420524+0.021102849201698*'Precinct Vote Data'!I1633*100+(-5.72594740176815)*0+0.927016741366831*('Precinct Vote Data'!H1633*100))/100))</f>
        <v>0.4467195987</v>
      </c>
      <c r="F412" s="11">
        <f t="shared" si="1"/>
        <v>621</v>
      </c>
      <c r="G412" s="11">
        <f t="shared" si="2"/>
        <v>770</v>
      </c>
      <c r="H412" s="5" t="str">
        <f t="shared" si="3"/>
        <v>Republican</v>
      </c>
    </row>
    <row r="413" ht="15.75" customHeight="1">
      <c r="A413" s="9"/>
      <c r="B413" s="9"/>
      <c r="C413" s="9"/>
      <c r="D413" s="9"/>
      <c r="E413" s="9"/>
      <c r="F413" s="9"/>
      <c r="G413" s="9"/>
      <c r="H413" s="9"/>
    </row>
    <row r="414" ht="15.0" customHeight="1">
      <c r="A414" s="2" t="s">
        <v>412</v>
      </c>
      <c r="B414" s="9"/>
      <c r="C414" s="9"/>
      <c r="D414" s="9"/>
      <c r="E414" s="9"/>
      <c r="F414" s="18">
        <f t="shared" ref="F414:G414" si="4">SUM(F5:F412)</f>
        <v>190758</v>
      </c>
      <c r="G414" s="18">
        <f t="shared" si="4"/>
        <v>184037</v>
      </c>
      <c r="H414" s="9"/>
    </row>
    <row r="415" ht="15.0" customHeight="1">
      <c r="A415" s="2" t="s">
        <v>413</v>
      </c>
      <c r="B415" s="19">
        <f>F414/(F414+G414)</f>
        <v>0.5089662349</v>
      </c>
      <c r="C415" s="9"/>
      <c r="D415" s="9"/>
      <c r="E415" s="9"/>
      <c r="F415" s="9"/>
      <c r="G415" s="9"/>
      <c r="H415" s="9"/>
    </row>
    <row r="416" ht="15.0" customHeight="1">
      <c r="A416" s="2" t="s">
        <v>414</v>
      </c>
      <c r="B416" s="20" t="str">
        <f>IF(B415&gt;0.5,"Democrat","Republican")</f>
        <v>Democrat</v>
      </c>
      <c r="C416" s="9"/>
      <c r="D416" s="9"/>
      <c r="E416" s="9"/>
      <c r="F416" s="9"/>
      <c r="G416" s="9"/>
      <c r="H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6.0"/>
    <col customWidth="1" min="4" max="4" width="20.0"/>
    <col customWidth="1" min="5" max="5" width="18.0"/>
    <col customWidth="1" min="6" max="26" width="8.71"/>
  </cols>
  <sheetData>
    <row r="1" ht="17.25" customHeight="1">
      <c r="A1" s="21" t="s">
        <v>415</v>
      </c>
    </row>
    <row r="2" ht="15.0" customHeight="1">
      <c r="A2" s="22" t="s">
        <v>416</v>
      </c>
    </row>
    <row r="3">
      <c r="A3" s="9"/>
      <c r="B3" s="9"/>
      <c r="C3" s="9"/>
      <c r="D3" s="9"/>
      <c r="E3" s="9"/>
    </row>
    <row r="4" ht="15.0" customHeight="1">
      <c r="A4" s="23" t="s">
        <v>417</v>
      </c>
      <c r="B4" s="23" t="s">
        <v>418</v>
      </c>
      <c r="C4" s="23" t="s">
        <v>408</v>
      </c>
      <c r="D4" s="23" t="s">
        <v>419</v>
      </c>
      <c r="E4" s="23" t="s">
        <v>420</v>
      </c>
    </row>
    <row r="5" ht="15.0" customHeight="1">
      <c r="A5" s="5" t="s">
        <v>421</v>
      </c>
      <c r="B5" s="10">
        <f>'2026 Trend Forecast'!B414</f>
        <v>0.4831254419</v>
      </c>
      <c r="C5" s="5" t="str">
        <f>'2026 Trend Forecast'!B415</f>
        <v>Republican</v>
      </c>
      <c r="D5" s="15">
        <f>'2024 Backtest'!B416</f>
        <v>2.238263591</v>
      </c>
      <c r="E5" s="15" t="str">
        <f>'2024 Backtest'!B417</f>
        <v>387 / 408</v>
      </c>
    </row>
    <row r="6" ht="15.0" customHeight="1">
      <c r="A6" s="24" t="s">
        <v>422</v>
      </c>
      <c r="B6" s="25">
        <f>'2026 Beta-Adjusted Forecast'!B414</f>
        <v>0.4727677797</v>
      </c>
      <c r="C6" s="24" t="str">
        <f>'2026 Beta-Adjusted Forecast'!B415</f>
        <v>Republican</v>
      </c>
      <c r="D6" s="26">
        <f>'2024 Backtest'!B418</f>
        <v>2.086360529</v>
      </c>
      <c r="E6" s="26" t="str">
        <f>'2024 Backtest'!B419</f>
        <v>390 / 408</v>
      </c>
    </row>
    <row r="7" ht="15.0" customHeight="1">
      <c r="A7" s="5" t="s">
        <v>423</v>
      </c>
      <c r="B7" s="10">
        <f>'2026 Regression Forecast'!B415</f>
        <v>0.5089662349</v>
      </c>
      <c r="C7" s="5" t="str">
        <f>'2026 Regression Forecast'!B416</f>
        <v>Democrat</v>
      </c>
      <c r="D7" s="15">
        <f>'2024 Backtest'!B420</f>
        <v>2.46308549</v>
      </c>
      <c r="E7" s="15" t="str">
        <f>'2024 Backtest'!B421</f>
        <v>366 / 408</v>
      </c>
    </row>
    <row r="8">
      <c r="A8" s="9"/>
      <c r="B8" s="9"/>
      <c r="C8" s="9"/>
      <c r="D8" s="9"/>
      <c r="E8" s="9"/>
    </row>
    <row r="9" ht="15.0" customHeight="1">
      <c r="A9" s="2" t="s">
        <v>424</v>
      </c>
      <c r="B9" s="27">
        <f>B6</f>
        <v>0.4727677797</v>
      </c>
      <c r="C9" s="9"/>
      <c r="D9" s="9"/>
      <c r="E9" s="9"/>
    </row>
    <row r="10" ht="54.75" customHeight="1">
      <c r="A10" s="28" t="s">
        <v>425</v>
      </c>
    </row>
    <row r="11">
      <c r="A11" s="9"/>
      <c r="B11" s="9"/>
      <c r="C11" s="9"/>
      <c r="D11" s="9"/>
      <c r="E11" s="9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  <row r="21" ht="15.75" customHeight="1">
      <c r="A21" s="9"/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9"/>
      <c r="B23" s="9"/>
      <c r="C23" s="9"/>
      <c r="D23" s="9"/>
      <c r="E23" s="9"/>
    </row>
    <row r="24" ht="15.75" customHeight="1">
      <c r="A24" s="9"/>
      <c r="B24" s="9"/>
      <c r="C24" s="9"/>
      <c r="D24" s="9"/>
      <c r="E24" s="9"/>
    </row>
    <row r="25" ht="15.75" customHeight="1">
      <c r="A25" s="9"/>
      <c r="B25" s="9"/>
      <c r="C25" s="9"/>
      <c r="D25" s="9"/>
      <c r="E25" s="9"/>
    </row>
    <row r="26" ht="15.75" customHeight="1">
      <c r="A26" s="9"/>
      <c r="B26" s="9"/>
      <c r="C26" s="9"/>
      <c r="D26" s="9"/>
      <c r="E26" s="9"/>
    </row>
    <row r="27" ht="15.75" customHeight="1">
      <c r="A27" s="9"/>
      <c r="B27" s="9"/>
      <c r="C27" s="9"/>
      <c r="D27" s="9"/>
      <c r="E27" s="9"/>
    </row>
    <row r="28" ht="15.75" customHeight="1">
      <c r="A28" s="9"/>
      <c r="B28" s="9"/>
      <c r="C28" s="9"/>
      <c r="D28" s="9"/>
      <c r="E28" s="9"/>
    </row>
    <row r="29" ht="15.75" customHeight="1">
      <c r="A29" s="9"/>
      <c r="B29" s="9"/>
      <c r="C29" s="9"/>
      <c r="D29" s="9"/>
      <c r="E29" s="9"/>
    </row>
    <row r="30" ht="15.75" customHeight="1">
      <c r="A30" s="9"/>
      <c r="B30" s="9"/>
      <c r="C30" s="9"/>
      <c r="D30" s="9"/>
      <c r="E30" s="9"/>
    </row>
    <row r="31" ht="15.75" customHeight="1">
      <c r="A31" s="9"/>
      <c r="B31" s="9"/>
      <c r="C31" s="9"/>
      <c r="D31" s="9"/>
      <c r="E31" s="9"/>
    </row>
    <row r="32" ht="15.75" customHeight="1">
      <c r="A32" s="9"/>
      <c r="B32" s="9"/>
      <c r="C32" s="9"/>
      <c r="D32" s="9"/>
      <c r="E32" s="9"/>
    </row>
    <row r="33" ht="15.75" customHeight="1">
      <c r="A33" s="9"/>
      <c r="B33" s="9"/>
      <c r="C33" s="9"/>
      <c r="D33" s="9"/>
      <c r="E33" s="9"/>
    </row>
    <row r="34" ht="15.75" customHeight="1">
      <c r="A34" s="9"/>
      <c r="B34" s="9"/>
      <c r="C34" s="9"/>
      <c r="D34" s="9"/>
      <c r="E34" s="9"/>
    </row>
    <row r="35" ht="15.75" customHeight="1">
      <c r="A35" s="9"/>
      <c r="B35" s="9"/>
      <c r="C35" s="9"/>
      <c r="D35" s="9"/>
      <c r="E35" s="9"/>
    </row>
    <row r="36" ht="15.75" customHeight="1">
      <c r="A36" s="9"/>
      <c r="B36" s="9"/>
      <c r="C36" s="9"/>
      <c r="D36" s="9"/>
      <c r="E36" s="9"/>
    </row>
    <row r="37" ht="15.75" customHeight="1">
      <c r="A37" s="9"/>
      <c r="B37" s="9"/>
      <c r="C37" s="9"/>
      <c r="D37" s="9"/>
      <c r="E37" s="9"/>
    </row>
    <row r="38" ht="15.75" customHeight="1">
      <c r="A38" s="9"/>
      <c r="B38" s="9"/>
      <c r="C38" s="9"/>
      <c r="D38" s="9"/>
      <c r="E38" s="9"/>
    </row>
    <row r="39" ht="15.75" customHeight="1">
      <c r="A39" s="9"/>
      <c r="B39" s="9"/>
      <c r="C39" s="9"/>
      <c r="D39" s="9"/>
      <c r="E39" s="9"/>
    </row>
    <row r="40" ht="15.75" customHeight="1">
      <c r="A40" s="9"/>
      <c r="B40" s="9"/>
      <c r="C40" s="9"/>
      <c r="D40" s="9"/>
      <c r="E40" s="9"/>
    </row>
    <row r="41" ht="15.75" customHeight="1">
      <c r="A41" s="9"/>
      <c r="B41" s="9"/>
      <c r="C41" s="9"/>
      <c r="D41" s="9"/>
      <c r="E41" s="9"/>
    </row>
    <row r="42" ht="15.75" customHeight="1">
      <c r="A42" s="9"/>
      <c r="B42" s="9"/>
      <c r="C42" s="9"/>
      <c r="D42" s="9"/>
      <c r="E42" s="9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>
      <c r="A221" s="9"/>
      <c r="B221" s="9"/>
      <c r="C221" s="9"/>
      <c r="D221" s="9"/>
      <c r="E221" s="9"/>
    </row>
    <row r="222" ht="15.75" customHeight="1">
      <c r="A222" s="9"/>
      <c r="B222" s="9"/>
      <c r="C222" s="9"/>
      <c r="D222" s="9"/>
      <c r="E222" s="9"/>
    </row>
    <row r="223" ht="15.75" customHeight="1">
      <c r="A223" s="9"/>
      <c r="B223" s="9"/>
      <c r="C223" s="9"/>
      <c r="D223" s="9"/>
      <c r="E223" s="9"/>
    </row>
    <row r="224" ht="15.75" customHeight="1">
      <c r="A224" s="9"/>
      <c r="B224" s="9"/>
      <c r="C224" s="9"/>
      <c r="D224" s="9"/>
      <c r="E224" s="9"/>
    </row>
    <row r="225" ht="15.75" customHeight="1">
      <c r="A225" s="9"/>
      <c r="B225" s="9"/>
      <c r="C225" s="9"/>
      <c r="D225" s="9"/>
      <c r="E225" s="9"/>
    </row>
    <row r="226" ht="15.75" customHeight="1">
      <c r="A226" s="9"/>
      <c r="B226" s="9"/>
      <c r="C226" s="9"/>
      <c r="D226" s="9"/>
      <c r="E226" s="9"/>
    </row>
    <row r="227" ht="15.75" customHeight="1">
      <c r="A227" s="9"/>
      <c r="B227" s="9"/>
      <c r="C227" s="9"/>
      <c r="D227" s="9"/>
      <c r="E227" s="9"/>
    </row>
    <row r="228" ht="15.75" customHeight="1">
      <c r="A228" s="9"/>
      <c r="B228" s="9"/>
      <c r="C228" s="9"/>
      <c r="D228" s="9"/>
      <c r="E228" s="9"/>
    </row>
    <row r="229" ht="15.75" customHeight="1">
      <c r="A229" s="9"/>
      <c r="B229" s="9"/>
      <c r="C229" s="9"/>
      <c r="D229" s="9"/>
      <c r="E229" s="9"/>
    </row>
    <row r="230" ht="15.75" customHeight="1">
      <c r="A230" s="9"/>
      <c r="B230" s="9"/>
      <c r="C230" s="9"/>
      <c r="D230" s="9"/>
      <c r="E230" s="9"/>
    </row>
    <row r="231" ht="15.75" customHeight="1">
      <c r="A231" s="9"/>
      <c r="B231" s="9"/>
      <c r="C231" s="9"/>
      <c r="D231" s="9"/>
      <c r="E231" s="9"/>
    </row>
    <row r="232" ht="15.75" customHeight="1">
      <c r="A232" s="9"/>
      <c r="B232" s="9"/>
      <c r="C232" s="9"/>
      <c r="D232" s="9"/>
      <c r="E232" s="9"/>
    </row>
    <row r="233" ht="15.75" customHeight="1">
      <c r="A233" s="9"/>
      <c r="B233" s="9"/>
      <c r="C233" s="9"/>
      <c r="D233" s="9"/>
      <c r="E233" s="9"/>
    </row>
    <row r="234" ht="15.75" customHeight="1">
      <c r="A234" s="9"/>
      <c r="B234" s="9"/>
      <c r="C234" s="9"/>
      <c r="D234" s="9"/>
      <c r="E234" s="9"/>
    </row>
    <row r="235" ht="15.75" customHeight="1">
      <c r="A235" s="9"/>
      <c r="B235" s="9"/>
      <c r="C235" s="9"/>
      <c r="D235" s="9"/>
      <c r="E235" s="9"/>
    </row>
    <row r="236" ht="15.75" customHeight="1">
      <c r="A236" s="9"/>
      <c r="B236" s="9"/>
      <c r="C236" s="9"/>
      <c r="D236" s="9"/>
      <c r="E236" s="9"/>
    </row>
    <row r="237" ht="15.75" customHeight="1">
      <c r="A237" s="9"/>
      <c r="B237" s="9"/>
      <c r="C237" s="9"/>
      <c r="D237" s="9"/>
      <c r="E237" s="9"/>
    </row>
    <row r="238" ht="15.75" customHeight="1">
      <c r="A238" s="9"/>
      <c r="B238" s="9"/>
      <c r="C238" s="9"/>
      <c r="D238" s="9"/>
      <c r="E238" s="9"/>
    </row>
    <row r="239" ht="15.75" customHeight="1">
      <c r="A239" s="9"/>
      <c r="B239" s="9"/>
      <c r="C239" s="9"/>
      <c r="D239" s="9"/>
      <c r="E239" s="9"/>
    </row>
    <row r="240" ht="15.75" customHeight="1">
      <c r="A240" s="9"/>
      <c r="B240" s="9"/>
      <c r="C240" s="9"/>
      <c r="D240" s="9"/>
      <c r="E240" s="9"/>
    </row>
    <row r="241" ht="15.75" customHeight="1">
      <c r="A241" s="9"/>
      <c r="B241" s="9"/>
      <c r="C241" s="9"/>
      <c r="D241" s="9"/>
      <c r="E241" s="9"/>
    </row>
    <row r="242" ht="15.75" customHeight="1">
      <c r="A242" s="9"/>
      <c r="B242" s="9"/>
      <c r="C242" s="9"/>
      <c r="D242" s="9"/>
      <c r="E242" s="9"/>
    </row>
    <row r="243" ht="15.75" customHeight="1">
      <c r="A243" s="9"/>
      <c r="B243" s="9"/>
      <c r="C243" s="9"/>
      <c r="D243" s="9"/>
      <c r="E243" s="9"/>
    </row>
    <row r="244" ht="15.75" customHeight="1">
      <c r="A244" s="9"/>
      <c r="B244" s="9"/>
      <c r="C244" s="9"/>
      <c r="D244" s="9"/>
      <c r="E244" s="9"/>
    </row>
    <row r="245" ht="15.75" customHeight="1">
      <c r="A245" s="9"/>
      <c r="B245" s="9"/>
      <c r="C245" s="9"/>
      <c r="D245" s="9"/>
      <c r="E245" s="9"/>
    </row>
    <row r="246" ht="15.75" customHeight="1">
      <c r="A246" s="9"/>
      <c r="B246" s="9"/>
      <c r="C246" s="9"/>
      <c r="D246" s="9"/>
      <c r="E246" s="9"/>
    </row>
    <row r="247" ht="15.75" customHeight="1">
      <c r="A247" s="9"/>
      <c r="B247" s="9"/>
      <c r="C247" s="9"/>
      <c r="D247" s="9"/>
      <c r="E247" s="9"/>
    </row>
    <row r="248" ht="15.75" customHeight="1">
      <c r="A248" s="9"/>
      <c r="B248" s="9"/>
      <c r="C248" s="9"/>
      <c r="D248" s="9"/>
      <c r="E248" s="9"/>
    </row>
    <row r="249" ht="15.75" customHeight="1">
      <c r="A249" s="9"/>
      <c r="B249" s="9"/>
      <c r="C249" s="9"/>
      <c r="D249" s="9"/>
      <c r="E249" s="9"/>
    </row>
    <row r="250" ht="15.75" customHeight="1">
      <c r="A250" s="9"/>
      <c r="B250" s="9"/>
      <c r="C250" s="9"/>
      <c r="D250" s="9"/>
      <c r="E250" s="9"/>
    </row>
    <row r="251" ht="15.75" customHeight="1">
      <c r="A251" s="9"/>
      <c r="B251" s="9"/>
      <c r="C251" s="9"/>
      <c r="D251" s="9"/>
      <c r="E251" s="9"/>
    </row>
    <row r="252" ht="15.75" customHeight="1">
      <c r="A252" s="9"/>
      <c r="B252" s="9"/>
      <c r="C252" s="9"/>
      <c r="D252" s="9"/>
      <c r="E252" s="9"/>
    </row>
    <row r="253" ht="15.75" customHeight="1">
      <c r="A253" s="9"/>
      <c r="B253" s="9"/>
      <c r="C253" s="9"/>
      <c r="D253" s="9"/>
      <c r="E253" s="9"/>
    </row>
    <row r="254" ht="15.75" customHeight="1">
      <c r="A254" s="9"/>
      <c r="B254" s="9"/>
      <c r="C254" s="9"/>
      <c r="D254" s="9"/>
      <c r="E254" s="9"/>
    </row>
    <row r="255" ht="15.75" customHeight="1">
      <c r="A255" s="9"/>
      <c r="B255" s="9"/>
      <c r="C255" s="9"/>
      <c r="D255" s="9"/>
      <c r="E255" s="9"/>
    </row>
    <row r="256" ht="15.75" customHeight="1">
      <c r="A256" s="9"/>
      <c r="B256" s="9"/>
      <c r="C256" s="9"/>
      <c r="D256" s="9"/>
      <c r="E256" s="9"/>
    </row>
    <row r="257" ht="15.75" customHeight="1">
      <c r="A257" s="9"/>
      <c r="B257" s="9"/>
      <c r="C257" s="9"/>
      <c r="D257" s="9"/>
      <c r="E257" s="9"/>
    </row>
    <row r="258" ht="15.75" customHeight="1">
      <c r="A258" s="9"/>
      <c r="B258" s="9"/>
      <c r="C258" s="9"/>
      <c r="D258" s="9"/>
      <c r="E258" s="9"/>
    </row>
    <row r="259" ht="15.75" customHeight="1">
      <c r="A259" s="9"/>
      <c r="B259" s="9"/>
      <c r="C259" s="9"/>
      <c r="D259" s="9"/>
      <c r="E259" s="9"/>
    </row>
    <row r="260" ht="15.75" customHeight="1">
      <c r="A260" s="9"/>
      <c r="B260" s="9"/>
      <c r="C260" s="9"/>
      <c r="D260" s="9"/>
      <c r="E260" s="9"/>
    </row>
    <row r="261" ht="15.75" customHeight="1">
      <c r="A261" s="9"/>
      <c r="B261" s="9"/>
      <c r="C261" s="9"/>
      <c r="D261" s="9"/>
      <c r="E261" s="9"/>
    </row>
    <row r="262" ht="15.75" customHeight="1">
      <c r="A262" s="9"/>
      <c r="B262" s="9"/>
      <c r="C262" s="9"/>
      <c r="D262" s="9"/>
      <c r="E262" s="9"/>
    </row>
    <row r="263" ht="15.75" customHeight="1">
      <c r="A263" s="9"/>
      <c r="B263" s="9"/>
      <c r="C263" s="9"/>
      <c r="D263" s="9"/>
      <c r="E263" s="9"/>
    </row>
    <row r="264" ht="15.75" customHeight="1">
      <c r="A264" s="9"/>
      <c r="B264" s="9"/>
      <c r="C264" s="9"/>
      <c r="D264" s="9"/>
      <c r="E264" s="9"/>
    </row>
    <row r="265" ht="15.75" customHeight="1">
      <c r="A265" s="9"/>
      <c r="B265" s="9"/>
      <c r="C265" s="9"/>
      <c r="D265" s="9"/>
      <c r="E265" s="9"/>
    </row>
    <row r="266" ht="15.75" customHeight="1">
      <c r="A266" s="9"/>
      <c r="B266" s="9"/>
      <c r="C266" s="9"/>
      <c r="D266" s="9"/>
      <c r="E266" s="9"/>
    </row>
    <row r="267" ht="15.75" customHeight="1">
      <c r="A267" s="9"/>
      <c r="B267" s="9"/>
      <c r="C267" s="9"/>
      <c r="D267" s="9"/>
      <c r="E267" s="9"/>
    </row>
    <row r="268" ht="15.75" customHeight="1">
      <c r="A268" s="9"/>
      <c r="B268" s="9"/>
      <c r="C268" s="9"/>
      <c r="D268" s="9"/>
      <c r="E268" s="9"/>
    </row>
    <row r="269" ht="15.75" customHeight="1">
      <c r="A269" s="9"/>
      <c r="B269" s="9"/>
      <c r="C269" s="9"/>
      <c r="D269" s="9"/>
      <c r="E269" s="9"/>
    </row>
    <row r="270" ht="15.75" customHeight="1">
      <c r="A270" s="9"/>
      <c r="B270" s="9"/>
      <c r="C270" s="9"/>
      <c r="D270" s="9"/>
      <c r="E270" s="9"/>
    </row>
    <row r="271" ht="15.75" customHeight="1">
      <c r="A271" s="9"/>
      <c r="B271" s="9"/>
      <c r="C271" s="9"/>
      <c r="D271" s="9"/>
      <c r="E271" s="9"/>
    </row>
    <row r="272" ht="15.75" customHeight="1">
      <c r="A272" s="9"/>
      <c r="B272" s="9"/>
      <c r="C272" s="9"/>
      <c r="D272" s="9"/>
      <c r="E272" s="9"/>
    </row>
    <row r="273" ht="15.75" customHeight="1">
      <c r="A273" s="9"/>
      <c r="B273" s="9"/>
      <c r="C273" s="9"/>
      <c r="D273" s="9"/>
      <c r="E273" s="9"/>
    </row>
    <row r="274" ht="15.75" customHeight="1">
      <c r="A274" s="9"/>
      <c r="B274" s="9"/>
      <c r="C274" s="9"/>
      <c r="D274" s="9"/>
      <c r="E274" s="9"/>
    </row>
    <row r="275" ht="15.75" customHeight="1">
      <c r="A275" s="9"/>
      <c r="B275" s="9"/>
      <c r="C275" s="9"/>
      <c r="D275" s="9"/>
      <c r="E275" s="9"/>
    </row>
    <row r="276" ht="15.75" customHeight="1">
      <c r="A276" s="9"/>
      <c r="B276" s="9"/>
      <c r="C276" s="9"/>
      <c r="D276" s="9"/>
      <c r="E276" s="9"/>
    </row>
    <row r="277" ht="15.75" customHeight="1">
      <c r="A277" s="9"/>
      <c r="B277" s="9"/>
      <c r="C277" s="9"/>
      <c r="D277" s="9"/>
      <c r="E277" s="9"/>
    </row>
    <row r="278" ht="15.75" customHeight="1">
      <c r="A278" s="9"/>
      <c r="B278" s="9"/>
      <c r="C278" s="9"/>
      <c r="D278" s="9"/>
      <c r="E278" s="9"/>
    </row>
    <row r="279" ht="15.75" customHeight="1">
      <c r="A279" s="9"/>
      <c r="B279" s="9"/>
      <c r="C279" s="9"/>
      <c r="D279" s="9"/>
      <c r="E279" s="9"/>
    </row>
    <row r="280" ht="15.75" customHeight="1">
      <c r="A280" s="9"/>
      <c r="B280" s="9"/>
      <c r="C280" s="9"/>
      <c r="D280" s="9"/>
      <c r="E280" s="9"/>
    </row>
    <row r="281" ht="15.75" customHeight="1">
      <c r="A281" s="9"/>
      <c r="B281" s="9"/>
      <c r="C281" s="9"/>
      <c r="D281" s="9"/>
      <c r="E281" s="9"/>
    </row>
    <row r="282" ht="15.75" customHeight="1">
      <c r="A282" s="9"/>
      <c r="B282" s="9"/>
      <c r="C282" s="9"/>
      <c r="D282" s="9"/>
      <c r="E282" s="9"/>
    </row>
    <row r="283" ht="15.75" customHeight="1">
      <c r="A283" s="9"/>
      <c r="B283" s="9"/>
      <c r="C283" s="9"/>
      <c r="D283" s="9"/>
      <c r="E283" s="9"/>
    </row>
    <row r="284" ht="15.75" customHeight="1">
      <c r="A284" s="9"/>
      <c r="B284" s="9"/>
      <c r="C284" s="9"/>
      <c r="D284" s="9"/>
      <c r="E284" s="9"/>
    </row>
    <row r="285" ht="15.75" customHeight="1">
      <c r="A285" s="9"/>
      <c r="B285" s="9"/>
      <c r="C285" s="9"/>
      <c r="D285" s="9"/>
      <c r="E285" s="9"/>
    </row>
    <row r="286" ht="15.75" customHeight="1">
      <c r="A286" s="9"/>
      <c r="B286" s="9"/>
      <c r="C286" s="9"/>
      <c r="D286" s="9"/>
      <c r="E286" s="9"/>
    </row>
    <row r="287" ht="15.75" customHeight="1">
      <c r="A287" s="9"/>
      <c r="B287" s="9"/>
      <c r="C287" s="9"/>
      <c r="D287" s="9"/>
      <c r="E287" s="9"/>
    </row>
    <row r="288" ht="15.75" customHeight="1">
      <c r="A288" s="9"/>
      <c r="B288" s="9"/>
      <c r="C288" s="9"/>
      <c r="D288" s="9"/>
      <c r="E288" s="9"/>
    </row>
    <row r="289" ht="15.75" customHeight="1">
      <c r="A289" s="9"/>
      <c r="B289" s="9"/>
      <c r="C289" s="9"/>
      <c r="D289" s="9"/>
      <c r="E289" s="9"/>
    </row>
    <row r="290" ht="15.75" customHeight="1">
      <c r="A290" s="9"/>
      <c r="B290" s="9"/>
      <c r="C290" s="9"/>
      <c r="D290" s="9"/>
      <c r="E290" s="9"/>
    </row>
    <row r="291" ht="15.75" customHeight="1">
      <c r="A291" s="9"/>
      <c r="B291" s="9"/>
      <c r="C291" s="9"/>
      <c r="D291" s="9"/>
      <c r="E291" s="9"/>
    </row>
    <row r="292" ht="15.75" customHeight="1">
      <c r="A292" s="9"/>
      <c r="B292" s="9"/>
      <c r="C292" s="9"/>
      <c r="D292" s="9"/>
      <c r="E292" s="9"/>
    </row>
    <row r="293" ht="15.75" customHeight="1">
      <c r="A293" s="9"/>
      <c r="B293" s="9"/>
      <c r="C293" s="9"/>
      <c r="D293" s="9"/>
      <c r="E293" s="9"/>
    </row>
    <row r="294" ht="15.75" customHeight="1">
      <c r="A294" s="9"/>
      <c r="B294" s="9"/>
      <c r="C294" s="9"/>
      <c r="D294" s="9"/>
      <c r="E294" s="9"/>
    </row>
    <row r="295" ht="15.75" customHeight="1">
      <c r="A295" s="9"/>
      <c r="B295" s="9"/>
      <c r="C295" s="9"/>
      <c r="D295" s="9"/>
      <c r="E295" s="9"/>
    </row>
    <row r="296" ht="15.75" customHeight="1">
      <c r="A296" s="9"/>
      <c r="B296" s="9"/>
      <c r="C296" s="9"/>
      <c r="D296" s="9"/>
      <c r="E296" s="9"/>
    </row>
    <row r="297" ht="15.75" customHeight="1">
      <c r="A297" s="9"/>
      <c r="B297" s="9"/>
      <c r="C297" s="9"/>
      <c r="D297" s="9"/>
      <c r="E297" s="9"/>
    </row>
    <row r="298" ht="15.75" customHeight="1">
      <c r="A298" s="9"/>
      <c r="B298" s="9"/>
      <c r="C298" s="9"/>
      <c r="D298" s="9"/>
      <c r="E298" s="9"/>
    </row>
    <row r="299" ht="15.75" customHeight="1">
      <c r="A299" s="9"/>
      <c r="B299" s="9"/>
      <c r="C299" s="9"/>
      <c r="D299" s="9"/>
      <c r="E299" s="9"/>
    </row>
    <row r="300" ht="15.75" customHeight="1">
      <c r="A300" s="9"/>
      <c r="B300" s="9"/>
      <c r="C300" s="9"/>
      <c r="D300" s="9"/>
      <c r="E300" s="9"/>
    </row>
    <row r="301" ht="15.75" customHeight="1">
      <c r="A301" s="9"/>
      <c r="B301" s="9"/>
      <c r="C301" s="9"/>
      <c r="D301" s="9"/>
      <c r="E301" s="9"/>
    </row>
    <row r="302" ht="15.75" customHeight="1">
      <c r="A302" s="9"/>
      <c r="B302" s="9"/>
      <c r="C302" s="9"/>
      <c r="D302" s="9"/>
      <c r="E302" s="9"/>
    </row>
    <row r="303" ht="15.75" customHeight="1">
      <c r="A303" s="9"/>
      <c r="B303" s="9"/>
      <c r="C303" s="9"/>
      <c r="D303" s="9"/>
      <c r="E303" s="9"/>
    </row>
    <row r="304" ht="15.75" customHeight="1">
      <c r="A304" s="9"/>
      <c r="B304" s="9"/>
      <c r="C304" s="9"/>
      <c r="D304" s="9"/>
      <c r="E304" s="9"/>
    </row>
    <row r="305" ht="15.75" customHeight="1">
      <c r="A305" s="9"/>
      <c r="B305" s="9"/>
      <c r="C305" s="9"/>
      <c r="D305" s="9"/>
      <c r="E305" s="9"/>
    </row>
    <row r="306" ht="15.75" customHeight="1">
      <c r="A306" s="9"/>
      <c r="B306" s="9"/>
      <c r="C306" s="9"/>
      <c r="D306" s="9"/>
      <c r="E306" s="9"/>
    </row>
    <row r="307" ht="15.75" customHeight="1">
      <c r="A307" s="9"/>
      <c r="B307" s="9"/>
      <c r="C307" s="9"/>
      <c r="D307" s="9"/>
      <c r="E307" s="9"/>
    </row>
    <row r="308" ht="15.75" customHeight="1">
      <c r="A308" s="9"/>
      <c r="B308" s="9"/>
      <c r="C308" s="9"/>
      <c r="D308" s="9"/>
      <c r="E308" s="9"/>
    </row>
    <row r="309" ht="15.75" customHeight="1">
      <c r="A309" s="9"/>
      <c r="B309" s="9"/>
      <c r="C309" s="9"/>
      <c r="D309" s="9"/>
      <c r="E309" s="9"/>
    </row>
    <row r="310" ht="15.75" customHeight="1">
      <c r="A310" s="9"/>
      <c r="B310" s="9"/>
      <c r="C310" s="9"/>
      <c r="D310" s="9"/>
      <c r="E310" s="9"/>
    </row>
    <row r="311" ht="15.75" customHeight="1">
      <c r="A311" s="9"/>
      <c r="B311" s="9"/>
      <c r="C311" s="9"/>
      <c r="D311" s="9"/>
      <c r="E311" s="9"/>
    </row>
    <row r="312" ht="15.75" customHeight="1">
      <c r="A312" s="9"/>
      <c r="B312" s="9"/>
      <c r="C312" s="9"/>
      <c r="D312" s="9"/>
      <c r="E312" s="9"/>
    </row>
    <row r="313" ht="15.75" customHeight="1">
      <c r="A313" s="9"/>
      <c r="B313" s="9"/>
      <c r="C313" s="9"/>
      <c r="D313" s="9"/>
      <c r="E313" s="9"/>
    </row>
    <row r="314" ht="15.75" customHeight="1">
      <c r="A314" s="9"/>
      <c r="B314" s="9"/>
      <c r="C314" s="9"/>
      <c r="D314" s="9"/>
      <c r="E314" s="9"/>
    </row>
    <row r="315" ht="15.75" customHeight="1">
      <c r="A315" s="9"/>
      <c r="B315" s="9"/>
      <c r="C315" s="9"/>
      <c r="D315" s="9"/>
      <c r="E315" s="9"/>
    </row>
    <row r="316" ht="15.75" customHeight="1">
      <c r="A316" s="9"/>
      <c r="B316" s="9"/>
      <c r="C316" s="9"/>
      <c r="D316" s="9"/>
      <c r="E316" s="9"/>
    </row>
    <row r="317" ht="15.75" customHeight="1">
      <c r="A317" s="9"/>
      <c r="B317" s="9"/>
      <c r="C317" s="9"/>
      <c r="D317" s="9"/>
      <c r="E317" s="9"/>
    </row>
    <row r="318" ht="15.75" customHeight="1">
      <c r="A318" s="9"/>
      <c r="B318" s="9"/>
      <c r="C318" s="9"/>
      <c r="D318" s="9"/>
      <c r="E318" s="9"/>
    </row>
    <row r="319" ht="15.75" customHeight="1">
      <c r="A319" s="9"/>
      <c r="B319" s="9"/>
      <c r="C319" s="9"/>
      <c r="D319" s="9"/>
      <c r="E319" s="9"/>
    </row>
    <row r="320" ht="15.75" customHeight="1">
      <c r="A320" s="9"/>
      <c r="B320" s="9"/>
      <c r="C320" s="9"/>
      <c r="D320" s="9"/>
      <c r="E320" s="9"/>
    </row>
    <row r="321" ht="15.75" customHeight="1">
      <c r="A321" s="9"/>
      <c r="B321" s="9"/>
      <c r="C321" s="9"/>
      <c r="D321" s="9"/>
      <c r="E321" s="9"/>
    </row>
    <row r="322" ht="15.75" customHeight="1">
      <c r="A322" s="9"/>
      <c r="B322" s="9"/>
      <c r="C322" s="9"/>
      <c r="D322" s="9"/>
      <c r="E322" s="9"/>
    </row>
    <row r="323" ht="15.75" customHeight="1">
      <c r="A323" s="9"/>
      <c r="B323" s="9"/>
      <c r="C323" s="9"/>
      <c r="D323" s="9"/>
      <c r="E323" s="9"/>
    </row>
    <row r="324" ht="15.75" customHeight="1">
      <c r="A324" s="9"/>
      <c r="B324" s="9"/>
      <c r="C324" s="9"/>
      <c r="D324" s="9"/>
      <c r="E324" s="9"/>
    </row>
    <row r="325" ht="15.75" customHeight="1">
      <c r="A325" s="9"/>
      <c r="B325" s="9"/>
      <c r="C325" s="9"/>
      <c r="D325" s="9"/>
      <c r="E325" s="9"/>
    </row>
    <row r="326" ht="15.75" customHeight="1">
      <c r="A326" s="9"/>
      <c r="B326" s="9"/>
      <c r="C326" s="9"/>
      <c r="D326" s="9"/>
      <c r="E326" s="9"/>
    </row>
    <row r="327" ht="15.75" customHeight="1">
      <c r="A327" s="9"/>
      <c r="B327" s="9"/>
      <c r="C327" s="9"/>
      <c r="D327" s="9"/>
      <c r="E327" s="9"/>
    </row>
    <row r="328" ht="15.75" customHeight="1">
      <c r="A328" s="9"/>
      <c r="B328" s="9"/>
      <c r="C328" s="9"/>
      <c r="D328" s="9"/>
      <c r="E328" s="9"/>
    </row>
    <row r="329" ht="15.75" customHeight="1">
      <c r="A329" s="9"/>
      <c r="B329" s="9"/>
      <c r="C329" s="9"/>
      <c r="D329" s="9"/>
      <c r="E329" s="9"/>
    </row>
    <row r="330" ht="15.75" customHeight="1">
      <c r="A330" s="9"/>
      <c r="B330" s="9"/>
      <c r="C330" s="9"/>
      <c r="D330" s="9"/>
      <c r="E330" s="9"/>
    </row>
    <row r="331" ht="15.75" customHeight="1">
      <c r="A331" s="9"/>
      <c r="B331" s="9"/>
      <c r="C331" s="9"/>
      <c r="D331" s="9"/>
      <c r="E331" s="9"/>
    </row>
    <row r="332" ht="15.75" customHeight="1">
      <c r="A332" s="9"/>
      <c r="B332" s="9"/>
      <c r="C332" s="9"/>
      <c r="D332" s="9"/>
      <c r="E332" s="9"/>
    </row>
    <row r="333" ht="15.75" customHeight="1">
      <c r="A333" s="9"/>
      <c r="B333" s="9"/>
      <c r="C333" s="9"/>
      <c r="D333" s="9"/>
      <c r="E333" s="9"/>
    </row>
    <row r="334" ht="15.75" customHeight="1">
      <c r="A334" s="9"/>
      <c r="B334" s="9"/>
      <c r="C334" s="9"/>
      <c r="D334" s="9"/>
      <c r="E334" s="9"/>
    </row>
    <row r="335" ht="15.75" customHeight="1">
      <c r="A335" s="9"/>
      <c r="B335" s="9"/>
      <c r="C335" s="9"/>
      <c r="D335" s="9"/>
      <c r="E335" s="9"/>
    </row>
    <row r="336" ht="15.75" customHeight="1">
      <c r="A336" s="9"/>
      <c r="B336" s="9"/>
      <c r="C336" s="9"/>
      <c r="D336" s="9"/>
      <c r="E336" s="9"/>
    </row>
    <row r="337" ht="15.75" customHeight="1">
      <c r="A337" s="9"/>
      <c r="B337" s="9"/>
      <c r="C337" s="9"/>
      <c r="D337" s="9"/>
      <c r="E337" s="9"/>
    </row>
    <row r="338" ht="15.75" customHeight="1">
      <c r="A338" s="9"/>
      <c r="B338" s="9"/>
      <c r="C338" s="9"/>
      <c r="D338" s="9"/>
      <c r="E338" s="9"/>
    </row>
    <row r="339" ht="15.75" customHeight="1">
      <c r="A339" s="9"/>
      <c r="B339" s="9"/>
      <c r="C339" s="9"/>
      <c r="D339" s="9"/>
      <c r="E339" s="9"/>
    </row>
    <row r="340" ht="15.75" customHeight="1">
      <c r="A340" s="9"/>
      <c r="B340" s="9"/>
      <c r="C340" s="9"/>
      <c r="D340" s="9"/>
      <c r="E340" s="9"/>
    </row>
    <row r="341" ht="15.75" customHeight="1">
      <c r="A341" s="9"/>
      <c r="B341" s="9"/>
      <c r="C341" s="9"/>
      <c r="D341" s="9"/>
      <c r="E341" s="9"/>
    </row>
    <row r="342" ht="15.75" customHeight="1">
      <c r="A342" s="9"/>
      <c r="B342" s="9"/>
      <c r="C342" s="9"/>
      <c r="D342" s="9"/>
      <c r="E342" s="9"/>
    </row>
    <row r="343" ht="15.75" customHeight="1">
      <c r="A343" s="9"/>
      <c r="B343" s="9"/>
      <c r="C343" s="9"/>
      <c r="D343" s="9"/>
      <c r="E343" s="9"/>
    </row>
    <row r="344" ht="15.75" customHeight="1">
      <c r="A344" s="9"/>
      <c r="B344" s="9"/>
      <c r="C344" s="9"/>
      <c r="D344" s="9"/>
      <c r="E344" s="9"/>
    </row>
    <row r="345" ht="15.75" customHeight="1">
      <c r="A345" s="9"/>
      <c r="B345" s="9"/>
      <c r="C345" s="9"/>
      <c r="D345" s="9"/>
      <c r="E345" s="9"/>
    </row>
    <row r="346" ht="15.75" customHeight="1">
      <c r="A346" s="9"/>
      <c r="B346" s="9"/>
      <c r="C346" s="9"/>
      <c r="D346" s="9"/>
      <c r="E346" s="9"/>
    </row>
    <row r="347" ht="15.75" customHeight="1">
      <c r="A347" s="9"/>
      <c r="B347" s="9"/>
      <c r="C347" s="9"/>
      <c r="D347" s="9"/>
      <c r="E347" s="9"/>
    </row>
    <row r="348" ht="15.75" customHeight="1">
      <c r="A348" s="9"/>
      <c r="B348" s="9"/>
      <c r="C348" s="9"/>
      <c r="D348" s="9"/>
      <c r="E348" s="9"/>
    </row>
    <row r="349" ht="15.75" customHeight="1">
      <c r="A349" s="9"/>
      <c r="B349" s="9"/>
      <c r="C349" s="9"/>
      <c r="D349" s="9"/>
      <c r="E349" s="9"/>
    </row>
    <row r="350" ht="15.75" customHeight="1">
      <c r="A350" s="9"/>
      <c r="B350" s="9"/>
      <c r="C350" s="9"/>
      <c r="D350" s="9"/>
      <c r="E350" s="9"/>
    </row>
    <row r="351" ht="15.75" customHeight="1">
      <c r="A351" s="9"/>
      <c r="B351" s="9"/>
      <c r="C351" s="9"/>
      <c r="D351" s="9"/>
      <c r="E351" s="9"/>
    </row>
    <row r="352" ht="15.75" customHeight="1">
      <c r="A352" s="9"/>
      <c r="B352" s="9"/>
      <c r="C352" s="9"/>
      <c r="D352" s="9"/>
      <c r="E352" s="9"/>
    </row>
    <row r="353" ht="15.75" customHeight="1">
      <c r="A353" s="9"/>
      <c r="B353" s="9"/>
      <c r="C353" s="9"/>
      <c r="D353" s="9"/>
      <c r="E353" s="9"/>
    </row>
    <row r="354" ht="15.75" customHeight="1">
      <c r="A354" s="9"/>
      <c r="B354" s="9"/>
      <c r="C354" s="9"/>
      <c r="D354" s="9"/>
      <c r="E354" s="9"/>
    </row>
    <row r="355" ht="15.75" customHeight="1">
      <c r="A355" s="9"/>
      <c r="B355" s="9"/>
      <c r="C355" s="9"/>
      <c r="D355" s="9"/>
      <c r="E355" s="9"/>
    </row>
    <row r="356" ht="15.75" customHeight="1">
      <c r="A356" s="9"/>
      <c r="B356" s="9"/>
      <c r="C356" s="9"/>
      <c r="D356" s="9"/>
      <c r="E356" s="9"/>
    </row>
    <row r="357" ht="15.75" customHeight="1">
      <c r="A357" s="9"/>
      <c r="B357" s="9"/>
      <c r="C357" s="9"/>
      <c r="D357" s="9"/>
      <c r="E357" s="9"/>
    </row>
    <row r="358" ht="15.75" customHeight="1">
      <c r="A358" s="9"/>
      <c r="B358" s="9"/>
      <c r="C358" s="9"/>
      <c r="D358" s="9"/>
      <c r="E358" s="9"/>
    </row>
    <row r="359" ht="15.75" customHeight="1">
      <c r="A359" s="9"/>
      <c r="B359" s="9"/>
      <c r="C359" s="9"/>
      <c r="D359" s="9"/>
      <c r="E359" s="9"/>
    </row>
    <row r="360" ht="15.75" customHeight="1">
      <c r="A360" s="9"/>
      <c r="B360" s="9"/>
      <c r="C360" s="9"/>
      <c r="D360" s="9"/>
      <c r="E360" s="9"/>
    </row>
    <row r="361" ht="15.75" customHeight="1">
      <c r="A361" s="9"/>
      <c r="B361" s="9"/>
      <c r="C361" s="9"/>
      <c r="D361" s="9"/>
      <c r="E361" s="9"/>
    </row>
    <row r="362" ht="15.75" customHeight="1">
      <c r="A362" s="9"/>
      <c r="B362" s="9"/>
      <c r="C362" s="9"/>
      <c r="D362" s="9"/>
      <c r="E362" s="9"/>
    </row>
    <row r="363" ht="15.75" customHeight="1">
      <c r="A363" s="9"/>
      <c r="B363" s="9"/>
      <c r="C363" s="9"/>
      <c r="D363" s="9"/>
      <c r="E363" s="9"/>
    </row>
    <row r="364" ht="15.75" customHeight="1">
      <c r="A364" s="9"/>
      <c r="B364" s="9"/>
      <c r="C364" s="9"/>
      <c r="D364" s="9"/>
      <c r="E364" s="9"/>
    </row>
    <row r="365" ht="15.75" customHeight="1">
      <c r="A365" s="9"/>
      <c r="B365" s="9"/>
      <c r="C365" s="9"/>
      <c r="D365" s="9"/>
      <c r="E365" s="9"/>
    </row>
    <row r="366" ht="15.75" customHeight="1">
      <c r="A366" s="9"/>
      <c r="B366" s="9"/>
      <c r="C366" s="9"/>
      <c r="D366" s="9"/>
      <c r="E366" s="9"/>
    </row>
    <row r="367" ht="15.75" customHeight="1">
      <c r="A367" s="9"/>
      <c r="B367" s="9"/>
      <c r="C367" s="9"/>
      <c r="D367" s="9"/>
      <c r="E367" s="9"/>
    </row>
    <row r="368" ht="15.75" customHeight="1">
      <c r="A368" s="9"/>
      <c r="B368" s="9"/>
      <c r="C368" s="9"/>
      <c r="D368" s="9"/>
      <c r="E368" s="9"/>
    </row>
    <row r="369" ht="15.75" customHeight="1">
      <c r="A369" s="9"/>
      <c r="B369" s="9"/>
      <c r="C369" s="9"/>
      <c r="D369" s="9"/>
      <c r="E369" s="9"/>
    </row>
    <row r="370" ht="15.75" customHeight="1">
      <c r="A370" s="9"/>
      <c r="B370" s="9"/>
      <c r="C370" s="9"/>
      <c r="D370" s="9"/>
      <c r="E370" s="9"/>
    </row>
    <row r="371" ht="15.75" customHeight="1">
      <c r="A371" s="9"/>
      <c r="B371" s="9"/>
      <c r="C371" s="9"/>
      <c r="D371" s="9"/>
      <c r="E371" s="9"/>
    </row>
    <row r="372" ht="15.75" customHeight="1">
      <c r="A372" s="9"/>
      <c r="B372" s="9"/>
      <c r="C372" s="9"/>
      <c r="D372" s="9"/>
      <c r="E372" s="9"/>
    </row>
    <row r="373" ht="15.75" customHeight="1">
      <c r="A373" s="9"/>
      <c r="B373" s="9"/>
      <c r="C373" s="9"/>
      <c r="D373" s="9"/>
      <c r="E373" s="9"/>
    </row>
    <row r="374" ht="15.75" customHeight="1">
      <c r="A374" s="9"/>
      <c r="B374" s="9"/>
      <c r="C374" s="9"/>
      <c r="D374" s="9"/>
      <c r="E374" s="9"/>
    </row>
    <row r="375" ht="15.75" customHeight="1">
      <c r="A375" s="9"/>
      <c r="B375" s="9"/>
      <c r="C375" s="9"/>
      <c r="D375" s="9"/>
      <c r="E375" s="9"/>
    </row>
    <row r="376" ht="15.75" customHeight="1">
      <c r="A376" s="9"/>
      <c r="B376" s="9"/>
      <c r="C376" s="9"/>
      <c r="D376" s="9"/>
      <c r="E376" s="9"/>
    </row>
    <row r="377" ht="15.75" customHeight="1">
      <c r="A377" s="9"/>
      <c r="B377" s="9"/>
      <c r="C377" s="9"/>
      <c r="D377" s="9"/>
      <c r="E377" s="9"/>
    </row>
    <row r="378" ht="15.75" customHeight="1">
      <c r="A378" s="9"/>
      <c r="B378" s="9"/>
      <c r="C378" s="9"/>
      <c r="D378" s="9"/>
      <c r="E378" s="9"/>
    </row>
    <row r="379" ht="15.75" customHeight="1">
      <c r="A379" s="9"/>
      <c r="B379" s="9"/>
      <c r="C379" s="9"/>
      <c r="D379" s="9"/>
      <c r="E379" s="9"/>
    </row>
    <row r="380" ht="15.75" customHeight="1">
      <c r="A380" s="9"/>
      <c r="B380" s="9"/>
      <c r="C380" s="9"/>
      <c r="D380" s="9"/>
      <c r="E380" s="9"/>
    </row>
    <row r="381" ht="15.75" customHeight="1">
      <c r="A381" s="9"/>
      <c r="B381" s="9"/>
      <c r="C381" s="9"/>
      <c r="D381" s="9"/>
      <c r="E381" s="9"/>
    </row>
    <row r="382" ht="15.75" customHeight="1">
      <c r="A382" s="9"/>
      <c r="B382" s="9"/>
      <c r="C382" s="9"/>
      <c r="D382" s="9"/>
      <c r="E382" s="9"/>
    </row>
    <row r="383" ht="15.75" customHeight="1">
      <c r="A383" s="9"/>
      <c r="B383" s="9"/>
      <c r="C383" s="9"/>
      <c r="D383" s="9"/>
      <c r="E383" s="9"/>
    </row>
    <row r="384" ht="15.75" customHeight="1">
      <c r="A384" s="9"/>
      <c r="B384" s="9"/>
      <c r="C384" s="9"/>
      <c r="D384" s="9"/>
      <c r="E384" s="9"/>
    </row>
    <row r="385" ht="15.75" customHeight="1">
      <c r="A385" s="9"/>
      <c r="B385" s="9"/>
      <c r="C385" s="9"/>
      <c r="D385" s="9"/>
      <c r="E385" s="9"/>
    </row>
    <row r="386" ht="15.75" customHeight="1">
      <c r="A386" s="9"/>
      <c r="B386" s="9"/>
      <c r="C386" s="9"/>
      <c r="D386" s="9"/>
      <c r="E386" s="9"/>
    </row>
    <row r="387" ht="15.75" customHeight="1">
      <c r="A387" s="9"/>
      <c r="B387" s="9"/>
      <c r="C387" s="9"/>
      <c r="D387" s="9"/>
      <c r="E387" s="9"/>
    </row>
    <row r="388" ht="15.75" customHeight="1">
      <c r="A388" s="9"/>
      <c r="B388" s="9"/>
      <c r="C388" s="9"/>
      <c r="D388" s="9"/>
      <c r="E388" s="9"/>
    </row>
    <row r="389" ht="15.75" customHeight="1">
      <c r="A389" s="9"/>
      <c r="B389" s="9"/>
      <c r="C389" s="9"/>
      <c r="D389" s="9"/>
      <c r="E389" s="9"/>
    </row>
    <row r="390" ht="15.75" customHeight="1">
      <c r="A390" s="9"/>
      <c r="B390" s="9"/>
      <c r="C390" s="9"/>
      <c r="D390" s="9"/>
      <c r="E390" s="9"/>
    </row>
    <row r="391" ht="15.75" customHeight="1">
      <c r="A391" s="9"/>
      <c r="B391" s="9"/>
      <c r="C391" s="9"/>
      <c r="D391" s="9"/>
      <c r="E391" s="9"/>
    </row>
    <row r="392" ht="15.75" customHeight="1">
      <c r="A392" s="9"/>
      <c r="B392" s="9"/>
      <c r="C392" s="9"/>
      <c r="D392" s="9"/>
      <c r="E392" s="9"/>
    </row>
    <row r="393" ht="15.75" customHeight="1">
      <c r="A393" s="9"/>
      <c r="B393" s="9"/>
      <c r="C393" s="9"/>
      <c r="D393" s="9"/>
      <c r="E393" s="9"/>
    </row>
    <row r="394" ht="15.75" customHeight="1">
      <c r="A394" s="9"/>
      <c r="B394" s="9"/>
      <c r="C394" s="9"/>
      <c r="D394" s="9"/>
      <c r="E394" s="9"/>
    </row>
    <row r="395" ht="15.75" customHeight="1">
      <c r="A395" s="9"/>
      <c r="B395" s="9"/>
      <c r="C395" s="9"/>
      <c r="D395" s="9"/>
      <c r="E395" s="9"/>
    </row>
    <row r="396" ht="15.75" customHeight="1">
      <c r="A396" s="9"/>
      <c r="B396" s="9"/>
      <c r="C396" s="9"/>
      <c r="D396" s="9"/>
      <c r="E396" s="9"/>
    </row>
    <row r="397" ht="15.75" customHeight="1">
      <c r="A397" s="9"/>
      <c r="B397" s="9"/>
      <c r="C397" s="9"/>
      <c r="D397" s="9"/>
      <c r="E397" s="9"/>
    </row>
    <row r="398" ht="15.75" customHeight="1">
      <c r="A398" s="9"/>
      <c r="B398" s="9"/>
      <c r="C398" s="9"/>
      <c r="D398" s="9"/>
      <c r="E398" s="9"/>
    </row>
    <row r="399" ht="15.75" customHeight="1">
      <c r="A399" s="9"/>
      <c r="B399" s="9"/>
      <c r="C399" s="9"/>
      <c r="D399" s="9"/>
      <c r="E399" s="9"/>
    </row>
    <row r="400" ht="15.75" customHeight="1">
      <c r="A400" s="9"/>
      <c r="B400" s="9"/>
      <c r="C400" s="9"/>
      <c r="D400" s="9"/>
      <c r="E400" s="9"/>
    </row>
    <row r="401" ht="15.75" customHeight="1">
      <c r="A401" s="9"/>
      <c r="B401" s="9"/>
      <c r="C401" s="9"/>
      <c r="D401" s="9"/>
      <c r="E401" s="9"/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>
      <c r="A585" s="9"/>
      <c r="B585" s="9"/>
      <c r="C585" s="9"/>
      <c r="D585" s="9"/>
      <c r="E585" s="9"/>
    </row>
    <row r="586" ht="15.75" customHeight="1">
      <c r="A586" s="9"/>
      <c r="B586" s="9"/>
      <c r="C586" s="9"/>
      <c r="D586" s="9"/>
      <c r="E586" s="9"/>
    </row>
    <row r="587" ht="15.75" customHeight="1">
      <c r="A587" s="9"/>
      <c r="B587" s="9"/>
      <c r="C587" s="9"/>
      <c r="D587" s="9"/>
      <c r="E587" s="9"/>
    </row>
    <row r="588" ht="15.75" customHeight="1">
      <c r="A588" s="9"/>
      <c r="B588" s="9"/>
      <c r="C588" s="9"/>
      <c r="D588" s="9"/>
      <c r="E588" s="9"/>
    </row>
    <row r="589" ht="15.75" customHeight="1">
      <c r="A589" s="9"/>
      <c r="B589" s="9"/>
      <c r="C589" s="9"/>
      <c r="D589" s="9"/>
      <c r="E589" s="9"/>
    </row>
    <row r="590" ht="15.75" customHeight="1">
      <c r="A590" s="9"/>
      <c r="B590" s="9"/>
      <c r="C590" s="9"/>
      <c r="D590" s="9"/>
      <c r="E590" s="9"/>
    </row>
    <row r="591" ht="15.75" customHeight="1">
      <c r="A591" s="9"/>
      <c r="B591" s="9"/>
      <c r="C591" s="9"/>
      <c r="D591" s="9"/>
      <c r="E591" s="9"/>
    </row>
    <row r="592" ht="15.75" customHeight="1">
      <c r="A592" s="9"/>
      <c r="B592" s="9"/>
      <c r="C592" s="9"/>
      <c r="D592" s="9"/>
      <c r="E592" s="9"/>
    </row>
    <row r="593" ht="15.75" customHeight="1">
      <c r="A593" s="9"/>
      <c r="B593" s="9"/>
      <c r="C593" s="9"/>
      <c r="D593" s="9"/>
      <c r="E593" s="9"/>
    </row>
    <row r="594" ht="15.75" customHeight="1">
      <c r="A594" s="9"/>
      <c r="B594" s="9"/>
      <c r="C594" s="9"/>
      <c r="D594" s="9"/>
      <c r="E594" s="9"/>
    </row>
    <row r="595" ht="15.75" customHeight="1">
      <c r="A595" s="9"/>
      <c r="B595" s="9"/>
      <c r="C595" s="9"/>
      <c r="D595" s="9"/>
      <c r="E595" s="9"/>
    </row>
    <row r="596" ht="15.75" customHeight="1">
      <c r="A596" s="9"/>
      <c r="B596" s="9"/>
      <c r="C596" s="9"/>
      <c r="D596" s="9"/>
      <c r="E596" s="9"/>
    </row>
    <row r="597" ht="15.75" customHeight="1">
      <c r="A597" s="9"/>
      <c r="B597" s="9"/>
      <c r="C597" s="9"/>
      <c r="D597" s="9"/>
      <c r="E597" s="9"/>
    </row>
    <row r="598" ht="15.75" customHeight="1">
      <c r="A598" s="9"/>
      <c r="B598" s="9"/>
      <c r="C598" s="9"/>
      <c r="D598" s="9"/>
      <c r="E598" s="9"/>
    </row>
    <row r="599" ht="15.75" customHeight="1">
      <c r="A599" s="9"/>
      <c r="B599" s="9"/>
      <c r="C599" s="9"/>
      <c r="D599" s="9"/>
      <c r="E599" s="9"/>
    </row>
    <row r="600" ht="15.75" customHeight="1">
      <c r="A600" s="9"/>
      <c r="B600" s="9"/>
      <c r="C600" s="9"/>
      <c r="D600" s="9"/>
      <c r="E600" s="9"/>
    </row>
    <row r="601" ht="15.75" customHeight="1">
      <c r="A601" s="9"/>
      <c r="B601" s="9"/>
      <c r="C601" s="9"/>
      <c r="D601" s="9"/>
      <c r="E601" s="9"/>
    </row>
    <row r="602" ht="15.75" customHeight="1">
      <c r="A602" s="9"/>
      <c r="B602" s="9"/>
      <c r="C602" s="9"/>
      <c r="D602" s="9"/>
      <c r="E602" s="9"/>
    </row>
    <row r="603" ht="15.75" customHeight="1">
      <c r="A603" s="9"/>
      <c r="B603" s="9"/>
      <c r="C603" s="9"/>
      <c r="D603" s="9"/>
      <c r="E603" s="9"/>
    </row>
    <row r="604" ht="15.75" customHeight="1">
      <c r="A604" s="9"/>
      <c r="B604" s="9"/>
      <c r="C604" s="9"/>
      <c r="D604" s="9"/>
      <c r="E604" s="9"/>
    </row>
    <row r="605" ht="15.75" customHeight="1">
      <c r="A605" s="9"/>
      <c r="B605" s="9"/>
      <c r="C605" s="9"/>
      <c r="D605" s="9"/>
      <c r="E605" s="9"/>
    </row>
    <row r="606" ht="15.75" customHeight="1">
      <c r="A606" s="9"/>
      <c r="B606" s="9"/>
      <c r="C606" s="9"/>
      <c r="D606" s="9"/>
      <c r="E606" s="9"/>
    </row>
    <row r="607" ht="15.75" customHeight="1">
      <c r="A607" s="9"/>
      <c r="B607" s="9"/>
      <c r="C607" s="9"/>
      <c r="D607" s="9"/>
      <c r="E607" s="9"/>
    </row>
    <row r="608" ht="15.75" customHeight="1">
      <c r="A608" s="9"/>
      <c r="B608" s="9"/>
      <c r="C608" s="9"/>
      <c r="D608" s="9"/>
      <c r="E608" s="9"/>
    </row>
    <row r="609" ht="15.75" customHeight="1">
      <c r="A609" s="9"/>
      <c r="B609" s="9"/>
      <c r="C609" s="9"/>
      <c r="D609" s="9"/>
      <c r="E609" s="9"/>
    </row>
    <row r="610" ht="15.75" customHeight="1">
      <c r="A610" s="9"/>
      <c r="B610" s="9"/>
      <c r="C610" s="9"/>
      <c r="D610" s="9"/>
      <c r="E610" s="9"/>
    </row>
    <row r="611" ht="15.75" customHeight="1">
      <c r="A611" s="9"/>
      <c r="B611" s="9"/>
      <c r="C611" s="9"/>
      <c r="D611" s="9"/>
      <c r="E611" s="9"/>
    </row>
    <row r="612" ht="15.75" customHeight="1">
      <c r="A612" s="9"/>
      <c r="B612" s="9"/>
      <c r="C612" s="9"/>
      <c r="D612" s="9"/>
      <c r="E612" s="9"/>
    </row>
    <row r="613" ht="15.75" customHeight="1">
      <c r="A613" s="9"/>
      <c r="B613" s="9"/>
      <c r="C613" s="9"/>
      <c r="D613" s="9"/>
      <c r="E613" s="9"/>
    </row>
    <row r="614" ht="15.75" customHeight="1">
      <c r="A614" s="9"/>
      <c r="B614" s="9"/>
      <c r="C614" s="9"/>
      <c r="D614" s="9"/>
      <c r="E614" s="9"/>
    </row>
    <row r="615" ht="15.75" customHeight="1">
      <c r="A615" s="9"/>
      <c r="B615" s="9"/>
      <c r="C615" s="9"/>
      <c r="D615" s="9"/>
      <c r="E615" s="9"/>
    </row>
    <row r="616" ht="15.75" customHeight="1">
      <c r="A616" s="9"/>
      <c r="B616" s="9"/>
      <c r="C616" s="9"/>
      <c r="D616" s="9"/>
      <c r="E616" s="9"/>
    </row>
    <row r="617" ht="15.75" customHeight="1">
      <c r="A617" s="9"/>
      <c r="B617" s="9"/>
      <c r="C617" s="9"/>
      <c r="D617" s="9"/>
      <c r="E617" s="9"/>
    </row>
    <row r="618" ht="15.75" customHeight="1">
      <c r="A618" s="9"/>
      <c r="B618" s="9"/>
      <c r="C618" s="9"/>
      <c r="D618" s="9"/>
      <c r="E618" s="9"/>
    </row>
    <row r="619" ht="15.75" customHeight="1">
      <c r="A619" s="9"/>
      <c r="B619" s="9"/>
      <c r="C619" s="9"/>
      <c r="D619" s="9"/>
      <c r="E619" s="9"/>
    </row>
    <row r="620" ht="15.75" customHeight="1">
      <c r="A620" s="9"/>
      <c r="B620" s="9"/>
      <c r="C620" s="9"/>
      <c r="D620" s="9"/>
      <c r="E620" s="9"/>
    </row>
    <row r="621" ht="15.75" customHeight="1">
      <c r="A621" s="9"/>
      <c r="B621" s="9"/>
      <c r="C621" s="9"/>
      <c r="D621" s="9"/>
      <c r="E621" s="9"/>
    </row>
    <row r="622" ht="15.75" customHeight="1">
      <c r="A622" s="9"/>
      <c r="B622" s="9"/>
      <c r="C622" s="9"/>
      <c r="D622" s="9"/>
      <c r="E622" s="9"/>
    </row>
    <row r="623" ht="15.75" customHeight="1">
      <c r="A623" s="9"/>
      <c r="B623" s="9"/>
      <c r="C623" s="9"/>
      <c r="D623" s="9"/>
      <c r="E623" s="9"/>
    </row>
    <row r="624" ht="15.75" customHeight="1">
      <c r="A624" s="9"/>
      <c r="B624" s="9"/>
      <c r="C624" s="9"/>
      <c r="D624" s="9"/>
      <c r="E624" s="9"/>
    </row>
    <row r="625" ht="15.75" customHeight="1">
      <c r="A625" s="9"/>
      <c r="B625" s="9"/>
      <c r="C625" s="9"/>
      <c r="D625" s="9"/>
      <c r="E625" s="9"/>
    </row>
    <row r="626" ht="15.75" customHeight="1">
      <c r="A626" s="9"/>
      <c r="B626" s="9"/>
      <c r="C626" s="9"/>
      <c r="D626" s="9"/>
      <c r="E626" s="9"/>
    </row>
    <row r="627" ht="15.75" customHeight="1">
      <c r="A627" s="9"/>
      <c r="B627" s="9"/>
      <c r="C627" s="9"/>
      <c r="D627" s="9"/>
      <c r="E627" s="9"/>
    </row>
    <row r="628" ht="15.75" customHeight="1">
      <c r="A628" s="9"/>
      <c r="B628" s="9"/>
      <c r="C628" s="9"/>
      <c r="D628" s="9"/>
      <c r="E628" s="9"/>
    </row>
    <row r="629" ht="15.75" customHeight="1">
      <c r="A629" s="9"/>
      <c r="B629" s="9"/>
      <c r="C629" s="9"/>
      <c r="D629" s="9"/>
      <c r="E629" s="9"/>
    </row>
    <row r="630" ht="15.75" customHeight="1">
      <c r="A630" s="9"/>
      <c r="B630" s="9"/>
      <c r="C630" s="9"/>
      <c r="D630" s="9"/>
      <c r="E630" s="9"/>
    </row>
    <row r="631" ht="15.75" customHeight="1">
      <c r="A631" s="9"/>
      <c r="B631" s="9"/>
      <c r="C631" s="9"/>
      <c r="D631" s="9"/>
      <c r="E631" s="9"/>
    </row>
    <row r="632" ht="15.75" customHeight="1">
      <c r="A632" s="9"/>
      <c r="B632" s="9"/>
      <c r="C632" s="9"/>
      <c r="D632" s="9"/>
      <c r="E632" s="9"/>
    </row>
    <row r="633" ht="15.75" customHeight="1">
      <c r="A633" s="9"/>
      <c r="B633" s="9"/>
      <c r="C633" s="9"/>
      <c r="D633" s="9"/>
      <c r="E633" s="9"/>
    </row>
    <row r="634" ht="15.75" customHeight="1">
      <c r="A634" s="9"/>
      <c r="B634" s="9"/>
      <c r="C634" s="9"/>
      <c r="D634" s="9"/>
      <c r="E634" s="9"/>
    </row>
    <row r="635" ht="15.75" customHeight="1">
      <c r="A635" s="9"/>
      <c r="B635" s="9"/>
      <c r="C635" s="9"/>
      <c r="D635" s="9"/>
      <c r="E635" s="9"/>
    </row>
    <row r="636" ht="15.75" customHeight="1">
      <c r="A636" s="9"/>
      <c r="B636" s="9"/>
      <c r="C636" s="9"/>
      <c r="D636" s="9"/>
      <c r="E636" s="9"/>
    </row>
    <row r="637" ht="15.75" customHeight="1">
      <c r="A637" s="9"/>
      <c r="B637" s="9"/>
      <c r="C637" s="9"/>
      <c r="D637" s="9"/>
      <c r="E637" s="9"/>
    </row>
    <row r="638" ht="15.75" customHeight="1">
      <c r="A638" s="9"/>
      <c r="B638" s="9"/>
      <c r="C638" s="9"/>
      <c r="D638" s="9"/>
      <c r="E638" s="9"/>
    </row>
    <row r="639" ht="15.75" customHeight="1">
      <c r="A639" s="9"/>
      <c r="B639" s="9"/>
      <c r="C639" s="9"/>
      <c r="D639" s="9"/>
      <c r="E639" s="9"/>
    </row>
    <row r="640" ht="15.75" customHeight="1">
      <c r="A640" s="9"/>
      <c r="B640" s="9"/>
      <c r="C640" s="9"/>
      <c r="D640" s="9"/>
      <c r="E640" s="9"/>
    </row>
    <row r="641" ht="15.75" customHeight="1">
      <c r="A641" s="9"/>
      <c r="B641" s="9"/>
      <c r="C641" s="9"/>
      <c r="D641" s="9"/>
      <c r="E641" s="9"/>
    </row>
    <row r="642" ht="15.75" customHeight="1">
      <c r="A642" s="9"/>
      <c r="B642" s="9"/>
      <c r="C642" s="9"/>
      <c r="D642" s="9"/>
      <c r="E642" s="9"/>
    </row>
    <row r="643" ht="15.75" customHeight="1">
      <c r="A643" s="9"/>
      <c r="B643" s="9"/>
      <c r="C643" s="9"/>
      <c r="D643" s="9"/>
      <c r="E643" s="9"/>
    </row>
    <row r="644" ht="15.75" customHeight="1">
      <c r="A644" s="9"/>
      <c r="B644" s="9"/>
      <c r="C644" s="9"/>
      <c r="D644" s="9"/>
      <c r="E644" s="9"/>
    </row>
    <row r="645" ht="15.75" customHeight="1">
      <c r="A645" s="9"/>
      <c r="B645" s="9"/>
      <c r="C645" s="9"/>
      <c r="D645" s="9"/>
      <c r="E645" s="9"/>
    </row>
    <row r="646" ht="15.75" customHeight="1">
      <c r="A646" s="9"/>
      <c r="B646" s="9"/>
      <c r="C646" s="9"/>
      <c r="D646" s="9"/>
      <c r="E646" s="9"/>
    </row>
    <row r="647" ht="15.75" customHeight="1">
      <c r="A647" s="9"/>
      <c r="B647" s="9"/>
      <c r="C647" s="9"/>
      <c r="D647" s="9"/>
      <c r="E647" s="9"/>
    </row>
    <row r="648" ht="15.75" customHeight="1">
      <c r="A648" s="9"/>
      <c r="B648" s="9"/>
      <c r="C648" s="9"/>
      <c r="D648" s="9"/>
      <c r="E648" s="9"/>
    </row>
    <row r="649" ht="15.75" customHeight="1">
      <c r="A649" s="9"/>
      <c r="B649" s="9"/>
      <c r="C649" s="9"/>
      <c r="D649" s="9"/>
      <c r="E649" s="9"/>
    </row>
    <row r="650" ht="15.75" customHeight="1">
      <c r="A650" s="9"/>
      <c r="B650" s="9"/>
      <c r="C650" s="9"/>
      <c r="D650" s="9"/>
      <c r="E650" s="9"/>
    </row>
    <row r="651" ht="15.75" customHeight="1">
      <c r="A651" s="9"/>
      <c r="B651" s="9"/>
      <c r="C651" s="9"/>
      <c r="D651" s="9"/>
      <c r="E651" s="9"/>
    </row>
    <row r="652" ht="15.75" customHeight="1">
      <c r="A652" s="9"/>
      <c r="B652" s="9"/>
      <c r="C652" s="9"/>
      <c r="D652" s="9"/>
      <c r="E652" s="9"/>
    </row>
    <row r="653" ht="15.75" customHeight="1">
      <c r="A653" s="9"/>
      <c r="B653" s="9"/>
      <c r="C653" s="9"/>
      <c r="D653" s="9"/>
      <c r="E653" s="9"/>
    </row>
    <row r="654" ht="15.75" customHeight="1">
      <c r="A654" s="9"/>
      <c r="B654" s="9"/>
      <c r="C654" s="9"/>
      <c r="D654" s="9"/>
      <c r="E654" s="9"/>
    </row>
    <row r="655" ht="15.75" customHeight="1">
      <c r="A655" s="9"/>
      <c r="B655" s="9"/>
      <c r="C655" s="9"/>
      <c r="D655" s="9"/>
      <c r="E655" s="9"/>
    </row>
    <row r="656" ht="15.75" customHeight="1">
      <c r="A656" s="9"/>
      <c r="B656" s="9"/>
      <c r="C656" s="9"/>
      <c r="D656" s="9"/>
      <c r="E656" s="9"/>
    </row>
    <row r="657" ht="15.75" customHeight="1">
      <c r="A657" s="9"/>
      <c r="B657" s="9"/>
      <c r="C657" s="9"/>
      <c r="D657" s="9"/>
      <c r="E657" s="9"/>
    </row>
    <row r="658" ht="15.75" customHeight="1">
      <c r="A658" s="9"/>
      <c r="B658" s="9"/>
      <c r="C658" s="9"/>
      <c r="D658" s="9"/>
      <c r="E658" s="9"/>
    </row>
    <row r="659" ht="15.75" customHeight="1">
      <c r="A659" s="9"/>
      <c r="B659" s="9"/>
      <c r="C659" s="9"/>
      <c r="D659" s="9"/>
      <c r="E659" s="9"/>
    </row>
    <row r="660" ht="15.75" customHeight="1">
      <c r="A660" s="9"/>
      <c r="B660" s="9"/>
      <c r="C660" s="9"/>
      <c r="D660" s="9"/>
      <c r="E660" s="9"/>
    </row>
    <row r="661" ht="15.75" customHeight="1">
      <c r="A661" s="9"/>
      <c r="B661" s="9"/>
      <c r="C661" s="9"/>
      <c r="D661" s="9"/>
      <c r="E661" s="9"/>
    </row>
    <row r="662" ht="15.75" customHeight="1">
      <c r="A662" s="9"/>
      <c r="B662" s="9"/>
      <c r="C662" s="9"/>
      <c r="D662" s="9"/>
      <c r="E662" s="9"/>
    </row>
    <row r="663" ht="15.75" customHeight="1">
      <c r="A663" s="9"/>
      <c r="B663" s="9"/>
      <c r="C663" s="9"/>
      <c r="D663" s="9"/>
      <c r="E663" s="9"/>
    </row>
    <row r="664" ht="15.75" customHeight="1">
      <c r="A664" s="9"/>
      <c r="B664" s="9"/>
      <c r="C664" s="9"/>
      <c r="D664" s="9"/>
      <c r="E664" s="9"/>
    </row>
    <row r="665" ht="15.75" customHeight="1">
      <c r="A665" s="9"/>
      <c r="B665" s="9"/>
      <c r="C665" s="9"/>
      <c r="D665" s="9"/>
      <c r="E665" s="9"/>
    </row>
    <row r="666" ht="15.75" customHeight="1">
      <c r="A666" s="9"/>
      <c r="B666" s="9"/>
      <c r="C666" s="9"/>
      <c r="D666" s="9"/>
      <c r="E666" s="9"/>
    </row>
    <row r="667" ht="15.75" customHeight="1">
      <c r="A667" s="9"/>
      <c r="B667" s="9"/>
      <c r="C667" s="9"/>
      <c r="D667" s="9"/>
      <c r="E667" s="9"/>
    </row>
    <row r="668" ht="15.75" customHeight="1">
      <c r="A668" s="9"/>
      <c r="B668" s="9"/>
      <c r="C668" s="9"/>
      <c r="D668" s="9"/>
      <c r="E668" s="9"/>
    </row>
    <row r="669" ht="15.75" customHeight="1">
      <c r="A669" s="9"/>
      <c r="B669" s="9"/>
      <c r="C669" s="9"/>
      <c r="D669" s="9"/>
      <c r="E669" s="9"/>
    </row>
    <row r="670" ht="15.75" customHeight="1">
      <c r="A670" s="9"/>
      <c r="B670" s="9"/>
      <c r="C670" s="9"/>
      <c r="D670" s="9"/>
      <c r="E670" s="9"/>
    </row>
    <row r="671" ht="15.75" customHeight="1">
      <c r="A671" s="9"/>
      <c r="B671" s="9"/>
      <c r="C671" s="9"/>
      <c r="D671" s="9"/>
      <c r="E671" s="9"/>
    </row>
    <row r="672" ht="15.75" customHeight="1">
      <c r="A672" s="9"/>
      <c r="B672" s="9"/>
      <c r="C672" s="9"/>
      <c r="D672" s="9"/>
      <c r="E672" s="9"/>
    </row>
    <row r="673" ht="15.75" customHeight="1">
      <c r="A673" s="9"/>
      <c r="B673" s="9"/>
      <c r="C673" s="9"/>
      <c r="D673" s="9"/>
      <c r="E673" s="9"/>
    </row>
    <row r="674" ht="15.75" customHeight="1">
      <c r="A674" s="9"/>
      <c r="B674" s="9"/>
      <c r="C674" s="9"/>
      <c r="D674" s="9"/>
      <c r="E674" s="9"/>
    </row>
    <row r="675" ht="15.75" customHeight="1">
      <c r="A675" s="9"/>
      <c r="B675" s="9"/>
      <c r="C675" s="9"/>
      <c r="D675" s="9"/>
      <c r="E675" s="9"/>
    </row>
    <row r="676" ht="15.75" customHeight="1">
      <c r="A676" s="9"/>
      <c r="B676" s="9"/>
      <c r="C676" s="9"/>
      <c r="D676" s="9"/>
      <c r="E676" s="9"/>
    </row>
    <row r="677" ht="15.75" customHeight="1">
      <c r="A677" s="9"/>
      <c r="B677" s="9"/>
      <c r="C677" s="9"/>
      <c r="D677" s="9"/>
      <c r="E677" s="9"/>
    </row>
    <row r="678" ht="15.75" customHeight="1">
      <c r="A678" s="9"/>
      <c r="B678" s="9"/>
      <c r="C678" s="9"/>
      <c r="D678" s="9"/>
      <c r="E678" s="9"/>
    </row>
    <row r="679" ht="15.75" customHeight="1">
      <c r="A679" s="9"/>
      <c r="B679" s="9"/>
      <c r="C679" s="9"/>
      <c r="D679" s="9"/>
      <c r="E679" s="9"/>
    </row>
    <row r="680" ht="15.75" customHeight="1">
      <c r="A680" s="9"/>
      <c r="B680" s="9"/>
      <c r="C680" s="9"/>
      <c r="D680" s="9"/>
      <c r="E680" s="9"/>
    </row>
    <row r="681" ht="15.75" customHeight="1">
      <c r="A681" s="9"/>
      <c r="B681" s="9"/>
      <c r="C681" s="9"/>
      <c r="D681" s="9"/>
      <c r="E681" s="9"/>
    </row>
    <row r="682" ht="15.75" customHeight="1">
      <c r="A682" s="9"/>
      <c r="B682" s="9"/>
      <c r="C682" s="9"/>
      <c r="D682" s="9"/>
      <c r="E682" s="9"/>
    </row>
    <row r="683" ht="15.75" customHeight="1">
      <c r="A683" s="9"/>
      <c r="B683" s="9"/>
      <c r="C683" s="9"/>
      <c r="D683" s="9"/>
      <c r="E683" s="9"/>
    </row>
    <row r="684" ht="15.75" customHeight="1">
      <c r="A684" s="9"/>
      <c r="B684" s="9"/>
      <c r="C684" s="9"/>
      <c r="D684" s="9"/>
      <c r="E684" s="9"/>
    </row>
    <row r="685" ht="15.75" customHeight="1">
      <c r="A685" s="9"/>
      <c r="B685" s="9"/>
      <c r="C685" s="9"/>
      <c r="D685" s="9"/>
      <c r="E685" s="9"/>
    </row>
    <row r="686" ht="15.75" customHeight="1">
      <c r="A686" s="9"/>
      <c r="B686" s="9"/>
      <c r="C686" s="9"/>
      <c r="D686" s="9"/>
      <c r="E686" s="9"/>
    </row>
    <row r="687" ht="15.75" customHeight="1">
      <c r="A687" s="9"/>
      <c r="B687" s="9"/>
      <c r="C687" s="9"/>
      <c r="D687" s="9"/>
      <c r="E687" s="9"/>
    </row>
    <row r="688" ht="15.75" customHeight="1">
      <c r="A688" s="9"/>
      <c r="B688" s="9"/>
      <c r="C688" s="9"/>
      <c r="D688" s="9"/>
      <c r="E688" s="9"/>
    </row>
    <row r="689" ht="15.75" customHeight="1">
      <c r="A689" s="9"/>
      <c r="B689" s="9"/>
      <c r="C689" s="9"/>
      <c r="D689" s="9"/>
      <c r="E689" s="9"/>
    </row>
    <row r="690" ht="15.75" customHeight="1">
      <c r="A690" s="9"/>
      <c r="B690" s="9"/>
      <c r="C690" s="9"/>
      <c r="D690" s="9"/>
      <c r="E690" s="9"/>
    </row>
    <row r="691" ht="15.75" customHeight="1">
      <c r="A691" s="9"/>
      <c r="B691" s="9"/>
      <c r="C691" s="9"/>
      <c r="D691" s="9"/>
      <c r="E691" s="9"/>
    </row>
    <row r="692" ht="15.75" customHeight="1">
      <c r="A692" s="9"/>
      <c r="B692" s="9"/>
      <c r="C692" s="9"/>
      <c r="D692" s="9"/>
      <c r="E692" s="9"/>
    </row>
    <row r="693" ht="15.75" customHeight="1">
      <c r="A693" s="9"/>
      <c r="B693" s="9"/>
      <c r="C693" s="9"/>
      <c r="D693" s="9"/>
      <c r="E693" s="9"/>
    </row>
    <row r="694" ht="15.75" customHeight="1">
      <c r="A694" s="9"/>
      <c r="B694" s="9"/>
      <c r="C694" s="9"/>
      <c r="D694" s="9"/>
      <c r="E694" s="9"/>
    </row>
    <row r="695" ht="15.75" customHeight="1">
      <c r="A695" s="9"/>
      <c r="B695" s="9"/>
      <c r="C695" s="9"/>
      <c r="D695" s="9"/>
      <c r="E695" s="9"/>
    </row>
    <row r="696" ht="15.75" customHeight="1">
      <c r="A696" s="9"/>
      <c r="B696" s="9"/>
      <c r="C696" s="9"/>
      <c r="D696" s="9"/>
      <c r="E696" s="9"/>
    </row>
    <row r="697" ht="15.75" customHeight="1">
      <c r="A697" s="9"/>
      <c r="B697" s="9"/>
      <c r="C697" s="9"/>
      <c r="D697" s="9"/>
      <c r="E697" s="9"/>
    </row>
    <row r="698" ht="15.75" customHeight="1">
      <c r="A698" s="9"/>
      <c r="B698" s="9"/>
      <c r="C698" s="9"/>
      <c r="D698" s="9"/>
      <c r="E698" s="9"/>
    </row>
    <row r="699" ht="15.75" customHeight="1">
      <c r="A699" s="9"/>
      <c r="B699" s="9"/>
      <c r="C699" s="9"/>
      <c r="D699" s="9"/>
      <c r="E699" s="9"/>
    </row>
    <row r="700" ht="15.75" customHeight="1">
      <c r="A700" s="9"/>
      <c r="B700" s="9"/>
      <c r="C700" s="9"/>
      <c r="D700" s="9"/>
      <c r="E700" s="9"/>
    </row>
    <row r="701" ht="15.75" customHeight="1">
      <c r="A701" s="9"/>
      <c r="B701" s="9"/>
      <c r="C701" s="9"/>
      <c r="D701" s="9"/>
      <c r="E701" s="9"/>
    </row>
    <row r="702" ht="15.75" customHeight="1">
      <c r="A702" s="9"/>
      <c r="B702" s="9"/>
      <c r="C702" s="9"/>
      <c r="D702" s="9"/>
      <c r="E702" s="9"/>
    </row>
    <row r="703" ht="15.75" customHeight="1">
      <c r="A703" s="9"/>
      <c r="B703" s="9"/>
      <c r="C703" s="9"/>
      <c r="D703" s="9"/>
      <c r="E703" s="9"/>
    </row>
    <row r="704" ht="15.75" customHeight="1">
      <c r="A704" s="9"/>
      <c r="B704" s="9"/>
      <c r="C704" s="9"/>
      <c r="D704" s="9"/>
      <c r="E704" s="9"/>
    </row>
    <row r="705" ht="15.75" customHeight="1">
      <c r="A705" s="9"/>
      <c r="B705" s="9"/>
      <c r="C705" s="9"/>
      <c r="D705" s="9"/>
      <c r="E705" s="9"/>
    </row>
    <row r="706" ht="15.75" customHeight="1">
      <c r="A706" s="9"/>
      <c r="B706" s="9"/>
      <c r="C706" s="9"/>
      <c r="D706" s="9"/>
      <c r="E706" s="9"/>
    </row>
    <row r="707" ht="15.75" customHeight="1">
      <c r="A707" s="9"/>
      <c r="B707" s="9"/>
      <c r="C707" s="9"/>
      <c r="D707" s="9"/>
      <c r="E707" s="9"/>
    </row>
    <row r="708" ht="15.75" customHeight="1">
      <c r="A708" s="9"/>
      <c r="B708" s="9"/>
      <c r="C708" s="9"/>
      <c r="D708" s="9"/>
      <c r="E708" s="9"/>
    </row>
    <row r="709" ht="15.75" customHeight="1">
      <c r="A709" s="9"/>
      <c r="B709" s="9"/>
      <c r="C709" s="9"/>
      <c r="D709" s="9"/>
      <c r="E709" s="9"/>
    </row>
    <row r="710" ht="15.75" customHeight="1">
      <c r="A710" s="9"/>
      <c r="B710" s="9"/>
      <c r="C710" s="9"/>
      <c r="D710" s="9"/>
      <c r="E710" s="9"/>
    </row>
    <row r="711" ht="15.75" customHeight="1">
      <c r="A711" s="9"/>
      <c r="B711" s="9"/>
      <c r="C711" s="9"/>
      <c r="D711" s="9"/>
      <c r="E711" s="9"/>
    </row>
    <row r="712" ht="15.75" customHeight="1">
      <c r="A712" s="9"/>
      <c r="B712" s="9"/>
      <c r="C712" s="9"/>
      <c r="D712" s="9"/>
      <c r="E712" s="9"/>
    </row>
    <row r="713" ht="15.75" customHeight="1">
      <c r="A713" s="9"/>
      <c r="B713" s="9"/>
      <c r="C713" s="9"/>
      <c r="D713" s="9"/>
      <c r="E713" s="9"/>
    </row>
    <row r="714" ht="15.75" customHeight="1">
      <c r="A714" s="9"/>
      <c r="B714" s="9"/>
      <c r="C714" s="9"/>
      <c r="D714" s="9"/>
      <c r="E714" s="9"/>
    </row>
    <row r="715" ht="15.75" customHeight="1">
      <c r="A715" s="9"/>
      <c r="B715" s="9"/>
      <c r="C715" s="9"/>
      <c r="D715" s="9"/>
      <c r="E715" s="9"/>
    </row>
    <row r="716" ht="15.75" customHeight="1">
      <c r="A716" s="9"/>
      <c r="B716" s="9"/>
      <c r="C716" s="9"/>
      <c r="D716" s="9"/>
      <c r="E716" s="9"/>
    </row>
    <row r="717" ht="15.75" customHeight="1">
      <c r="A717" s="9"/>
      <c r="B717" s="9"/>
      <c r="C717" s="9"/>
      <c r="D717" s="9"/>
      <c r="E717" s="9"/>
    </row>
    <row r="718" ht="15.75" customHeight="1">
      <c r="A718" s="9"/>
      <c r="B718" s="9"/>
      <c r="C718" s="9"/>
      <c r="D718" s="9"/>
      <c r="E718" s="9"/>
    </row>
    <row r="719" ht="15.75" customHeight="1">
      <c r="A719" s="9"/>
      <c r="B719" s="9"/>
      <c r="C719" s="9"/>
      <c r="D719" s="9"/>
      <c r="E719" s="9"/>
    </row>
    <row r="720" ht="15.75" customHeight="1">
      <c r="A720" s="9"/>
      <c r="B720" s="9"/>
      <c r="C720" s="9"/>
      <c r="D720" s="9"/>
      <c r="E720" s="9"/>
    </row>
    <row r="721" ht="15.75" customHeight="1">
      <c r="A721" s="9"/>
      <c r="B721" s="9"/>
      <c r="C721" s="9"/>
      <c r="D721" s="9"/>
      <c r="E721" s="9"/>
    </row>
    <row r="722" ht="15.75" customHeight="1">
      <c r="A722" s="9"/>
      <c r="B722" s="9"/>
      <c r="C722" s="9"/>
      <c r="D722" s="9"/>
      <c r="E722" s="9"/>
    </row>
    <row r="723" ht="15.75" customHeight="1">
      <c r="A723" s="9"/>
      <c r="B723" s="9"/>
      <c r="C723" s="9"/>
      <c r="D723" s="9"/>
      <c r="E723" s="9"/>
    </row>
    <row r="724" ht="15.75" customHeight="1">
      <c r="A724" s="9"/>
      <c r="B724" s="9"/>
      <c r="C724" s="9"/>
      <c r="D724" s="9"/>
      <c r="E724" s="9"/>
    </row>
    <row r="725" ht="15.75" customHeight="1">
      <c r="A725" s="9"/>
      <c r="B725" s="9"/>
      <c r="C725" s="9"/>
      <c r="D725" s="9"/>
      <c r="E725" s="9"/>
    </row>
    <row r="726" ht="15.75" customHeight="1">
      <c r="A726" s="9"/>
      <c r="B726" s="9"/>
      <c r="C726" s="9"/>
      <c r="D726" s="9"/>
      <c r="E726" s="9"/>
    </row>
    <row r="727" ht="15.75" customHeight="1">
      <c r="A727" s="9"/>
      <c r="B727" s="9"/>
      <c r="C727" s="9"/>
      <c r="D727" s="9"/>
      <c r="E727" s="9"/>
    </row>
    <row r="728" ht="15.75" customHeight="1">
      <c r="A728" s="9"/>
      <c r="B728" s="9"/>
      <c r="C728" s="9"/>
      <c r="D728" s="9"/>
      <c r="E728" s="9"/>
    </row>
    <row r="729" ht="15.75" customHeight="1">
      <c r="A729" s="9"/>
      <c r="B729" s="9"/>
      <c r="C729" s="9"/>
      <c r="D729" s="9"/>
      <c r="E729" s="9"/>
    </row>
    <row r="730" ht="15.75" customHeight="1">
      <c r="A730" s="9"/>
      <c r="B730" s="9"/>
      <c r="C730" s="9"/>
      <c r="D730" s="9"/>
      <c r="E730" s="9"/>
    </row>
    <row r="731" ht="15.75" customHeight="1">
      <c r="A731" s="9"/>
      <c r="B731" s="9"/>
      <c r="C731" s="9"/>
      <c r="D731" s="9"/>
      <c r="E731" s="9"/>
    </row>
    <row r="732" ht="15.75" customHeight="1">
      <c r="A732" s="9"/>
      <c r="B732" s="9"/>
      <c r="C732" s="9"/>
      <c r="D732" s="9"/>
      <c r="E732" s="9"/>
    </row>
    <row r="733" ht="15.75" customHeight="1">
      <c r="A733" s="9"/>
      <c r="B733" s="9"/>
      <c r="C733" s="9"/>
      <c r="D733" s="9"/>
      <c r="E733" s="9"/>
    </row>
    <row r="734" ht="15.75" customHeight="1">
      <c r="A734" s="9"/>
      <c r="B734" s="9"/>
      <c r="C734" s="9"/>
      <c r="D734" s="9"/>
      <c r="E734" s="9"/>
    </row>
    <row r="735" ht="15.75" customHeight="1">
      <c r="A735" s="9"/>
      <c r="B735" s="9"/>
      <c r="C735" s="9"/>
      <c r="D735" s="9"/>
      <c r="E735" s="9"/>
    </row>
    <row r="736" ht="15.75" customHeight="1">
      <c r="A736" s="9"/>
      <c r="B736" s="9"/>
      <c r="C736" s="9"/>
      <c r="D736" s="9"/>
      <c r="E736" s="9"/>
    </row>
    <row r="737" ht="15.75" customHeight="1">
      <c r="A737" s="9"/>
      <c r="B737" s="9"/>
      <c r="C737" s="9"/>
      <c r="D737" s="9"/>
      <c r="E737" s="9"/>
    </row>
    <row r="738" ht="15.75" customHeight="1">
      <c r="A738" s="9"/>
      <c r="B738" s="9"/>
      <c r="C738" s="9"/>
      <c r="D738" s="9"/>
      <c r="E738" s="9"/>
    </row>
    <row r="739" ht="15.75" customHeight="1">
      <c r="A739" s="9"/>
      <c r="B739" s="9"/>
      <c r="C739" s="9"/>
      <c r="D739" s="9"/>
      <c r="E739" s="9"/>
    </row>
    <row r="740" ht="15.75" customHeight="1">
      <c r="A740" s="9"/>
      <c r="B740" s="9"/>
      <c r="C740" s="9"/>
      <c r="D740" s="9"/>
      <c r="E740" s="9"/>
    </row>
    <row r="741" ht="15.75" customHeight="1">
      <c r="A741" s="9"/>
      <c r="B741" s="9"/>
      <c r="C741" s="9"/>
      <c r="D741" s="9"/>
      <c r="E741" s="9"/>
    </row>
    <row r="742" ht="15.75" customHeight="1">
      <c r="A742" s="9"/>
      <c r="B742" s="9"/>
      <c r="C742" s="9"/>
      <c r="D742" s="9"/>
      <c r="E742" s="9"/>
    </row>
    <row r="743" ht="15.75" customHeight="1">
      <c r="A743" s="9"/>
      <c r="B743" s="9"/>
      <c r="C743" s="9"/>
      <c r="D743" s="9"/>
      <c r="E743" s="9"/>
    </row>
    <row r="744" ht="15.75" customHeight="1">
      <c r="A744" s="9"/>
      <c r="B744" s="9"/>
      <c r="C744" s="9"/>
      <c r="D744" s="9"/>
      <c r="E744" s="9"/>
    </row>
    <row r="745" ht="15.75" customHeight="1">
      <c r="A745" s="9"/>
      <c r="B745" s="9"/>
      <c r="C745" s="9"/>
      <c r="D745" s="9"/>
      <c r="E745" s="9"/>
    </row>
    <row r="746" ht="15.75" customHeight="1">
      <c r="A746" s="9"/>
      <c r="B746" s="9"/>
      <c r="C746" s="9"/>
      <c r="D746" s="9"/>
      <c r="E746" s="9"/>
    </row>
    <row r="747" ht="15.75" customHeight="1">
      <c r="A747" s="9"/>
      <c r="B747" s="9"/>
      <c r="C747" s="9"/>
      <c r="D747" s="9"/>
      <c r="E747" s="9"/>
    </row>
    <row r="748" ht="15.75" customHeight="1">
      <c r="A748" s="9"/>
      <c r="B748" s="9"/>
      <c r="C748" s="9"/>
      <c r="D748" s="9"/>
      <c r="E748" s="9"/>
    </row>
    <row r="749" ht="15.75" customHeight="1">
      <c r="A749" s="9"/>
      <c r="B749" s="9"/>
      <c r="C749" s="9"/>
      <c r="D749" s="9"/>
      <c r="E749" s="9"/>
    </row>
    <row r="750" ht="15.75" customHeight="1">
      <c r="A750" s="9"/>
      <c r="B750" s="9"/>
      <c r="C750" s="9"/>
      <c r="D750" s="9"/>
      <c r="E750" s="9"/>
    </row>
    <row r="751" ht="15.75" customHeight="1">
      <c r="A751" s="9"/>
      <c r="B751" s="9"/>
      <c r="C751" s="9"/>
      <c r="D751" s="9"/>
      <c r="E751" s="9"/>
    </row>
    <row r="752" ht="15.75" customHeight="1">
      <c r="A752" s="9"/>
      <c r="B752" s="9"/>
      <c r="C752" s="9"/>
      <c r="D752" s="9"/>
      <c r="E752" s="9"/>
    </row>
    <row r="753" ht="15.75" customHeight="1">
      <c r="A753" s="9"/>
      <c r="B753" s="9"/>
      <c r="C753" s="9"/>
      <c r="D753" s="9"/>
      <c r="E753" s="9"/>
    </row>
    <row r="754" ht="15.75" customHeight="1">
      <c r="A754" s="9"/>
      <c r="B754" s="9"/>
      <c r="C754" s="9"/>
      <c r="D754" s="9"/>
      <c r="E754" s="9"/>
    </row>
    <row r="755" ht="15.75" customHeight="1">
      <c r="A755" s="9"/>
      <c r="B755" s="9"/>
      <c r="C755" s="9"/>
      <c r="D755" s="9"/>
      <c r="E755" s="9"/>
    </row>
    <row r="756" ht="15.75" customHeight="1">
      <c r="A756" s="9"/>
      <c r="B756" s="9"/>
      <c r="C756" s="9"/>
      <c r="D756" s="9"/>
      <c r="E756" s="9"/>
    </row>
    <row r="757" ht="15.75" customHeight="1">
      <c r="A757" s="9"/>
      <c r="B757" s="9"/>
      <c r="C757" s="9"/>
      <c r="D757" s="9"/>
      <c r="E757" s="9"/>
    </row>
    <row r="758" ht="15.75" customHeight="1">
      <c r="A758" s="9"/>
      <c r="B758" s="9"/>
      <c r="C758" s="9"/>
      <c r="D758" s="9"/>
      <c r="E758" s="9"/>
    </row>
    <row r="759" ht="15.75" customHeight="1">
      <c r="A759" s="9"/>
      <c r="B759" s="9"/>
      <c r="C759" s="9"/>
      <c r="D759" s="9"/>
      <c r="E759" s="9"/>
    </row>
    <row r="760" ht="15.75" customHeight="1">
      <c r="A760" s="9"/>
      <c r="B760" s="9"/>
      <c r="C760" s="9"/>
      <c r="D760" s="9"/>
      <c r="E760" s="9"/>
    </row>
    <row r="761" ht="15.75" customHeight="1">
      <c r="A761" s="9"/>
      <c r="B761" s="9"/>
      <c r="C761" s="9"/>
      <c r="D761" s="9"/>
      <c r="E761" s="9"/>
    </row>
    <row r="762" ht="15.75" customHeight="1">
      <c r="A762" s="9"/>
      <c r="B762" s="9"/>
      <c r="C762" s="9"/>
      <c r="D762" s="9"/>
      <c r="E762" s="9"/>
    </row>
    <row r="763" ht="15.75" customHeight="1">
      <c r="A763" s="9"/>
      <c r="B763" s="9"/>
      <c r="C763" s="9"/>
      <c r="D763" s="9"/>
      <c r="E763" s="9"/>
    </row>
    <row r="764" ht="15.75" customHeight="1">
      <c r="A764" s="9"/>
      <c r="B764" s="9"/>
      <c r="C764" s="9"/>
      <c r="D764" s="9"/>
      <c r="E764" s="9"/>
    </row>
    <row r="765" ht="15.75" customHeight="1">
      <c r="A765" s="9"/>
      <c r="B765" s="9"/>
      <c r="C765" s="9"/>
      <c r="D765" s="9"/>
      <c r="E765" s="9"/>
    </row>
    <row r="766" ht="15.75" customHeight="1">
      <c r="A766" s="9"/>
      <c r="B766" s="9"/>
      <c r="C766" s="9"/>
      <c r="D766" s="9"/>
      <c r="E766" s="9"/>
    </row>
    <row r="767" ht="15.75" customHeight="1">
      <c r="A767" s="9"/>
      <c r="B767" s="9"/>
      <c r="C767" s="9"/>
      <c r="D767" s="9"/>
      <c r="E767" s="9"/>
    </row>
    <row r="768" ht="15.75" customHeight="1">
      <c r="A768" s="9"/>
      <c r="B768" s="9"/>
      <c r="C768" s="9"/>
      <c r="D768" s="9"/>
      <c r="E768" s="9"/>
    </row>
    <row r="769" ht="15.75" customHeight="1">
      <c r="A769" s="9"/>
      <c r="B769" s="9"/>
      <c r="C769" s="9"/>
      <c r="D769" s="9"/>
      <c r="E769" s="9"/>
    </row>
    <row r="770" ht="15.75" customHeight="1">
      <c r="A770" s="9"/>
      <c r="B770" s="9"/>
      <c r="C770" s="9"/>
      <c r="D770" s="9"/>
      <c r="E770" s="9"/>
    </row>
    <row r="771" ht="15.75" customHeight="1">
      <c r="A771" s="9"/>
      <c r="B771" s="9"/>
      <c r="C771" s="9"/>
      <c r="D771" s="9"/>
      <c r="E771" s="9"/>
    </row>
    <row r="772" ht="15.75" customHeight="1">
      <c r="A772" s="9"/>
      <c r="B772" s="9"/>
      <c r="C772" s="9"/>
      <c r="D772" s="9"/>
      <c r="E772" s="9"/>
    </row>
    <row r="773" ht="15.75" customHeight="1">
      <c r="A773" s="9"/>
      <c r="B773" s="9"/>
      <c r="C773" s="9"/>
      <c r="D773" s="9"/>
      <c r="E773" s="9"/>
    </row>
    <row r="774" ht="15.75" customHeight="1">
      <c r="A774" s="9"/>
      <c r="B774" s="9"/>
      <c r="C774" s="9"/>
      <c r="D774" s="9"/>
      <c r="E774" s="9"/>
    </row>
    <row r="775" ht="15.75" customHeight="1">
      <c r="A775" s="9"/>
      <c r="B775" s="9"/>
      <c r="C775" s="9"/>
      <c r="D775" s="9"/>
      <c r="E775" s="9"/>
    </row>
    <row r="776" ht="15.75" customHeight="1">
      <c r="A776" s="9"/>
      <c r="B776" s="9"/>
      <c r="C776" s="9"/>
      <c r="D776" s="9"/>
      <c r="E776" s="9"/>
    </row>
    <row r="777" ht="15.75" customHeight="1">
      <c r="A777" s="9"/>
      <c r="B777" s="9"/>
      <c r="C777" s="9"/>
      <c r="D777" s="9"/>
      <c r="E777" s="9"/>
    </row>
    <row r="778" ht="15.75" customHeight="1">
      <c r="A778" s="9"/>
      <c r="B778" s="9"/>
      <c r="C778" s="9"/>
      <c r="D778" s="9"/>
      <c r="E778" s="9"/>
    </row>
    <row r="779" ht="15.75" customHeight="1">
      <c r="A779" s="9"/>
      <c r="B779" s="9"/>
      <c r="C779" s="9"/>
      <c r="D779" s="9"/>
      <c r="E779" s="9"/>
    </row>
    <row r="780" ht="15.75" customHeight="1">
      <c r="A780" s="9"/>
      <c r="B780" s="9"/>
      <c r="C780" s="9"/>
      <c r="D780" s="9"/>
      <c r="E780" s="9"/>
    </row>
    <row r="781" ht="15.75" customHeight="1">
      <c r="A781" s="9"/>
      <c r="B781" s="9"/>
      <c r="C781" s="9"/>
      <c r="D781" s="9"/>
      <c r="E781" s="9"/>
    </row>
    <row r="782" ht="15.75" customHeight="1">
      <c r="A782" s="9"/>
      <c r="B782" s="9"/>
      <c r="C782" s="9"/>
      <c r="D782" s="9"/>
      <c r="E782" s="9"/>
    </row>
    <row r="783" ht="15.75" customHeight="1">
      <c r="A783" s="9"/>
      <c r="B783" s="9"/>
      <c r="C783" s="9"/>
      <c r="D783" s="9"/>
      <c r="E783" s="9"/>
    </row>
    <row r="784" ht="15.75" customHeight="1">
      <c r="A784" s="9"/>
      <c r="B784" s="9"/>
      <c r="C784" s="9"/>
      <c r="D784" s="9"/>
      <c r="E784" s="9"/>
    </row>
    <row r="785" ht="15.75" customHeight="1">
      <c r="A785" s="9"/>
      <c r="B785" s="9"/>
      <c r="C785" s="9"/>
      <c r="D785" s="9"/>
      <c r="E785" s="9"/>
    </row>
    <row r="786" ht="15.75" customHeight="1">
      <c r="A786" s="9"/>
      <c r="B786" s="9"/>
      <c r="C786" s="9"/>
      <c r="D786" s="9"/>
      <c r="E786" s="9"/>
    </row>
    <row r="787" ht="15.75" customHeight="1">
      <c r="A787" s="9"/>
      <c r="B787" s="9"/>
      <c r="C787" s="9"/>
      <c r="D787" s="9"/>
      <c r="E787" s="9"/>
    </row>
    <row r="788" ht="15.75" customHeight="1">
      <c r="A788" s="9"/>
      <c r="B788" s="9"/>
      <c r="C788" s="9"/>
      <c r="D788" s="9"/>
      <c r="E788" s="9"/>
    </row>
    <row r="789" ht="15.75" customHeight="1">
      <c r="A789" s="9"/>
      <c r="B789" s="9"/>
      <c r="C789" s="9"/>
      <c r="D789" s="9"/>
      <c r="E789" s="9"/>
    </row>
    <row r="790" ht="15.75" customHeight="1">
      <c r="A790" s="9"/>
      <c r="B790" s="9"/>
      <c r="C790" s="9"/>
      <c r="D790" s="9"/>
      <c r="E790" s="9"/>
    </row>
    <row r="791" ht="15.75" customHeight="1">
      <c r="A791" s="9"/>
      <c r="B791" s="9"/>
      <c r="C791" s="9"/>
      <c r="D791" s="9"/>
      <c r="E791" s="9"/>
    </row>
    <row r="792" ht="15.75" customHeight="1">
      <c r="A792" s="9"/>
      <c r="B792" s="9"/>
      <c r="C792" s="9"/>
      <c r="D792" s="9"/>
      <c r="E792" s="9"/>
    </row>
    <row r="793" ht="15.75" customHeight="1">
      <c r="A793" s="9"/>
      <c r="B793" s="9"/>
      <c r="C793" s="9"/>
      <c r="D793" s="9"/>
      <c r="E793" s="9"/>
    </row>
    <row r="794" ht="15.75" customHeight="1">
      <c r="A794" s="9"/>
      <c r="B794" s="9"/>
      <c r="C794" s="9"/>
      <c r="D794" s="9"/>
      <c r="E794" s="9"/>
    </row>
    <row r="795" ht="15.75" customHeight="1">
      <c r="A795" s="9"/>
      <c r="B795" s="9"/>
      <c r="C795" s="9"/>
      <c r="D795" s="9"/>
      <c r="E795" s="9"/>
    </row>
    <row r="796" ht="15.75" customHeight="1">
      <c r="A796" s="9"/>
      <c r="B796" s="9"/>
      <c r="C796" s="9"/>
      <c r="D796" s="9"/>
      <c r="E796" s="9"/>
    </row>
    <row r="797" ht="15.75" customHeight="1">
      <c r="A797" s="9"/>
      <c r="B797" s="9"/>
      <c r="C797" s="9"/>
      <c r="D797" s="9"/>
      <c r="E797" s="9"/>
    </row>
    <row r="798" ht="15.75" customHeight="1">
      <c r="A798" s="9"/>
      <c r="B798" s="9"/>
      <c r="C798" s="9"/>
      <c r="D798" s="9"/>
      <c r="E798" s="9"/>
    </row>
    <row r="799" ht="15.75" customHeight="1">
      <c r="A799" s="9"/>
      <c r="B799" s="9"/>
      <c r="C799" s="9"/>
      <c r="D799" s="9"/>
      <c r="E799" s="9"/>
    </row>
    <row r="800" ht="15.75" customHeight="1">
      <c r="A800" s="9"/>
      <c r="B800" s="9"/>
      <c r="C800" s="9"/>
      <c r="D800" s="9"/>
      <c r="E800" s="9"/>
    </row>
    <row r="801" ht="15.75" customHeight="1">
      <c r="A801" s="9"/>
      <c r="B801" s="9"/>
      <c r="C801" s="9"/>
      <c r="D801" s="9"/>
      <c r="E801" s="9"/>
    </row>
    <row r="802" ht="15.75" customHeight="1">
      <c r="A802" s="9"/>
      <c r="B802" s="9"/>
      <c r="C802" s="9"/>
      <c r="D802" s="9"/>
      <c r="E802" s="9"/>
    </row>
    <row r="803" ht="15.75" customHeight="1">
      <c r="A803" s="9"/>
      <c r="B803" s="9"/>
      <c r="C803" s="9"/>
      <c r="D803" s="9"/>
      <c r="E803" s="9"/>
    </row>
    <row r="804" ht="15.75" customHeight="1">
      <c r="A804" s="9"/>
      <c r="B804" s="9"/>
      <c r="C804" s="9"/>
      <c r="D804" s="9"/>
      <c r="E804" s="9"/>
    </row>
    <row r="805" ht="15.75" customHeight="1">
      <c r="A805" s="9"/>
      <c r="B805" s="9"/>
      <c r="C805" s="9"/>
      <c r="D805" s="9"/>
      <c r="E805" s="9"/>
    </row>
    <row r="806" ht="15.75" customHeight="1">
      <c r="A806" s="9"/>
      <c r="B806" s="9"/>
      <c r="C806" s="9"/>
      <c r="D806" s="9"/>
      <c r="E806" s="9"/>
    </row>
    <row r="807" ht="15.75" customHeight="1">
      <c r="A807" s="9"/>
      <c r="B807" s="9"/>
      <c r="C807" s="9"/>
      <c r="D807" s="9"/>
      <c r="E807" s="9"/>
    </row>
    <row r="808" ht="15.75" customHeight="1">
      <c r="A808" s="9"/>
      <c r="B808" s="9"/>
      <c r="C808" s="9"/>
      <c r="D808" s="9"/>
      <c r="E808" s="9"/>
    </row>
    <row r="809" ht="15.75" customHeight="1">
      <c r="A809" s="9"/>
      <c r="B809" s="9"/>
      <c r="C809" s="9"/>
      <c r="D809" s="9"/>
      <c r="E809" s="9"/>
    </row>
    <row r="810" ht="15.75" customHeight="1">
      <c r="A810" s="9"/>
      <c r="B810" s="9"/>
      <c r="C810" s="9"/>
      <c r="D810" s="9"/>
      <c r="E810" s="9"/>
    </row>
    <row r="811" ht="15.75" customHeight="1">
      <c r="A811" s="9"/>
      <c r="B811" s="9"/>
      <c r="C811" s="9"/>
      <c r="D811" s="9"/>
      <c r="E811" s="9"/>
    </row>
    <row r="812" ht="15.75" customHeight="1">
      <c r="A812" s="9"/>
      <c r="B812" s="9"/>
      <c r="C812" s="9"/>
      <c r="D812" s="9"/>
      <c r="E812" s="9"/>
    </row>
    <row r="813" ht="15.75" customHeight="1">
      <c r="A813" s="9"/>
      <c r="B813" s="9"/>
      <c r="C813" s="9"/>
      <c r="D813" s="9"/>
      <c r="E813" s="9"/>
    </row>
    <row r="814" ht="15.75" customHeight="1">
      <c r="A814" s="9"/>
      <c r="B814" s="9"/>
      <c r="C814" s="9"/>
      <c r="D814" s="9"/>
      <c r="E814" s="9"/>
    </row>
    <row r="815" ht="15.75" customHeight="1">
      <c r="A815" s="9"/>
      <c r="B815" s="9"/>
      <c r="C815" s="9"/>
      <c r="D815" s="9"/>
      <c r="E815" s="9"/>
    </row>
    <row r="816" ht="15.75" customHeight="1">
      <c r="A816" s="9"/>
      <c r="B816" s="9"/>
      <c r="C816" s="9"/>
      <c r="D816" s="9"/>
      <c r="E816" s="9"/>
    </row>
    <row r="817" ht="15.75" customHeight="1">
      <c r="A817" s="9"/>
      <c r="B817" s="9"/>
      <c r="C817" s="9"/>
      <c r="D817" s="9"/>
      <c r="E817" s="9"/>
    </row>
    <row r="818" ht="15.75" customHeight="1">
      <c r="A818" s="9"/>
      <c r="B818" s="9"/>
      <c r="C818" s="9"/>
      <c r="D818" s="9"/>
      <c r="E818" s="9"/>
    </row>
    <row r="819" ht="15.75" customHeight="1">
      <c r="A819" s="9"/>
      <c r="B819" s="9"/>
      <c r="C819" s="9"/>
      <c r="D819" s="9"/>
      <c r="E819" s="9"/>
    </row>
    <row r="820" ht="15.75" customHeight="1">
      <c r="A820" s="9"/>
      <c r="B820" s="9"/>
      <c r="C820" s="9"/>
      <c r="D820" s="9"/>
      <c r="E820" s="9"/>
    </row>
    <row r="821" ht="15.75" customHeight="1">
      <c r="A821" s="9"/>
      <c r="B821" s="9"/>
      <c r="C821" s="9"/>
      <c r="D821" s="9"/>
      <c r="E821" s="9"/>
    </row>
    <row r="822" ht="15.75" customHeight="1">
      <c r="A822" s="9"/>
      <c r="B822" s="9"/>
      <c r="C822" s="9"/>
      <c r="D822" s="9"/>
      <c r="E822" s="9"/>
    </row>
    <row r="823" ht="15.75" customHeight="1">
      <c r="A823" s="9"/>
      <c r="B823" s="9"/>
      <c r="C823" s="9"/>
      <c r="D823" s="9"/>
      <c r="E823" s="9"/>
    </row>
    <row r="824" ht="15.75" customHeight="1">
      <c r="A824" s="9"/>
      <c r="B824" s="9"/>
      <c r="C824" s="9"/>
      <c r="D824" s="9"/>
      <c r="E824" s="9"/>
    </row>
    <row r="825" ht="15.75" customHeight="1">
      <c r="A825" s="9"/>
      <c r="B825" s="9"/>
      <c r="C825" s="9"/>
      <c r="D825" s="9"/>
      <c r="E825" s="9"/>
    </row>
    <row r="826" ht="15.75" customHeight="1">
      <c r="A826" s="9"/>
      <c r="B826" s="9"/>
      <c r="C826" s="9"/>
      <c r="D826" s="9"/>
      <c r="E826" s="9"/>
    </row>
    <row r="827" ht="15.75" customHeight="1">
      <c r="A827" s="9"/>
      <c r="B827" s="9"/>
      <c r="C827" s="9"/>
      <c r="D827" s="9"/>
      <c r="E827" s="9"/>
    </row>
    <row r="828" ht="15.75" customHeight="1">
      <c r="A828" s="9"/>
      <c r="B828" s="9"/>
      <c r="C828" s="9"/>
      <c r="D828" s="9"/>
      <c r="E828" s="9"/>
    </row>
    <row r="829" ht="15.75" customHeight="1">
      <c r="A829" s="9"/>
      <c r="B829" s="9"/>
      <c r="C829" s="9"/>
      <c r="D829" s="9"/>
      <c r="E829" s="9"/>
    </row>
    <row r="830" ht="15.75" customHeight="1">
      <c r="A830" s="9"/>
      <c r="B830" s="9"/>
      <c r="C830" s="9"/>
      <c r="D830" s="9"/>
      <c r="E830" s="9"/>
    </row>
    <row r="831" ht="15.75" customHeight="1">
      <c r="A831" s="9"/>
      <c r="B831" s="9"/>
      <c r="C831" s="9"/>
      <c r="D831" s="9"/>
      <c r="E831" s="9"/>
    </row>
    <row r="832" ht="15.75" customHeight="1">
      <c r="A832" s="9"/>
      <c r="B832" s="9"/>
      <c r="C832" s="9"/>
      <c r="D832" s="9"/>
      <c r="E832" s="9"/>
    </row>
    <row r="833" ht="15.75" customHeight="1">
      <c r="A833" s="9"/>
      <c r="B833" s="9"/>
      <c r="C833" s="9"/>
      <c r="D833" s="9"/>
      <c r="E833" s="9"/>
    </row>
    <row r="834" ht="15.75" customHeight="1">
      <c r="A834" s="9"/>
      <c r="B834" s="9"/>
      <c r="C834" s="9"/>
      <c r="D834" s="9"/>
      <c r="E834" s="9"/>
    </row>
    <row r="835" ht="15.75" customHeight="1">
      <c r="A835" s="9"/>
      <c r="B835" s="9"/>
      <c r="C835" s="9"/>
      <c r="D835" s="9"/>
      <c r="E835" s="9"/>
    </row>
    <row r="836" ht="15.75" customHeight="1">
      <c r="A836" s="9"/>
      <c r="B836" s="9"/>
      <c r="C836" s="9"/>
      <c r="D836" s="9"/>
      <c r="E836" s="9"/>
    </row>
    <row r="837" ht="15.75" customHeight="1">
      <c r="A837" s="9"/>
      <c r="B837" s="9"/>
      <c r="C837" s="9"/>
      <c r="D837" s="9"/>
      <c r="E837" s="9"/>
    </row>
    <row r="838" ht="15.75" customHeight="1">
      <c r="A838" s="9"/>
      <c r="B838" s="9"/>
      <c r="C838" s="9"/>
      <c r="D838" s="9"/>
      <c r="E838" s="9"/>
    </row>
    <row r="839" ht="15.75" customHeight="1">
      <c r="A839" s="9"/>
      <c r="B839" s="9"/>
      <c r="C839" s="9"/>
      <c r="D839" s="9"/>
      <c r="E839" s="9"/>
    </row>
    <row r="840" ht="15.75" customHeight="1">
      <c r="A840" s="9"/>
      <c r="B840" s="9"/>
      <c r="C840" s="9"/>
      <c r="D840" s="9"/>
      <c r="E840" s="9"/>
    </row>
    <row r="841" ht="15.75" customHeight="1">
      <c r="A841" s="9"/>
      <c r="B841" s="9"/>
      <c r="C841" s="9"/>
      <c r="D841" s="9"/>
      <c r="E841" s="9"/>
    </row>
    <row r="842" ht="15.75" customHeight="1">
      <c r="A842" s="9"/>
      <c r="B842" s="9"/>
      <c r="C842" s="9"/>
      <c r="D842" s="9"/>
      <c r="E842" s="9"/>
    </row>
    <row r="843" ht="15.75" customHeight="1">
      <c r="A843" s="9"/>
      <c r="B843" s="9"/>
      <c r="C843" s="9"/>
      <c r="D843" s="9"/>
      <c r="E843" s="9"/>
    </row>
    <row r="844" ht="15.75" customHeight="1">
      <c r="A844" s="9"/>
      <c r="B844" s="9"/>
      <c r="C844" s="9"/>
      <c r="D844" s="9"/>
      <c r="E844" s="9"/>
    </row>
    <row r="845" ht="15.75" customHeight="1">
      <c r="A845" s="9"/>
      <c r="B845" s="9"/>
      <c r="C845" s="9"/>
      <c r="D845" s="9"/>
      <c r="E845" s="9"/>
    </row>
    <row r="846" ht="15.75" customHeight="1">
      <c r="A846" s="9"/>
      <c r="B846" s="9"/>
      <c r="C846" s="9"/>
      <c r="D846" s="9"/>
      <c r="E846" s="9"/>
    </row>
    <row r="847" ht="15.75" customHeight="1">
      <c r="A847" s="9"/>
      <c r="B847" s="9"/>
      <c r="C847" s="9"/>
      <c r="D847" s="9"/>
      <c r="E847" s="9"/>
    </row>
    <row r="848" ht="15.75" customHeight="1">
      <c r="A848" s="9"/>
      <c r="B848" s="9"/>
      <c r="C848" s="9"/>
      <c r="D848" s="9"/>
      <c r="E848" s="9"/>
    </row>
    <row r="849" ht="15.75" customHeight="1">
      <c r="A849" s="9"/>
      <c r="B849" s="9"/>
      <c r="C849" s="9"/>
      <c r="D849" s="9"/>
      <c r="E849" s="9"/>
    </row>
    <row r="850" ht="15.75" customHeight="1">
      <c r="A850" s="9"/>
      <c r="B850" s="9"/>
      <c r="C850" s="9"/>
      <c r="D850" s="9"/>
      <c r="E850" s="9"/>
    </row>
    <row r="851" ht="15.75" customHeight="1">
      <c r="A851" s="9"/>
      <c r="B851" s="9"/>
      <c r="C851" s="9"/>
      <c r="D851" s="9"/>
      <c r="E851" s="9"/>
    </row>
    <row r="852" ht="15.75" customHeight="1">
      <c r="A852" s="9"/>
      <c r="B852" s="9"/>
      <c r="C852" s="9"/>
      <c r="D852" s="9"/>
      <c r="E852" s="9"/>
    </row>
    <row r="853" ht="15.75" customHeight="1">
      <c r="A853" s="9"/>
      <c r="B853" s="9"/>
      <c r="C853" s="9"/>
      <c r="D853" s="9"/>
      <c r="E853" s="9"/>
    </row>
    <row r="854" ht="15.75" customHeight="1">
      <c r="A854" s="9"/>
      <c r="B854" s="9"/>
      <c r="C854" s="9"/>
      <c r="D854" s="9"/>
      <c r="E854" s="9"/>
    </row>
    <row r="855" ht="15.75" customHeight="1">
      <c r="A855" s="9"/>
      <c r="B855" s="9"/>
      <c r="C855" s="9"/>
      <c r="D855" s="9"/>
      <c r="E855" s="9"/>
    </row>
    <row r="856" ht="15.75" customHeight="1">
      <c r="A856" s="9"/>
      <c r="B856" s="9"/>
      <c r="C856" s="9"/>
      <c r="D856" s="9"/>
      <c r="E856" s="9"/>
    </row>
    <row r="857" ht="15.75" customHeight="1">
      <c r="A857" s="9"/>
      <c r="B857" s="9"/>
      <c r="C857" s="9"/>
      <c r="D857" s="9"/>
      <c r="E857" s="9"/>
    </row>
    <row r="858" ht="15.75" customHeight="1">
      <c r="A858" s="9"/>
      <c r="B858" s="9"/>
      <c r="C858" s="9"/>
      <c r="D858" s="9"/>
      <c r="E858" s="9"/>
    </row>
    <row r="859" ht="15.75" customHeight="1">
      <c r="A859" s="9"/>
      <c r="B859" s="9"/>
      <c r="C859" s="9"/>
      <c r="D859" s="9"/>
      <c r="E859" s="9"/>
    </row>
    <row r="860" ht="15.75" customHeight="1">
      <c r="A860" s="9"/>
      <c r="B860" s="9"/>
      <c r="C860" s="9"/>
      <c r="D860" s="9"/>
      <c r="E860" s="9"/>
    </row>
    <row r="861" ht="15.75" customHeight="1">
      <c r="A861" s="9"/>
      <c r="B861" s="9"/>
      <c r="C861" s="9"/>
      <c r="D861" s="9"/>
      <c r="E861" s="9"/>
    </row>
    <row r="862" ht="15.75" customHeight="1">
      <c r="A862" s="9"/>
      <c r="B862" s="9"/>
      <c r="C862" s="9"/>
      <c r="D862" s="9"/>
      <c r="E862" s="9"/>
    </row>
    <row r="863" ht="15.75" customHeight="1">
      <c r="A863" s="9"/>
      <c r="B863" s="9"/>
      <c r="C863" s="9"/>
      <c r="D863" s="9"/>
      <c r="E863" s="9"/>
    </row>
    <row r="864" ht="15.75" customHeight="1">
      <c r="A864" s="9"/>
      <c r="B864" s="9"/>
      <c r="C864" s="9"/>
      <c r="D864" s="9"/>
      <c r="E864" s="9"/>
    </row>
    <row r="865" ht="15.75" customHeight="1">
      <c r="A865" s="9"/>
      <c r="B865" s="9"/>
      <c r="C865" s="9"/>
      <c r="D865" s="9"/>
      <c r="E865" s="9"/>
    </row>
    <row r="866" ht="15.75" customHeight="1">
      <c r="A866" s="9"/>
      <c r="B866" s="9"/>
      <c r="C866" s="9"/>
      <c r="D866" s="9"/>
      <c r="E866" s="9"/>
    </row>
    <row r="867" ht="15.75" customHeight="1">
      <c r="A867" s="9"/>
      <c r="B867" s="9"/>
      <c r="C867" s="9"/>
      <c r="D867" s="9"/>
      <c r="E867" s="9"/>
    </row>
    <row r="868" ht="15.75" customHeight="1">
      <c r="A868" s="9"/>
      <c r="B868" s="9"/>
      <c r="C868" s="9"/>
      <c r="D868" s="9"/>
      <c r="E868" s="9"/>
    </row>
    <row r="869" ht="15.75" customHeight="1">
      <c r="A869" s="9"/>
      <c r="B869" s="9"/>
      <c r="C869" s="9"/>
      <c r="D869" s="9"/>
      <c r="E869" s="9"/>
    </row>
    <row r="870" ht="15.75" customHeight="1">
      <c r="A870" s="9"/>
      <c r="B870" s="9"/>
      <c r="C870" s="9"/>
      <c r="D870" s="9"/>
      <c r="E870" s="9"/>
    </row>
    <row r="871" ht="15.75" customHeight="1">
      <c r="A871" s="9"/>
      <c r="B871" s="9"/>
      <c r="C871" s="9"/>
      <c r="D871" s="9"/>
      <c r="E871" s="9"/>
    </row>
    <row r="872" ht="15.75" customHeight="1">
      <c r="A872" s="9"/>
      <c r="B872" s="9"/>
      <c r="C872" s="9"/>
      <c r="D872" s="9"/>
      <c r="E872" s="9"/>
    </row>
    <row r="873" ht="15.75" customHeight="1">
      <c r="A873" s="9"/>
      <c r="B873" s="9"/>
      <c r="C873" s="9"/>
      <c r="D873" s="9"/>
      <c r="E873" s="9"/>
    </row>
    <row r="874" ht="15.75" customHeight="1">
      <c r="A874" s="9"/>
      <c r="B874" s="9"/>
      <c r="C874" s="9"/>
      <c r="D874" s="9"/>
      <c r="E874" s="9"/>
    </row>
    <row r="875" ht="15.75" customHeight="1">
      <c r="A875" s="9"/>
      <c r="B875" s="9"/>
      <c r="C875" s="9"/>
      <c r="D875" s="9"/>
      <c r="E875" s="9"/>
    </row>
    <row r="876" ht="15.75" customHeight="1">
      <c r="A876" s="9"/>
      <c r="B876" s="9"/>
      <c r="C876" s="9"/>
      <c r="D876" s="9"/>
      <c r="E876" s="9"/>
    </row>
    <row r="877" ht="15.75" customHeight="1">
      <c r="A877" s="9"/>
      <c r="B877" s="9"/>
      <c r="C877" s="9"/>
      <c r="D877" s="9"/>
      <c r="E877" s="9"/>
    </row>
    <row r="878" ht="15.75" customHeight="1">
      <c r="A878" s="9"/>
      <c r="B878" s="9"/>
      <c r="C878" s="9"/>
      <c r="D878" s="9"/>
      <c r="E878" s="9"/>
    </row>
    <row r="879" ht="15.75" customHeight="1">
      <c r="A879" s="9"/>
      <c r="B879" s="9"/>
      <c r="C879" s="9"/>
      <c r="D879" s="9"/>
      <c r="E879" s="9"/>
    </row>
    <row r="880" ht="15.75" customHeight="1">
      <c r="A880" s="9"/>
      <c r="B880" s="9"/>
      <c r="C880" s="9"/>
      <c r="D880" s="9"/>
      <c r="E880" s="9"/>
    </row>
    <row r="881" ht="15.75" customHeight="1">
      <c r="A881" s="9"/>
      <c r="B881" s="9"/>
      <c r="C881" s="9"/>
      <c r="D881" s="9"/>
      <c r="E881" s="9"/>
    </row>
    <row r="882" ht="15.75" customHeight="1">
      <c r="A882" s="9"/>
      <c r="B882" s="9"/>
      <c r="C882" s="9"/>
      <c r="D882" s="9"/>
      <c r="E882" s="9"/>
    </row>
    <row r="883" ht="15.75" customHeight="1">
      <c r="A883" s="9"/>
      <c r="B883" s="9"/>
      <c r="C883" s="9"/>
      <c r="D883" s="9"/>
      <c r="E883" s="9"/>
    </row>
    <row r="884" ht="15.75" customHeight="1">
      <c r="A884" s="9"/>
      <c r="B884" s="9"/>
      <c r="C884" s="9"/>
      <c r="D884" s="9"/>
      <c r="E884" s="9"/>
    </row>
    <row r="885" ht="15.75" customHeight="1">
      <c r="A885" s="9"/>
      <c r="B885" s="9"/>
      <c r="C885" s="9"/>
      <c r="D885" s="9"/>
      <c r="E885" s="9"/>
    </row>
    <row r="886" ht="15.75" customHeight="1">
      <c r="A886" s="9"/>
      <c r="B886" s="9"/>
      <c r="C886" s="9"/>
      <c r="D886" s="9"/>
      <c r="E886" s="9"/>
    </row>
    <row r="887" ht="15.75" customHeight="1">
      <c r="A887" s="9"/>
      <c r="B887" s="9"/>
      <c r="C887" s="9"/>
      <c r="D887" s="9"/>
      <c r="E887" s="9"/>
    </row>
    <row r="888" ht="15.75" customHeight="1">
      <c r="A888" s="9"/>
      <c r="B888" s="9"/>
      <c r="C888" s="9"/>
      <c r="D888" s="9"/>
      <c r="E888" s="9"/>
    </row>
    <row r="889" ht="15.75" customHeight="1">
      <c r="A889" s="9"/>
      <c r="B889" s="9"/>
      <c r="C889" s="9"/>
      <c r="D889" s="9"/>
      <c r="E889" s="9"/>
    </row>
    <row r="890" ht="15.75" customHeight="1">
      <c r="A890" s="9"/>
      <c r="B890" s="9"/>
      <c r="C890" s="9"/>
      <c r="D890" s="9"/>
      <c r="E890" s="9"/>
    </row>
    <row r="891" ht="15.75" customHeight="1">
      <c r="A891" s="9"/>
      <c r="B891" s="9"/>
      <c r="C891" s="9"/>
      <c r="D891" s="9"/>
      <c r="E891" s="9"/>
    </row>
    <row r="892" ht="15.75" customHeight="1">
      <c r="A892" s="9"/>
      <c r="B892" s="9"/>
      <c r="C892" s="9"/>
      <c r="D892" s="9"/>
      <c r="E892" s="9"/>
    </row>
    <row r="893" ht="15.75" customHeight="1">
      <c r="A893" s="9"/>
      <c r="B893" s="9"/>
      <c r="C893" s="9"/>
      <c r="D893" s="9"/>
      <c r="E893" s="9"/>
    </row>
    <row r="894" ht="15.75" customHeight="1">
      <c r="A894" s="9"/>
      <c r="B894" s="9"/>
      <c r="C894" s="9"/>
      <c r="D894" s="9"/>
      <c r="E894" s="9"/>
    </row>
    <row r="895" ht="15.75" customHeight="1">
      <c r="A895" s="9"/>
      <c r="B895" s="9"/>
      <c r="C895" s="9"/>
      <c r="D895" s="9"/>
      <c r="E895" s="9"/>
    </row>
    <row r="896" ht="15.75" customHeight="1">
      <c r="A896" s="9"/>
      <c r="B896" s="9"/>
      <c r="C896" s="9"/>
      <c r="D896" s="9"/>
      <c r="E896" s="9"/>
    </row>
    <row r="897" ht="15.75" customHeight="1">
      <c r="A897" s="9"/>
      <c r="B897" s="9"/>
      <c r="C897" s="9"/>
      <c r="D897" s="9"/>
      <c r="E897" s="9"/>
    </row>
    <row r="898" ht="15.75" customHeight="1">
      <c r="A898" s="9"/>
      <c r="B898" s="9"/>
      <c r="C898" s="9"/>
      <c r="D898" s="9"/>
      <c r="E898" s="9"/>
    </row>
    <row r="899" ht="15.75" customHeight="1">
      <c r="A899" s="9"/>
      <c r="B899" s="9"/>
      <c r="C899" s="9"/>
      <c r="D899" s="9"/>
      <c r="E899" s="9"/>
    </row>
    <row r="900" ht="15.75" customHeight="1">
      <c r="A900" s="9"/>
      <c r="B900" s="9"/>
      <c r="C900" s="9"/>
      <c r="D900" s="9"/>
      <c r="E900" s="9"/>
    </row>
    <row r="901" ht="15.75" customHeight="1">
      <c r="A901" s="9"/>
      <c r="B901" s="9"/>
      <c r="C901" s="9"/>
      <c r="D901" s="9"/>
      <c r="E901" s="9"/>
    </row>
    <row r="902" ht="15.75" customHeight="1">
      <c r="A902" s="9"/>
      <c r="B902" s="9"/>
      <c r="C902" s="9"/>
      <c r="D902" s="9"/>
      <c r="E902" s="9"/>
    </row>
    <row r="903" ht="15.75" customHeight="1">
      <c r="A903" s="9"/>
      <c r="B903" s="9"/>
      <c r="C903" s="9"/>
      <c r="D903" s="9"/>
      <c r="E903" s="9"/>
    </row>
    <row r="904" ht="15.75" customHeight="1">
      <c r="A904" s="9"/>
      <c r="B904" s="9"/>
      <c r="C904" s="9"/>
      <c r="D904" s="9"/>
      <c r="E904" s="9"/>
    </row>
    <row r="905" ht="15.75" customHeight="1">
      <c r="A905" s="9"/>
      <c r="B905" s="9"/>
      <c r="C905" s="9"/>
      <c r="D905" s="9"/>
      <c r="E905" s="9"/>
    </row>
    <row r="906" ht="15.75" customHeight="1">
      <c r="A906" s="9"/>
      <c r="B906" s="9"/>
      <c r="C906" s="9"/>
      <c r="D906" s="9"/>
      <c r="E906" s="9"/>
    </row>
    <row r="907" ht="15.75" customHeight="1">
      <c r="A907" s="9"/>
      <c r="B907" s="9"/>
      <c r="C907" s="9"/>
      <c r="D907" s="9"/>
      <c r="E907" s="9"/>
    </row>
    <row r="908" ht="15.75" customHeight="1">
      <c r="A908" s="9"/>
      <c r="B908" s="9"/>
      <c r="C908" s="9"/>
      <c r="D908" s="9"/>
      <c r="E908" s="9"/>
    </row>
    <row r="909" ht="15.75" customHeight="1">
      <c r="A909" s="9"/>
      <c r="B909" s="9"/>
      <c r="C909" s="9"/>
      <c r="D909" s="9"/>
      <c r="E909" s="9"/>
    </row>
    <row r="910" ht="15.75" customHeight="1">
      <c r="A910" s="9"/>
      <c r="B910" s="9"/>
      <c r="C910" s="9"/>
      <c r="D910" s="9"/>
      <c r="E910" s="9"/>
    </row>
    <row r="911" ht="15.75" customHeight="1">
      <c r="A911" s="9"/>
      <c r="B911" s="9"/>
      <c r="C911" s="9"/>
      <c r="D911" s="9"/>
      <c r="E911" s="9"/>
    </row>
    <row r="912" ht="15.75" customHeight="1">
      <c r="A912" s="9"/>
      <c r="B912" s="9"/>
      <c r="C912" s="9"/>
      <c r="D912" s="9"/>
      <c r="E912" s="9"/>
    </row>
    <row r="913" ht="15.75" customHeight="1">
      <c r="A913" s="9"/>
      <c r="B913" s="9"/>
      <c r="C913" s="9"/>
      <c r="D913" s="9"/>
      <c r="E913" s="9"/>
    </row>
    <row r="914" ht="15.75" customHeight="1">
      <c r="A914" s="9"/>
      <c r="B914" s="9"/>
      <c r="C914" s="9"/>
      <c r="D914" s="9"/>
      <c r="E914" s="9"/>
    </row>
    <row r="915" ht="15.75" customHeight="1">
      <c r="A915" s="9"/>
      <c r="B915" s="9"/>
      <c r="C915" s="9"/>
      <c r="D915" s="9"/>
      <c r="E915" s="9"/>
    </row>
    <row r="916" ht="15.75" customHeight="1">
      <c r="A916" s="9"/>
      <c r="B916" s="9"/>
      <c r="C916" s="9"/>
      <c r="D916" s="9"/>
      <c r="E916" s="9"/>
    </row>
    <row r="917" ht="15.75" customHeight="1">
      <c r="A917" s="9"/>
      <c r="B917" s="9"/>
      <c r="C917" s="9"/>
      <c r="D917" s="9"/>
      <c r="E917" s="9"/>
    </row>
    <row r="918" ht="15.75" customHeight="1">
      <c r="A918" s="9"/>
      <c r="B918" s="9"/>
      <c r="C918" s="9"/>
      <c r="D918" s="9"/>
      <c r="E918" s="9"/>
    </row>
    <row r="919" ht="15.75" customHeight="1">
      <c r="A919" s="9"/>
      <c r="B919" s="9"/>
      <c r="C919" s="9"/>
      <c r="D919" s="9"/>
      <c r="E919" s="9"/>
    </row>
    <row r="920" ht="15.75" customHeight="1">
      <c r="A920" s="9"/>
      <c r="B920" s="9"/>
      <c r="C920" s="9"/>
      <c r="D920" s="9"/>
      <c r="E920" s="9"/>
    </row>
    <row r="921" ht="15.75" customHeight="1">
      <c r="A921" s="9"/>
      <c r="B921" s="9"/>
      <c r="C921" s="9"/>
      <c r="D921" s="9"/>
      <c r="E921" s="9"/>
    </row>
    <row r="922" ht="15.75" customHeight="1">
      <c r="A922" s="9"/>
      <c r="B922" s="9"/>
      <c r="C922" s="9"/>
      <c r="D922" s="9"/>
      <c r="E922" s="9"/>
    </row>
    <row r="923" ht="15.75" customHeight="1">
      <c r="A923" s="9"/>
      <c r="B923" s="9"/>
      <c r="C923" s="9"/>
      <c r="D923" s="9"/>
      <c r="E923" s="9"/>
    </row>
    <row r="924" ht="15.75" customHeight="1">
      <c r="A924" s="9"/>
      <c r="B924" s="9"/>
      <c r="C924" s="9"/>
      <c r="D924" s="9"/>
      <c r="E924" s="9"/>
    </row>
    <row r="925" ht="15.75" customHeight="1">
      <c r="A925" s="9"/>
      <c r="B925" s="9"/>
      <c r="C925" s="9"/>
      <c r="D925" s="9"/>
      <c r="E925" s="9"/>
    </row>
    <row r="926" ht="15.75" customHeight="1">
      <c r="A926" s="9"/>
      <c r="B926" s="9"/>
      <c r="C926" s="9"/>
      <c r="D926" s="9"/>
      <c r="E926" s="9"/>
    </row>
    <row r="927" ht="15.75" customHeight="1">
      <c r="A927" s="9"/>
      <c r="B927" s="9"/>
      <c r="C927" s="9"/>
      <c r="D927" s="9"/>
      <c r="E927" s="9"/>
    </row>
    <row r="928" ht="15.75" customHeight="1">
      <c r="A928" s="9"/>
      <c r="B928" s="9"/>
      <c r="C928" s="9"/>
      <c r="D928" s="9"/>
      <c r="E928" s="9"/>
    </row>
    <row r="929" ht="15.75" customHeight="1">
      <c r="A929" s="9"/>
      <c r="B929" s="9"/>
      <c r="C929" s="9"/>
      <c r="D929" s="9"/>
      <c r="E929" s="9"/>
    </row>
    <row r="930" ht="15.75" customHeight="1">
      <c r="A930" s="9"/>
      <c r="B930" s="9"/>
      <c r="C930" s="9"/>
      <c r="D930" s="9"/>
      <c r="E930" s="9"/>
    </row>
    <row r="931" ht="15.75" customHeight="1">
      <c r="A931" s="9"/>
      <c r="B931" s="9"/>
      <c r="C931" s="9"/>
      <c r="D931" s="9"/>
      <c r="E931" s="9"/>
    </row>
    <row r="932" ht="15.75" customHeight="1">
      <c r="A932" s="9"/>
      <c r="B932" s="9"/>
      <c r="C932" s="9"/>
      <c r="D932" s="9"/>
      <c r="E932" s="9"/>
    </row>
    <row r="933" ht="15.75" customHeight="1">
      <c r="A933" s="9"/>
      <c r="B933" s="9"/>
      <c r="C933" s="9"/>
      <c r="D933" s="9"/>
      <c r="E933" s="9"/>
    </row>
    <row r="934" ht="15.75" customHeight="1">
      <c r="A934" s="9"/>
      <c r="B934" s="9"/>
      <c r="C934" s="9"/>
      <c r="D934" s="9"/>
      <c r="E934" s="9"/>
    </row>
    <row r="935" ht="15.75" customHeight="1">
      <c r="A935" s="9"/>
      <c r="B935" s="9"/>
      <c r="C935" s="9"/>
      <c r="D935" s="9"/>
      <c r="E935" s="9"/>
    </row>
    <row r="936" ht="15.75" customHeight="1">
      <c r="A936" s="9"/>
      <c r="B936" s="9"/>
      <c r="C936" s="9"/>
      <c r="D936" s="9"/>
      <c r="E936" s="9"/>
    </row>
    <row r="937" ht="15.75" customHeight="1">
      <c r="A937" s="9"/>
      <c r="B937" s="9"/>
      <c r="C937" s="9"/>
      <c r="D937" s="9"/>
      <c r="E937" s="9"/>
    </row>
    <row r="938" ht="15.75" customHeight="1">
      <c r="A938" s="9"/>
      <c r="B938" s="9"/>
      <c r="C938" s="9"/>
      <c r="D938" s="9"/>
      <c r="E938" s="9"/>
    </row>
    <row r="939" ht="15.75" customHeight="1">
      <c r="A939" s="9"/>
      <c r="B939" s="9"/>
      <c r="C939" s="9"/>
      <c r="D939" s="9"/>
      <c r="E939" s="9"/>
    </row>
    <row r="940" ht="15.75" customHeight="1">
      <c r="A940" s="9"/>
      <c r="B940" s="9"/>
      <c r="C940" s="9"/>
      <c r="D940" s="9"/>
      <c r="E940" s="9"/>
    </row>
    <row r="941" ht="15.75" customHeight="1">
      <c r="A941" s="9"/>
      <c r="B941" s="9"/>
      <c r="C941" s="9"/>
      <c r="D941" s="9"/>
      <c r="E941" s="9"/>
    </row>
    <row r="942" ht="15.75" customHeight="1">
      <c r="A942" s="9"/>
      <c r="B942" s="9"/>
      <c r="C942" s="9"/>
      <c r="D942" s="9"/>
      <c r="E942" s="9"/>
    </row>
    <row r="943" ht="15.75" customHeight="1">
      <c r="A943" s="9"/>
      <c r="B943" s="9"/>
      <c r="C943" s="9"/>
      <c r="D943" s="9"/>
      <c r="E943" s="9"/>
    </row>
    <row r="944" ht="15.75" customHeight="1">
      <c r="A944" s="9"/>
      <c r="B944" s="9"/>
      <c r="C944" s="9"/>
      <c r="D944" s="9"/>
      <c r="E944" s="9"/>
    </row>
    <row r="945" ht="15.75" customHeight="1">
      <c r="A945" s="9"/>
      <c r="B945" s="9"/>
      <c r="C945" s="9"/>
      <c r="D945" s="9"/>
      <c r="E945" s="9"/>
    </row>
    <row r="946" ht="15.75" customHeight="1">
      <c r="A946" s="9"/>
      <c r="B946" s="9"/>
      <c r="C946" s="9"/>
      <c r="D946" s="9"/>
      <c r="E946" s="9"/>
    </row>
    <row r="947" ht="15.75" customHeight="1">
      <c r="A947" s="9"/>
      <c r="B947" s="9"/>
      <c r="C947" s="9"/>
      <c r="D947" s="9"/>
      <c r="E947" s="9"/>
    </row>
    <row r="948" ht="15.75" customHeight="1">
      <c r="A948" s="9"/>
      <c r="B948" s="9"/>
      <c r="C948" s="9"/>
      <c r="D948" s="9"/>
      <c r="E948" s="9"/>
    </row>
    <row r="949" ht="15.75" customHeight="1">
      <c r="A949" s="9"/>
      <c r="B949" s="9"/>
      <c r="C949" s="9"/>
      <c r="D949" s="9"/>
      <c r="E949" s="9"/>
    </row>
    <row r="950" ht="15.75" customHeight="1">
      <c r="A950" s="9"/>
      <c r="B950" s="9"/>
      <c r="C950" s="9"/>
      <c r="D950" s="9"/>
      <c r="E950" s="9"/>
    </row>
    <row r="951" ht="15.75" customHeight="1">
      <c r="A951" s="9"/>
      <c r="B951" s="9"/>
      <c r="C951" s="9"/>
      <c r="D951" s="9"/>
      <c r="E951" s="9"/>
    </row>
    <row r="952" ht="15.75" customHeight="1">
      <c r="A952" s="9"/>
      <c r="B952" s="9"/>
      <c r="C952" s="9"/>
      <c r="D952" s="9"/>
      <c r="E952" s="9"/>
    </row>
    <row r="953" ht="15.75" customHeight="1">
      <c r="A953" s="9"/>
      <c r="B953" s="9"/>
      <c r="C953" s="9"/>
      <c r="D953" s="9"/>
      <c r="E953" s="9"/>
    </row>
    <row r="954" ht="15.75" customHeight="1">
      <c r="A954" s="9"/>
      <c r="B954" s="9"/>
      <c r="C954" s="9"/>
      <c r="D954" s="9"/>
      <c r="E954" s="9"/>
    </row>
    <row r="955" ht="15.75" customHeight="1">
      <c r="A955" s="9"/>
      <c r="B955" s="9"/>
      <c r="C955" s="9"/>
      <c r="D955" s="9"/>
      <c r="E955" s="9"/>
    </row>
    <row r="956" ht="15.75" customHeight="1">
      <c r="A956" s="9"/>
      <c r="B956" s="9"/>
      <c r="C956" s="9"/>
      <c r="D956" s="9"/>
      <c r="E956" s="9"/>
    </row>
    <row r="957" ht="15.75" customHeight="1">
      <c r="A957" s="9"/>
      <c r="B957" s="9"/>
      <c r="C957" s="9"/>
      <c r="D957" s="9"/>
      <c r="E957" s="9"/>
    </row>
    <row r="958" ht="15.75" customHeight="1">
      <c r="A958" s="9"/>
      <c r="B958" s="9"/>
      <c r="C958" s="9"/>
      <c r="D958" s="9"/>
      <c r="E958" s="9"/>
    </row>
    <row r="959" ht="15.75" customHeight="1">
      <c r="A959" s="9"/>
      <c r="B959" s="9"/>
      <c r="C959" s="9"/>
      <c r="D959" s="9"/>
      <c r="E959" s="9"/>
    </row>
    <row r="960" ht="15.75" customHeight="1">
      <c r="A960" s="9"/>
      <c r="B960" s="9"/>
      <c r="C960" s="9"/>
      <c r="D960" s="9"/>
      <c r="E960" s="9"/>
    </row>
    <row r="961" ht="15.75" customHeight="1">
      <c r="A961" s="9"/>
      <c r="B961" s="9"/>
      <c r="C961" s="9"/>
      <c r="D961" s="9"/>
      <c r="E961" s="9"/>
    </row>
    <row r="962" ht="15.75" customHeight="1">
      <c r="A962" s="9"/>
      <c r="B962" s="9"/>
      <c r="C962" s="9"/>
      <c r="D962" s="9"/>
      <c r="E962" s="9"/>
    </row>
    <row r="963" ht="15.75" customHeight="1">
      <c r="A963" s="9"/>
      <c r="B963" s="9"/>
      <c r="C963" s="9"/>
      <c r="D963" s="9"/>
      <c r="E963" s="9"/>
    </row>
    <row r="964" ht="15.75" customHeight="1">
      <c r="A964" s="9"/>
      <c r="B964" s="9"/>
      <c r="C964" s="9"/>
      <c r="D964" s="9"/>
      <c r="E964" s="9"/>
    </row>
    <row r="965" ht="15.75" customHeight="1">
      <c r="A965" s="9"/>
      <c r="B965" s="9"/>
      <c r="C965" s="9"/>
      <c r="D965" s="9"/>
      <c r="E965" s="9"/>
    </row>
    <row r="966" ht="15.75" customHeight="1">
      <c r="A966" s="9"/>
      <c r="B966" s="9"/>
      <c r="C966" s="9"/>
      <c r="D966" s="9"/>
      <c r="E966" s="9"/>
    </row>
    <row r="967" ht="15.75" customHeight="1">
      <c r="A967" s="9"/>
      <c r="B967" s="9"/>
      <c r="C967" s="9"/>
      <c r="D967" s="9"/>
      <c r="E967" s="9"/>
    </row>
    <row r="968" ht="15.75" customHeight="1">
      <c r="A968" s="9"/>
      <c r="B968" s="9"/>
      <c r="C968" s="9"/>
      <c r="D968" s="9"/>
      <c r="E968" s="9"/>
    </row>
    <row r="969" ht="15.75" customHeight="1">
      <c r="A969" s="9"/>
      <c r="B969" s="9"/>
      <c r="C969" s="9"/>
      <c r="D969" s="9"/>
      <c r="E969" s="9"/>
    </row>
    <row r="970" ht="15.75" customHeight="1">
      <c r="A970" s="9"/>
      <c r="B970" s="9"/>
      <c r="C970" s="9"/>
      <c r="D970" s="9"/>
      <c r="E970" s="9"/>
    </row>
    <row r="971" ht="15.75" customHeight="1">
      <c r="A971" s="9"/>
      <c r="B971" s="9"/>
      <c r="C971" s="9"/>
      <c r="D971" s="9"/>
      <c r="E971" s="9"/>
    </row>
    <row r="972" ht="15.75" customHeight="1">
      <c r="A972" s="9"/>
      <c r="B972" s="9"/>
      <c r="C972" s="9"/>
      <c r="D972" s="9"/>
      <c r="E972" s="9"/>
    </row>
    <row r="973" ht="15.75" customHeight="1">
      <c r="A973" s="9"/>
      <c r="B973" s="9"/>
      <c r="C973" s="9"/>
      <c r="D973" s="9"/>
      <c r="E973" s="9"/>
    </row>
    <row r="974" ht="15.75" customHeight="1">
      <c r="A974" s="9"/>
      <c r="B974" s="9"/>
      <c r="C974" s="9"/>
      <c r="D974" s="9"/>
      <c r="E974" s="9"/>
    </row>
    <row r="975" ht="15.75" customHeight="1">
      <c r="A975" s="9"/>
      <c r="B975" s="9"/>
      <c r="C975" s="9"/>
      <c r="D975" s="9"/>
      <c r="E975" s="9"/>
    </row>
    <row r="976" ht="15.75" customHeight="1">
      <c r="A976" s="9"/>
      <c r="B976" s="9"/>
      <c r="C976" s="9"/>
      <c r="D976" s="9"/>
      <c r="E976" s="9"/>
    </row>
    <row r="977" ht="15.75" customHeight="1">
      <c r="A977" s="9"/>
      <c r="B977" s="9"/>
      <c r="C977" s="9"/>
      <c r="D977" s="9"/>
      <c r="E977" s="9"/>
    </row>
    <row r="978" ht="15.75" customHeight="1">
      <c r="A978" s="9"/>
      <c r="B978" s="9"/>
      <c r="C978" s="9"/>
      <c r="D978" s="9"/>
      <c r="E978" s="9"/>
    </row>
    <row r="979" ht="15.75" customHeight="1">
      <c r="A979" s="9"/>
      <c r="B979" s="9"/>
      <c r="C979" s="9"/>
      <c r="D979" s="9"/>
      <c r="E979" s="9"/>
    </row>
    <row r="980" ht="15.75" customHeight="1">
      <c r="A980" s="9"/>
      <c r="B980" s="9"/>
      <c r="C980" s="9"/>
      <c r="D980" s="9"/>
      <c r="E980" s="9"/>
    </row>
    <row r="981" ht="15.75" customHeight="1">
      <c r="A981" s="9"/>
      <c r="B981" s="9"/>
      <c r="C981" s="9"/>
      <c r="D981" s="9"/>
      <c r="E981" s="9"/>
    </row>
    <row r="982" ht="15.75" customHeight="1">
      <c r="A982" s="9"/>
      <c r="B982" s="9"/>
      <c r="C982" s="9"/>
      <c r="D982" s="9"/>
      <c r="E982" s="9"/>
    </row>
    <row r="983" ht="15.75" customHeight="1">
      <c r="A983" s="9"/>
      <c r="B983" s="9"/>
      <c r="C983" s="9"/>
      <c r="D983" s="9"/>
      <c r="E983" s="9"/>
    </row>
    <row r="984" ht="15.75" customHeight="1">
      <c r="A984" s="9"/>
      <c r="B984" s="9"/>
      <c r="C984" s="9"/>
      <c r="D984" s="9"/>
      <c r="E984" s="9"/>
    </row>
    <row r="985" ht="15.75" customHeight="1">
      <c r="A985" s="9"/>
      <c r="B985" s="9"/>
      <c r="C985" s="9"/>
      <c r="D985" s="9"/>
      <c r="E985" s="9"/>
    </row>
    <row r="986" ht="15.75" customHeight="1">
      <c r="A986" s="9"/>
      <c r="B986" s="9"/>
      <c r="C986" s="9"/>
      <c r="D986" s="9"/>
      <c r="E986" s="9"/>
    </row>
    <row r="987" ht="15.75" customHeight="1">
      <c r="A987" s="9"/>
      <c r="B987" s="9"/>
      <c r="C987" s="9"/>
      <c r="D987" s="9"/>
      <c r="E987" s="9"/>
    </row>
    <row r="988" ht="15.75" customHeight="1">
      <c r="A988" s="9"/>
      <c r="B988" s="9"/>
      <c r="C988" s="9"/>
      <c r="D988" s="9"/>
      <c r="E988" s="9"/>
    </row>
    <row r="989" ht="15.75" customHeight="1">
      <c r="A989" s="9"/>
      <c r="B989" s="9"/>
      <c r="C989" s="9"/>
      <c r="D989" s="9"/>
      <c r="E989" s="9"/>
    </row>
    <row r="990" ht="15.75" customHeight="1">
      <c r="A990" s="9"/>
      <c r="B990" s="9"/>
      <c r="C990" s="9"/>
      <c r="D990" s="9"/>
      <c r="E990" s="9"/>
    </row>
    <row r="991" ht="15.75" customHeight="1">
      <c r="A991" s="9"/>
      <c r="B991" s="9"/>
      <c r="C991" s="9"/>
      <c r="D991" s="9"/>
      <c r="E991" s="9"/>
    </row>
    <row r="992" ht="15.75" customHeight="1">
      <c r="A992" s="9"/>
      <c r="B992" s="9"/>
      <c r="C992" s="9"/>
      <c r="D992" s="9"/>
      <c r="E992" s="9"/>
    </row>
    <row r="993" ht="15.75" customHeight="1">
      <c r="A993" s="9"/>
      <c r="B993" s="9"/>
      <c r="C993" s="9"/>
      <c r="D993" s="9"/>
      <c r="E993" s="9"/>
    </row>
    <row r="994" ht="15.75" customHeight="1">
      <c r="A994" s="9"/>
      <c r="B994" s="9"/>
      <c r="C994" s="9"/>
      <c r="D994" s="9"/>
      <c r="E994" s="9"/>
    </row>
    <row r="995" ht="15.75" customHeight="1">
      <c r="A995" s="9"/>
      <c r="B995" s="9"/>
      <c r="C995" s="9"/>
      <c r="D995" s="9"/>
      <c r="E995" s="9"/>
    </row>
    <row r="996" ht="15.75" customHeight="1">
      <c r="A996" s="9"/>
      <c r="B996" s="9"/>
      <c r="C996" s="9"/>
      <c r="D996" s="9"/>
      <c r="E996" s="9"/>
    </row>
    <row r="997" ht="15.75" customHeight="1">
      <c r="A997" s="9"/>
      <c r="B997" s="9"/>
      <c r="C997" s="9"/>
      <c r="D997" s="9"/>
      <c r="E997" s="9"/>
    </row>
    <row r="998" ht="15.75" customHeight="1">
      <c r="A998" s="9"/>
      <c r="B998" s="9"/>
      <c r="C998" s="9"/>
      <c r="D998" s="9"/>
      <c r="E998" s="9"/>
    </row>
    <row r="999" ht="15.75" customHeight="1">
      <c r="A999" s="9"/>
      <c r="B999" s="9"/>
      <c r="C999" s="9"/>
      <c r="D999" s="9"/>
      <c r="E999" s="9"/>
    </row>
    <row r="1000" ht="15.75" customHeight="1">
      <c r="A1000" s="9"/>
      <c r="B1000" s="9"/>
      <c r="C1000" s="9"/>
      <c r="D1000" s="9"/>
      <c r="E1000" s="9"/>
    </row>
  </sheetData>
  <mergeCells count="3">
    <mergeCell ref="A1:E1"/>
    <mergeCell ref="A2:E2"/>
    <mergeCell ref="A10:E10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18.14"/>
    <col customWidth="1" min="3" max="26" width="8.71"/>
  </cols>
  <sheetData>
    <row r="1" ht="47.25" customHeight="1">
      <c r="A1" s="30" t="s">
        <v>431</v>
      </c>
      <c r="B1" s="31" t="s">
        <v>433</v>
      </c>
    </row>
    <row r="2" ht="55.5" customHeight="1">
      <c r="A2" s="30" t="s">
        <v>434</v>
      </c>
      <c r="B2" s="31" t="s">
        <v>435</v>
      </c>
    </row>
    <row r="3" ht="64.5" customHeight="1">
      <c r="A3" s="30" t="s">
        <v>437</v>
      </c>
      <c r="B3" s="31" t="s">
        <v>438</v>
      </c>
    </row>
    <row r="4" ht="50.25" customHeight="1">
      <c r="A4" s="30" t="s">
        <v>439</v>
      </c>
      <c r="B4" s="31" t="s">
        <v>440</v>
      </c>
    </row>
    <row r="5" ht="52.5" customHeight="1">
      <c r="A5" s="30" t="s">
        <v>441</v>
      </c>
      <c r="B5" s="31" t="s">
        <v>442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2026-09-17T18:48:28Z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