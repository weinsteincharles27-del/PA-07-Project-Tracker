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efinition" sheetId="1" r:id="rId4"/>
    <sheet state="visible" name="How to use" sheetId="2" r:id="rId5"/>
    <sheet state="visible" name="Backtest Comparison" sheetId="3" r:id="rId6"/>
    <sheet state="visible" name="Trend Forecast" sheetId="4" r:id="rId7"/>
    <sheet state="visible" name="Beta-Adjusted Forecast" sheetId="5" r:id="rId8"/>
    <sheet state="visible" name="Regression Forecast" sheetId="6" r:id="rId9"/>
  </sheets>
  <definedNames/>
  <calcPr/>
  <extLst>
    <ext uri="GoogleSheetsCustomDataVersion2">
      <go:sheetsCustomData xmlns:go="http://customooxmlschemas.google.com/" r:id="rId10" roundtripDataChecksum="G1X/KVPo4Ygc4P6NjIXJnulUg1s2Lwvvgzl6bVDI5TY="/>
    </ext>
  </extLst>
</workbook>
</file>

<file path=xl/sharedStrings.xml><?xml version="1.0" encoding="utf-8"?>
<sst xmlns="http://schemas.openxmlformats.org/spreadsheetml/2006/main" count="941" uniqueCount="161">
  <si>
    <t>What a successful PA-07 final looks like</t>
  </si>
  <si>
    <t>How to use this municipal template</t>
  </si>
  <si>
    <t>2024 Backtest: How Each Method Actually Performed (Municipality (89 units))</t>
  </si>
  <si>
    <t>PA-07 2026 House Forecast — Municipal-Level Predictions</t>
  </si>
  <si>
    <t>Each method was trained on 2018-2022 only, used to predict 2024, then checked against the real 2024 election result. This is the evidence behind which sheet to trust most.</t>
  </si>
  <si>
    <t>Method</t>
  </si>
  <si>
    <t>Mean Absolute Error (points)</t>
  </si>
  <si>
    <t>Candidates: Brooks | Mackenzie   |   District totals (yellow) are formulas over the municipal rows.</t>
  </si>
  <si>
    <t>Winner Accuracy</t>
  </si>
  <si>
    <t>Accuracy %</t>
  </si>
  <si>
    <t>Trend</t>
  </si>
  <si>
    <t>86 / 89</t>
  </si>
  <si>
    <t>Lead with a simple district scoreboard:</t>
  </si>
  <si>
    <t>96.6%</t>
  </si>
  <si>
    <t>1. Fill Model/scenario, As-of date, and Prepared by.</t>
  </si>
  <si>
    <t>Beta-Adjusted</t>
  </si>
  <si>
    <t>Enter votes only in the Brooks / Mackenzie / Other columns. Shares are of total votes (Brooks + Mackenzie + Other).  |  2024 Backtest: MAE=1.99 pts, accuracy=86/89</t>
  </si>
  <si>
    <t xml:space="preserve">  • Brooks — predicted votes</t>
  </si>
  <si>
    <t>Regression</t>
  </si>
  <si>
    <t xml:space="preserve">  • Mackenzie — predicted votes</t>
  </si>
  <si>
    <t>82 / 89</t>
  </si>
  <si>
    <t>2. Enter predicted Brooks and Mackenzie votes for each municipality (Other optional).</t>
  </si>
  <si>
    <t>92.1%</t>
  </si>
  <si>
    <t>Recommendation: use the Beta-Adjusted sheet as the primary forecast -- it had the lowest error and/or highest accuracy predicting real 2024 results from only prior-cycle data. The other two sheets are included for comparison and to show the range of outcomes across methods.</t>
  </si>
  <si>
    <t>Model / scenario</t>
  </si>
  <si>
    <t>Simple Trend (v3)</t>
  </si>
  <si>
    <t>As-of date</t>
  </si>
  <si>
    <t>2026-09-24</t>
  </si>
  <si>
    <t>Prepared by</t>
  </si>
  <si>
    <t>Kiley</t>
  </si>
  <si>
    <t xml:space="preserve">  • Each candidate’s share of total votes</t>
  </si>
  <si>
    <t>3. Never type the district totals — the yellow row sums the municipal predictions.</t>
  </si>
  <si>
    <t>Version</t>
  </si>
  <si>
    <t>v0.1 template</t>
  </si>
  <si>
    <t>4. Optional Notes tags: fundamentals | muni-bellwether | mesh.</t>
  </si>
  <si>
    <t>Then show the geography table that adds up to those district numbers.</t>
  </si>
  <si>
    <t>5. Version the file when numbers change; do not use “Final” in the name.</t>
  </si>
  <si>
    <t>DISTRICT TOTALS (auto-sum — do not type over)</t>
  </si>
  <si>
    <t>Two companion files:</t>
  </si>
  <si>
    <t xml:space="preserve">  1) Municipal-level predictions</t>
  </si>
  <si>
    <t>Successful project check</t>
  </si>
  <si>
    <t>Geography</t>
  </si>
  <si>
    <t xml:space="preserve">  2) Precinct-level predictions</t>
  </si>
  <si>
    <t>- District Brooks votes, Mackenzie votes, and shares are explicit.</t>
  </si>
  <si>
    <t>- Municipal rows add exactly to the district totals.</t>
  </si>
  <si>
    <t>- A short methods note explains which forecasting lane produced the numbers.</t>
  </si>
  <si>
    <t>Methods can be sophisticated; the published product stays simple and auditable.</t>
  </si>
  <si>
    <t>District totals must be formulas over geography rows — not separately typed guesses.</t>
  </si>
  <si>
    <t>Never use “Final” in a filename; version the forecast (v0.1, v0.2, …).</t>
  </si>
  <si>
    <t>Brooks votes</t>
  </si>
  <si>
    <t>Mackenzie votes</t>
  </si>
  <si>
    <t>Other (optional)</t>
  </si>
  <si>
    <t>Total votes</t>
  </si>
  <si>
    <t>Brooks share</t>
  </si>
  <si>
    <t>Mackenzie share</t>
  </si>
  <si>
    <t>Notes</t>
  </si>
  <si>
    <t>PA-07 District</t>
  </si>
  <si>
    <t>(all municipalities)</t>
  </si>
  <si>
    <t>District headline: Simple Trend (v3)</t>
  </si>
  <si>
    <t>Discussion prompt: A successful final names these district numbers and shows the municipal table that adds to them.</t>
  </si>
  <si>
    <t>MUNICIPAL DETAIL</t>
  </si>
  <si>
    <t>County</t>
  </si>
  <si>
    <t>Municipality</t>
  </si>
  <si>
    <t>Notes / source method</t>
  </si>
  <si>
    <t>Carbon</t>
  </si>
  <si>
    <t>BANKS TOWNSHIP</t>
  </si>
  <si>
    <t>BEAVER MEADOWS BOROUGH</t>
  </si>
  <si>
    <t>BOWMANSTOWN BOROUGH</t>
  </si>
  <si>
    <t>EAST PENN TOWNSHIP</t>
  </si>
  <si>
    <t>EAST SIDE BOROUGH</t>
  </si>
  <si>
    <t>FRANKLIN TOWNSHIP</t>
  </si>
  <si>
    <t>JIM THORPE BOROUGH</t>
  </si>
  <si>
    <t>KIDDER TOWNSHIP</t>
  </si>
  <si>
    <t>Enter votes only in the Brooks / Mackenzie / Other columns. Shares are of total votes (Brooks + Mackenzie + Other).  |  2024 Backtest: MAE=1.81 pts, accuracy=86/89 (best of the three methods)</t>
  </si>
  <si>
    <t>LANSFORD BOROUGH</t>
  </si>
  <si>
    <t>Beta-Adjusted (v3) -- MOST ACCURATE, best 2024 backtest</t>
  </si>
  <si>
    <t>LAUSANNE TOWNSHIP</t>
  </si>
  <si>
    <t>LEHIGH TOWNSHIP</t>
  </si>
  <si>
    <t>LEHIGHTON BOROUGH</t>
  </si>
  <si>
    <t>LOWER TOWAMENSING TWP.</t>
  </si>
  <si>
    <t>MAHONING TOWNSHIP</t>
  </si>
  <si>
    <t>District headline: Beta-Adjusted (v3) -- MOST ACCURATE, best 2024 backtest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</si>
  <si>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</si>
  <si>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</si>
  <si>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</si>
  <si>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</si>
  <si>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</si>
  <si>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</si>
  <si>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</si>
  <si>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</si>
  <si>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</si>
  <si>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Lehigh</t>
  </si>
  <si>
    <t>ALBURTIS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</si>
  <si>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</si>
  <si>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</si>
  <si>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</si>
  <si>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</si>
  <si>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</si>
  <si>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</si>
  <si>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</si>
  <si>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</si>
  <si>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</si>
  <si>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</si>
  <si>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</si>
  <si>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</si>
  <si>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</si>
  <si>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</si>
  <si>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</si>
  <si>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</si>
  <si>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</si>
  <si>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</si>
  <si>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</si>
  <si>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</si>
  <si>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</si>
  <si>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</si>
  <si>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</si>
  <si>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</si>
  <si>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Monroe</t>
  </si>
  <si>
    <t>POLK TOWNSHIP</t>
  </si>
  <si>
    <t>ELDRED TOWNSHIP</t>
  </si>
  <si>
    <t>ROSS TOWNSHIP</t>
  </si>
  <si>
    <t>Northampton</t>
  </si>
  <si>
    <t>ALLEN TWSP</t>
  </si>
  <si>
    <t>BANGOR BORO</t>
  </si>
  <si>
    <t>BATH BORO</t>
  </si>
  <si>
    <t>BETHLEHEM TWSP</t>
  </si>
  <si>
    <t>BUSHKILL TWSP</t>
  </si>
  <si>
    <t>CHAPMAN</t>
  </si>
  <si>
    <t>EAST ALLEN TWSP</t>
  </si>
  <si>
    <t>EAST BANGOR</t>
  </si>
  <si>
    <t>EASTON</t>
  </si>
  <si>
    <t>FORKS</t>
  </si>
  <si>
    <t>FREEMANSBURG</t>
  </si>
  <si>
    <t>GLENDON</t>
  </si>
  <si>
    <t>HELLERTOWN BORO</t>
  </si>
  <si>
    <t>LEHIGH TWSP</t>
  </si>
  <si>
    <t>LOWER MT BETHEL</t>
  </si>
  <si>
    <t>LOWER NAZARETH</t>
  </si>
  <si>
    <t>LOWER SAUCON TWSP</t>
  </si>
  <si>
    <t>MOORE TWSP</t>
  </si>
  <si>
    <t>NAZARETH BORO</t>
  </si>
  <si>
    <t>NORTH CATASAUQUA</t>
  </si>
  <si>
    <t>NORTHAMPTON BORO</t>
  </si>
  <si>
    <t>PALMER</t>
  </si>
  <si>
    <t>PEN ARGYL BORO</t>
  </si>
  <si>
    <t>PLAINFIELD TWSP</t>
  </si>
  <si>
    <t>PORTLAND BORO</t>
  </si>
  <si>
    <t>ROSETO BORO</t>
  </si>
  <si>
    <t>STOCKERTOWN BORO</t>
  </si>
  <si>
    <t>TATAMY BORO</t>
  </si>
  <si>
    <t>UPPER MT BETHEL TWSP</t>
  </si>
  <si>
    <t>UPPER NAZARETH</t>
  </si>
  <si>
    <t>WALNUTPORT BORO</t>
  </si>
  <si>
    <t>WASHINGTON TWSP</t>
  </si>
  <si>
    <t>WEST EASTON</t>
  </si>
  <si>
    <t>WILLIAMS TWSP</t>
  </si>
  <si>
    <t>WILSON BORO</t>
  </si>
  <si>
    <t>WIND GAP BORO</t>
  </si>
  <si>
    <t>Enter votes only in the Brooks / Mackenzie / Other columns. Shares are of total votes (Brooks + Mackenzie + Other).  |  2024 Backtest: MAE=3.09 pts, accuracy=82/89</t>
  </si>
  <si>
    <t>Multi-Variable Regression (v3)</t>
  </si>
  <si>
    <t>District headline: Multi-Variable Regression (v3)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</si>
</sst>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sz val="14.0"/>
      <color rgb="FF1F4E79"/>
      <name val="Calibri"/>
    </font>
    <font>
      <b/>
      <sz val="12.0"/>
      <color theme="1"/>
      <name val="Calibri"/>
    </font>
    <font>
      <b/>
      <sz val="13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i/>
      <sz val="10.0"/>
      <color rgb="FF666666"/>
      <name val="Calibri"/>
    </font>
    <font>
      <i/>
      <sz val="11.0"/>
      <color theme="1"/>
      <name val="Arial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D6E3F0"/>
        <bgColor rgb="FFD6E3F0"/>
      </patternFill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1" fillId="3" fontId="8" numFmtId="0" xfId="0" applyAlignment="1" applyBorder="1" applyFill="1" applyFont="1">
      <alignment shrinkToFit="0" vertical="bottom" wrapText="0"/>
    </xf>
    <xf borderId="1" fillId="3" fontId="8" numFmtId="2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2" fillId="4" fontId="11" numFmtId="0" xfId="0" applyAlignment="1" applyBorder="1" applyFill="1" applyFont="1">
      <alignment shrinkToFit="0" vertical="bottom" wrapText="0"/>
    </xf>
    <xf borderId="3" fillId="0" fontId="12" numFmtId="0" xfId="0" applyBorder="1" applyFont="1"/>
    <xf borderId="4" fillId="0" fontId="12" numFmtId="0" xfId="0" applyBorder="1" applyFont="1"/>
    <xf borderId="5" fillId="5" fontId="13" numFmtId="0" xfId="0" applyAlignment="1" applyBorder="1" applyFill="1" applyFont="1">
      <alignment horizontal="center" shrinkToFit="0" vertical="center" wrapText="1"/>
    </xf>
    <xf borderId="5" fillId="6" fontId="11" numFmtId="0" xfId="0" applyAlignment="1" applyBorder="1" applyFill="1" applyFont="1">
      <alignment shrinkToFit="0" vertical="bottom" wrapText="0"/>
    </xf>
    <xf borderId="5" fillId="6" fontId="11" numFmtId="3" xfId="0" applyAlignment="1" applyBorder="1" applyFill="1" applyFont="1" applyNumberFormat="1">
      <alignment shrinkToFit="0" vertical="bottom" wrapText="0"/>
    </xf>
    <xf borderId="5" fillId="6" fontId="11" numFmtId="164" xfId="0" applyAlignment="1" applyBorder="1" applyFill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7" numFmtId="3" xfId="0" applyAlignment="1" applyBorder="1" applyFont="1" applyNumberFormat="1">
      <alignment horizontal="right" shrinkToFit="0" vertical="bottom" wrapText="0"/>
    </xf>
    <xf borderId="6" fillId="0" fontId="7" numFmtId="3" xfId="0" applyAlignment="1" applyBorder="1" applyFont="1" applyNumberFormat="1">
      <alignment shrinkToFit="0" vertical="bottom" wrapText="0"/>
    </xf>
    <xf borderId="6" fillId="0" fontId="7" numFmtId="164" xfId="0" applyAlignment="1" applyBorder="1" applyFont="1" applyNumberFormat="1">
      <alignment horizontal="right" shrinkToFit="0" vertical="bottom" wrapText="0"/>
    </xf>
    <xf borderId="0" fillId="0" fontId="1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6" width="8.71"/>
  </cols>
  <sheetData>
    <row r="1" ht="14.25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17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19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30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 t="s">
        <v>35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38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39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42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 t="s">
        <v>46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 t="s">
        <v>47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 t="s">
        <v>48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6" width="8.71"/>
  </cols>
  <sheetData>
    <row r="1" ht="14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31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36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" t="s">
        <v>40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 t="s">
        <v>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 t="s">
        <v>44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 t="s">
        <v>45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0.0"/>
    <col customWidth="1" min="3" max="3" width="18.29"/>
    <col customWidth="1" min="4" max="4" width="32.14"/>
    <col customWidth="1" min="5" max="26" width="8.71"/>
  </cols>
  <sheetData>
    <row r="1">
      <c r="A1" s="3" t="s">
        <v>2</v>
      </c>
    </row>
    <row r="2" ht="27.75" customHeight="1">
      <c r="A2" s="5" t="s">
        <v>4</v>
      </c>
    </row>
    <row r="4">
      <c r="A4" s="6" t="s">
        <v>5</v>
      </c>
      <c r="B4" s="6" t="s">
        <v>6</v>
      </c>
      <c r="C4" s="6" t="s">
        <v>8</v>
      </c>
      <c r="D4" s="6" t="s">
        <v>9</v>
      </c>
    </row>
    <row r="5">
      <c r="A5" s="7" t="s">
        <v>10</v>
      </c>
      <c r="B5" s="8">
        <v>1.99</v>
      </c>
      <c r="C5" s="7" t="s">
        <v>11</v>
      </c>
      <c r="D5" s="7" t="s">
        <v>13</v>
      </c>
    </row>
    <row r="6">
      <c r="A6" s="9" t="s">
        <v>15</v>
      </c>
      <c r="B6" s="10">
        <v>1.81</v>
      </c>
      <c r="C6" s="12" t="s">
        <v>11</v>
      </c>
      <c r="D6" s="12" t="s">
        <v>13</v>
      </c>
    </row>
    <row r="7">
      <c r="A7" s="7" t="s">
        <v>18</v>
      </c>
      <c r="B7" s="8">
        <v>3.09</v>
      </c>
      <c r="C7" s="7" t="s">
        <v>20</v>
      </c>
      <c r="D7" s="7" t="s">
        <v>22</v>
      </c>
    </row>
    <row r="9" ht="49.5" customHeight="1">
      <c r="A9" s="13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9:D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14.0"/>
    <col customWidth="1" min="4" max="5" width="16.0"/>
    <col customWidth="1" min="6" max="6" width="12.0"/>
    <col customWidth="1" min="7" max="7" width="13.0"/>
    <col customWidth="1" min="8" max="8" width="15.0"/>
    <col customWidth="1" min="9" max="9" width="26.0"/>
  </cols>
  <sheetData>
    <row r="1" ht="14.25" customHeight="1">
      <c r="A1" s="1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 t="s">
        <v>16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32</v>
      </c>
      <c r="H4" s="4" t="s">
        <v>33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37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41</v>
      </c>
      <c r="B7" s="17"/>
      <c r="C7" s="17" t="s">
        <v>49</v>
      </c>
      <c r="D7" s="17" t="s">
        <v>50</v>
      </c>
      <c r="E7" s="17" t="s">
        <v>51</v>
      </c>
      <c r="F7" s="17" t="s">
        <v>52</v>
      </c>
      <c r="G7" s="17" t="s">
        <v>53</v>
      </c>
      <c r="H7" s="17" t="s">
        <v>54</v>
      </c>
      <c r="I7" s="17" t="s">
        <v>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56</v>
      </c>
      <c r="B8" s="18" t="s">
        <v>57</v>
      </c>
      <c r="C8" s="19">
        <f t="shared" ref="C8:E8" si="1">SUM(C12:C100)</f>
        <v>152819</v>
      </c>
      <c r="D8" s="19">
        <f t="shared" si="1"/>
        <v>172750</v>
      </c>
      <c r="E8" s="19">
        <f t="shared" si="1"/>
        <v>0</v>
      </c>
      <c r="F8" s="19">
        <f>C8+D8+E8</f>
        <v>325569</v>
      </c>
      <c r="G8" s="20">
        <f>IF(F8=0,"",C8/F8)</f>
        <v>0.4693905132</v>
      </c>
      <c r="H8" s="20">
        <f>IF(F8=0,"",D8/F8)</f>
        <v>0.5306094868</v>
      </c>
      <c r="I8" s="18" t="s">
        <v>58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1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60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61</v>
      </c>
      <c r="B11" s="17" t="s">
        <v>62</v>
      </c>
      <c r="C11" s="17" t="s">
        <v>49</v>
      </c>
      <c r="D11" s="17" t="s">
        <v>50</v>
      </c>
      <c r="E11" s="17" t="s">
        <v>51</v>
      </c>
      <c r="F11" s="17" t="s">
        <v>52</v>
      </c>
      <c r="G11" s="17" t="s">
        <v>53</v>
      </c>
      <c r="H11" s="17" t="s">
        <v>54</v>
      </c>
      <c r="I11" s="17" t="s">
        <v>63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64</v>
      </c>
      <c r="B12" s="21" t="s">
        <v>65</v>
      </c>
      <c r="C12" s="22">
        <v>139.0</v>
      </c>
      <c r="D12" s="22">
        <v>252.0</v>
      </c>
      <c r="E12" s="23"/>
      <c r="F12" s="22">
        <f t="shared" ref="F12:F100" si="2">C12+D12+IF(E12="",0,E12)</f>
        <v>391</v>
      </c>
      <c r="G12" s="24">
        <f t="shared" ref="G12:G100" si="3">IF(F12=0,"",C12/F12)</f>
        <v>0.3554987212</v>
      </c>
      <c r="H12" s="24">
        <f t="shared" ref="H12:H100" si="4">IF(F12=0,"",D12/F12)</f>
        <v>0.6445012788</v>
      </c>
      <c r="I12" s="21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64</v>
      </c>
      <c r="B13" s="21" t="s">
        <v>66</v>
      </c>
      <c r="C13" s="22">
        <v>85.0</v>
      </c>
      <c r="D13" s="22">
        <v>256.0</v>
      </c>
      <c r="E13" s="23"/>
      <c r="F13" s="22">
        <f t="shared" si="2"/>
        <v>341</v>
      </c>
      <c r="G13" s="24">
        <f t="shared" si="3"/>
        <v>0.2492668622</v>
      </c>
      <c r="H13" s="24">
        <f t="shared" si="4"/>
        <v>0.7507331378</v>
      </c>
      <c r="I13" s="21" t="s">
        <v>25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64</v>
      </c>
      <c r="B14" s="21" t="s">
        <v>67</v>
      </c>
      <c r="C14" s="22">
        <v>125.0</v>
      </c>
      <c r="D14" s="22">
        <v>286.0</v>
      </c>
      <c r="E14" s="23"/>
      <c r="F14" s="22">
        <f t="shared" si="2"/>
        <v>411</v>
      </c>
      <c r="G14" s="24">
        <f t="shared" si="3"/>
        <v>0.304136253</v>
      </c>
      <c r="H14" s="24">
        <f t="shared" si="4"/>
        <v>0.695863747</v>
      </c>
      <c r="I14" s="21" t="s">
        <v>25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64</v>
      </c>
      <c r="B15" s="21" t="s">
        <v>68</v>
      </c>
      <c r="C15" s="22">
        <v>351.0</v>
      </c>
      <c r="D15" s="22">
        <v>1132.0</v>
      </c>
      <c r="E15" s="23"/>
      <c r="F15" s="22">
        <f t="shared" si="2"/>
        <v>1483</v>
      </c>
      <c r="G15" s="24">
        <f t="shared" si="3"/>
        <v>0.2366824005</v>
      </c>
      <c r="H15" s="24">
        <f t="shared" si="4"/>
        <v>0.7633175995</v>
      </c>
      <c r="I15" s="21" t="s">
        <v>25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64</v>
      </c>
      <c r="B16" s="21" t="s">
        <v>69</v>
      </c>
      <c r="C16" s="22">
        <v>31.0</v>
      </c>
      <c r="D16" s="22">
        <v>80.0</v>
      </c>
      <c r="E16" s="23"/>
      <c r="F16" s="22">
        <f t="shared" si="2"/>
        <v>111</v>
      </c>
      <c r="G16" s="24">
        <f t="shared" si="3"/>
        <v>0.2792792793</v>
      </c>
      <c r="H16" s="24">
        <f t="shared" si="4"/>
        <v>0.7207207207</v>
      </c>
      <c r="I16" s="21" t="s">
        <v>25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64</v>
      </c>
      <c r="B17" s="21" t="s">
        <v>70</v>
      </c>
      <c r="C17" s="22">
        <v>584.0</v>
      </c>
      <c r="D17" s="22">
        <v>1674.0</v>
      </c>
      <c r="E17" s="23"/>
      <c r="F17" s="22">
        <f t="shared" si="2"/>
        <v>2258</v>
      </c>
      <c r="G17" s="24">
        <f t="shared" si="3"/>
        <v>0.258635961</v>
      </c>
      <c r="H17" s="24">
        <f t="shared" si="4"/>
        <v>0.741364039</v>
      </c>
      <c r="I17" s="21" t="s">
        <v>25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64</v>
      </c>
      <c r="B18" s="21" t="s">
        <v>71</v>
      </c>
      <c r="C18" s="22">
        <v>991.0</v>
      </c>
      <c r="D18" s="22">
        <v>1420.0</v>
      </c>
      <c r="E18" s="23"/>
      <c r="F18" s="22">
        <f t="shared" si="2"/>
        <v>2411</v>
      </c>
      <c r="G18" s="24">
        <f t="shared" si="3"/>
        <v>0.4110327665</v>
      </c>
      <c r="H18" s="24">
        <f t="shared" si="4"/>
        <v>0.5889672335</v>
      </c>
      <c r="I18" s="21" t="s">
        <v>25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1" t="s">
        <v>64</v>
      </c>
      <c r="B19" s="21" t="s">
        <v>72</v>
      </c>
      <c r="C19" s="22">
        <v>297.0</v>
      </c>
      <c r="D19" s="22">
        <v>615.0</v>
      </c>
      <c r="E19" s="23"/>
      <c r="F19" s="22">
        <f t="shared" si="2"/>
        <v>912</v>
      </c>
      <c r="G19" s="24">
        <f t="shared" si="3"/>
        <v>0.3256578947</v>
      </c>
      <c r="H19" s="24">
        <f t="shared" si="4"/>
        <v>0.6743421053</v>
      </c>
      <c r="I19" s="21" t="s">
        <v>25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64</v>
      </c>
      <c r="B20" s="21" t="s">
        <v>74</v>
      </c>
      <c r="C20" s="22">
        <v>386.0</v>
      </c>
      <c r="D20" s="22">
        <v>692.0</v>
      </c>
      <c r="E20" s="23"/>
      <c r="F20" s="22">
        <f t="shared" si="2"/>
        <v>1078</v>
      </c>
      <c r="G20" s="24">
        <f t="shared" si="3"/>
        <v>0.3580705009</v>
      </c>
      <c r="H20" s="24">
        <f t="shared" si="4"/>
        <v>0.6419294991</v>
      </c>
      <c r="I20" s="21" t="s">
        <v>25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64</v>
      </c>
      <c r="B21" s="21" t="s">
        <v>76</v>
      </c>
      <c r="C21" s="22">
        <v>36.0</v>
      </c>
      <c r="D21" s="22">
        <v>106.0</v>
      </c>
      <c r="E21" s="23"/>
      <c r="F21" s="22">
        <f t="shared" si="2"/>
        <v>142</v>
      </c>
      <c r="G21" s="24">
        <f t="shared" si="3"/>
        <v>0.2535211268</v>
      </c>
      <c r="H21" s="24">
        <f t="shared" si="4"/>
        <v>0.7464788732</v>
      </c>
      <c r="I21" s="21" t="s">
        <v>25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64</v>
      </c>
      <c r="B22" s="21" t="s">
        <v>77</v>
      </c>
      <c r="C22" s="22">
        <v>61.0</v>
      </c>
      <c r="D22" s="22">
        <v>217.0</v>
      </c>
      <c r="E22" s="23"/>
      <c r="F22" s="22">
        <f t="shared" si="2"/>
        <v>278</v>
      </c>
      <c r="G22" s="24">
        <f t="shared" si="3"/>
        <v>0.2194244604</v>
      </c>
      <c r="H22" s="24">
        <f t="shared" si="4"/>
        <v>0.7805755396</v>
      </c>
      <c r="I22" s="21" t="s">
        <v>25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64</v>
      </c>
      <c r="B23" s="21" t="s">
        <v>78</v>
      </c>
      <c r="C23" s="22">
        <v>705.0</v>
      </c>
      <c r="D23" s="22">
        <v>1195.0</v>
      </c>
      <c r="E23" s="23"/>
      <c r="F23" s="22">
        <f t="shared" si="2"/>
        <v>1900</v>
      </c>
      <c r="G23" s="24">
        <f t="shared" si="3"/>
        <v>0.3710526316</v>
      </c>
      <c r="H23" s="24">
        <f t="shared" si="4"/>
        <v>0.6289473684</v>
      </c>
      <c r="I23" s="21" t="s">
        <v>25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64</v>
      </c>
      <c r="B24" s="21" t="s">
        <v>79</v>
      </c>
      <c r="C24" s="22">
        <v>417.0</v>
      </c>
      <c r="D24" s="22">
        <v>1187.0</v>
      </c>
      <c r="E24" s="23"/>
      <c r="F24" s="22">
        <f t="shared" si="2"/>
        <v>1604</v>
      </c>
      <c r="G24" s="24">
        <f t="shared" si="3"/>
        <v>0.2599750623</v>
      </c>
      <c r="H24" s="24">
        <f t="shared" si="4"/>
        <v>0.7400249377</v>
      </c>
      <c r="I24" s="21" t="s">
        <v>25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64</v>
      </c>
      <c r="B25" s="21" t="s">
        <v>80</v>
      </c>
      <c r="C25" s="22">
        <v>563.0</v>
      </c>
      <c r="D25" s="22">
        <v>1513.0</v>
      </c>
      <c r="E25" s="23"/>
      <c r="F25" s="22">
        <f t="shared" si="2"/>
        <v>2076</v>
      </c>
      <c r="G25" s="24">
        <f t="shared" si="3"/>
        <v>0.271194605</v>
      </c>
      <c r="H25" s="24">
        <f t="shared" si="4"/>
        <v>0.728805395</v>
      </c>
      <c r="I25" s="21" t="s">
        <v>25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64</v>
      </c>
      <c r="B26" s="21" t="s">
        <v>82</v>
      </c>
      <c r="C26" s="22">
        <v>472.0</v>
      </c>
      <c r="D26" s="22">
        <v>870.0</v>
      </c>
      <c r="E26" s="23"/>
      <c r="F26" s="22">
        <f t="shared" si="2"/>
        <v>1342</v>
      </c>
      <c r="G26" s="24">
        <f t="shared" si="3"/>
        <v>0.3517138599</v>
      </c>
      <c r="H26" s="24">
        <f t="shared" si="4"/>
        <v>0.6482861401</v>
      </c>
      <c r="I26" s="21" t="s">
        <v>25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64</v>
      </c>
      <c r="B27" s="21" t="s">
        <v>83</v>
      </c>
      <c r="C27" s="22">
        <v>110.0</v>
      </c>
      <c r="D27" s="22">
        <v>487.0</v>
      </c>
      <c r="E27" s="23"/>
      <c r="F27" s="22">
        <f t="shared" si="2"/>
        <v>597</v>
      </c>
      <c r="G27" s="24">
        <f t="shared" si="3"/>
        <v>0.1842546064</v>
      </c>
      <c r="H27" s="24">
        <f t="shared" si="4"/>
        <v>0.8157453936</v>
      </c>
      <c r="I27" s="21" t="s">
        <v>25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64</v>
      </c>
      <c r="B28" s="21" t="s">
        <v>84</v>
      </c>
      <c r="C28" s="22">
        <v>748.0</v>
      </c>
      <c r="D28" s="22">
        <v>1405.0</v>
      </c>
      <c r="E28" s="23"/>
      <c r="F28" s="22">
        <f t="shared" si="2"/>
        <v>2153</v>
      </c>
      <c r="G28" s="24">
        <f t="shared" si="3"/>
        <v>0.3474222016</v>
      </c>
      <c r="H28" s="24">
        <f t="shared" si="4"/>
        <v>0.6525777984</v>
      </c>
      <c r="I28" s="21" t="s">
        <v>25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64</v>
      </c>
      <c r="B29" s="21" t="s">
        <v>85</v>
      </c>
      <c r="C29" s="22">
        <v>60.0</v>
      </c>
      <c r="D29" s="22">
        <v>149.0</v>
      </c>
      <c r="E29" s="23"/>
      <c r="F29" s="22">
        <f t="shared" si="2"/>
        <v>209</v>
      </c>
      <c r="G29" s="24">
        <f t="shared" si="3"/>
        <v>0.2870813397</v>
      </c>
      <c r="H29" s="24">
        <f t="shared" si="4"/>
        <v>0.7129186603</v>
      </c>
      <c r="I29" s="21" t="s">
        <v>25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64</v>
      </c>
      <c r="B30" s="21" t="s">
        <v>86</v>
      </c>
      <c r="C30" s="22">
        <v>1700.0</v>
      </c>
      <c r="D30" s="22">
        <v>3415.0</v>
      </c>
      <c r="E30" s="23"/>
      <c r="F30" s="22">
        <f t="shared" si="2"/>
        <v>5115</v>
      </c>
      <c r="G30" s="24">
        <f t="shared" si="3"/>
        <v>0.3323558162</v>
      </c>
      <c r="H30" s="24">
        <f t="shared" si="4"/>
        <v>0.6676441838</v>
      </c>
      <c r="I30" s="21" t="s">
        <v>25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64</v>
      </c>
      <c r="B31" s="21" t="s">
        <v>87</v>
      </c>
      <c r="C31" s="22">
        <v>524.0</v>
      </c>
      <c r="D31" s="22">
        <v>810.0</v>
      </c>
      <c r="E31" s="23"/>
      <c r="F31" s="22">
        <f t="shared" si="2"/>
        <v>1334</v>
      </c>
      <c r="G31" s="24">
        <f t="shared" si="3"/>
        <v>0.3928035982</v>
      </c>
      <c r="H31" s="24">
        <f t="shared" si="4"/>
        <v>0.6071964018</v>
      </c>
      <c r="I31" s="21" t="s">
        <v>25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64</v>
      </c>
      <c r="B32" s="21" t="s">
        <v>88</v>
      </c>
      <c r="C32" s="22">
        <v>659.0</v>
      </c>
      <c r="D32" s="22">
        <v>1854.0</v>
      </c>
      <c r="E32" s="23"/>
      <c r="F32" s="22">
        <f t="shared" si="2"/>
        <v>2513</v>
      </c>
      <c r="G32" s="24">
        <f t="shared" si="3"/>
        <v>0.2622363709</v>
      </c>
      <c r="H32" s="24">
        <f t="shared" si="4"/>
        <v>0.7377636291</v>
      </c>
      <c r="I32" s="21" t="s">
        <v>25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64</v>
      </c>
      <c r="B33" s="21" t="s">
        <v>89</v>
      </c>
      <c r="C33" s="22">
        <v>255.0</v>
      </c>
      <c r="D33" s="22">
        <v>700.0</v>
      </c>
      <c r="E33" s="23"/>
      <c r="F33" s="22">
        <f t="shared" si="2"/>
        <v>955</v>
      </c>
      <c r="G33" s="24">
        <f t="shared" si="3"/>
        <v>0.2670157068</v>
      </c>
      <c r="H33" s="24">
        <f t="shared" si="4"/>
        <v>0.7329842932</v>
      </c>
      <c r="I33" s="21" t="s">
        <v>25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64</v>
      </c>
      <c r="B34" s="21" t="s">
        <v>90</v>
      </c>
      <c r="C34" s="22">
        <v>34.0</v>
      </c>
      <c r="D34" s="22">
        <v>68.0</v>
      </c>
      <c r="E34" s="23"/>
      <c r="F34" s="22">
        <f t="shared" si="2"/>
        <v>102</v>
      </c>
      <c r="G34" s="24">
        <f t="shared" si="3"/>
        <v>0.3333333333</v>
      </c>
      <c r="H34" s="24">
        <f t="shared" si="4"/>
        <v>0.6666666667</v>
      </c>
      <c r="I34" s="21" t="s">
        <v>25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91</v>
      </c>
      <c r="B35" s="21" t="s">
        <v>92</v>
      </c>
      <c r="C35" s="22">
        <v>489.0</v>
      </c>
      <c r="D35" s="22">
        <v>677.0</v>
      </c>
      <c r="E35" s="23"/>
      <c r="F35" s="22">
        <f t="shared" si="2"/>
        <v>1166</v>
      </c>
      <c r="G35" s="24">
        <f t="shared" si="3"/>
        <v>0.4193825043</v>
      </c>
      <c r="H35" s="24">
        <f t="shared" si="4"/>
        <v>0.5806174957</v>
      </c>
      <c r="I35" s="21" t="s">
        <v>25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91</v>
      </c>
      <c r="B36" s="21" t="s">
        <v>93</v>
      </c>
      <c r="C36" s="22">
        <v>13997.0</v>
      </c>
      <c r="D36" s="22">
        <v>8545.0</v>
      </c>
      <c r="E36" s="23"/>
      <c r="F36" s="22">
        <f t="shared" si="2"/>
        <v>22542</v>
      </c>
      <c r="G36" s="24">
        <f t="shared" si="3"/>
        <v>0.6209298199</v>
      </c>
      <c r="H36" s="24">
        <f t="shared" si="4"/>
        <v>0.3790701801</v>
      </c>
      <c r="I36" s="21" t="s">
        <v>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91</v>
      </c>
      <c r="B37" s="21" t="s">
        <v>94</v>
      </c>
      <c r="C37" s="22">
        <v>5496.0</v>
      </c>
      <c r="D37" s="22">
        <v>3286.0</v>
      </c>
      <c r="E37" s="23"/>
      <c r="F37" s="22">
        <f t="shared" si="2"/>
        <v>8782</v>
      </c>
      <c r="G37" s="24">
        <f t="shared" si="3"/>
        <v>0.6258255523</v>
      </c>
      <c r="H37" s="24">
        <f t="shared" si="4"/>
        <v>0.3741744477</v>
      </c>
      <c r="I37" s="21" t="s">
        <v>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91</v>
      </c>
      <c r="B38" s="21" t="s">
        <v>95</v>
      </c>
      <c r="C38" s="22">
        <v>1108.0</v>
      </c>
      <c r="D38" s="22">
        <v>1154.0</v>
      </c>
      <c r="E38" s="23"/>
      <c r="F38" s="22">
        <f t="shared" si="2"/>
        <v>2262</v>
      </c>
      <c r="G38" s="24">
        <f t="shared" si="3"/>
        <v>0.4898320071</v>
      </c>
      <c r="H38" s="24">
        <f t="shared" si="4"/>
        <v>0.5101679929</v>
      </c>
      <c r="I38" s="21" t="s">
        <v>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91</v>
      </c>
      <c r="B39" s="21" t="s">
        <v>96</v>
      </c>
      <c r="C39" s="22">
        <v>687.0</v>
      </c>
      <c r="D39" s="22">
        <v>792.0</v>
      </c>
      <c r="E39" s="23"/>
      <c r="F39" s="22">
        <f t="shared" si="2"/>
        <v>1479</v>
      </c>
      <c r="G39" s="24">
        <f t="shared" si="3"/>
        <v>0.4645030426</v>
      </c>
      <c r="H39" s="24">
        <f t="shared" si="4"/>
        <v>0.5354969574</v>
      </c>
      <c r="I39" s="21" t="s">
        <v>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91</v>
      </c>
      <c r="B40" s="21" t="s">
        <v>97</v>
      </c>
      <c r="C40" s="22">
        <v>689.0</v>
      </c>
      <c r="D40" s="22">
        <v>730.0</v>
      </c>
      <c r="E40" s="23"/>
      <c r="F40" s="22">
        <f t="shared" si="2"/>
        <v>1419</v>
      </c>
      <c r="G40" s="24">
        <f t="shared" si="3"/>
        <v>0.4855532065</v>
      </c>
      <c r="H40" s="24">
        <f t="shared" si="4"/>
        <v>0.5144467935</v>
      </c>
      <c r="I40" s="21" t="s">
        <v>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91</v>
      </c>
      <c r="B41" s="21" t="s">
        <v>98</v>
      </c>
      <c r="C41" s="22">
        <v>3077.0</v>
      </c>
      <c r="D41" s="22">
        <v>2702.0</v>
      </c>
      <c r="E41" s="23"/>
      <c r="F41" s="22">
        <f t="shared" si="2"/>
        <v>5779</v>
      </c>
      <c r="G41" s="24">
        <f t="shared" si="3"/>
        <v>0.5324450597</v>
      </c>
      <c r="H41" s="24">
        <f t="shared" si="4"/>
        <v>0.4675549403</v>
      </c>
      <c r="I41" s="21" t="s">
        <v>25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91</v>
      </c>
      <c r="B42" s="21" t="s">
        <v>99</v>
      </c>
      <c r="C42" s="22">
        <v>996.0</v>
      </c>
      <c r="D42" s="22">
        <v>562.0</v>
      </c>
      <c r="E42" s="23"/>
      <c r="F42" s="22">
        <f t="shared" si="2"/>
        <v>1558</v>
      </c>
      <c r="G42" s="24">
        <f t="shared" si="3"/>
        <v>0.6392811297</v>
      </c>
      <c r="H42" s="24">
        <f t="shared" si="4"/>
        <v>0.3607188703</v>
      </c>
      <c r="I42" s="21" t="s">
        <v>25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91</v>
      </c>
      <c r="B43" s="21" t="s">
        <v>100</v>
      </c>
      <c r="C43" s="22">
        <v>228.0</v>
      </c>
      <c r="D43" s="22">
        <v>214.0</v>
      </c>
      <c r="E43" s="23"/>
      <c r="F43" s="22">
        <f t="shared" si="2"/>
        <v>442</v>
      </c>
      <c r="G43" s="24">
        <f t="shared" si="3"/>
        <v>0.5158371041</v>
      </c>
      <c r="H43" s="24">
        <f t="shared" si="4"/>
        <v>0.4841628959</v>
      </c>
      <c r="I43" s="21" t="s">
        <v>25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91</v>
      </c>
      <c r="B44" s="21" t="s">
        <v>101</v>
      </c>
      <c r="C44" s="22">
        <v>543.0</v>
      </c>
      <c r="D44" s="22">
        <v>1283.0</v>
      </c>
      <c r="E44" s="23"/>
      <c r="F44" s="22">
        <f t="shared" si="2"/>
        <v>1826</v>
      </c>
      <c r="G44" s="24">
        <f t="shared" si="3"/>
        <v>0.2973713034</v>
      </c>
      <c r="H44" s="24">
        <f t="shared" si="4"/>
        <v>0.7026286966</v>
      </c>
      <c r="I44" s="21" t="s">
        <v>25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91</v>
      </c>
      <c r="B45" s="21" t="s">
        <v>102</v>
      </c>
      <c r="C45" s="22">
        <v>8923.0</v>
      </c>
      <c r="D45" s="22">
        <v>8901.0</v>
      </c>
      <c r="E45" s="23"/>
      <c r="F45" s="22">
        <f t="shared" si="2"/>
        <v>17824</v>
      </c>
      <c r="G45" s="24">
        <f t="shared" si="3"/>
        <v>0.5006171454</v>
      </c>
      <c r="H45" s="24">
        <f t="shared" si="4"/>
        <v>0.4993828546</v>
      </c>
      <c r="I45" s="21" t="s">
        <v>25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91</v>
      </c>
      <c r="B46" s="21" t="s">
        <v>103</v>
      </c>
      <c r="C46" s="22">
        <v>940.0</v>
      </c>
      <c r="D46" s="22">
        <v>1530.0</v>
      </c>
      <c r="E46" s="23"/>
      <c r="F46" s="22">
        <f t="shared" si="2"/>
        <v>2470</v>
      </c>
      <c r="G46" s="24">
        <f t="shared" si="3"/>
        <v>0.3805668016</v>
      </c>
      <c r="H46" s="24">
        <f t="shared" si="4"/>
        <v>0.6194331984</v>
      </c>
      <c r="I46" s="21" t="s">
        <v>25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91</v>
      </c>
      <c r="B47" s="21" t="s">
        <v>104</v>
      </c>
      <c r="C47" s="22">
        <v>475.0</v>
      </c>
      <c r="D47" s="22">
        <v>868.0</v>
      </c>
      <c r="E47" s="23"/>
      <c r="F47" s="22">
        <f t="shared" si="2"/>
        <v>1343</v>
      </c>
      <c r="G47" s="24">
        <f t="shared" si="3"/>
        <v>0.3536857781</v>
      </c>
      <c r="H47" s="24">
        <f t="shared" si="4"/>
        <v>0.6463142219</v>
      </c>
      <c r="I47" s="21" t="s">
        <v>25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91</v>
      </c>
      <c r="B48" s="21" t="s">
        <v>105</v>
      </c>
      <c r="C48" s="22">
        <v>767.0</v>
      </c>
      <c r="D48" s="22">
        <v>1683.0</v>
      </c>
      <c r="E48" s="23"/>
      <c r="F48" s="22">
        <f t="shared" si="2"/>
        <v>2450</v>
      </c>
      <c r="G48" s="24">
        <f t="shared" si="3"/>
        <v>0.3130612245</v>
      </c>
      <c r="H48" s="24">
        <f t="shared" si="4"/>
        <v>0.6869387755</v>
      </c>
      <c r="I48" s="21" t="s">
        <v>25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91</v>
      </c>
      <c r="B49" s="21" t="s">
        <v>106</v>
      </c>
      <c r="C49" s="22">
        <v>835.0</v>
      </c>
      <c r="D49" s="22">
        <v>722.0</v>
      </c>
      <c r="E49" s="23"/>
      <c r="F49" s="22">
        <f t="shared" si="2"/>
        <v>1557</v>
      </c>
      <c r="G49" s="24">
        <f t="shared" si="3"/>
        <v>0.5362877328</v>
      </c>
      <c r="H49" s="24">
        <f t="shared" si="4"/>
        <v>0.4637122672</v>
      </c>
      <c r="I49" s="21" t="s">
        <v>25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1" t="s">
        <v>91</v>
      </c>
      <c r="B50" s="21" t="s">
        <v>107</v>
      </c>
      <c r="C50" s="22">
        <v>3575.0</v>
      </c>
      <c r="D50" s="22">
        <v>5230.0</v>
      </c>
      <c r="E50" s="23"/>
      <c r="F50" s="22">
        <f t="shared" si="2"/>
        <v>8805</v>
      </c>
      <c r="G50" s="24">
        <f t="shared" si="3"/>
        <v>0.4060193072</v>
      </c>
      <c r="H50" s="24">
        <f t="shared" si="4"/>
        <v>0.5939806928</v>
      </c>
      <c r="I50" s="21" t="s">
        <v>25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1" t="s">
        <v>91</v>
      </c>
      <c r="B51" s="21" t="s">
        <v>108</v>
      </c>
      <c r="C51" s="22">
        <v>3433.0</v>
      </c>
      <c r="D51" s="22">
        <v>3514.0</v>
      </c>
      <c r="E51" s="23"/>
      <c r="F51" s="22">
        <f t="shared" si="2"/>
        <v>6947</v>
      </c>
      <c r="G51" s="24">
        <f t="shared" si="3"/>
        <v>0.4941701454</v>
      </c>
      <c r="H51" s="24">
        <f t="shared" si="4"/>
        <v>0.5058298546</v>
      </c>
      <c r="I51" s="21" t="s">
        <v>25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1" t="s">
        <v>91</v>
      </c>
      <c r="B52" s="21" t="s">
        <v>109</v>
      </c>
      <c r="C52" s="22">
        <v>622.0</v>
      </c>
      <c r="D52" s="22">
        <v>917.0</v>
      </c>
      <c r="E52" s="23"/>
      <c r="F52" s="22">
        <f t="shared" si="2"/>
        <v>1539</v>
      </c>
      <c r="G52" s="24">
        <f t="shared" si="3"/>
        <v>0.4041585445</v>
      </c>
      <c r="H52" s="24">
        <f t="shared" si="4"/>
        <v>0.5958414555</v>
      </c>
      <c r="I52" s="21" t="s">
        <v>25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91</v>
      </c>
      <c r="B53" s="21" t="s">
        <v>110</v>
      </c>
      <c r="C53" s="22">
        <v>6073.0</v>
      </c>
      <c r="D53" s="22">
        <v>5317.0</v>
      </c>
      <c r="E53" s="23"/>
      <c r="F53" s="22">
        <f t="shared" si="2"/>
        <v>11390</v>
      </c>
      <c r="G53" s="24">
        <f t="shared" si="3"/>
        <v>0.5331870061</v>
      </c>
      <c r="H53" s="24">
        <f t="shared" si="4"/>
        <v>0.4668129939</v>
      </c>
      <c r="I53" s="21" t="s">
        <v>25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91</v>
      </c>
      <c r="B54" s="21" t="s">
        <v>111</v>
      </c>
      <c r="C54" s="22">
        <v>6621.0</v>
      </c>
      <c r="D54" s="22">
        <v>6279.0</v>
      </c>
      <c r="E54" s="23"/>
      <c r="F54" s="22">
        <f t="shared" si="2"/>
        <v>12900</v>
      </c>
      <c r="G54" s="24">
        <f t="shared" si="3"/>
        <v>0.513255814</v>
      </c>
      <c r="H54" s="24">
        <f t="shared" si="4"/>
        <v>0.486744186</v>
      </c>
      <c r="I54" s="21" t="s">
        <v>25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91</v>
      </c>
      <c r="B55" s="21" t="s">
        <v>112</v>
      </c>
      <c r="C55" s="22">
        <v>2289.0</v>
      </c>
      <c r="D55" s="22">
        <v>3038.0</v>
      </c>
      <c r="E55" s="23"/>
      <c r="F55" s="22">
        <f t="shared" si="2"/>
        <v>5327</v>
      </c>
      <c r="G55" s="24">
        <f t="shared" si="3"/>
        <v>0.4296977661</v>
      </c>
      <c r="H55" s="24">
        <f t="shared" si="4"/>
        <v>0.5703022339</v>
      </c>
      <c r="I55" s="21" t="s">
        <v>25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91</v>
      </c>
      <c r="B56" s="21" t="s">
        <v>113</v>
      </c>
      <c r="C56" s="22">
        <v>4990.0</v>
      </c>
      <c r="D56" s="22">
        <v>5140.0</v>
      </c>
      <c r="E56" s="23"/>
      <c r="F56" s="22">
        <f t="shared" si="2"/>
        <v>10130</v>
      </c>
      <c r="G56" s="24">
        <f t="shared" si="3"/>
        <v>0.4925962488</v>
      </c>
      <c r="H56" s="24">
        <f t="shared" si="4"/>
        <v>0.5074037512</v>
      </c>
      <c r="I56" s="21" t="s">
        <v>25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91</v>
      </c>
      <c r="B57" s="21" t="s">
        <v>114</v>
      </c>
      <c r="C57" s="22">
        <v>1133.0</v>
      </c>
      <c r="D57" s="22">
        <v>2412.0</v>
      </c>
      <c r="E57" s="23"/>
      <c r="F57" s="22">
        <f t="shared" si="2"/>
        <v>3545</v>
      </c>
      <c r="G57" s="24">
        <f t="shared" si="3"/>
        <v>0.3196050776</v>
      </c>
      <c r="H57" s="24">
        <f t="shared" si="4"/>
        <v>0.6803949224</v>
      </c>
      <c r="I57" s="21" t="s">
        <v>25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91</v>
      </c>
      <c r="B58" s="21" t="s">
        <v>115</v>
      </c>
      <c r="C58" s="22">
        <v>1078.0</v>
      </c>
      <c r="D58" s="22">
        <v>1965.0</v>
      </c>
      <c r="E58" s="23"/>
      <c r="F58" s="22">
        <f t="shared" si="2"/>
        <v>3043</v>
      </c>
      <c r="G58" s="24">
        <f t="shared" si="3"/>
        <v>0.3542556687</v>
      </c>
      <c r="H58" s="24">
        <f t="shared" si="4"/>
        <v>0.6457443313</v>
      </c>
      <c r="I58" s="21" t="s">
        <v>25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91</v>
      </c>
      <c r="B59" s="21" t="s">
        <v>116</v>
      </c>
      <c r="C59" s="22">
        <v>5651.0</v>
      </c>
      <c r="D59" s="22">
        <v>5668.0</v>
      </c>
      <c r="E59" s="23"/>
      <c r="F59" s="22">
        <f t="shared" si="2"/>
        <v>11319</v>
      </c>
      <c r="G59" s="24">
        <f t="shared" si="3"/>
        <v>0.4992490503</v>
      </c>
      <c r="H59" s="24">
        <f t="shared" si="4"/>
        <v>0.5007509497</v>
      </c>
      <c r="I59" s="21" t="s">
        <v>25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5" t="s">
        <v>117</v>
      </c>
      <c r="B60" s="21" t="s">
        <v>118</v>
      </c>
      <c r="C60" s="22">
        <v>1040.0</v>
      </c>
      <c r="D60" s="22">
        <v>2490.0</v>
      </c>
      <c r="E60" s="23"/>
      <c r="F60" s="22">
        <f t="shared" si="2"/>
        <v>3530</v>
      </c>
      <c r="G60" s="24">
        <f t="shared" si="3"/>
        <v>0.2946175637</v>
      </c>
      <c r="H60" s="24">
        <f t="shared" si="4"/>
        <v>0.7053824363</v>
      </c>
      <c r="I60" s="21" t="s">
        <v>25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5" t="s">
        <v>117</v>
      </c>
      <c r="B61" s="21" t="s">
        <v>119</v>
      </c>
      <c r="C61" s="22">
        <v>389.0</v>
      </c>
      <c r="D61" s="22">
        <v>1019.0</v>
      </c>
      <c r="E61" s="23"/>
      <c r="F61" s="22">
        <f t="shared" si="2"/>
        <v>1408</v>
      </c>
      <c r="G61" s="24">
        <f t="shared" si="3"/>
        <v>0.2762784091</v>
      </c>
      <c r="H61" s="24">
        <f t="shared" si="4"/>
        <v>0.7237215909</v>
      </c>
      <c r="I61" s="21" t="s">
        <v>25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5" t="s">
        <v>117</v>
      </c>
      <c r="B62" s="21" t="s">
        <v>120</v>
      </c>
      <c r="C62" s="22">
        <v>103.0</v>
      </c>
      <c r="D62" s="22">
        <v>234.0</v>
      </c>
      <c r="E62" s="23"/>
      <c r="F62" s="22">
        <f t="shared" si="2"/>
        <v>337</v>
      </c>
      <c r="G62" s="24">
        <f t="shared" si="3"/>
        <v>0.3056379822</v>
      </c>
      <c r="H62" s="24">
        <f t="shared" si="4"/>
        <v>0.6943620178</v>
      </c>
      <c r="I62" s="21" t="s">
        <v>25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121</v>
      </c>
      <c r="B63" s="21" t="s">
        <v>122</v>
      </c>
      <c r="C63" s="22">
        <v>1357.0</v>
      </c>
      <c r="D63" s="22">
        <v>1739.0</v>
      </c>
      <c r="E63" s="23"/>
      <c r="F63" s="22">
        <f t="shared" si="2"/>
        <v>3096</v>
      </c>
      <c r="G63" s="24">
        <f t="shared" si="3"/>
        <v>0.4383074935</v>
      </c>
      <c r="H63" s="24">
        <f t="shared" si="4"/>
        <v>0.5616925065</v>
      </c>
      <c r="I63" s="21" t="s">
        <v>25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121</v>
      </c>
      <c r="B64" s="21" t="s">
        <v>123</v>
      </c>
      <c r="C64" s="22">
        <v>726.0</v>
      </c>
      <c r="D64" s="22">
        <v>1107.0</v>
      </c>
      <c r="E64" s="23"/>
      <c r="F64" s="22">
        <f t="shared" si="2"/>
        <v>1833</v>
      </c>
      <c r="G64" s="24">
        <f t="shared" si="3"/>
        <v>0.3960720131</v>
      </c>
      <c r="H64" s="24">
        <f t="shared" si="4"/>
        <v>0.6039279869</v>
      </c>
      <c r="I64" s="21" t="s">
        <v>25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121</v>
      </c>
      <c r="B65" s="21" t="s">
        <v>124</v>
      </c>
      <c r="C65" s="22">
        <v>516.0</v>
      </c>
      <c r="D65" s="22">
        <v>616.0</v>
      </c>
      <c r="E65" s="23"/>
      <c r="F65" s="22">
        <f t="shared" si="2"/>
        <v>1132</v>
      </c>
      <c r="G65" s="24">
        <f t="shared" si="3"/>
        <v>0.4558303887</v>
      </c>
      <c r="H65" s="24">
        <f t="shared" si="4"/>
        <v>0.5441696113</v>
      </c>
      <c r="I65" s="21" t="s">
        <v>25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121</v>
      </c>
      <c r="B66" s="21" t="s">
        <v>94</v>
      </c>
      <c r="C66" s="22">
        <v>7643.0</v>
      </c>
      <c r="D66" s="22">
        <v>6594.0</v>
      </c>
      <c r="E66" s="23"/>
      <c r="F66" s="22">
        <f t="shared" si="2"/>
        <v>14237</v>
      </c>
      <c r="G66" s="24">
        <f t="shared" si="3"/>
        <v>0.5368406265</v>
      </c>
      <c r="H66" s="24">
        <f t="shared" si="4"/>
        <v>0.4631593735</v>
      </c>
      <c r="I66" s="21" t="s">
        <v>25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121</v>
      </c>
      <c r="B67" s="21" t="s">
        <v>125</v>
      </c>
      <c r="C67" s="22">
        <v>7643.0</v>
      </c>
      <c r="D67" s="22">
        <v>6594.0</v>
      </c>
      <c r="E67" s="23"/>
      <c r="F67" s="22">
        <f t="shared" si="2"/>
        <v>14237</v>
      </c>
      <c r="G67" s="24">
        <f t="shared" si="3"/>
        <v>0.5368406265</v>
      </c>
      <c r="H67" s="24">
        <f t="shared" si="4"/>
        <v>0.4631593735</v>
      </c>
      <c r="I67" s="21" t="s">
        <v>25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121</v>
      </c>
      <c r="B68" s="21" t="s">
        <v>126</v>
      </c>
      <c r="C68" s="22">
        <v>2050.0</v>
      </c>
      <c r="D68" s="22">
        <v>3235.0</v>
      </c>
      <c r="E68" s="23"/>
      <c r="F68" s="22">
        <f t="shared" si="2"/>
        <v>5285</v>
      </c>
      <c r="G68" s="24">
        <f t="shared" si="3"/>
        <v>0.3878902554</v>
      </c>
      <c r="H68" s="24">
        <f t="shared" si="4"/>
        <v>0.6121097446</v>
      </c>
      <c r="I68" s="21" t="s">
        <v>25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121</v>
      </c>
      <c r="B69" s="21" t="s">
        <v>127</v>
      </c>
      <c r="C69" s="22">
        <v>29.0</v>
      </c>
      <c r="D69" s="22">
        <v>77.0</v>
      </c>
      <c r="E69" s="23"/>
      <c r="F69" s="22">
        <f t="shared" si="2"/>
        <v>106</v>
      </c>
      <c r="G69" s="24">
        <f t="shared" si="3"/>
        <v>0.2735849057</v>
      </c>
      <c r="H69" s="24">
        <f t="shared" si="4"/>
        <v>0.7264150943</v>
      </c>
      <c r="I69" s="21" t="s">
        <v>25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121</v>
      </c>
      <c r="B70" s="21" t="s">
        <v>128</v>
      </c>
      <c r="C70" s="22">
        <v>1340.0</v>
      </c>
      <c r="D70" s="22">
        <v>1703.0</v>
      </c>
      <c r="E70" s="23"/>
      <c r="F70" s="22">
        <f t="shared" si="2"/>
        <v>3043</v>
      </c>
      <c r="G70" s="24">
        <f t="shared" si="3"/>
        <v>0.4403549129</v>
      </c>
      <c r="H70" s="24">
        <f t="shared" si="4"/>
        <v>0.5596450871</v>
      </c>
      <c r="I70" s="21" t="s">
        <v>25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121</v>
      </c>
      <c r="B71" s="21" t="s">
        <v>129</v>
      </c>
      <c r="C71" s="22">
        <v>152.0</v>
      </c>
      <c r="D71" s="22">
        <v>217.0</v>
      </c>
      <c r="E71" s="23"/>
      <c r="F71" s="22">
        <f t="shared" si="2"/>
        <v>369</v>
      </c>
      <c r="G71" s="24">
        <f t="shared" si="3"/>
        <v>0.4119241192</v>
      </c>
      <c r="H71" s="24">
        <f t="shared" si="4"/>
        <v>0.5880758808</v>
      </c>
      <c r="I71" s="21" t="s">
        <v>25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121</v>
      </c>
      <c r="B72" s="21" t="s">
        <v>130</v>
      </c>
      <c r="C72" s="22">
        <v>5157.0</v>
      </c>
      <c r="D72" s="22">
        <v>2387.0</v>
      </c>
      <c r="E72" s="23"/>
      <c r="F72" s="22">
        <f t="shared" si="2"/>
        <v>7544</v>
      </c>
      <c r="G72" s="24">
        <f t="shared" si="3"/>
        <v>0.6835896076</v>
      </c>
      <c r="H72" s="24">
        <f t="shared" si="4"/>
        <v>0.3164103924</v>
      </c>
      <c r="I72" s="21" t="s">
        <v>25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121</v>
      </c>
      <c r="B73" s="21" t="s">
        <v>131</v>
      </c>
      <c r="C73" s="22">
        <v>4714.0</v>
      </c>
      <c r="D73" s="22">
        <v>4584.0</v>
      </c>
      <c r="E73" s="23"/>
      <c r="F73" s="22">
        <f t="shared" si="2"/>
        <v>9298</v>
      </c>
      <c r="G73" s="24">
        <f t="shared" si="3"/>
        <v>0.5069907507</v>
      </c>
      <c r="H73" s="24">
        <f t="shared" si="4"/>
        <v>0.4930092493</v>
      </c>
      <c r="I73" s="21" t="s">
        <v>25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121</v>
      </c>
      <c r="B74" s="21" t="s">
        <v>132</v>
      </c>
      <c r="C74" s="22">
        <v>488.0</v>
      </c>
      <c r="D74" s="22">
        <v>382.0</v>
      </c>
      <c r="E74" s="23"/>
      <c r="F74" s="22">
        <f t="shared" si="2"/>
        <v>870</v>
      </c>
      <c r="G74" s="24">
        <f t="shared" si="3"/>
        <v>0.5609195402</v>
      </c>
      <c r="H74" s="24">
        <f t="shared" si="4"/>
        <v>0.4390804598</v>
      </c>
      <c r="I74" s="21" t="s">
        <v>25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121</v>
      </c>
      <c r="B75" s="21" t="s">
        <v>133</v>
      </c>
      <c r="C75" s="22">
        <v>79.0</v>
      </c>
      <c r="D75" s="22">
        <v>92.0</v>
      </c>
      <c r="E75" s="23"/>
      <c r="F75" s="22">
        <f t="shared" si="2"/>
        <v>171</v>
      </c>
      <c r="G75" s="24">
        <f t="shared" si="3"/>
        <v>0.4619883041</v>
      </c>
      <c r="H75" s="24">
        <f t="shared" si="4"/>
        <v>0.5380116959</v>
      </c>
      <c r="I75" s="21" t="s">
        <v>25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121</v>
      </c>
      <c r="B76" s="21" t="s">
        <v>100</v>
      </c>
      <c r="C76" s="22">
        <v>3982.0</v>
      </c>
      <c r="D76" s="22">
        <v>3239.0</v>
      </c>
      <c r="E76" s="23"/>
      <c r="F76" s="22">
        <f t="shared" si="2"/>
        <v>7221</v>
      </c>
      <c r="G76" s="24">
        <f t="shared" si="3"/>
        <v>0.551447168</v>
      </c>
      <c r="H76" s="24">
        <f t="shared" si="4"/>
        <v>0.448552832</v>
      </c>
      <c r="I76" s="21" t="s">
        <v>25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121</v>
      </c>
      <c r="B77" s="21" t="s">
        <v>134</v>
      </c>
      <c r="C77" s="22">
        <v>1441.0</v>
      </c>
      <c r="D77" s="22">
        <v>1493.0</v>
      </c>
      <c r="E77" s="23"/>
      <c r="F77" s="22">
        <f t="shared" si="2"/>
        <v>2934</v>
      </c>
      <c r="G77" s="24">
        <f t="shared" si="3"/>
        <v>0.4911383776</v>
      </c>
      <c r="H77" s="24">
        <f t="shared" si="4"/>
        <v>0.5088616224</v>
      </c>
      <c r="I77" s="21" t="s">
        <v>25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121</v>
      </c>
      <c r="B78" s="21" t="s">
        <v>135</v>
      </c>
      <c r="C78" s="22">
        <v>1972.0</v>
      </c>
      <c r="D78" s="22">
        <v>3989.0</v>
      </c>
      <c r="E78" s="23"/>
      <c r="F78" s="22">
        <f t="shared" si="2"/>
        <v>5961</v>
      </c>
      <c r="G78" s="24">
        <f t="shared" si="3"/>
        <v>0.330816977</v>
      </c>
      <c r="H78" s="24">
        <f t="shared" si="4"/>
        <v>0.669183023</v>
      </c>
      <c r="I78" s="21" t="s">
        <v>25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121</v>
      </c>
      <c r="B79" s="21" t="s">
        <v>136</v>
      </c>
      <c r="C79" s="22">
        <v>522.0</v>
      </c>
      <c r="D79" s="22">
        <v>1126.0</v>
      </c>
      <c r="E79" s="23"/>
      <c r="F79" s="22">
        <f t="shared" si="2"/>
        <v>1648</v>
      </c>
      <c r="G79" s="24">
        <f t="shared" si="3"/>
        <v>0.3167475728</v>
      </c>
      <c r="H79" s="24">
        <f t="shared" si="4"/>
        <v>0.6832524272</v>
      </c>
      <c r="I79" s="21" t="s">
        <v>25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121</v>
      </c>
      <c r="B80" s="21" t="s">
        <v>137</v>
      </c>
      <c r="C80" s="22">
        <v>1987.0</v>
      </c>
      <c r="D80" s="22">
        <v>2441.0</v>
      </c>
      <c r="E80" s="23"/>
      <c r="F80" s="22">
        <f t="shared" si="2"/>
        <v>4428</v>
      </c>
      <c r="G80" s="24">
        <f t="shared" si="3"/>
        <v>0.4487353207</v>
      </c>
      <c r="H80" s="24">
        <f t="shared" si="4"/>
        <v>0.5512646793</v>
      </c>
      <c r="I80" s="21" t="s">
        <v>25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121</v>
      </c>
      <c r="B81" s="21" t="s">
        <v>138</v>
      </c>
      <c r="C81" s="22">
        <v>3187.0</v>
      </c>
      <c r="D81" s="22">
        <v>3503.0</v>
      </c>
      <c r="E81" s="23"/>
      <c r="F81" s="22">
        <f t="shared" si="2"/>
        <v>6690</v>
      </c>
      <c r="G81" s="24">
        <f t="shared" si="3"/>
        <v>0.4763826607</v>
      </c>
      <c r="H81" s="24">
        <f t="shared" si="4"/>
        <v>0.5236173393</v>
      </c>
      <c r="I81" s="21" t="s">
        <v>25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121</v>
      </c>
      <c r="B82" s="21" t="s">
        <v>139</v>
      </c>
      <c r="C82" s="22">
        <v>1824.0</v>
      </c>
      <c r="D82" s="22">
        <v>3764.0</v>
      </c>
      <c r="E82" s="23"/>
      <c r="F82" s="22">
        <f t="shared" si="2"/>
        <v>5588</v>
      </c>
      <c r="G82" s="24">
        <f t="shared" si="3"/>
        <v>0.3264137437</v>
      </c>
      <c r="H82" s="24">
        <f t="shared" si="4"/>
        <v>0.6735862563</v>
      </c>
      <c r="I82" s="21" t="s">
        <v>25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121</v>
      </c>
      <c r="B83" s="21" t="s">
        <v>140</v>
      </c>
      <c r="C83" s="22">
        <v>1349.0</v>
      </c>
      <c r="D83" s="22">
        <v>1445.0</v>
      </c>
      <c r="E83" s="23"/>
      <c r="F83" s="22">
        <f t="shared" si="2"/>
        <v>2794</v>
      </c>
      <c r="G83" s="24">
        <f t="shared" si="3"/>
        <v>0.4828203293</v>
      </c>
      <c r="H83" s="24">
        <f t="shared" si="4"/>
        <v>0.5171796707</v>
      </c>
      <c r="I83" s="21" t="s">
        <v>25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121</v>
      </c>
      <c r="B84" s="21" t="s">
        <v>141</v>
      </c>
      <c r="C84" s="22">
        <v>729.0</v>
      </c>
      <c r="D84" s="22">
        <v>770.0</v>
      </c>
      <c r="E84" s="23"/>
      <c r="F84" s="22">
        <f t="shared" si="2"/>
        <v>1499</v>
      </c>
      <c r="G84" s="24">
        <f t="shared" si="3"/>
        <v>0.4863242161</v>
      </c>
      <c r="H84" s="24">
        <f t="shared" si="4"/>
        <v>0.5136757839</v>
      </c>
      <c r="I84" s="21" t="s">
        <v>25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121</v>
      </c>
      <c r="B85" s="21" t="s">
        <v>142</v>
      </c>
      <c r="C85" s="22">
        <v>2092.0</v>
      </c>
      <c r="D85" s="22">
        <v>2478.0</v>
      </c>
      <c r="E85" s="23"/>
      <c r="F85" s="22">
        <f t="shared" si="2"/>
        <v>4570</v>
      </c>
      <c r="G85" s="24">
        <f t="shared" si="3"/>
        <v>0.4577680525</v>
      </c>
      <c r="H85" s="24">
        <f t="shared" si="4"/>
        <v>0.5422319475</v>
      </c>
      <c r="I85" s="21" t="s">
        <v>25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121</v>
      </c>
      <c r="B86" s="21" t="s">
        <v>143</v>
      </c>
      <c r="C86" s="22">
        <v>5872.0</v>
      </c>
      <c r="D86" s="22">
        <v>5855.0</v>
      </c>
      <c r="E86" s="23"/>
      <c r="F86" s="22">
        <f t="shared" si="2"/>
        <v>11727</v>
      </c>
      <c r="G86" s="24">
        <f t="shared" si="3"/>
        <v>0.5007248231</v>
      </c>
      <c r="H86" s="24">
        <f t="shared" si="4"/>
        <v>0.4992751769</v>
      </c>
      <c r="I86" s="21" t="s">
        <v>25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121</v>
      </c>
      <c r="B87" s="21" t="s">
        <v>144</v>
      </c>
      <c r="C87" s="22">
        <v>514.0</v>
      </c>
      <c r="D87" s="22">
        <v>895.0</v>
      </c>
      <c r="E87" s="23"/>
      <c r="F87" s="22">
        <f t="shared" si="2"/>
        <v>1409</v>
      </c>
      <c r="G87" s="24">
        <f t="shared" si="3"/>
        <v>0.3647977289</v>
      </c>
      <c r="H87" s="24">
        <f t="shared" si="4"/>
        <v>0.6352022711</v>
      </c>
      <c r="I87" s="21" t="s">
        <v>25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121</v>
      </c>
      <c r="B88" s="21" t="s">
        <v>145</v>
      </c>
      <c r="C88" s="22">
        <v>1162.0</v>
      </c>
      <c r="D88" s="22">
        <v>2439.0</v>
      </c>
      <c r="E88" s="23"/>
      <c r="F88" s="22">
        <f t="shared" si="2"/>
        <v>3601</v>
      </c>
      <c r="G88" s="24">
        <f t="shared" si="3"/>
        <v>0.3226881422</v>
      </c>
      <c r="H88" s="24">
        <f t="shared" si="4"/>
        <v>0.6773118578</v>
      </c>
      <c r="I88" s="21" t="s">
        <v>25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121</v>
      </c>
      <c r="B89" s="21" t="s">
        <v>146</v>
      </c>
      <c r="C89" s="22">
        <v>75.0</v>
      </c>
      <c r="D89" s="22">
        <v>147.0</v>
      </c>
      <c r="E89" s="23"/>
      <c r="F89" s="22">
        <f t="shared" si="2"/>
        <v>222</v>
      </c>
      <c r="G89" s="24">
        <f t="shared" si="3"/>
        <v>0.3378378378</v>
      </c>
      <c r="H89" s="24">
        <f t="shared" si="4"/>
        <v>0.6621621622</v>
      </c>
      <c r="I89" s="21" t="s">
        <v>25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121</v>
      </c>
      <c r="B90" s="21" t="s">
        <v>147</v>
      </c>
      <c r="C90" s="22">
        <v>268.0</v>
      </c>
      <c r="D90" s="22">
        <v>506.0</v>
      </c>
      <c r="E90" s="23"/>
      <c r="F90" s="22">
        <f t="shared" si="2"/>
        <v>774</v>
      </c>
      <c r="G90" s="24">
        <f t="shared" si="3"/>
        <v>0.34625323</v>
      </c>
      <c r="H90" s="24">
        <f t="shared" si="4"/>
        <v>0.65374677</v>
      </c>
      <c r="I90" s="21" t="s">
        <v>25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121</v>
      </c>
      <c r="B91" s="21" t="s">
        <v>148</v>
      </c>
      <c r="C91" s="22">
        <v>177.0</v>
      </c>
      <c r="D91" s="22">
        <v>283.0</v>
      </c>
      <c r="E91" s="23"/>
      <c r="F91" s="22">
        <f t="shared" si="2"/>
        <v>460</v>
      </c>
      <c r="G91" s="24">
        <f t="shared" si="3"/>
        <v>0.3847826087</v>
      </c>
      <c r="H91" s="24">
        <f t="shared" si="4"/>
        <v>0.6152173913</v>
      </c>
      <c r="I91" s="21" t="s">
        <v>25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121</v>
      </c>
      <c r="B92" s="21" t="s">
        <v>149</v>
      </c>
      <c r="C92" s="22">
        <v>285.0</v>
      </c>
      <c r="D92" s="22">
        <v>392.0</v>
      </c>
      <c r="E92" s="23"/>
      <c r="F92" s="22">
        <f t="shared" si="2"/>
        <v>677</v>
      </c>
      <c r="G92" s="24">
        <f t="shared" si="3"/>
        <v>0.4209748892</v>
      </c>
      <c r="H92" s="24">
        <f t="shared" si="4"/>
        <v>0.5790251108</v>
      </c>
      <c r="I92" s="21" t="s">
        <v>25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121</v>
      </c>
      <c r="B93" s="21" t="s">
        <v>150</v>
      </c>
      <c r="C93" s="22">
        <v>1065.0</v>
      </c>
      <c r="D93" s="22">
        <v>2509.0</v>
      </c>
      <c r="E93" s="23"/>
      <c r="F93" s="22">
        <f t="shared" si="2"/>
        <v>3574</v>
      </c>
      <c r="G93" s="24">
        <f t="shared" si="3"/>
        <v>0.2979854505</v>
      </c>
      <c r="H93" s="24">
        <f t="shared" si="4"/>
        <v>0.7020145495</v>
      </c>
      <c r="I93" s="21" t="s">
        <v>25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1" t="s">
        <v>121</v>
      </c>
      <c r="B94" s="21" t="s">
        <v>151</v>
      </c>
      <c r="C94" s="22">
        <v>1813.0</v>
      </c>
      <c r="D94" s="22">
        <v>1990.0</v>
      </c>
      <c r="E94" s="23"/>
      <c r="F94" s="22">
        <f t="shared" si="2"/>
        <v>3803</v>
      </c>
      <c r="G94" s="24">
        <f t="shared" si="3"/>
        <v>0.4767288982</v>
      </c>
      <c r="H94" s="24">
        <f t="shared" si="4"/>
        <v>0.5232711018</v>
      </c>
      <c r="I94" s="21" t="s">
        <v>25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1" t="s">
        <v>121</v>
      </c>
      <c r="B95" s="21" t="s">
        <v>152</v>
      </c>
      <c r="C95" s="22">
        <v>331.0</v>
      </c>
      <c r="D95" s="22">
        <v>523.0</v>
      </c>
      <c r="E95" s="23"/>
      <c r="F95" s="22">
        <f t="shared" si="2"/>
        <v>854</v>
      </c>
      <c r="G95" s="24">
        <f t="shared" si="3"/>
        <v>0.387587822</v>
      </c>
      <c r="H95" s="24">
        <f t="shared" si="4"/>
        <v>0.612412178</v>
      </c>
      <c r="I95" s="21" t="s">
        <v>25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121</v>
      </c>
      <c r="B96" s="21" t="s">
        <v>153</v>
      </c>
      <c r="C96" s="22">
        <v>909.0</v>
      </c>
      <c r="D96" s="22">
        <v>1975.0</v>
      </c>
      <c r="E96" s="23"/>
      <c r="F96" s="22">
        <f t="shared" si="2"/>
        <v>2884</v>
      </c>
      <c r="G96" s="24">
        <f t="shared" si="3"/>
        <v>0.3151872399</v>
      </c>
      <c r="H96" s="24">
        <f t="shared" si="4"/>
        <v>0.6848127601</v>
      </c>
      <c r="I96" s="21" t="s">
        <v>25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1" t="s">
        <v>121</v>
      </c>
      <c r="B97" s="21" t="s">
        <v>154</v>
      </c>
      <c r="C97" s="22">
        <v>212.0</v>
      </c>
      <c r="D97" s="22">
        <v>261.0</v>
      </c>
      <c r="E97" s="23"/>
      <c r="F97" s="22">
        <f t="shared" si="2"/>
        <v>473</v>
      </c>
      <c r="G97" s="24">
        <f t="shared" si="3"/>
        <v>0.4482029598</v>
      </c>
      <c r="H97" s="24">
        <f t="shared" si="4"/>
        <v>0.5517970402</v>
      </c>
      <c r="I97" s="21" t="s">
        <v>25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1" t="s">
        <v>121</v>
      </c>
      <c r="B98" s="21" t="s">
        <v>155</v>
      </c>
      <c r="C98" s="22">
        <v>1617.0</v>
      </c>
      <c r="D98" s="22">
        <v>2185.0</v>
      </c>
      <c r="E98" s="23"/>
      <c r="F98" s="22">
        <f t="shared" si="2"/>
        <v>3802</v>
      </c>
      <c r="G98" s="24">
        <f t="shared" si="3"/>
        <v>0.4253024724</v>
      </c>
      <c r="H98" s="24">
        <f t="shared" si="4"/>
        <v>0.5746975276</v>
      </c>
      <c r="I98" s="21" t="s">
        <v>25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121</v>
      </c>
      <c r="B99" s="21" t="s">
        <v>156</v>
      </c>
      <c r="C99" s="22">
        <v>1369.0</v>
      </c>
      <c r="D99" s="22">
        <v>1160.0</v>
      </c>
      <c r="E99" s="23"/>
      <c r="F99" s="22">
        <f t="shared" si="2"/>
        <v>2529</v>
      </c>
      <c r="G99" s="24">
        <f t="shared" si="3"/>
        <v>0.5413206801</v>
      </c>
      <c r="H99" s="24">
        <f t="shared" si="4"/>
        <v>0.4586793199</v>
      </c>
      <c r="I99" s="21" t="s">
        <v>25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121</v>
      </c>
      <c r="B100" s="21" t="s">
        <v>157</v>
      </c>
      <c r="C100" s="22">
        <v>591.0</v>
      </c>
      <c r="D100" s="22">
        <v>800.0</v>
      </c>
      <c r="E100" s="23"/>
      <c r="F100" s="22">
        <f t="shared" si="2"/>
        <v>1391</v>
      </c>
      <c r="G100" s="24">
        <f t="shared" si="3"/>
        <v>0.4248741912</v>
      </c>
      <c r="H100" s="24">
        <f t="shared" si="4"/>
        <v>0.5751258088</v>
      </c>
      <c r="I100" s="21" t="s">
        <v>25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14.0"/>
    <col customWidth="1" min="4" max="5" width="16.0"/>
    <col customWidth="1" min="6" max="6" width="12.0"/>
    <col customWidth="1" min="7" max="7" width="13.0"/>
    <col customWidth="1" min="8" max="8" width="15.0"/>
    <col customWidth="1" min="9" max="9" width="26.0"/>
  </cols>
  <sheetData>
    <row r="1" ht="14.25" customHeight="1">
      <c r="A1" s="1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 t="s">
        <v>73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24</v>
      </c>
      <c r="B4" s="4" t="s">
        <v>75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32</v>
      </c>
      <c r="H4" s="4" t="s">
        <v>33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37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41</v>
      </c>
      <c r="B7" s="17"/>
      <c r="C7" s="17" t="s">
        <v>49</v>
      </c>
      <c r="D7" s="17" t="s">
        <v>50</v>
      </c>
      <c r="E7" s="17" t="s">
        <v>51</v>
      </c>
      <c r="F7" s="17" t="s">
        <v>52</v>
      </c>
      <c r="G7" s="17" t="s">
        <v>53</v>
      </c>
      <c r="H7" s="17" t="s">
        <v>54</v>
      </c>
      <c r="I7" s="17" t="s">
        <v>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56</v>
      </c>
      <c r="B8" s="18" t="s">
        <v>57</v>
      </c>
      <c r="C8" s="19">
        <f t="shared" ref="C8:E8" si="1">SUM(C12:C100)</f>
        <v>149665</v>
      </c>
      <c r="D8" s="19">
        <f t="shared" si="1"/>
        <v>175904</v>
      </c>
      <c r="E8" s="19">
        <f t="shared" si="1"/>
        <v>0</v>
      </c>
      <c r="F8" s="19">
        <f>C8+D8+E8</f>
        <v>325569</v>
      </c>
      <c r="G8" s="20">
        <f>IF(F8=0,"",C8/F8)</f>
        <v>0.4597028587</v>
      </c>
      <c r="H8" s="20">
        <f>IF(F8=0,"",D8/F8)</f>
        <v>0.5402971413</v>
      </c>
      <c r="I8" s="18" t="s">
        <v>81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1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60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61</v>
      </c>
      <c r="B11" s="17" t="s">
        <v>62</v>
      </c>
      <c r="C11" s="17" t="s">
        <v>49</v>
      </c>
      <c r="D11" s="17" t="s">
        <v>50</v>
      </c>
      <c r="E11" s="17" t="s">
        <v>51</v>
      </c>
      <c r="F11" s="17" t="s">
        <v>52</v>
      </c>
      <c r="G11" s="17" t="s">
        <v>53</v>
      </c>
      <c r="H11" s="17" t="s">
        <v>54</v>
      </c>
      <c r="I11" s="17" t="s">
        <v>63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64</v>
      </c>
      <c r="B12" s="21" t="s">
        <v>65</v>
      </c>
      <c r="C12" s="22">
        <v>142.0</v>
      </c>
      <c r="D12" s="22">
        <v>249.0</v>
      </c>
      <c r="E12" s="23"/>
      <c r="F12" s="22">
        <f t="shared" ref="F12:F100" si="2">C12+D12+IF(E12="",0,E12)</f>
        <v>391</v>
      </c>
      <c r="G12" s="24">
        <f t="shared" ref="G12:G100" si="3">IF(F12=0,"",C12/F12)</f>
        <v>0.3631713555</v>
      </c>
      <c r="H12" s="24">
        <f t="shared" ref="H12:H100" si="4">IF(F12=0,"",D12/F12)</f>
        <v>0.6368286445</v>
      </c>
      <c r="I12" s="21" t="s">
        <v>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64</v>
      </c>
      <c r="B13" s="21" t="s">
        <v>66</v>
      </c>
      <c r="C13" s="22">
        <v>86.0</v>
      </c>
      <c r="D13" s="22">
        <v>255.0</v>
      </c>
      <c r="E13" s="23"/>
      <c r="F13" s="22">
        <f t="shared" si="2"/>
        <v>341</v>
      </c>
      <c r="G13" s="24">
        <f t="shared" si="3"/>
        <v>0.2521994135</v>
      </c>
      <c r="H13" s="24">
        <f t="shared" si="4"/>
        <v>0.7478005865</v>
      </c>
      <c r="I13" s="21" t="s">
        <v>75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64</v>
      </c>
      <c r="B14" s="21" t="s">
        <v>67</v>
      </c>
      <c r="C14" s="22">
        <v>112.0</v>
      </c>
      <c r="D14" s="22">
        <v>299.0</v>
      </c>
      <c r="E14" s="23"/>
      <c r="F14" s="22">
        <f t="shared" si="2"/>
        <v>411</v>
      </c>
      <c r="G14" s="24">
        <f t="shared" si="3"/>
        <v>0.2725060827</v>
      </c>
      <c r="H14" s="24">
        <f t="shared" si="4"/>
        <v>0.7274939173</v>
      </c>
      <c r="I14" s="21" t="s">
        <v>75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64</v>
      </c>
      <c r="B15" s="21" t="s">
        <v>68</v>
      </c>
      <c r="C15" s="22">
        <v>329.0</v>
      </c>
      <c r="D15" s="22">
        <v>1154.0</v>
      </c>
      <c r="E15" s="23"/>
      <c r="F15" s="22">
        <f t="shared" si="2"/>
        <v>1483</v>
      </c>
      <c r="G15" s="24">
        <f t="shared" si="3"/>
        <v>0.2218476062</v>
      </c>
      <c r="H15" s="24">
        <f t="shared" si="4"/>
        <v>0.7781523938</v>
      </c>
      <c r="I15" s="21" t="s">
        <v>75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64</v>
      </c>
      <c r="B16" s="21" t="s">
        <v>69</v>
      </c>
      <c r="C16" s="22">
        <v>32.0</v>
      </c>
      <c r="D16" s="22">
        <v>79.0</v>
      </c>
      <c r="E16" s="23"/>
      <c r="F16" s="22">
        <f t="shared" si="2"/>
        <v>111</v>
      </c>
      <c r="G16" s="24">
        <f t="shared" si="3"/>
        <v>0.2882882883</v>
      </c>
      <c r="H16" s="24">
        <f t="shared" si="4"/>
        <v>0.7117117117</v>
      </c>
      <c r="I16" s="21" t="s">
        <v>75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64</v>
      </c>
      <c r="B17" s="21" t="s">
        <v>70</v>
      </c>
      <c r="C17" s="22">
        <v>567.0</v>
      </c>
      <c r="D17" s="22">
        <v>1691.0</v>
      </c>
      <c r="E17" s="23"/>
      <c r="F17" s="22">
        <f t="shared" si="2"/>
        <v>2258</v>
      </c>
      <c r="G17" s="24">
        <f t="shared" si="3"/>
        <v>0.2511071745</v>
      </c>
      <c r="H17" s="24">
        <f t="shared" si="4"/>
        <v>0.7488928255</v>
      </c>
      <c r="I17" s="21" t="s">
        <v>75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64</v>
      </c>
      <c r="B18" s="21" t="s">
        <v>71</v>
      </c>
      <c r="C18" s="22">
        <v>949.0</v>
      </c>
      <c r="D18" s="22">
        <v>1462.0</v>
      </c>
      <c r="E18" s="23"/>
      <c r="F18" s="22">
        <f t="shared" si="2"/>
        <v>2411</v>
      </c>
      <c r="G18" s="24">
        <f t="shared" si="3"/>
        <v>0.3936126089</v>
      </c>
      <c r="H18" s="24">
        <f t="shared" si="4"/>
        <v>0.6063873911</v>
      </c>
      <c r="I18" s="21" t="s">
        <v>75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1" t="s">
        <v>64</v>
      </c>
      <c r="B19" s="21" t="s">
        <v>72</v>
      </c>
      <c r="C19" s="22">
        <v>293.0</v>
      </c>
      <c r="D19" s="22">
        <v>619.0</v>
      </c>
      <c r="E19" s="23"/>
      <c r="F19" s="22">
        <f t="shared" si="2"/>
        <v>912</v>
      </c>
      <c r="G19" s="24">
        <f t="shared" si="3"/>
        <v>0.3212719298</v>
      </c>
      <c r="H19" s="24">
        <f t="shared" si="4"/>
        <v>0.6787280702</v>
      </c>
      <c r="I19" s="21" t="s">
        <v>75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64</v>
      </c>
      <c r="B20" s="21" t="s">
        <v>74</v>
      </c>
      <c r="C20" s="22">
        <v>383.0</v>
      </c>
      <c r="D20" s="22">
        <v>695.0</v>
      </c>
      <c r="E20" s="23"/>
      <c r="F20" s="22">
        <f t="shared" si="2"/>
        <v>1078</v>
      </c>
      <c r="G20" s="24">
        <f t="shared" si="3"/>
        <v>0.3552875696</v>
      </c>
      <c r="H20" s="24">
        <f t="shared" si="4"/>
        <v>0.6447124304</v>
      </c>
      <c r="I20" s="21" t="s">
        <v>75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64</v>
      </c>
      <c r="B21" s="21" t="s">
        <v>76</v>
      </c>
      <c r="C21" s="22">
        <v>34.0</v>
      </c>
      <c r="D21" s="22">
        <v>108.0</v>
      </c>
      <c r="E21" s="23"/>
      <c r="F21" s="22">
        <f t="shared" si="2"/>
        <v>142</v>
      </c>
      <c r="G21" s="24">
        <f t="shared" si="3"/>
        <v>0.2394366197</v>
      </c>
      <c r="H21" s="24">
        <f t="shared" si="4"/>
        <v>0.7605633803</v>
      </c>
      <c r="I21" s="21" t="s">
        <v>75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64</v>
      </c>
      <c r="B22" s="21" t="s">
        <v>77</v>
      </c>
      <c r="C22" s="22">
        <v>59.0</v>
      </c>
      <c r="D22" s="22">
        <v>219.0</v>
      </c>
      <c r="E22" s="23"/>
      <c r="F22" s="22">
        <f t="shared" si="2"/>
        <v>278</v>
      </c>
      <c r="G22" s="24">
        <f t="shared" si="3"/>
        <v>0.2122302158</v>
      </c>
      <c r="H22" s="24">
        <f t="shared" si="4"/>
        <v>0.7877697842</v>
      </c>
      <c r="I22" s="21" t="s">
        <v>75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64</v>
      </c>
      <c r="B23" s="21" t="s">
        <v>78</v>
      </c>
      <c r="C23" s="22">
        <v>662.0</v>
      </c>
      <c r="D23" s="22">
        <v>1238.0</v>
      </c>
      <c r="E23" s="23"/>
      <c r="F23" s="22">
        <f t="shared" si="2"/>
        <v>1900</v>
      </c>
      <c r="G23" s="24">
        <f t="shared" si="3"/>
        <v>0.3484210526</v>
      </c>
      <c r="H23" s="24">
        <f t="shared" si="4"/>
        <v>0.6515789474</v>
      </c>
      <c r="I23" s="21" t="s">
        <v>75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64</v>
      </c>
      <c r="B24" s="21" t="s">
        <v>79</v>
      </c>
      <c r="C24" s="22">
        <v>397.0</v>
      </c>
      <c r="D24" s="22">
        <v>1207.0</v>
      </c>
      <c r="E24" s="23"/>
      <c r="F24" s="22">
        <f t="shared" si="2"/>
        <v>1604</v>
      </c>
      <c r="G24" s="24">
        <f t="shared" si="3"/>
        <v>0.2475062344</v>
      </c>
      <c r="H24" s="24">
        <f t="shared" si="4"/>
        <v>0.7524937656</v>
      </c>
      <c r="I24" s="21" t="s">
        <v>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64</v>
      </c>
      <c r="B25" s="21" t="s">
        <v>80</v>
      </c>
      <c r="C25" s="22">
        <v>536.0</v>
      </c>
      <c r="D25" s="22">
        <v>1540.0</v>
      </c>
      <c r="E25" s="23"/>
      <c r="F25" s="22">
        <f t="shared" si="2"/>
        <v>2076</v>
      </c>
      <c r="G25" s="24">
        <f t="shared" si="3"/>
        <v>0.2581888247</v>
      </c>
      <c r="H25" s="24">
        <f t="shared" si="4"/>
        <v>0.7418111753</v>
      </c>
      <c r="I25" s="21" t="s">
        <v>75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64</v>
      </c>
      <c r="B26" s="21" t="s">
        <v>82</v>
      </c>
      <c r="C26" s="22">
        <v>457.0</v>
      </c>
      <c r="D26" s="22">
        <v>885.0</v>
      </c>
      <c r="E26" s="23"/>
      <c r="F26" s="22">
        <f t="shared" si="2"/>
        <v>1342</v>
      </c>
      <c r="G26" s="24">
        <f t="shared" si="3"/>
        <v>0.3405365127</v>
      </c>
      <c r="H26" s="24">
        <f t="shared" si="4"/>
        <v>0.6594634873</v>
      </c>
      <c r="I26" s="21" t="s">
        <v>75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64</v>
      </c>
      <c r="B27" s="21" t="s">
        <v>83</v>
      </c>
      <c r="C27" s="22">
        <v>115.0</v>
      </c>
      <c r="D27" s="22">
        <v>482.0</v>
      </c>
      <c r="E27" s="23"/>
      <c r="F27" s="22">
        <f t="shared" si="2"/>
        <v>597</v>
      </c>
      <c r="G27" s="24">
        <f t="shared" si="3"/>
        <v>0.1926298157</v>
      </c>
      <c r="H27" s="24">
        <f t="shared" si="4"/>
        <v>0.8073701843</v>
      </c>
      <c r="I27" s="21" t="s">
        <v>75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64</v>
      </c>
      <c r="B28" s="21" t="s">
        <v>84</v>
      </c>
      <c r="C28" s="22">
        <v>713.0</v>
      </c>
      <c r="D28" s="22">
        <v>1440.0</v>
      </c>
      <c r="E28" s="23"/>
      <c r="F28" s="22">
        <f t="shared" si="2"/>
        <v>2153</v>
      </c>
      <c r="G28" s="24">
        <f t="shared" si="3"/>
        <v>0.3311658151</v>
      </c>
      <c r="H28" s="24">
        <f t="shared" si="4"/>
        <v>0.6688341849</v>
      </c>
      <c r="I28" s="21" t="s">
        <v>75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64</v>
      </c>
      <c r="B29" s="21" t="s">
        <v>85</v>
      </c>
      <c r="C29" s="22">
        <v>61.0</v>
      </c>
      <c r="D29" s="22">
        <v>148.0</v>
      </c>
      <c r="E29" s="23"/>
      <c r="F29" s="22">
        <f t="shared" si="2"/>
        <v>209</v>
      </c>
      <c r="G29" s="24">
        <f t="shared" si="3"/>
        <v>0.2918660287</v>
      </c>
      <c r="H29" s="24">
        <f t="shared" si="4"/>
        <v>0.7081339713</v>
      </c>
      <c r="I29" s="21" t="s">
        <v>75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64</v>
      </c>
      <c r="B30" s="21" t="s">
        <v>86</v>
      </c>
      <c r="C30" s="22">
        <v>1700.0</v>
      </c>
      <c r="D30" s="22">
        <v>3415.0</v>
      </c>
      <c r="E30" s="23"/>
      <c r="F30" s="22">
        <f t="shared" si="2"/>
        <v>5115</v>
      </c>
      <c r="G30" s="24">
        <f t="shared" si="3"/>
        <v>0.3323558162</v>
      </c>
      <c r="H30" s="24">
        <f t="shared" si="4"/>
        <v>0.6676441838</v>
      </c>
      <c r="I30" s="21" t="s">
        <v>75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64</v>
      </c>
      <c r="B31" s="21" t="s">
        <v>87</v>
      </c>
      <c r="C31" s="22">
        <v>501.0</v>
      </c>
      <c r="D31" s="22">
        <v>833.0</v>
      </c>
      <c r="E31" s="23"/>
      <c r="F31" s="22">
        <f t="shared" si="2"/>
        <v>1334</v>
      </c>
      <c r="G31" s="24">
        <f t="shared" si="3"/>
        <v>0.3755622189</v>
      </c>
      <c r="H31" s="24">
        <f t="shared" si="4"/>
        <v>0.6244377811</v>
      </c>
      <c r="I31" s="21" t="s">
        <v>75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64</v>
      </c>
      <c r="B32" s="21" t="s">
        <v>88</v>
      </c>
      <c r="C32" s="22">
        <v>653.0</v>
      </c>
      <c r="D32" s="22">
        <v>1860.0</v>
      </c>
      <c r="E32" s="23"/>
      <c r="F32" s="22">
        <f t="shared" si="2"/>
        <v>2513</v>
      </c>
      <c r="G32" s="24">
        <f t="shared" si="3"/>
        <v>0.2598487863</v>
      </c>
      <c r="H32" s="24">
        <f t="shared" si="4"/>
        <v>0.7401512137</v>
      </c>
      <c r="I32" s="21" t="s">
        <v>75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64</v>
      </c>
      <c r="B33" s="21" t="s">
        <v>89</v>
      </c>
      <c r="C33" s="22">
        <v>261.0</v>
      </c>
      <c r="D33" s="22">
        <v>694.0</v>
      </c>
      <c r="E33" s="23"/>
      <c r="F33" s="22">
        <f t="shared" si="2"/>
        <v>955</v>
      </c>
      <c r="G33" s="24">
        <f t="shared" si="3"/>
        <v>0.2732984293</v>
      </c>
      <c r="H33" s="24">
        <f t="shared" si="4"/>
        <v>0.7267015707</v>
      </c>
      <c r="I33" s="21" t="s">
        <v>75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64</v>
      </c>
      <c r="B34" s="21" t="s">
        <v>90</v>
      </c>
      <c r="C34" s="22">
        <v>30.0</v>
      </c>
      <c r="D34" s="22">
        <v>72.0</v>
      </c>
      <c r="E34" s="23"/>
      <c r="F34" s="22">
        <f t="shared" si="2"/>
        <v>102</v>
      </c>
      <c r="G34" s="24">
        <f t="shared" si="3"/>
        <v>0.2941176471</v>
      </c>
      <c r="H34" s="24">
        <f t="shared" si="4"/>
        <v>0.7058823529</v>
      </c>
      <c r="I34" s="21" t="s">
        <v>75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91</v>
      </c>
      <c r="B35" s="21" t="s">
        <v>92</v>
      </c>
      <c r="C35" s="22">
        <v>471.0</v>
      </c>
      <c r="D35" s="22">
        <v>695.0</v>
      </c>
      <c r="E35" s="23"/>
      <c r="F35" s="22">
        <f t="shared" si="2"/>
        <v>1166</v>
      </c>
      <c r="G35" s="24">
        <f t="shared" si="3"/>
        <v>0.4039451115</v>
      </c>
      <c r="H35" s="24">
        <f t="shared" si="4"/>
        <v>0.5960548885</v>
      </c>
      <c r="I35" s="21" t="s">
        <v>75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91</v>
      </c>
      <c r="B36" s="21" t="s">
        <v>93</v>
      </c>
      <c r="C36" s="22">
        <v>13841.0</v>
      </c>
      <c r="D36" s="22">
        <v>8701.0</v>
      </c>
      <c r="E36" s="23"/>
      <c r="F36" s="22">
        <f t="shared" si="2"/>
        <v>22542</v>
      </c>
      <c r="G36" s="24">
        <f t="shared" si="3"/>
        <v>0.6140094047</v>
      </c>
      <c r="H36" s="24">
        <f t="shared" si="4"/>
        <v>0.3859905953</v>
      </c>
      <c r="I36" s="21" t="s">
        <v>75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91</v>
      </c>
      <c r="B37" s="21" t="s">
        <v>94</v>
      </c>
      <c r="C37" s="22">
        <v>5394.0</v>
      </c>
      <c r="D37" s="22">
        <v>3388.0</v>
      </c>
      <c r="E37" s="23"/>
      <c r="F37" s="22">
        <f t="shared" si="2"/>
        <v>8782</v>
      </c>
      <c r="G37" s="24">
        <f t="shared" si="3"/>
        <v>0.6142108859</v>
      </c>
      <c r="H37" s="24">
        <f t="shared" si="4"/>
        <v>0.3857891141</v>
      </c>
      <c r="I37" s="21" t="s">
        <v>75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91</v>
      </c>
      <c r="B38" s="21" t="s">
        <v>95</v>
      </c>
      <c r="C38" s="22">
        <v>1084.0</v>
      </c>
      <c r="D38" s="22">
        <v>1178.0</v>
      </c>
      <c r="E38" s="23"/>
      <c r="F38" s="22">
        <f t="shared" si="2"/>
        <v>2262</v>
      </c>
      <c r="G38" s="24">
        <f t="shared" si="3"/>
        <v>0.4792219275</v>
      </c>
      <c r="H38" s="24">
        <f t="shared" si="4"/>
        <v>0.5207780725</v>
      </c>
      <c r="I38" s="21" t="s">
        <v>75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91</v>
      </c>
      <c r="B39" s="21" t="s">
        <v>96</v>
      </c>
      <c r="C39" s="22">
        <v>664.0</v>
      </c>
      <c r="D39" s="22">
        <v>815.0</v>
      </c>
      <c r="E39" s="23"/>
      <c r="F39" s="22">
        <f t="shared" si="2"/>
        <v>1479</v>
      </c>
      <c r="G39" s="24">
        <f t="shared" si="3"/>
        <v>0.4489519946</v>
      </c>
      <c r="H39" s="24">
        <f t="shared" si="4"/>
        <v>0.5510480054</v>
      </c>
      <c r="I39" s="21" t="s">
        <v>75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91</v>
      </c>
      <c r="B40" s="21" t="s">
        <v>97</v>
      </c>
      <c r="C40" s="22">
        <v>669.0</v>
      </c>
      <c r="D40" s="22">
        <v>750.0</v>
      </c>
      <c r="E40" s="23"/>
      <c r="F40" s="22">
        <f t="shared" si="2"/>
        <v>1419</v>
      </c>
      <c r="G40" s="24">
        <f t="shared" si="3"/>
        <v>0.4714587738</v>
      </c>
      <c r="H40" s="24">
        <f t="shared" si="4"/>
        <v>0.5285412262</v>
      </c>
      <c r="I40" s="21" t="s">
        <v>75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91</v>
      </c>
      <c r="B41" s="21" t="s">
        <v>98</v>
      </c>
      <c r="C41" s="22">
        <v>2993.0</v>
      </c>
      <c r="D41" s="22">
        <v>2786.0</v>
      </c>
      <c r="E41" s="23"/>
      <c r="F41" s="22">
        <f t="shared" si="2"/>
        <v>5779</v>
      </c>
      <c r="G41" s="24">
        <f t="shared" si="3"/>
        <v>0.517909673</v>
      </c>
      <c r="H41" s="24">
        <f t="shared" si="4"/>
        <v>0.482090327</v>
      </c>
      <c r="I41" s="21" t="s">
        <v>75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91</v>
      </c>
      <c r="B42" s="21" t="s">
        <v>99</v>
      </c>
      <c r="C42" s="22">
        <v>970.0</v>
      </c>
      <c r="D42" s="22">
        <v>588.0</v>
      </c>
      <c r="E42" s="23"/>
      <c r="F42" s="22">
        <f t="shared" si="2"/>
        <v>1558</v>
      </c>
      <c r="G42" s="24">
        <f t="shared" si="3"/>
        <v>0.622593068</v>
      </c>
      <c r="H42" s="24">
        <f t="shared" si="4"/>
        <v>0.377406932</v>
      </c>
      <c r="I42" s="21" t="s">
        <v>75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91</v>
      </c>
      <c r="B43" s="21" t="s">
        <v>100</v>
      </c>
      <c r="C43" s="22">
        <v>227.0</v>
      </c>
      <c r="D43" s="22">
        <v>215.0</v>
      </c>
      <c r="E43" s="23"/>
      <c r="F43" s="22">
        <f t="shared" si="2"/>
        <v>442</v>
      </c>
      <c r="G43" s="24">
        <f t="shared" si="3"/>
        <v>0.5135746606</v>
      </c>
      <c r="H43" s="24">
        <f t="shared" si="4"/>
        <v>0.4864253394</v>
      </c>
      <c r="I43" s="21" t="s">
        <v>75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91</v>
      </c>
      <c r="B44" s="21" t="s">
        <v>101</v>
      </c>
      <c r="C44" s="22">
        <v>527.0</v>
      </c>
      <c r="D44" s="22">
        <v>1299.0</v>
      </c>
      <c r="E44" s="23"/>
      <c r="F44" s="22">
        <f t="shared" si="2"/>
        <v>1826</v>
      </c>
      <c r="G44" s="24">
        <f t="shared" si="3"/>
        <v>0.2886089814</v>
      </c>
      <c r="H44" s="24">
        <f t="shared" si="4"/>
        <v>0.7113910186</v>
      </c>
      <c r="I44" s="21" t="s">
        <v>75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91</v>
      </c>
      <c r="B45" s="21" t="s">
        <v>102</v>
      </c>
      <c r="C45" s="22">
        <v>8666.0</v>
      </c>
      <c r="D45" s="22">
        <v>9158.0</v>
      </c>
      <c r="E45" s="23"/>
      <c r="F45" s="22">
        <f t="shared" si="2"/>
        <v>17824</v>
      </c>
      <c r="G45" s="24">
        <f t="shared" si="3"/>
        <v>0.4861983842</v>
      </c>
      <c r="H45" s="24">
        <f t="shared" si="4"/>
        <v>0.5138016158</v>
      </c>
      <c r="I45" s="21" t="s">
        <v>75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91</v>
      </c>
      <c r="B46" s="21" t="s">
        <v>103</v>
      </c>
      <c r="C46" s="22">
        <v>918.0</v>
      </c>
      <c r="D46" s="22">
        <v>1552.0</v>
      </c>
      <c r="E46" s="23"/>
      <c r="F46" s="22">
        <f t="shared" si="2"/>
        <v>2470</v>
      </c>
      <c r="G46" s="24">
        <f t="shared" si="3"/>
        <v>0.371659919</v>
      </c>
      <c r="H46" s="24">
        <f t="shared" si="4"/>
        <v>0.628340081</v>
      </c>
      <c r="I46" s="21" t="s">
        <v>75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91</v>
      </c>
      <c r="B47" s="21" t="s">
        <v>104</v>
      </c>
      <c r="C47" s="22">
        <v>462.0</v>
      </c>
      <c r="D47" s="22">
        <v>881.0</v>
      </c>
      <c r="E47" s="23"/>
      <c r="F47" s="22">
        <f t="shared" si="2"/>
        <v>1343</v>
      </c>
      <c r="G47" s="24">
        <f t="shared" si="3"/>
        <v>0.3440059568</v>
      </c>
      <c r="H47" s="24">
        <f t="shared" si="4"/>
        <v>0.6559940432</v>
      </c>
      <c r="I47" s="21" t="s">
        <v>75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91</v>
      </c>
      <c r="B48" s="21" t="s">
        <v>105</v>
      </c>
      <c r="C48" s="22">
        <v>748.0</v>
      </c>
      <c r="D48" s="22">
        <v>1702.0</v>
      </c>
      <c r="E48" s="23"/>
      <c r="F48" s="22">
        <f t="shared" si="2"/>
        <v>2450</v>
      </c>
      <c r="G48" s="24">
        <f t="shared" si="3"/>
        <v>0.3053061224</v>
      </c>
      <c r="H48" s="24">
        <f t="shared" si="4"/>
        <v>0.6946938776</v>
      </c>
      <c r="I48" s="21" t="s">
        <v>75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91</v>
      </c>
      <c r="B49" s="21" t="s">
        <v>106</v>
      </c>
      <c r="C49" s="22">
        <v>816.0</v>
      </c>
      <c r="D49" s="22">
        <v>741.0</v>
      </c>
      <c r="E49" s="23"/>
      <c r="F49" s="22">
        <f t="shared" si="2"/>
        <v>1557</v>
      </c>
      <c r="G49" s="24">
        <f t="shared" si="3"/>
        <v>0.5240847784</v>
      </c>
      <c r="H49" s="24">
        <f t="shared" si="4"/>
        <v>0.4759152216</v>
      </c>
      <c r="I49" s="21" t="s">
        <v>75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1" t="s">
        <v>91</v>
      </c>
      <c r="B50" s="21" t="s">
        <v>107</v>
      </c>
      <c r="C50" s="22">
        <v>3491.0</v>
      </c>
      <c r="D50" s="22">
        <v>5314.0</v>
      </c>
      <c r="E50" s="23"/>
      <c r="F50" s="22">
        <f t="shared" si="2"/>
        <v>8805</v>
      </c>
      <c r="G50" s="24">
        <f t="shared" si="3"/>
        <v>0.3964792731</v>
      </c>
      <c r="H50" s="24">
        <f t="shared" si="4"/>
        <v>0.6035207269</v>
      </c>
      <c r="I50" s="21" t="s">
        <v>75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1" t="s">
        <v>91</v>
      </c>
      <c r="B51" s="21" t="s">
        <v>108</v>
      </c>
      <c r="C51" s="22">
        <v>3383.0</v>
      </c>
      <c r="D51" s="22">
        <v>3564.0</v>
      </c>
      <c r="E51" s="23"/>
      <c r="F51" s="22">
        <f t="shared" si="2"/>
        <v>6947</v>
      </c>
      <c r="G51" s="24">
        <f t="shared" si="3"/>
        <v>0.486972794</v>
      </c>
      <c r="H51" s="24">
        <f t="shared" si="4"/>
        <v>0.513027206</v>
      </c>
      <c r="I51" s="21" t="s">
        <v>75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1" t="s">
        <v>91</v>
      </c>
      <c r="B52" s="21" t="s">
        <v>109</v>
      </c>
      <c r="C52" s="22">
        <v>585.0</v>
      </c>
      <c r="D52" s="22">
        <v>954.0</v>
      </c>
      <c r="E52" s="23"/>
      <c r="F52" s="22">
        <f t="shared" si="2"/>
        <v>1539</v>
      </c>
      <c r="G52" s="24">
        <f t="shared" si="3"/>
        <v>0.3801169591</v>
      </c>
      <c r="H52" s="24">
        <f t="shared" si="4"/>
        <v>0.6198830409</v>
      </c>
      <c r="I52" s="21" t="s">
        <v>75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91</v>
      </c>
      <c r="B53" s="21" t="s">
        <v>110</v>
      </c>
      <c r="C53" s="22">
        <v>5910.0</v>
      </c>
      <c r="D53" s="22">
        <v>5480.0</v>
      </c>
      <c r="E53" s="23"/>
      <c r="F53" s="22">
        <f t="shared" si="2"/>
        <v>11390</v>
      </c>
      <c r="G53" s="24">
        <f t="shared" si="3"/>
        <v>0.5188762072</v>
      </c>
      <c r="H53" s="24">
        <f t="shared" si="4"/>
        <v>0.4811237928</v>
      </c>
      <c r="I53" s="21" t="s">
        <v>75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91</v>
      </c>
      <c r="B54" s="21" t="s">
        <v>111</v>
      </c>
      <c r="C54" s="22">
        <v>6505.0</v>
      </c>
      <c r="D54" s="22">
        <v>6395.0</v>
      </c>
      <c r="E54" s="23"/>
      <c r="F54" s="22">
        <f t="shared" si="2"/>
        <v>12900</v>
      </c>
      <c r="G54" s="24">
        <f t="shared" si="3"/>
        <v>0.5042635659</v>
      </c>
      <c r="H54" s="24">
        <f t="shared" si="4"/>
        <v>0.4957364341</v>
      </c>
      <c r="I54" s="21" t="s">
        <v>75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91</v>
      </c>
      <c r="B55" s="21" t="s">
        <v>112</v>
      </c>
      <c r="C55" s="22">
        <v>2230.0</v>
      </c>
      <c r="D55" s="22">
        <v>3097.0</v>
      </c>
      <c r="E55" s="23"/>
      <c r="F55" s="22">
        <f t="shared" si="2"/>
        <v>5327</v>
      </c>
      <c r="G55" s="24">
        <f t="shared" si="3"/>
        <v>0.4186221138</v>
      </c>
      <c r="H55" s="24">
        <f t="shared" si="4"/>
        <v>0.5813778862</v>
      </c>
      <c r="I55" s="21" t="s">
        <v>75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91</v>
      </c>
      <c r="B56" s="21" t="s">
        <v>113</v>
      </c>
      <c r="C56" s="22">
        <v>4867.0</v>
      </c>
      <c r="D56" s="22">
        <v>5263.0</v>
      </c>
      <c r="E56" s="23"/>
      <c r="F56" s="22">
        <f t="shared" si="2"/>
        <v>10130</v>
      </c>
      <c r="G56" s="24">
        <f t="shared" si="3"/>
        <v>0.4804540967</v>
      </c>
      <c r="H56" s="24">
        <f t="shared" si="4"/>
        <v>0.5195459033</v>
      </c>
      <c r="I56" s="21" t="s">
        <v>75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91</v>
      </c>
      <c r="B57" s="21" t="s">
        <v>114</v>
      </c>
      <c r="C57" s="22">
        <v>1085.0</v>
      </c>
      <c r="D57" s="22">
        <v>2460.0</v>
      </c>
      <c r="E57" s="23"/>
      <c r="F57" s="22">
        <f t="shared" si="2"/>
        <v>3545</v>
      </c>
      <c r="G57" s="24">
        <f t="shared" si="3"/>
        <v>0.3060648801</v>
      </c>
      <c r="H57" s="24">
        <f t="shared" si="4"/>
        <v>0.6939351199</v>
      </c>
      <c r="I57" s="21" t="s">
        <v>75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91</v>
      </c>
      <c r="B58" s="21" t="s">
        <v>115</v>
      </c>
      <c r="C58" s="22">
        <v>1041.0</v>
      </c>
      <c r="D58" s="22">
        <v>2002.0</v>
      </c>
      <c r="E58" s="23"/>
      <c r="F58" s="22">
        <f t="shared" si="2"/>
        <v>3043</v>
      </c>
      <c r="G58" s="24">
        <f t="shared" si="3"/>
        <v>0.3420966152</v>
      </c>
      <c r="H58" s="24">
        <f t="shared" si="4"/>
        <v>0.6579033848</v>
      </c>
      <c r="I58" s="21" t="s">
        <v>75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91</v>
      </c>
      <c r="B59" s="21" t="s">
        <v>116</v>
      </c>
      <c r="C59" s="22">
        <v>5570.0</v>
      </c>
      <c r="D59" s="22">
        <v>5749.0</v>
      </c>
      <c r="E59" s="23"/>
      <c r="F59" s="22">
        <f t="shared" si="2"/>
        <v>11319</v>
      </c>
      <c r="G59" s="24">
        <f t="shared" si="3"/>
        <v>0.4920929411</v>
      </c>
      <c r="H59" s="24">
        <f t="shared" si="4"/>
        <v>0.5079070589</v>
      </c>
      <c r="I59" s="21" t="s">
        <v>75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5" t="s">
        <v>117</v>
      </c>
      <c r="B60" s="21" t="s">
        <v>118</v>
      </c>
      <c r="C60" s="22">
        <v>1058.0</v>
      </c>
      <c r="D60" s="22">
        <v>2472.0</v>
      </c>
      <c r="E60" s="23"/>
      <c r="F60" s="22">
        <f t="shared" si="2"/>
        <v>3530</v>
      </c>
      <c r="G60" s="24">
        <f t="shared" si="3"/>
        <v>0.2997167139</v>
      </c>
      <c r="H60" s="24">
        <f t="shared" si="4"/>
        <v>0.7002832861</v>
      </c>
      <c r="I60" s="21" t="s">
        <v>75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5" t="s">
        <v>117</v>
      </c>
      <c r="B61" s="21" t="s">
        <v>119</v>
      </c>
      <c r="C61" s="22">
        <v>395.0</v>
      </c>
      <c r="D61" s="22">
        <v>1013.0</v>
      </c>
      <c r="E61" s="23"/>
      <c r="F61" s="22">
        <f t="shared" si="2"/>
        <v>1408</v>
      </c>
      <c r="G61" s="24">
        <f t="shared" si="3"/>
        <v>0.2805397727</v>
      </c>
      <c r="H61" s="24">
        <f t="shared" si="4"/>
        <v>0.7194602273</v>
      </c>
      <c r="I61" s="21" t="s">
        <v>75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5" t="s">
        <v>117</v>
      </c>
      <c r="B62" s="21" t="s">
        <v>120</v>
      </c>
      <c r="C62" s="22">
        <v>108.0</v>
      </c>
      <c r="D62" s="22">
        <v>229.0</v>
      </c>
      <c r="E62" s="23"/>
      <c r="F62" s="22">
        <f t="shared" si="2"/>
        <v>337</v>
      </c>
      <c r="G62" s="24">
        <f t="shared" si="3"/>
        <v>0.3204747774</v>
      </c>
      <c r="H62" s="24">
        <f t="shared" si="4"/>
        <v>0.6795252226</v>
      </c>
      <c r="I62" s="21" t="s">
        <v>75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121</v>
      </c>
      <c r="B63" s="21" t="s">
        <v>122</v>
      </c>
      <c r="C63" s="22">
        <v>1322.0</v>
      </c>
      <c r="D63" s="22">
        <v>1774.0</v>
      </c>
      <c r="E63" s="23"/>
      <c r="F63" s="22">
        <f t="shared" si="2"/>
        <v>3096</v>
      </c>
      <c r="G63" s="24">
        <f t="shared" si="3"/>
        <v>0.427002584</v>
      </c>
      <c r="H63" s="24">
        <f t="shared" si="4"/>
        <v>0.572997416</v>
      </c>
      <c r="I63" s="21" t="s">
        <v>75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121</v>
      </c>
      <c r="B64" s="21" t="s">
        <v>123</v>
      </c>
      <c r="C64" s="22">
        <v>707.0</v>
      </c>
      <c r="D64" s="22">
        <v>1126.0</v>
      </c>
      <c r="E64" s="23"/>
      <c r="F64" s="22">
        <f t="shared" si="2"/>
        <v>1833</v>
      </c>
      <c r="G64" s="24">
        <f t="shared" si="3"/>
        <v>0.3857064921</v>
      </c>
      <c r="H64" s="24">
        <f t="shared" si="4"/>
        <v>0.6142935079</v>
      </c>
      <c r="I64" s="21" t="s">
        <v>75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121</v>
      </c>
      <c r="B65" s="21" t="s">
        <v>124</v>
      </c>
      <c r="C65" s="22">
        <v>514.0</v>
      </c>
      <c r="D65" s="22">
        <v>618.0</v>
      </c>
      <c r="E65" s="23"/>
      <c r="F65" s="22">
        <f t="shared" si="2"/>
        <v>1132</v>
      </c>
      <c r="G65" s="24">
        <f t="shared" si="3"/>
        <v>0.4540636042</v>
      </c>
      <c r="H65" s="24">
        <f t="shared" si="4"/>
        <v>0.5459363958</v>
      </c>
      <c r="I65" s="21" t="s">
        <v>75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121</v>
      </c>
      <c r="B66" s="21" t="s">
        <v>94</v>
      </c>
      <c r="C66" s="22">
        <v>7552.0</v>
      </c>
      <c r="D66" s="22">
        <v>6685.0</v>
      </c>
      <c r="E66" s="23"/>
      <c r="F66" s="22">
        <f t="shared" si="2"/>
        <v>14237</v>
      </c>
      <c r="G66" s="24">
        <f t="shared" si="3"/>
        <v>0.5304488305</v>
      </c>
      <c r="H66" s="24">
        <f t="shared" si="4"/>
        <v>0.4695511695</v>
      </c>
      <c r="I66" s="21" t="s">
        <v>75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121</v>
      </c>
      <c r="B67" s="21" t="s">
        <v>125</v>
      </c>
      <c r="C67" s="22">
        <v>7552.0</v>
      </c>
      <c r="D67" s="22">
        <v>6685.0</v>
      </c>
      <c r="E67" s="23"/>
      <c r="F67" s="22">
        <f t="shared" si="2"/>
        <v>14237</v>
      </c>
      <c r="G67" s="24">
        <f t="shared" si="3"/>
        <v>0.5304488305</v>
      </c>
      <c r="H67" s="24">
        <f t="shared" si="4"/>
        <v>0.4695511695</v>
      </c>
      <c r="I67" s="21" t="s">
        <v>75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121</v>
      </c>
      <c r="B68" s="21" t="s">
        <v>126</v>
      </c>
      <c r="C68" s="22">
        <v>2006.0</v>
      </c>
      <c r="D68" s="22">
        <v>3279.0</v>
      </c>
      <c r="E68" s="23"/>
      <c r="F68" s="22">
        <f t="shared" si="2"/>
        <v>5285</v>
      </c>
      <c r="G68" s="24">
        <f t="shared" si="3"/>
        <v>0.3795648061</v>
      </c>
      <c r="H68" s="24">
        <f t="shared" si="4"/>
        <v>0.6204351939</v>
      </c>
      <c r="I68" s="21" t="s">
        <v>75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121</v>
      </c>
      <c r="B69" s="21" t="s">
        <v>127</v>
      </c>
      <c r="C69" s="22">
        <v>28.0</v>
      </c>
      <c r="D69" s="22">
        <v>78.0</v>
      </c>
      <c r="E69" s="23"/>
      <c r="F69" s="22">
        <f t="shared" si="2"/>
        <v>106</v>
      </c>
      <c r="G69" s="24">
        <f t="shared" si="3"/>
        <v>0.2641509434</v>
      </c>
      <c r="H69" s="24">
        <f t="shared" si="4"/>
        <v>0.7358490566</v>
      </c>
      <c r="I69" s="21" t="s">
        <v>75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121</v>
      </c>
      <c r="B70" s="21" t="s">
        <v>128</v>
      </c>
      <c r="C70" s="22">
        <v>1306.0</v>
      </c>
      <c r="D70" s="22">
        <v>1737.0</v>
      </c>
      <c r="E70" s="23"/>
      <c r="F70" s="22">
        <f t="shared" si="2"/>
        <v>3043</v>
      </c>
      <c r="G70" s="24">
        <f t="shared" si="3"/>
        <v>0.4291817286</v>
      </c>
      <c r="H70" s="24">
        <f t="shared" si="4"/>
        <v>0.5708182714</v>
      </c>
      <c r="I70" s="21" t="s">
        <v>75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121</v>
      </c>
      <c r="B71" s="21" t="s">
        <v>129</v>
      </c>
      <c r="C71" s="22">
        <v>150.0</v>
      </c>
      <c r="D71" s="22">
        <v>219.0</v>
      </c>
      <c r="E71" s="23"/>
      <c r="F71" s="22">
        <f t="shared" si="2"/>
        <v>369</v>
      </c>
      <c r="G71" s="24">
        <f t="shared" si="3"/>
        <v>0.406504065</v>
      </c>
      <c r="H71" s="24">
        <f t="shared" si="4"/>
        <v>0.593495935</v>
      </c>
      <c r="I71" s="21" t="s">
        <v>75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121</v>
      </c>
      <c r="B72" s="21" t="s">
        <v>130</v>
      </c>
      <c r="C72" s="22">
        <v>5043.0</v>
      </c>
      <c r="D72" s="22">
        <v>2501.0</v>
      </c>
      <c r="E72" s="23"/>
      <c r="F72" s="22">
        <f t="shared" si="2"/>
        <v>7544</v>
      </c>
      <c r="G72" s="24">
        <f t="shared" si="3"/>
        <v>0.6684782609</v>
      </c>
      <c r="H72" s="24">
        <f t="shared" si="4"/>
        <v>0.3315217391</v>
      </c>
      <c r="I72" s="21" t="s">
        <v>75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121</v>
      </c>
      <c r="B73" s="21" t="s">
        <v>131</v>
      </c>
      <c r="C73" s="22">
        <v>4675.0</v>
      </c>
      <c r="D73" s="22">
        <v>4623.0</v>
      </c>
      <c r="E73" s="23"/>
      <c r="F73" s="22">
        <f t="shared" si="2"/>
        <v>9298</v>
      </c>
      <c r="G73" s="24">
        <f t="shared" si="3"/>
        <v>0.5027963003</v>
      </c>
      <c r="H73" s="24">
        <f t="shared" si="4"/>
        <v>0.4972036997</v>
      </c>
      <c r="I73" s="21" t="s">
        <v>75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121</v>
      </c>
      <c r="B74" s="21" t="s">
        <v>132</v>
      </c>
      <c r="C74" s="22">
        <v>497.0</v>
      </c>
      <c r="D74" s="22">
        <v>373.0</v>
      </c>
      <c r="E74" s="23"/>
      <c r="F74" s="22">
        <f t="shared" si="2"/>
        <v>870</v>
      </c>
      <c r="G74" s="24">
        <f t="shared" si="3"/>
        <v>0.5712643678</v>
      </c>
      <c r="H74" s="24">
        <f t="shared" si="4"/>
        <v>0.4287356322</v>
      </c>
      <c r="I74" s="21" t="s">
        <v>75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121</v>
      </c>
      <c r="B75" s="21" t="s">
        <v>133</v>
      </c>
      <c r="C75" s="22">
        <v>80.0</v>
      </c>
      <c r="D75" s="22">
        <v>91.0</v>
      </c>
      <c r="E75" s="23"/>
      <c r="F75" s="22">
        <f t="shared" si="2"/>
        <v>171</v>
      </c>
      <c r="G75" s="24">
        <f t="shared" si="3"/>
        <v>0.4678362573</v>
      </c>
      <c r="H75" s="24">
        <f t="shared" si="4"/>
        <v>0.5321637427</v>
      </c>
      <c r="I75" s="21" t="s">
        <v>75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121</v>
      </c>
      <c r="B76" s="21" t="s">
        <v>100</v>
      </c>
      <c r="C76" s="22">
        <v>3783.0</v>
      </c>
      <c r="D76" s="22">
        <v>3438.0</v>
      </c>
      <c r="E76" s="23"/>
      <c r="F76" s="22">
        <f t="shared" si="2"/>
        <v>7221</v>
      </c>
      <c r="G76" s="24">
        <f t="shared" si="3"/>
        <v>0.5238886581</v>
      </c>
      <c r="H76" s="24">
        <f t="shared" si="4"/>
        <v>0.4761113419</v>
      </c>
      <c r="I76" s="21" t="s">
        <v>75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121</v>
      </c>
      <c r="B77" s="21" t="s">
        <v>134</v>
      </c>
      <c r="C77" s="22">
        <v>1405.0</v>
      </c>
      <c r="D77" s="22">
        <v>1529.0</v>
      </c>
      <c r="E77" s="23"/>
      <c r="F77" s="22">
        <f t="shared" si="2"/>
        <v>2934</v>
      </c>
      <c r="G77" s="24">
        <f t="shared" si="3"/>
        <v>0.478868439</v>
      </c>
      <c r="H77" s="24">
        <f t="shared" si="4"/>
        <v>0.521131561</v>
      </c>
      <c r="I77" s="21" t="s">
        <v>75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121</v>
      </c>
      <c r="B78" s="21" t="s">
        <v>135</v>
      </c>
      <c r="C78" s="22">
        <v>1922.0</v>
      </c>
      <c r="D78" s="22">
        <v>4039.0</v>
      </c>
      <c r="E78" s="23"/>
      <c r="F78" s="22">
        <f t="shared" si="2"/>
        <v>5961</v>
      </c>
      <c r="G78" s="24">
        <f t="shared" si="3"/>
        <v>0.3224291226</v>
      </c>
      <c r="H78" s="24">
        <f t="shared" si="4"/>
        <v>0.6775708774</v>
      </c>
      <c r="I78" s="21" t="s">
        <v>75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121</v>
      </c>
      <c r="B79" s="21" t="s">
        <v>136</v>
      </c>
      <c r="C79" s="22">
        <v>502.0</v>
      </c>
      <c r="D79" s="22">
        <v>1146.0</v>
      </c>
      <c r="E79" s="23"/>
      <c r="F79" s="22">
        <f t="shared" si="2"/>
        <v>1648</v>
      </c>
      <c r="G79" s="24">
        <f t="shared" si="3"/>
        <v>0.3046116505</v>
      </c>
      <c r="H79" s="24">
        <f t="shared" si="4"/>
        <v>0.6953883495</v>
      </c>
      <c r="I79" s="21" t="s">
        <v>75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121</v>
      </c>
      <c r="B80" s="21" t="s">
        <v>137</v>
      </c>
      <c r="C80" s="22">
        <v>1979.0</v>
      </c>
      <c r="D80" s="22">
        <v>2449.0</v>
      </c>
      <c r="E80" s="23"/>
      <c r="F80" s="22">
        <f t="shared" si="2"/>
        <v>4428</v>
      </c>
      <c r="G80" s="24">
        <f t="shared" si="3"/>
        <v>0.446928636</v>
      </c>
      <c r="H80" s="24">
        <f t="shared" si="4"/>
        <v>0.553071364</v>
      </c>
      <c r="I80" s="21" t="s">
        <v>75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121</v>
      </c>
      <c r="B81" s="21" t="s">
        <v>138</v>
      </c>
      <c r="C81" s="22">
        <v>3121.0</v>
      </c>
      <c r="D81" s="22">
        <v>3569.0</v>
      </c>
      <c r="E81" s="23"/>
      <c r="F81" s="22">
        <f t="shared" si="2"/>
        <v>6690</v>
      </c>
      <c r="G81" s="24">
        <f t="shared" si="3"/>
        <v>0.4665171898</v>
      </c>
      <c r="H81" s="24">
        <f t="shared" si="4"/>
        <v>0.5334828102</v>
      </c>
      <c r="I81" s="21" t="s">
        <v>75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121</v>
      </c>
      <c r="B82" s="21" t="s">
        <v>139</v>
      </c>
      <c r="C82" s="22">
        <v>1776.0</v>
      </c>
      <c r="D82" s="22">
        <v>3812.0</v>
      </c>
      <c r="E82" s="23"/>
      <c r="F82" s="22">
        <f t="shared" si="2"/>
        <v>5588</v>
      </c>
      <c r="G82" s="24">
        <f t="shared" si="3"/>
        <v>0.3178239084</v>
      </c>
      <c r="H82" s="24">
        <f t="shared" si="4"/>
        <v>0.6821760916</v>
      </c>
      <c r="I82" s="21" t="s">
        <v>75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121</v>
      </c>
      <c r="B83" s="21" t="s">
        <v>140</v>
      </c>
      <c r="C83" s="22">
        <v>1306.0</v>
      </c>
      <c r="D83" s="22">
        <v>1488.0</v>
      </c>
      <c r="E83" s="23"/>
      <c r="F83" s="22">
        <f t="shared" si="2"/>
        <v>2794</v>
      </c>
      <c r="G83" s="24">
        <f t="shared" si="3"/>
        <v>0.4674302076</v>
      </c>
      <c r="H83" s="24">
        <f t="shared" si="4"/>
        <v>0.5325697924</v>
      </c>
      <c r="I83" s="21" t="s">
        <v>75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121</v>
      </c>
      <c r="B84" s="21" t="s">
        <v>141</v>
      </c>
      <c r="C84" s="22">
        <v>710.0</v>
      </c>
      <c r="D84" s="22">
        <v>789.0</v>
      </c>
      <c r="E84" s="23"/>
      <c r="F84" s="22">
        <f t="shared" si="2"/>
        <v>1499</v>
      </c>
      <c r="G84" s="24">
        <f t="shared" si="3"/>
        <v>0.4736490994</v>
      </c>
      <c r="H84" s="24">
        <f t="shared" si="4"/>
        <v>0.5263509006</v>
      </c>
      <c r="I84" s="21" t="s">
        <v>75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121</v>
      </c>
      <c r="B85" s="21" t="s">
        <v>142</v>
      </c>
      <c r="C85" s="22">
        <v>1992.0</v>
      </c>
      <c r="D85" s="22">
        <v>2578.0</v>
      </c>
      <c r="E85" s="23"/>
      <c r="F85" s="22">
        <f t="shared" si="2"/>
        <v>4570</v>
      </c>
      <c r="G85" s="24">
        <f t="shared" si="3"/>
        <v>0.4358862144</v>
      </c>
      <c r="H85" s="24">
        <f t="shared" si="4"/>
        <v>0.5641137856</v>
      </c>
      <c r="I85" s="21" t="s">
        <v>75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121</v>
      </c>
      <c r="B86" s="21" t="s">
        <v>143</v>
      </c>
      <c r="C86" s="22">
        <v>5776.0</v>
      </c>
      <c r="D86" s="22">
        <v>5951.0</v>
      </c>
      <c r="E86" s="23"/>
      <c r="F86" s="22">
        <f t="shared" si="2"/>
        <v>11727</v>
      </c>
      <c r="G86" s="24">
        <f t="shared" si="3"/>
        <v>0.4925385862</v>
      </c>
      <c r="H86" s="24">
        <f t="shared" si="4"/>
        <v>0.5074614138</v>
      </c>
      <c r="I86" s="21" t="s">
        <v>75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121</v>
      </c>
      <c r="B87" s="21" t="s">
        <v>144</v>
      </c>
      <c r="C87" s="22">
        <v>502.0</v>
      </c>
      <c r="D87" s="22">
        <v>907.0</v>
      </c>
      <c r="E87" s="23"/>
      <c r="F87" s="22">
        <f t="shared" si="2"/>
        <v>1409</v>
      </c>
      <c r="G87" s="24">
        <f t="shared" si="3"/>
        <v>0.3562810504</v>
      </c>
      <c r="H87" s="24">
        <f t="shared" si="4"/>
        <v>0.6437189496</v>
      </c>
      <c r="I87" s="21" t="s">
        <v>75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121</v>
      </c>
      <c r="B88" s="21" t="s">
        <v>145</v>
      </c>
      <c r="C88" s="22">
        <v>1167.0</v>
      </c>
      <c r="D88" s="22">
        <v>2434.0</v>
      </c>
      <c r="E88" s="23"/>
      <c r="F88" s="22">
        <f t="shared" si="2"/>
        <v>3601</v>
      </c>
      <c r="G88" s="24">
        <f t="shared" si="3"/>
        <v>0.3240766454</v>
      </c>
      <c r="H88" s="24">
        <f t="shared" si="4"/>
        <v>0.6759233546</v>
      </c>
      <c r="I88" s="21" t="s">
        <v>75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121</v>
      </c>
      <c r="B89" s="21" t="s">
        <v>146</v>
      </c>
      <c r="C89" s="22">
        <v>76.0</v>
      </c>
      <c r="D89" s="22">
        <v>146.0</v>
      </c>
      <c r="E89" s="23"/>
      <c r="F89" s="22">
        <f t="shared" si="2"/>
        <v>222</v>
      </c>
      <c r="G89" s="24">
        <f t="shared" si="3"/>
        <v>0.3423423423</v>
      </c>
      <c r="H89" s="24">
        <f t="shared" si="4"/>
        <v>0.6576576577</v>
      </c>
      <c r="I89" s="21" t="s">
        <v>75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121</v>
      </c>
      <c r="B90" s="21" t="s">
        <v>147</v>
      </c>
      <c r="C90" s="22">
        <v>263.0</v>
      </c>
      <c r="D90" s="22">
        <v>511.0</v>
      </c>
      <c r="E90" s="23"/>
      <c r="F90" s="22">
        <f t="shared" si="2"/>
        <v>774</v>
      </c>
      <c r="G90" s="24">
        <f t="shared" si="3"/>
        <v>0.3397932817</v>
      </c>
      <c r="H90" s="24">
        <f t="shared" si="4"/>
        <v>0.6602067183</v>
      </c>
      <c r="I90" s="21" t="s">
        <v>75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121</v>
      </c>
      <c r="B91" s="21" t="s">
        <v>148</v>
      </c>
      <c r="C91" s="22">
        <v>176.0</v>
      </c>
      <c r="D91" s="22">
        <v>284.0</v>
      </c>
      <c r="E91" s="23"/>
      <c r="F91" s="22">
        <f t="shared" si="2"/>
        <v>460</v>
      </c>
      <c r="G91" s="24">
        <f t="shared" si="3"/>
        <v>0.3826086957</v>
      </c>
      <c r="H91" s="24">
        <f t="shared" si="4"/>
        <v>0.6173913043</v>
      </c>
      <c r="I91" s="21" t="s">
        <v>75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121</v>
      </c>
      <c r="B92" s="21" t="s">
        <v>149</v>
      </c>
      <c r="C92" s="22">
        <v>278.0</v>
      </c>
      <c r="D92" s="22">
        <v>399.0</v>
      </c>
      <c r="E92" s="23"/>
      <c r="F92" s="22">
        <f t="shared" si="2"/>
        <v>677</v>
      </c>
      <c r="G92" s="24">
        <f t="shared" si="3"/>
        <v>0.4106351551</v>
      </c>
      <c r="H92" s="24">
        <f t="shared" si="4"/>
        <v>0.5893648449</v>
      </c>
      <c r="I92" s="21" t="s">
        <v>75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121</v>
      </c>
      <c r="B93" s="21" t="s">
        <v>150</v>
      </c>
      <c r="C93" s="22">
        <v>1044.0</v>
      </c>
      <c r="D93" s="22">
        <v>2530.0</v>
      </c>
      <c r="E93" s="23"/>
      <c r="F93" s="22">
        <f t="shared" si="2"/>
        <v>3574</v>
      </c>
      <c r="G93" s="24">
        <f t="shared" si="3"/>
        <v>0.292109681</v>
      </c>
      <c r="H93" s="24">
        <f t="shared" si="4"/>
        <v>0.707890319</v>
      </c>
      <c r="I93" s="21" t="s">
        <v>75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1" t="s">
        <v>121</v>
      </c>
      <c r="B94" s="21" t="s">
        <v>151</v>
      </c>
      <c r="C94" s="22">
        <v>1766.0</v>
      </c>
      <c r="D94" s="22">
        <v>2037.0</v>
      </c>
      <c r="E94" s="23"/>
      <c r="F94" s="22">
        <f t="shared" si="2"/>
        <v>3803</v>
      </c>
      <c r="G94" s="24">
        <f t="shared" si="3"/>
        <v>0.464370234</v>
      </c>
      <c r="H94" s="24">
        <f t="shared" si="4"/>
        <v>0.535629766</v>
      </c>
      <c r="I94" s="21" t="s">
        <v>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1" t="s">
        <v>121</v>
      </c>
      <c r="B95" s="21" t="s">
        <v>152</v>
      </c>
      <c r="C95" s="22">
        <v>316.0</v>
      </c>
      <c r="D95" s="22">
        <v>538.0</v>
      </c>
      <c r="E95" s="23"/>
      <c r="F95" s="22">
        <f t="shared" si="2"/>
        <v>854</v>
      </c>
      <c r="G95" s="24">
        <f t="shared" si="3"/>
        <v>0.3700234192</v>
      </c>
      <c r="H95" s="24">
        <f t="shared" si="4"/>
        <v>0.6299765808</v>
      </c>
      <c r="I95" s="21" t="s">
        <v>75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121</v>
      </c>
      <c r="B96" s="21" t="s">
        <v>153</v>
      </c>
      <c r="C96" s="22">
        <v>915.0</v>
      </c>
      <c r="D96" s="22">
        <v>1969.0</v>
      </c>
      <c r="E96" s="23"/>
      <c r="F96" s="22">
        <f t="shared" si="2"/>
        <v>2884</v>
      </c>
      <c r="G96" s="24">
        <f t="shared" si="3"/>
        <v>0.3172676838</v>
      </c>
      <c r="H96" s="24">
        <f t="shared" si="4"/>
        <v>0.6827323162</v>
      </c>
      <c r="I96" s="21" t="s">
        <v>75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1" t="s">
        <v>121</v>
      </c>
      <c r="B97" s="21" t="s">
        <v>154</v>
      </c>
      <c r="C97" s="22">
        <v>207.0</v>
      </c>
      <c r="D97" s="22">
        <v>266.0</v>
      </c>
      <c r="E97" s="23"/>
      <c r="F97" s="22">
        <f t="shared" si="2"/>
        <v>473</v>
      </c>
      <c r="G97" s="24">
        <f t="shared" si="3"/>
        <v>0.4376321353</v>
      </c>
      <c r="H97" s="24">
        <f t="shared" si="4"/>
        <v>0.5623678647</v>
      </c>
      <c r="I97" s="21" t="s">
        <v>75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1" t="s">
        <v>121</v>
      </c>
      <c r="B98" s="21" t="s">
        <v>155</v>
      </c>
      <c r="C98" s="22">
        <v>1605.0</v>
      </c>
      <c r="D98" s="22">
        <v>2197.0</v>
      </c>
      <c r="E98" s="23"/>
      <c r="F98" s="22">
        <f t="shared" si="2"/>
        <v>3802</v>
      </c>
      <c r="G98" s="24">
        <f t="shared" si="3"/>
        <v>0.4221462388</v>
      </c>
      <c r="H98" s="24">
        <f t="shared" si="4"/>
        <v>0.5778537612</v>
      </c>
      <c r="I98" s="21" t="s">
        <v>75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121</v>
      </c>
      <c r="B99" s="21" t="s">
        <v>156</v>
      </c>
      <c r="C99" s="22">
        <v>1334.0</v>
      </c>
      <c r="D99" s="22">
        <v>1195.0</v>
      </c>
      <c r="E99" s="23"/>
      <c r="F99" s="22">
        <f t="shared" si="2"/>
        <v>2529</v>
      </c>
      <c r="G99" s="24">
        <f t="shared" si="3"/>
        <v>0.5274812179</v>
      </c>
      <c r="H99" s="24">
        <f t="shared" si="4"/>
        <v>0.4725187821</v>
      </c>
      <c r="I99" s="21" t="s">
        <v>75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121</v>
      </c>
      <c r="B100" s="21" t="s">
        <v>157</v>
      </c>
      <c r="C100" s="22">
        <v>562.0</v>
      </c>
      <c r="D100" s="22">
        <v>829.0</v>
      </c>
      <c r="E100" s="23"/>
      <c r="F100" s="22">
        <f t="shared" si="2"/>
        <v>1391</v>
      </c>
      <c r="G100" s="24">
        <f t="shared" si="3"/>
        <v>0.4040258807</v>
      </c>
      <c r="H100" s="24">
        <f t="shared" si="4"/>
        <v>0.5959741193</v>
      </c>
      <c r="I100" s="21" t="s">
        <v>75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3" width="14.0"/>
    <col customWidth="1" min="4" max="5" width="16.0"/>
    <col customWidth="1" min="6" max="6" width="12.0"/>
    <col customWidth="1" min="7" max="7" width="13.0"/>
    <col customWidth="1" min="8" max="8" width="15.0"/>
    <col customWidth="1" min="9" max="9" width="29.29"/>
  </cols>
  <sheetData>
    <row r="1" ht="14.25" customHeight="1">
      <c r="A1" s="1" t="s">
        <v>3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1" t="s">
        <v>158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24</v>
      </c>
      <c r="B4" s="4" t="s">
        <v>159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32</v>
      </c>
      <c r="H4" s="4" t="s">
        <v>33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4" t="s">
        <v>37</v>
      </c>
      <c r="B6" s="15"/>
      <c r="C6" s="15"/>
      <c r="D6" s="15"/>
      <c r="E6" s="15"/>
      <c r="F6" s="15"/>
      <c r="G6" s="15"/>
      <c r="H6" s="15"/>
      <c r="I6" s="1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7" t="s">
        <v>41</v>
      </c>
      <c r="B7" s="17"/>
      <c r="C7" s="17" t="s">
        <v>49</v>
      </c>
      <c r="D7" s="17" t="s">
        <v>50</v>
      </c>
      <c r="E7" s="17" t="s">
        <v>51</v>
      </c>
      <c r="F7" s="17" t="s">
        <v>52</v>
      </c>
      <c r="G7" s="17" t="s">
        <v>53</v>
      </c>
      <c r="H7" s="17" t="s">
        <v>54</v>
      </c>
      <c r="I7" s="17" t="s">
        <v>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56</v>
      </c>
      <c r="B8" s="18" t="s">
        <v>57</v>
      </c>
      <c r="C8" s="19">
        <f t="shared" ref="C8:E8" si="1">SUM(C12:C100)</f>
        <v>162574</v>
      </c>
      <c r="D8" s="19">
        <f t="shared" si="1"/>
        <v>162995</v>
      </c>
      <c r="E8" s="19">
        <f t="shared" si="1"/>
        <v>0</v>
      </c>
      <c r="F8" s="19">
        <f>C8+D8+E8</f>
        <v>325569</v>
      </c>
      <c r="G8" s="20">
        <f>IF(F8=0,"",C8/F8)</f>
        <v>0.4993534397</v>
      </c>
      <c r="H8" s="20">
        <f>IF(F8=0,"",D8/F8)</f>
        <v>0.5006465603</v>
      </c>
      <c r="I8" s="18" t="s">
        <v>160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1" t="s">
        <v>59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4" t="s">
        <v>60</v>
      </c>
      <c r="B10" s="15"/>
      <c r="C10" s="15"/>
      <c r="D10" s="15"/>
      <c r="E10" s="15"/>
      <c r="F10" s="15"/>
      <c r="G10" s="15"/>
      <c r="H10" s="15"/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 t="s">
        <v>61</v>
      </c>
      <c r="B11" s="17" t="s">
        <v>62</v>
      </c>
      <c r="C11" s="17" t="s">
        <v>49</v>
      </c>
      <c r="D11" s="17" t="s">
        <v>50</v>
      </c>
      <c r="E11" s="17" t="s">
        <v>51</v>
      </c>
      <c r="F11" s="17" t="s">
        <v>52</v>
      </c>
      <c r="G11" s="17" t="s">
        <v>53</v>
      </c>
      <c r="H11" s="17" t="s">
        <v>54</v>
      </c>
      <c r="I11" s="17" t="s">
        <v>63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1" t="s">
        <v>64</v>
      </c>
      <c r="B12" s="21" t="s">
        <v>65</v>
      </c>
      <c r="C12" s="22">
        <v>160.0</v>
      </c>
      <c r="D12" s="22">
        <v>231.0</v>
      </c>
      <c r="E12" s="23"/>
      <c r="F12" s="22">
        <f t="shared" ref="F12:F100" si="2">C12+D12+IF(E12="",0,E12)</f>
        <v>391</v>
      </c>
      <c r="G12" s="24">
        <f t="shared" ref="G12:G100" si="3">IF(F12=0,"",C12/F12)</f>
        <v>0.4092071611</v>
      </c>
      <c r="H12" s="24">
        <f t="shared" ref="H12:H100" si="4">IF(F12=0,"",D12/F12)</f>
        <v>0.5907928389</v>
      </c>
      <c r="I12" s="21" t="s">
        <v>159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1" t="s">
        <v>64</v>
      </c>
      <c r="B13" s="21" t="s">
        <v>66</v>
      </c>
      <c r="C13" s="22">
        <v>103.0</v>
      </c>
      <c r="D13" s="22">
        <v>238.0</v>
      </c>
      <c r="E13" s="23"/>
      <c r="F13" s="22">
        <f t="shared" si="2"/>
        <v>341</v>
      </c>
      <c r="G13" s="24">
        <f t="shared" si="3"/>
        <v>0.3020527859</v>
      </c>
      <c r="H13" s="24">
        <f t="shared" si="4"/>
        <v>0.6979472141</v>
      </c>
      <c r="I13" s="21" t="s">
        <v>159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21" t="s">
        <v>64</v>
      </c>
      <c r="B14" s="21" t="s">
        <v>67</v>
      </c>
      <c r="C14" s="22">
        <v>142.0</v>
      </c>
      <c r="D14" s="22">
        <v>269.0</v>
      </c>
      <c r="E14" s="23"/>
      <c r="F14" s="22">
        <f t="shared" si="2"/>
        <v>411</v>
      </c>
      <c r="G14" s="24">
        <f t="shared" si="3"/>
        <v>0.3454987835</v>
      </c>
      <c r="H14" s="24">
        <f t="shared" si="4"/>
        <v>0.6545012165</v>
      </c>
      <c r="I14" s="21" t="s">
        <v>159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21" t="s">
        <v>64</v>
      </c>
      <c r="B15" s="21" t="s">
        <v>68</v>
      </c>
      <c r="C15" s="22">
        <v>416.0</v>
      </c>
      <c r="D15" s="22">
        <v>1067.0</v>
      </c>
      <c r="E15" s="23"/>
      <c r="F15" s="22">
        <f t="shared" si="2"/>
        <v>1483</v>
      </c>
      <c r="G15" s="24">
        <f t="shared" si="3"/>
        <v>0.2805124747</v>
      </c>
      <c r="H15" s="24">
        <f t="shared" si="4"/>
        <v>0.7194875253</v>
      </c>
      <c r="I15" s="21" t="s">
        <v>159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21" t="s">
        <v>64</v>
      </c>
      <c r="B16" s="21" t="s">
        <v>69</v>
      </c>
      <c r="C16" s="22">
        <v>39.0</v>
      </c>
      <c r="D16" s="22">
        <v>72.0</v>
      </c>
      <c r="E16" s="23"/>
      <c r="F16" s="22">
        <f t="shared" si="2"/>
        <v>111</v>
      </c>
      <c r="G16" s="24">
        <f t="shared" si="3"/>
        <v>0.3513513514</v>
      </c>
      <c r="H16" s="24">
        <f t="shared" si="4"/>
        <v>0.6486486486</v>
      </c>
      <c r="I16" s="21" t="s">
        <v>159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21" t="s">
        <v>64</v>
      </c>
      <c r="B17" s="21" t="s">
        <v>70</v>
      </c>
      <c r="C17" s="22">
        <v>681.0</v>
      </c>
      <c r="D17" s="22">
        <v>1577.0</v>
      </c>
      <c r="E17" s="23"/>
      <c r="F17" s="22">
        <f t="shared" si="2"/>
        <v>2258</v>
      </c>
      <c r="G17" s="24">
        <f t="shared" si="3"/>
        <v>0.3015943313</v>
      </c>
      <c r="H17" s="24">
        <f t="shared" si="4"/>
        <v>0.6984056687</v>
      </c>
      <c r="I17" s="21" t="s">
        <v>159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21" t="s">
        <v>64</v>
      </c>
      <c r="B18" s="21" t="s">
        <v>71</v>
      </c>
      <c r="C18" s="22">
        <v>1086.0</v>
      </c>
      <c r="D18" s="22">
        <v>1325.0</v>
      </c>
      <c r="E18" s="23"/>
      <c r="F18" s="22">
        <f t="shared" si="2"/>
        <v>2411</v>
      </c>
      <c r="G18" s="24">
        <f t="shared" si="3"/>
        <v>0.4504355039</v>
      </c>
      <c r="H18" s="24">
        <f t="shared" si="4"/>
        <v>0.5495644961</v>
      </c>
      <c r="I18" s="21" t="s">
        <v>159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21" t="s">
        <v>64</v>
      </c>
      <c r="B19" s="21" t="s">
        <v>72</v>
      </c>
      <c r="C19" s="22">
        <v>328.0</v>
      </c>
      <c r="D19" s="22">
        <v>584.0</v>
      </c>
      <c r="E19" s="23"/>
      <c r="F19" s="22">
        <f t="shared" si="2"/>
        <v>912</v>
      </c>
      <c r="G19" s="24">
        <f t="shared" si="3"/>
        <v>0.3596491228</v>
      </c>
      <c r="H19" s="24">
        <f t="shared" si="4"/>
        <v>0.6403508772</v>
      </c>
      <c r="I19" s="21" t="s">
        <v>159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21" t="s">
        <v>64</v>
      </c>
      <c r="B20" s="21" t="s">
        <v>74</v>
      </c>
      <c r="C20" s="22">
        <v>444.0</v>
      </c>
      <c r="D20" s="22">
        <v>634.0</v>
      </c>
      <c r="E20" s="23"/>
      <c r="F20" s="22">
        <f t="shared" si="2"/>
        <v>1078</v>
      </c>
      <c r="G20" s="24">
        <f t="shared" si="3"/>
        <v>0.4118738404</v>
      </c>
      <c r="H20" s="24">
        <f t="shared" si="4"/>
        <v>0.5881261596</v>
      </c>
      <c r="I20" s="21" t="s">
        <v>159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21" t="s">
        <v>64</v>
      </c>
      <c r="B21" s="21" t="s">
        <v>76</v>
      </c>
      <c r="C21" s="22">
        <v>39.0</v>
      </c>
      <c r="D21" s="22">
        <v>103.0</v>
      </c>
      <c r="E21" s="23"/>
      <c r="F21" s="22">
        <f t="shared" si="2"/>
        <v>142</v>
      </c>
      <c r="G21" s="24">
        <f t="shared" si="3"/>
        <v>0.2746478873</v>
      </c>
      <c r="H21" s="24">
        <f t="shared" si="4"/>
        <v>0.7253521127</v>
      </c>
      <c r="I21" s="21" t="s">
        <v>159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21" t="s">
        <v>64</v>
      </c>
      <c r="B22" s="21" t="s">
        <v>77</v>
      </c>
      <c r="C22" s="22">
        <v>61.0</v>
      </c>
      <c r="D22" s="22">
        <v>217.0</v>
      </c>
      <c r="E22" s="23"/>
      <c r="F22" s="22">
        <f t="shared" si="2"/>
        <v>278</v>
      </c>
      <c r="G22" s="24">
        <f t="shared" si="3"/>
        <v>0.2194244604</v>
      </c>
      <c r="H22" s="24">
        <f t="shared" si="4"/>
        <v>0.7805755396</v>
      </c>
      <c r="I22" s="21" t="s">
        <v>159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21" t="s">
        <v>64</v>
      </c>
      <c r="B23" s="21" t="s">
        <v>78</v>
      </c>
      <c r="C23" s="22">
        <v>756.0</v>
      </c>
      <c r="D23" s="22">
        <v>1144.0</v>
      </c>
      <c r="E23" s="23"/>
      <c r="F23" s="22">
        <f t="shared" si="2"/>
        <v>1900</v>
      </c>
      <c r="G23" s="24">
        <f t="shared" si="3"/>
        <v>0.3978947368</v>
      </c>
      <c r="H23" s="24">
        <f t="shared" si="4"/>
        <v>0.6021052632</v>
      </c>
      <c r="I23" s="21" t="s">
        <v>159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21" t="s">
        <v>64</v>
      </c>
      <c r="B24" s="21" t="s">
        <v>79</v>
      </c>
      <c r="C24" s="22">
        <v>481.0</v>
      </c>
      <c r="D24" s="22">
        <v>1123.0</v>
      </c>
      <c r="E24" s="23"/>
      <c r="F24" s="22">
        <f t="shared" si="2"/>
        <v>1604</v>
      </c>
      <c r="G24" s="24">
        <f t="shared" si="3"/>
        <v>0.2998753117</v>
      </c>
      <c r="H24" s="24">
        <f t="shared" si="4"/>
        <v>0.7001246883</v>
      </c>
      <c r="I24" s="21" t="s">
        <v>159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21" t="s">
        <v>64</v>
      </c>
      <c r="B25" s="21" t="s">
        <v>80</v>
      </c>
      <c r="C25" s="22">
        <v>649.0</v>
      </c>
      <c r="D25" s="22">
        <v>1427.0</v>
      </c>
      <c r="E25" s="23"/>
      <c r="F25" s="22">
        <f t="shared" si="2"/>
        <v>2076</v>
      </c>
      <c r="G25" s="24">
        <f t="shared" si="3"/>
        <v>0.3126204239</v>
      </c>
      <c r="H25" s="24">
        <f t="shared" si="4"/>
        <v>0.6873795761</v>
      </c>
      <c r="I25" s="21" t="s">
        <v>159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1" t="s">
        <v>64</v>
      </c>
      <c r="B26" s="21" t="s">
        <v>82</v>
      </c>
      <c r="C26" s="22">
        <v>543.0</v>
      </c>
      <c r="D26" s="22">
        <v>799.0</v>
      </c>
      <c r="E26" s="23"/>
      <c r="F26" s="22">
        <f t="shared" si="2"/>
        <v>1342</v>
      </c>
      <c r="G26" s="24">
        <f t="shared" si="3"/>
        <v>0.4046199702</v>
      </c>
      <c r="H26" s="24">
        <f t="shared" si="4"/>
        <v>0.5953800298</v>
      </c>
      <c r="I26" s="21" t="s">
        <v>159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1" t="s">
        <v>64</v>
      </c>
      <c r="B27" s="21" t="s">
        <v>83</v>
      </c>
      <c r="C27" s="22">
        <v>130.0</v>
      </c>
      <c r="D27" s="22">
        <v>467.0</v>
      </c>
      <c r="E27" s="23"/>
      <c r="F27" s="22">
        <f t="shared" si="2"/>
        <v>597</v>
      </c>
      <c r="G27" s="24">
        <f t="shared" si="3"/>
        <v>0.2177554439</v>
      </c>
      <c r="H27" s="24">
        <f t="shared" si="4"/>
        <v>0.7822445561</v>
      </c>
      <c r="I27" s="21" t="s">
        <v>159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1" t="s">
        <v>64</v>
      </c>
      <c r="B28" s="21" t="s">
        <v>84</v>
      </c>
      <c r="C28" s="22">
        <v>814.0</v>
      </c>
      <c r="D28" s="22">
        <v>1339.0</v>
      </c>
      <c r="E28" s="23"/>
      <c r="F28" s="22">
        <f t="shared" si="2"/>
        <v>2153</v>
      </c>
      <c r="G28" s="24">
        <f t="shared" si="3"/>
        <v>0.3780771017</v>
      </c>
      <c r="H28" s="24">
        <f t="shared" si="4"/>
        <v>0.6219228983</v>
      </c>
      <c r="I28" s="21" t="s">
        <v>159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1" t="s">
        <v>64</v>
      </c>
      <c r="B29" s="21" t="s">
        <v>85</v>
      </c>
      <c r="C29" s="22">
        <v>67.0</v>
      </c>
      <c r="D29" s="22">
        <v>142.0</v>
      </c>
      <c r="E29" s="23"/>
      <c r="F29" s="22">
        <f t="shared" si="2"/>
        <v>209</v>
      </c>
      <c r="G29" s="24">
        <f t="shared" si="3"/>
        <v>0.3205741627</v>
      </c>
      <c r="H29" s="24">
        <f t="shared" si="4"/>
        <v>0.6794258373</v>
      </c>
      <c r="I29" s="21" t="s">
        <v>159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1" t="s">
        <v>64</v>
      </c>
      <c r="B30" s="21" t="s">
        <v>86</v>
      </c>
      <c r="C30" s="22">
        <v>1934.0</v>
      </c>
      <c r="D30" s="22">
        <v>3181.0</v>
      </c>
      <c r="E30" s="23"/>
      <c r="F30" s="22">
        <f t="shared" si="2"/>
        <v>5115</v>
      </c>
      <c r="G30" s="24">
        <f t="shared" si="3"/>
        <v>0.3781036168</v>
      </c>
      <c r="H30" s="24">
        <f t="shared" si="4"/>
        <v>0.6218963832</v>
      </c>
      <c r="I30" s="21" t="s">
        <v>159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1" t="s">
        <v>64</v>
      </c>
      <c r="B31" s="21" t="s">
        <v>87</v>
      </c>
      <c r="C31" s="22">
        <v>570.0</v>
      </c>
      <c r="D31" s="22">
        <v>764.0</v>
      </c>
      <c r="E31" s="23"/>
      <c r="F31" s="22">
        <f t="shared" si="2"/>
        <v>1334</v>
      </c>
      <c r="G31" s="24">
        <f t="shared" si="3"/>
        <v>0.4272863568</v>
      </c>
      <c r="H31" s="24">
        <f t="shared" si="4"/>
        <v>0.5727136432</v>
      </c>
      <c r="I31" s="21" t="s">
        <v>159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1" t="s">
        <v>64</v>
      </c>
      <c r="B32" s="21" t="s">
        <v>88</v>
      </c>
      <c r="C32" s="22">
        <v>767.0</v>
      </c>
      <c r="D32" s="22">
        <v>1746.0</v>
      </c>
      <c r="E32" s="23"/>
      <c r="F32" s="22">
        <f t="shared" si="2"/>
        <v>2513</v>
      </c>
      <c r="G32" s="24">
        <f t="shared" si="3"/>
        <v>0.305212893</v>
      </c>
      <c r="H32" s="24">
        <f t="shared" si="4"/>
        <v>0.694787107</v>
      </c>
      <c r="I32" s="21" t="s">
        <v>159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21" t="s">
        <v>64</v>
      </c>
      <c r="B33" s="21" t="s">
        <v>89</v>
      </c>
      <c r="C33" s="22">
        <v>298.0</v>
      </c>
      <c r="D33" s="22">
        <v>657.0</v>
      </c>
      <c r="E33" s="23"/>
      <c r="F33" s="22">
        <f t="shared" si="2"/>
        <v>955</v>
      </c>
      <c r="G33" s="24">
        <f t="shared" si="3"/>
        <v>0.3120418848</v>
      </c>
      <c r="H33" s="24">
        <f t="shared" si="4"/>
        <v>0.6879581152</v>
      </c>
      <c r="I33" s="21" t="s">
        <v>159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1" t="s">
        <v>64</v>
      </c>
      <c r="B34" s="21" t="s">
        <v>90</v>
      </c>
      <c r="C34" s="22">
        <v>37.0</v>
      </c>
      <c r="D34" s="22">
        <v>65.0</v>
      </c>
      <c r="E34" s="23"/>
      <c r="F34" s="22">
        <f t="shared" si="2"/>
        <v>102</v>
      </c>
      <c r="G34" s="24">
        <f t="shared" si="3"/>
        <v>0.362745098</v>
      </c>
      <c r="H34" s="24">
        <f t="shared" si="4"/>
        <v>0.637254902</v>
      </c>
      <c r="I34" s="21" t="s">
        <v>159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21" t="s">
        <v>91</v>
      </c>
      <c r="B35" s="21" t="s">
        <v>92</v>
      </c>
      <c r="C35" s="22">
        <v>543.0</v>
      </c>
      <c r="D35" s="22">
        <v>623.0</v>
      </c>
      <c r="E35" s="23"/>
      <c r="F35" s="22">
        <f t="shared" si="2"/>
        <v>1166</v>
      </c>
      <c r="G35" s="24">
        <f t="shared" si="3"/>
        <v>0.4656946827</v>
      </c>
      <c r="H35" s="24">
        <f t="shared" si="4"/>
        <v>0.5343053173</v>
      </c>
      <c r="I35" s="21" t="s">
        <v>159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21" t="s">
        <v>91</v>
      </c>
      <c r="B36" s="21" t="s">
        <v>93</v>
      </c>
      <c r="C36" s="22">
        <v>14554.0</v>
      </c>
      <c r="D36" s="22">
        <v>7988.0</v>
      </c>
      <c r="E36" s="23"/>
      <c r="F36" s="22">
        <f t="shared" si="2"/>
        <v>22542</v>
      </c>
      <c r="G36" s="24">
        <f t="shared" si="3"/>
        <v>0.6456392512</v>
      </c>
      <c r="H36" s="24">
        <f t="shared" si="4"/>
        <v>0.3543607488</v>
      </c>
      <c r="I36" s="21" t="s">
        <v>159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21" t="s">
        <v>91</v>
      </c>
      <c r="B37" s="21" t="s">
        <v>94</v>
      </c>
      <c r="C37" s="22">
        <v>5692.0</v>
      </c>
      <c r="D37" s="22">
        <v>3090.0</v>
      </c>
      <c r="E37" s="23"/>
      <c r="F37" s="22">
        <f t="shared" si="2"/>
        <v>8782</v>
      </c>
      <c r="G37" s="24">
        <f t="shared" si="3"/>
        <v>0.6481439308</v>
      </c>
      <c r="H37" s="24">
        <f t="shared" si="4"/>
        <v>0.3518560692</v>
      </c>
      <c r="I37" s="21" t="s">
        <v>159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1" t="s">
        <v>91</v>
      </c>
      <c r="B38" s="21" t="s">
        <v>95</v>
      </c>
      <c r="C38" s="22">
        <v>1202.0</v>
      </c>
      <c r="D38" s="22">
        <v>1060.0</v>
      </c>
      <c r="E38" s="23"/>
      <c r="F38" s="22">
        <f t="shared" si="2"/>
        <v>2262</v>
      </c>
      <c r="G38" s="24">
        <f t="shared" si="3"/>
        <v>0.5313881521</v>
      </c>
      <c r="H38" s="24">
        <f t="shared" si="4"/>
        <v>0.4686118479</v>
      </c>
      <c r="I38" s="21" t="s">
        <v>159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1" t="s">
        <v>91</v>
      </c>
      <c r="B39" s="21" t="s">
        <v>96</v>
      </c>
      <c r="C39" s="22">
        <v>719.0</v>
      </c>
      <c r="D39" s="22">
        <v>760.0</v>
      </c>
      <c r="E39" s="23"/>
      <c r="F39" s="22">
        <f t="shared" si="2"/>
        <v>1479</v>
      </c>
      <c r="G39" s="24">
        <f t="shared" si="3"/>
        <v>0.4861392833</v>
      </c>
      <c r="H39" s="24">
        <f t="shared" si="4"/>
        <v>0.5138607167</v>
      </c>
      <c r="I39" s="21" t="s">
        <v>159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1" t="s">
        <v>91</v>
      </c>
      <c r="B40" s="21" t="s">
        <v>97</v>
      </c>
      <c r="C40" s="22">
        <v>723.0</v>
      </c>
      <c r="D40" s="22">
        <v>696.0</v>
      </c>
      <c r="E40" s="23"/>
      <c r="F40" s="22">
        <f t="shared" si="2"/>
        <v>1419</v>
      </c>
      <c r="G40" s="24">
        <f t="shared" si="3"/>
        <v>0.5095137421</v>
      </c>
      <c r="H40" s="24">
        <f t="shared" si="4"/>
        <v>0.4904862579</v>
      </c>
      <c r="I40" s="21" t="s">
        <v>159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1" t="s">
        <v>91</v>
      </c>
      <c r="B41" s="21" t="s">
        <v>98</v>
      </c>
      <c r="C41" s="22">
        <v>3139.0</v>
      </c>
      <c r="D41" s="22">
        <v>2640.0</v>
      </c>
      <c r="E41" s="23"/>
      <c r="F41" s="22">
        <f t="shared" si="2"/>
        <v>5779</v>
      </c>
      <c r="G41" s="24">
        <f t="shared" si="3"/>
        <v>0.5431735594</v>
      </c>
      <c r="H41" s="24">
        <f t="shared" si="4"/>
        <v>0.4568264406</v>
      </c>
      <c r="I41" s="21" t="s">
        <v>159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1" t="s">
        <v>91</v>
      </c>
      <c r="B42" s="21" t="s">
        <v>99</v>
      </c>
      <c r="C42" s="22">
        <v>1016.0</v>
      </c>
      <c r="D42" s="22">
        <v>542.0</v>
      </c>
      <c r="E42" s="23"/>
      <c r="F42" s="22">
        <f t="shared" si="2"/>
        <v>1558</v>
      </c>
      <c r="G42" s="24">
        <f t="shared" si="3"/>
        <v>0.6521181001</v>
      </c>
      <c r="H42" s="24">
        <f t="shared" si="4"/>
        <v>0.3478818999</v>
      </c>
      <c r="I42" s="21" t="s">
        <v>159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1" t="s">
        <v>91</v>
      </c>
      <c r="B43" s="21" t="s">
        <v>100</v>
      </c>
      <c r="C43" s="22">
        <v>240.0</v>
      </c>
      <c r="D43" s="22">
        <v>202.0</v>
      </c>
      <c r="E43" s="23"/>
      <c r="F43" s="22">
        <f t="shared" si="2"/>
        <v>442</v>
      </c>
      <c r="G43" s="24">
        <f t="shared" si="3"/>
        <v>0.5429864253</v>
      </c>
      <c r="H43" s="24">
        <f t="shared" si="4"/>
        <v>0.4570135747</v>
      </c>
      <c r="I43" s="21" t="s">
        <v>159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21" t="s">
        <v>91</v>
      </c>
      <c r="B44" s="21" t="s">
        <v>101</v>
      </c>
      <c r="C44" s="22">
        <v>605.0</v>
      </c>
      <c r="D44" s="22">
        <v>1221.0</v>
      </c>
      <c r="E44" s="23"/>
      <c r="F44" s="22">
        <f t="shared" si="2"/>
        <v>1826</v>
      </c>
      <c r="G44" s="24">
        <f t="shared" si="3"/>
        <v>0.3313253012</v>
      </c>
      <c r="H44" s="24">
        <f t="shared" si="4"/>
        <v>0.6686746988</v>
      </c>
      <c r="I44" s="21" t="s">
        <v>159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1" t="s">
        <v>91</v>
      </c>
      <c r="B45" s="21" t="s">
        <v>102</v>
      </c>
      <c r="C45" s="22">
        <v>9414.0</v>
      </c>
      <c r="D45" s="22">
        <v>8410.0</v>
      </c>
      <c r="E45" s="23"/>
      <c r="F45" s="22">
        <f t="shared" si="2"/>
        <v>17824</v>
      </c>
      <c r="G45" s="24">
        <f t="shared" si="3"/>
        <v>0.5281642729</v>
      </c>
      <c r="H45" s="24">
        <f t="shared" si="4"/>
        <v>0.4718357271</v>
      </c>
      <c r="I45" s="21" t="s">
        <v>159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1" t="s">
        <v>91</v>
      </c>
      <c r="B46" s="21" t="s">
        <v>103</v>
      </c>
      <c r="C46" s="22">
        <v>1005.0</v>
      </c>
      <c r="D46" s="22">
        <v>1465.0</v>
      </c>
      <c r="E46" s="23"/>
      <c r="F46" s="22">
        <f t="shared" si="2"/>
        <v>2470</v>
      </c>
      <c r="G46" s="24">
        <f t="shared" si="3"/>
        <v>0.4068825911</v>
      </c>
      <c r="H46" s="24">
        <f t="shared" si="4"/>
        <v>0.5931174089</v>
      </c>
      <c r="I46" s="21" t="s">
        <v>159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1" t="s">
        <v>91</v>
      </c>
      <c r="B47" s="21" t="s">
        <v>104</v>
      </c>
      <c r="C47" s="22">
        <v>521.0</v>
      </c>
      <c r="D47" s="22">
        <v>822.0</v>
      </c>
      <c r="E47" s="23"/>
      <c r="F47" s="22">
        <f t="shared" si="2"/>
        <v>1343</v>
      </c>
      <c r="G47" s="24">
        <f t="shared" si="3"/>
        <v>0.3879374535</v>
      </c>
      <c r="H47" s="24">
        <f t="shared" si="4"/>
        <v>0.6120625465</v>
      </c>
      <c r="I47" s="21" t="s">
        <v>159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21" t="s">
        <v>91</v>
      </c>
      <c r="B48" s="21" t="s">
        <v>105</v>
      </c>
      <c r="C48" s="22">
        <v>826.0</v>
      </c>
      <c r="D48" s="22">
        <v>1624.0</v>
      </c>
      <c r="E48" s="23"/>
      <c r="F48" s="22">
        <f t="shared" si="2"/>
        <v>2450</v>
      </c>
      <c r="G48" s="24">
        <f t="shared" si="3"/>
        <v>0.3371428571</v>
      </c>
      <c r="H48" s="24">
        <f t="shared" si="4"/>
        <v>0.6628571429</v>
      </c>
      <c r="I48" s="21" t="s">
        <v>159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21" t="s">
        <v>91</v>
      </c>
      <c r="B49" s="21" t="s">
        <v>106</v>
      </c>
      <c r="C49" s="22">
        <v>840.0</v>
      </c>
      <c r="D49" s="22">
        <v>717.0</v>
      </c>
      <c r="E49" s="23"/>
      <c r="F49" s="22">
        <f t="shared" si="2"/>
        <v>1557</v>
      </c>
      <c r="G49" s="24">
        <f t="shared" si="3"/>
        <v>0.5394990366</v>
      </c>
      <c r="H49" s="24">
        <f t="shared" si="4"/>
        <v>0.4605009634</v>
      </c>
      <c r="I49" s="21" t="s">
        <v>159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21" t="s">
        <v>91</v>
      </c>
      <c r="B50" s="21" t="s">
        <v>107</v>
      </c>
      <c r="C50" s="22">
        <v>3815.0</v>
      </c>
      <c r="D50" s="22">
        <v>4990.0</v>
      </c>
      <c r="E50" s="23"/>
      <c r="F50" s="22">
        <f t="shared" si="2"/>
        <v>8805</v>
      </c>
      <c r="G50" s="24">
        <f t="shared" si="3"/>
        <v>0.4332765474</v>
      </c>
      <c r="H50" s="24">
        <f t="shared" si="4"/>
        <v>0.5667234526</v>
      </c>
      <c r="I50" s="21" t="s">
        <v>159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21" t="s">
        <v>91</v>
      </c>
      <c r="B51" s="21" t="s">
        <v>108</v>
      </c>
      <c r="C51" s="22">
        <v>3592.0</v>
      </c>
      <c r="D51" s="22">
        <v>3355.0</v>
      </c>
      <c r="E51" s="23"/>
      <c r="F51" s="22">
        <f t="shared" si="2"/>
        <v>6947</v>
      </c>
      <c r="G51" s="24">
        <f t="shared" si="3"/>
        <v>0.5170577228</v>
      </c>
      <c r="H51" s="24">
        <f t="shared" si="4"/>
        <v>0.4829422772</v>
      </c>
      <c r="I51" s="21" t="s">
        <v>159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21" t="s">
        <v>91</v>
      </c>
      <c r="B52" s="21" t="s">
        <v>109</v>
      </c>
      <c r="C52" s="22">
        <v>639.0</v>
      </c>
      <c r="D52" s="22">
        <v>900.0</v>
      </c>
      <c r="E52" s="23"/>
      <c r="F52" s="22">
        <f t="shared" si="2"/>
        <v>1539</v>
      </c>
      <c r="G52" s="24">
        <f t="shared" si="3"/>
        <v>0.4152046784</v>
      </c>
      <c r="H52" s="24">
        <f t="shared" si="4"/>
        <v>0.5847953216</v>
      </c>
      <c r="I52" s="21" t="s">
        <v>159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21" t="s">
        <v>91</v>
      </c>
      <c r="B53" s="21" t="s">
        <v>110</v>
      </c>
      <c r="C53" s="22">
        <v>6377.0</v>
      </c>
      <c r="D53" s="22">
        <v>5013.0</v>
      </c>
      <c r="E53" s="23"/>
      <c r="F53" s="22">
        <f t="shared" si="2"/>
        <v>11390</v>
      </c>
      <c r="G53" s="24">
        <f t="shared" si="3"/>
        <v>0.5598770852</v>
      </c>
      <c r="H53" s="24">
        <f t="shared" si="4"/>
        <v>0.4401229148</v>
      </c>
      <c r="I53" s="21" t="s">
        <v>159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21" t="s">
        <v>91</v>
      </c>
      <c r="B54" s="21" t="s">
        <v>111</v>
      </c>
      <c r="C54" s="22">
        <v>7089.0</v>
      </c>
      <c r="D54" s="22">
        <v>5811.0</v>
      </c>
      <c r="E54" s="23"/>
      <c r="F54" s="22">
        <f t="shared" si="2"/>
        <v>12900</v>
      </c>
      <c r="G54" s="24">
        <f t="shared" si="3"/>
        <v>0.5495348837</v>
      </c>
      <c r="H54" s="24">
        <f t="shared" si="4"/>
        <v>0.4504651163</v>
      </c>
      <c r="I54" s="21" t="s">
        <v>159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21" t="s">
        <v>91</v>
      </c>
      <c r="B55" s="21" t="s">
        <v>112</v>
      </c>
      <c r="C55" s="22">
        <v>2440.0</v>
      </c>
      <c r="D55" s="22">
        <v>2887.0</v>
      </c>
      <c r="E55" s="23"/>
      <c r="F55" s="22">
        <f t="shared" si="2"/>
        <v>5327</v>
      </c>
      <c r="G55" s="24">
        <f t="shared" si="3"/>
        <v>0.4580439272</v>
      </c>
      <c r="H55" s="24">
        <f t="shared" si="4"/>
        <v>0.5419560728</v>
      </c>
      <c r="I55" s="21" t="s">
        <v>159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21" t="s">
        <v>91</v>
      </c>
      <c r="B56" s="21" t="s">
        <v>113</v>
      </c>
      <c r="C56" s="22">
        <v>5255.0</v>
      </c>
      <c r="D56" s="22">
        <v>4875.0</v>
      </c>
      <c r="E56" s="23"/>
      <c r="F56" s="22">
        <f t="shared" si="2"/>
        <v>10130</v>
      </c>
      <c r="G56" s="24">
        <f t="shared" si="3"/>
        <v>0.5187561698</v>
      </c>
      <c r="H56" s="24">
        <f t="shared" si="4"/>
        <v>0.4812438302</v>
      </c>
      <c r="I56" s="21" t="s">
        <v>159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21" t="s">
        <v>91</v>
      </c>
      <c r="B57" s="21" t="s">
        <v>114</v>
      </c>
      <c r="C57" s="22">
        <v>1209.0</v>
      </c>
      <c r="D57" s="22">
        <v>2336.0</v>
      </c>
      <c r="E57" s="23"/>
      <c r="F57" s="22">
        <f t="shared" si="2"/>
        <v>3545</v>
      </c>
      <c r="G57" s="24">
        <f t="shared" si="3"/>
        <v>0.3410437236</v>
      </c>
      <c r="H57" s="24">
        <f t="shared" si="4"/>
        <v>0.6589562764</v>
      </c>
      <c r="I57" s="21" t="s">
        <v>159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21" t="s">
        <v>91</v>
      </c>
      <c r="B58" s="21" t="s">
        <v>115</v>
      </c>
      <c r="C58" s="22">
        <v>1148.0</v>
      </c>
      <c r="D58" s="22">
        <v>1895.0</v>
      </c>
      <c r="E58" s="23"/>
      <c r="F58" s="22">
        <f t="shared" si="2"/>
        <v>3043</v>
      </c>
      <c r="G58" s="24">
        <f t="shared" si="3"/>
        <v>0.3772592836</v>
      </c>
      <c r="H58" s="24">
        <f t="shared" si="4"/>
        <v>0.6227407164</v>
      </c>
      <c r="I58" s="21" t="s">
        <v>159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21" t="s">
        <v>91</v>
      </c>
      <c r="B59" s="21" t="s">
        <v>116</v>
      </c>
      <c r="C59" s="22">
        <v>5988.0</v>
      </c>
      <c r="D59" s="22">
        <v>5331.0</v>
      </c>
      <c r="E59" s="23"/>
      <c r="F59" s="22">
        <f t="shared" si="2"/>
        <v>11319</v>
      </c>
      <c r="G59" s="24">
        <f t="shared" si="3"/>
        <v>0.5290219984</v>
      </c>
      <c r="H59" s="24">
        <f t="shared" si="4"/>
        <v>0.4709780016</v>
      </c>
      <c r="I59" s="21" t="s">
        <v>159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25" t="s">
        <v>117</v>
      </c>
      <c r="B60" s="21" t="s">
        <v>118</v>
      </c>
      <c r="C60" s="22">
        <v>1229.0</v>
      </c>
      <c r="D60" s="22">
        <v>2301.0</v>
      </c>
      <c r="E60" s="23"/>
      <c r="F60" s="22">
        <f t="shared" si="2"/>
        <v>3530</v>
      </c>
      <c r="G60" s="24">
        <f t="shared" si="3"/>
        <v>0.3481586402</v>
      </c>
      <c r="H60" s="24">
        <f t="shared" si="4"/>
        <v>0.6518413598</v>
      </c>
      <c r="I60" s="21" t="s">
        <v>159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25" t="s">
        <v>117</v>
      </c>
      <c r="B61" s="21" t="s">
        <v>119</v>
      </c>
      <c r="C61" s="22">
        <v>450.0</v>
      </c>
      <c r="D61" s="22">
        <v>958.0</v>
      </c>
      <c r="E61" s="23"/>
      <c r="F61" s="22">
        <f t="shared" si="2"/>
        <v>1408</v>
      </c>
      <c r="G61" s="24">
        <f t="shared" si="3"/>
        <v>0.3196022727</v>
      </c>
      <c r="H61" s="24">
        <f t="shared" si="4"/>
        <v>0.6803977273</v>
      </c>
      <c r="I61" s="21" t="s">
        <v>159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25" t="s">
        <v>117</v>
      </c>
      <c r="B62" s="21" t="s">
        <v>120</v>
      </c>
      <c r="C62" s="22">
        <v>124.0</v>
      </c>
      <c r="D62" s="22">
        <v>213.0</v>
      </c>
      <c r="E62" s="23"/>
      <c r="F62" s="22">
        <f t="shared" si="2"/>
        <v>337</v>
      </c>
      <c r="G62" s="24">
        <f t="shared" si="3"/>
        <v>0.3679525223</v>
      </c>
      <c r="H62" s="24">
        <f t="shared" si="4"/>
        <v>0.6320474777</v>
      </c>
      <c r="I62" s="21" t="s">
        <v>159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21" t="s">
        <v>121</v>
      </c>
      <c r="B63" s="21" t="s">
        <v>122</v>
      </c>
      <c r="C63" s="22">
        <v>1391.0</v>
      </c>
      <c r="D63" s="22">
        <v>1705.0</v>
      </c>
      <c r="E63" s="23"/>
      <c r="F63" s="22">
        <f t="shared" si="2"/>
        <v>3096</v>
      </c>
      <c r="G63" s="24">
        <f t="shared" si="3"/>
        <v>0.4492894057</v>
      </c>
      <c r="H63" s="24">
        <f t="shared" si="4"/>
        <v>0.5507105943</v>
      </c>
      <c r="I63" s="21" t="s">
        <v>159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21" t="s">
        <v>121</v>
      </c>
      <c r="B64" s="21" t="s">
        <v>123</v>
      </c>
      <c r="C64" s="22">
        <v>783.0</v>
      </c>
      <c r="D64" s="22">
        <v>1050.0</v>
      </c>
      <c r="E64" s="23"/>
      <c r="F64" s="22">
        <f t="shared" si="2"/>
        <v>1833</v>
      </c>
      <c r="G64" s="24">
        <f t="shared" si="3"/>
        <v>0.4271685761</v>
      </c>
      <c r="H64" s="24">
        <f t="shared" si="4"/>
        <v>0.5728314239</v>
      </c>
      <c r="I64" s="21" t="s">
        <v>159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21" t="s">
        <v>121</v>
      </c>
      <c r="B65" s="21" t="s">
        <v>124</v>
      </c>
      <c r="C65" s="22">
        <v>536.0</v>
      </c>
      <c r="D65" s="22">
        <v>596.0</v>
      </c>
      <c r="E65" s="23"/>
      <c r="F65" s="22">
        <f t="shared" si="2"/>
        <v>1132</v>
      </c>
      <c r="G65" s="24">
        <f t="shared" si="3"/>
        <v>0.4734982332</v>
      </c>
      <c r="H65" s="24">
        <f t="shared" si="4"/>
        <v>0.5265017668</v>
      </c>
      <c r="I65" s="21" t="s">
        <v>159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21" t="s">
        <v>121</v>
      </c>
      <c r="B66" s="21" t="s">
        <v>94</v>
      </c>
      <c r="C66" s="22">
        <v>8264.0</v>
      </c>
      <c r="D66" s="22">
        <v>5973.0</v>
      </c>
      <c r="E66" s="23"/>
      <c r="F66" s="22">
        <f t="shared" si="2"/>
        <v>14237</v>
      </c>
      <c r="G66" s="24">
        <f t="shared" si="3"/>
        <v>0.5804593664</v>
      </c>
      <c r="H66" s="24">
        <f t="shared" si="4"/>
        <v>0.4195406336</v>
      </c>
      <c r="I66" s="21" t="s">
        <v>159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21" t="s">
        <v>121</v>
      </c>
      <c r="B67" s="21" t="s">
        <v>125</v>
      </c>
      <c r="C67" s="22">
        <v>8264.0</v>
      </c>
      <c r="D67" s="22">
        <v>5973.0</v>
      </c>
      <c r="E67" s="23"/>
      <c r="F67" s="22">
        <f t="shared" si="2"/>
        <v>14237</v>
      </c>
      <c r="G67" s="24">
        <f t="shared" si="3"/>
        <v>0.5804593664</v>
      </c>
      <c r="H67" s="24">
        <f t="shared" si="4"/>
        <v>0.4195406336</v>
      </c>
      <c r="I67" s="21" t="s">
        <v>159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21" t="s">
        <v>121</v>
      </c>
      <c r="B68" s="21" t="s">
        <v>126</v>
      </c>
      <c r="C68" s="22">
        <v>2213.0</v>
      </c>
      <c r="D68" s="22">
        <v>3072.0</v>
      </c>
      <c r="E68" s="23"/>
      <c r="F68" s="22">
        <f t="shared" si="2"/>
        <v>5285</v>
      </c>
      <c r="G68" s="24">
        <f t="shared" si="3"/>
        <v>0.4187322611</v>
      </c>
      <c r="H68" s="24">
        <f t="shared" si="4"/>
        <v>0.5812677389</v>
      </c>
      <c r="I68" s="21" t="s">
        <v>159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21" t="s">
        <v>121</v>
      </c>
      <c r="B69" s="21" t="s">
        <v>127</v>
      </c>
      <c r="C69" s="22">
        <v>37.0</v>
      </c>
      <c r="D69" s="22">
        <v>69.0</v>
      </c>
      <c r="E69" s="23"/>
      <c r="F69" s="22">
        <f t="shared" si="2"/>
        <v>106</v>
      </c>
      <c r="G69" s="24">
        <f t="shared" si="3"/>
        <v>0.3490566038</v>
      </c>
      <c r="H69" s="24">
        <f t="shared" si="4"/>
        <v>0.6509433962</v>
      </c>
      <c r="I69" s="21" t="s">
        <v>159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21" t="s">
        <v>121</v>
      </c>
      <c r="B70" s="21" t="s">
        <v>128</v>
      </c>
      <c r="C70" s="22">
        <v>1363.0</v>
      </c>
      <c r="D70" s="22">
        <v>1680.0</v>
      </c>
      <c r="E70" s="23"/>
      <c r="F70" s="22">
        <f t="shared" si="2"/>
        <v>3043</v>
      </c>
      <c r="G70" s="24">
        <f t="shared" si="3"/>
        <v>0.4479132435</v>
      </c>
      <c r="H70" s="24">
        <f t="shared" si="4"/>
        <v>0.5520867565</v>
      </c>
      <c r="I70" s="21" t="s">
        <v>159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21" t="s">
        <v>121</v>
      </c>
      <c r="B71" s="21" t="s">
        <v>129</v>
      </c>
      <c r="C71" s="22">
        <v>153.0</v>
      </c>
      <c r="D71" s="22">
        <v>216.0</v>
      </c>
      <c r="E71" s="23"/>
      <c r="F71" s="22">
        <f t="shared" si="2"/>
        <v>369</v>
      </c>
      <c r="G71" s="24">
        <f t="shared" si="3"/>
        <v>0.4146341463</v>
      </c>
      <c r="H71" s="24">
        <f t="shared" si="4"/>
        <v>0.5853658537</v>
      </c>
      <c r="I71" s="21" t="s">
        <v>159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21" t="s">
        <v>121</v>
      </c>
      <c r="B72" s="21" t="s">
        <v>130</v>
      </c>
      <c r="C72" s="22">
        <v>5267.0</v>
      </c>
      <c r="D72" s="22">
        <v>2277.0</v>
      </c>
      <c r="E72" s="23"/>
      <c r="F72" s="22">
        <f t="shared" si="2"/>
        <v>7544</v>
      </c>
      <c r="G72" s="24">
        <f t="shared" si="3"/>
        <v>0.6981707317</v>
      </c>
      <c r="H72" s="24">
        <f t="shared" si="4"/>
        <v>0.3018292683</v>
      </c>
      <c r="I72" s="21" t="s">
        <v>159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21" t="s">
        <v>121</v>
      </c>
      <c r="B73" s="21" t="s">
        <v>131</v>
      </c>
      <c r="C73" s="22">
        <v>5028.0</v>
      </c>
      <c r="D73" s="22">
        <v>4270.0</v>
      </c>
      <c r="E73" s="23"/>
      <c r="F73" s="22">
        <f t="shared" si="2"/>
        <v>9298</v>
      </c>
      <c r="G73" s="24">
        <f t="shared" si="3"/>
        <v>0.5407614541</v>
      </c>
      <c r="H73" s="24">
        <f t="shared" si="4"/>
        <v>0.4592385459</v>
      </c>
      <c r="I73" s="21" t="s">
        <v>159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21" t="s">
        <v>121</v>
      </c>
      <c r="B74" s="21" t="s">
        <v>132</v>
      </c>
      <c r="C74" s="22">
        <v>524.0</v>
      </c>
      <c r="D74" s="22">
        <v>346.0</v>
      </c>
      <c r="E74" s="23"/>
      <c r="F74" s="22">
        <f t="shared" si="2"/>
        <v>870</v>
      </c>
      <c r="G74" s="24">
        <f t="shared" si="3"/>
        <v>0.6022988506</v>
      </c>
      <c r="H74" s="24">
        <f t="shared" si="4"/>
        <v>0.3977011494</v>
      </c>
      <c r="I74" s="21" t="s">
        <v>159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21" t="s">
        <v>121</v>
      </c>
      <c r="B75" s="21" t="s">
        <v>133</v>
      </c>
      <c r="C75" s="22">
        <v>90.0</v>
      </c>
      <c r="D75" s="22">
        <v>81.0</v>
      </c>
      <c r="E75" s="23"/>
      <c r="F75" s="22">
        <f t="shared" si="2"/>
        <v>171</v>
      </c>
      <c r="G75" s="24">
        <f t="shared" si="3"/>
        <v>0.5263157895</v>
      </c>
      <c r="H75" s="24">
        <f t="shared" si="4"/>
        <v>0.4736842105</v>
      </c>
      <c r="I75" s="21" t="s">
        <v>159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21" t="s">
        <v>121</v>
      </c>
      <c r="B76" s="21" t="s">
        <v>100</v>
      </c>
      <c r="C76" s="22">
        <v>4172.0</v>
      </c>
      <c r="D76" s="22">
        <v>3049.0</v>
      </c>
      <c r="E76" s="23"/>
      <c r="F76" s="22">
        <f t="shared" si="2"/>
        <v>7221</v>
      </c>
      <c r="G76" s="24">
        <f t="shared" si="3"/>
        <v>0.5777593131</v>
      </c>
      <c r="H76" s="24">
        <f t="shared" si="4"/>
        <v>0.4222406869</v>
      </c>
      <c r="I76" s="21" t="s">
        <v>159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21" t="s">
        <v>121</v>
      </c>
      <c r="B77" s="21" t="s">
        <v>134</v>
      </c>
      <c r="C77" s="22">
        <v>1533.0</v>
      </c>
      <c r="D77" s="22">
        <v>1401.0</v>
      </c>
      <c r="E77" s="23"/>
      <c r="F77" s="22">
        <f t="shared" si="2"/>
        <v>2934</v>
      </c>
      <c r="G77" s="24">
        <f t="shared" si="3"/>
        <v>0.5224948875</v>
      </c>
      <c r="H77" s="24">
        <f t="shared" si="4"/>
        <v>0.4775051125</v>
      </c>
      <c r="I77" s="21" t="s">
        <v>159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21" t="s">
        <v>121</v>
      </c>
      <c r="B78" s="21" t="s">
        <v>135</v>
      </c>
      <c r="C78" s="22">
        <v>2113.0</v>
      </c>
      <c r="D78" s="22">
        <v>3848.0</v>
      </c>
      <c r="E78" s="23"/>
      <c r="F78" s="22">
        <f t="shared" si="2"/>
        <v>5961</v>
      </c>
      <c r="G78" s="24">
        <f t="shared" si="3"/>
        <v>0.3544707264</v>
      </c>
      <c r="H78" s="24">
        <f t="shared" si="4"/>
        <v>0.6455292736</v>
      </c>
      <c r="I78" s="21" t="s">
        <v>159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1" t="s">
        <v>121</v>
      </c>
      <c r="B79" s="21" t="s">
        <v>136</v>
      </c>
      <c r="C79" s="22">
        <v>591.0</v>
      </c>
      <c r="D79" s="22">
        <v>1057.0</v>
      </c>
      <c r="E79" s="23"/>
      <c r="F79" s="22">
        <f t="shared" si="2"/>
        <v>1648</v>
      </c>
      <c r="G79" s="24">
        <f t="shared" si="3"/>
        <v>0.3586165049</v>
      </c>
      <c r="H79" s="24">
        <f t="shared" si="4"/>
        <v>0.6413834951</v>
      </c>
      <c r="I79" s="21" t="s">
        <v>159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1" t="s">
        <v>121</v>
      </c>
      <c r="B80" s="21" t="s">
        <v>137</v>
      </c>
      <c r="C80" s="22">
        <v>2125.0</v>
      </c>
      <c r="D80" s="22">
        <v>2303.0</v>
      </c>
      <c r="E80" s="23"/>
      <c r="F80" s="22">
        <f t="shared" si="2"/>
        <v>4428</v>
      </c>
      <c r="G80" s="24">
        <f t="shared" si="3"/>
        <v>0.4799006323</v>
      </c>
      <c r="H80" s="24">
        <f t="shared" si="4"/>
        <v>0.5200993677</v>
      </c>
      <c r="I80" s="21" t="s">
        <v>159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21" t="s">
        <v>121</v>
      </c>
      <c r="B81" s="21" t="s">
        <v>138</v>
      </c>
      <c r="C81" s="22">
        <v>3385.0</v>
      </c>
      <c r="D81" s="22">
        <v>3305.0</v>
      </c>
      <c r="E81" s="23"/>
      <c r="F81" s="22">
        <f t="shared" si="2"/>
        <v>6690</v>
      </c>
      <c r="G81" s="24">
        <f t="shared" si="3"/>
        <v>0.5059790732</v>
      </c>
      <c r="H81" s="24">
        <f t="shared" si="4"/>
        <v>0.4940209268</v>
      </c>
      <c r="I81" s="21" t="s">
        <v>159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21" t="s">
        <v>121</v>
      </c>
      <c r="B82" s="21" t="s">
        <v>139</v>
      </c>
      <c r="C82" s="22">
        <v>1959.0</v>
      </c>
      <c r="D82" s="22">
        <v>3629.0</v>
      </c>
      <c r="E82" s="23"/>
      <c r="F82" s="22">
        <f t="shared" si="2"/>
        <v>5588</v>
      </c>
      <c r="G82" s="24">
        <f t="shared" si="3"/>
        <v>0.3505726557</v>
      </c>
      <c r="H82" s="24">
        <f t="shared" si="4"/>
        <v>0.6494273443</v>
      </c>
      <c r="I82" s="21" t="s">
        <v>159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21" t="s">
        <v>121</v>
      </c>
      <c r="B83" s="21" t="s">
        <v>140</v>
      </c>
      <c r="C83" s="22">
        <v>1395.0</v>
      </c>
      <c r="D83" s="22">
        <v>1399.0</v>
      </c>
      <c r="E83" s="23"/>
      <c r="F83" s="22">
        <f t="shared" si="2"/>
        <v>2794</v>
      </c>
      <c r="G83" s="24">
        <f t="shared" si="3"/>
        <v>0.4992841804</v>
      </c>
      <c r="H83" s="24">
        <f t="shared" si="4"/>
        <v>0.5007158196</v>
      </c>
      <c r="I83" s="21" t="s">
        <v>159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1" t="s">
        <v>121</v>
      </c>
      <c r="B84" s="21" t="s">
        <v>141</v>
      </c>
      <c r="C84" s="22">
        <v>751.0</v>
      </c>
      <c r="D84" s="22">
        <v>748.0</v>
      </c>
      <c r="E84" s="23"/>
      <c r="F84" s="22">
        <f t="shared" si="2"/>
        <v>1499</v>
      </c>
      <c r="G84" s="24">
        <f t="shared" si="3"/>
        <v>0.5010006671</v>
      </c>
      <c r="H84" s="24">
        <f t="shared" si="4"/>
        <v>0.4989993329</v>
      </c>
      <c r="I84" s="21" t="s">
        <v>159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21" t="s">
        <v>121</v>
      </c>
      <c r="B85" s="21" t="s">
        <v>142</v>
      </c>
      <c r="C85" s="22">
        <v>2183.0</v>
      </c>
      <c r="D85" s="22">
        <v>2387.0</v>
      </c>
      <c r="E85" s="23"/>
      <c r="F85" s="22">
        <f t="shared" si="2"/>
        <v>4570</v>
      </c>
      <c r="G85" s="24">
        <f t="shared" si="3"/>
        <v>0.4776805252</v>
      </c>
      <c r="H85" s="24">
        <f t="shared" si="4"/>
        <v>0.5223194748</v>
      </c>
      <c r="I85" s="21" t="s">
        <v>159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21" t="s">
        <v>121</v>
      </c>
      <c r="B86" s="21" t="s">
        <v>143</v>
      </c>
      <c r="C86" s="22">
        <v>6279.0</v>
      </c>
      <c r="D86" s="22">
        <v>5448.0</v>
      </c>
      <c r="E86" s="23"/>
      <c r="F86" s="22">
        <f t="shared" si="2"/>
        <v>11727</v>
      </c>
      <c r="G86" s="24">
        <f t="shared" si="3"/>
        <v>0.5354310565</v>
      </c>
      <c r="H86" s="24">
        <f t="shared" si="4"/>
        <v>0.4645689435</v>
      </c>
      <c r="I86" s="21" t="s">
        <v>159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21" t="s">
        <v>121</v>
      </c>
      <c r="B87" s="21" t="s">
        <v>144</v>
      </c>
      <c r="C87" s="22">
        <v>551.0</v>
      </c>
      <c r="D87" s="22">
        <v>858.0</v>
      </c>
      <c r="E87" s="23"/>
      <c r="F87" s="22">
        <f t="shared" si="2"/>
        <v>1409</v>
      </c>
      <c r="G87" s="24">
        <f t="shared" si="3"/>
        <v>0.3910574876</v>
      </c>
      <c r="H87" s="24">
        <f t="shared" si="4"/>
        <v>0.6089425124</v>
      </c>
      <c r="I87" s="21" t="s">
        <v>159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21" t="s">
        <v>121</v>
      </c>
      <c r="B88" s="21" t="s">
        <v>145</v>
      </c>
      <c r="C88" s="22">
        <v>1305.0</v>
      </c>
      <c r="D88" s="22">
        <v>2296.0</v>
      </c>
      <c r="E88" s="23"/>
      <c r="F88" s="22">
        <f t="shared" si="2"/>
        <v>3601</v>
      </c>
      <c r="G88" s="24">
        <f t="shared" si="3"/>
        <v>0.3623993335</v>
      </c>
      <c r="H88" s="24">
        <f t="shared" si="4"/>
        <v>0.6376006665</v>
      </c>
      <c r="I88" s="21" t="s">
        <v>159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21" t="s">
        <v>121</v>
      </c>
      <c r="B89" s="21" t="s">
        <v>146</v>
      </c>
      <c r="C89" s="22">
        <v>81.0</v>
      </c>
      <c r="D89" s="22">
        <v>141.0</v>
      </c>
      <c r="E89" s="23"/>
      <c r="F89" s="22">
        <f t="shared" si="2"/>
        <v>222</v>
      </c>
      <c r="G89" s="24">
        <f t="shared" si="3"/>
        <v>0.3648648649</v>
      </c>
      <c r="H89" s="24">
        <f t="shared" si="4"/>
        <v>0.6351351351</v>
      </c>
      <c r="I89" s="21" t="s">
        <v>159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21" t="s">
        <v>121</v>
      </c>
      <c r="B90" s="21" t="s">
        <v>147</v>
      </c>
      <c r="C90" s="22">
        <v>304.0</v>
      </c>
      <c r="D90" s="22">
        <v>470.0</v>
      </c>
      <c r="E90" s="23"/>
      <c r="F90" s="22">
        <f t="shared" si="2"/>
        <v>774</v>
      </c>
      <c r="G90" s="24">
        <f t="shared" si="3"/>
        <v>0.3927648579</v>
      </c>
      <c r="H90" s="24">
        <f t="shared" si="4"/>
        <v>0.6072351421</v>
      </c>
      <c r="I90" s="21" t="s">
        <v>159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21" t="s">
        <v>121</v>
      </c>
      <c r="B91" s="21" t="s">
        <v>148</v>
      </c>
      <c r="C91" s="22">
        <v>198.0</v>
      </c>
      <c r="D91" s="22">
        <v>262.0</v>
      </c>
      <c r="E91" s="23"/>
      <c r="F91" s="22">
        <f t="shared" si="2"/>
        <v>460</v>
      </c>
      <c r="G91" s="24">
        <f t="shared" si="3"/>
        <v>0.4304347826</v>
      </c>
      <c r="H91" s="24">
        <f t="shared" si="4"/>
        <v>0.5695652174</v>
      </c>
      <c r="I91" s="21" t="s">
        <v>159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21" t="s">
        <v>121</v>
      </c>
      <c r="B92" s="21" t="s">
        <v>149</v>
      </c>
      <c r="C92" s="22">
        <v>304.0</v>
      </c>
      <c r="D92" s="22">
        <v>373.0</v>
      </c>
      <c r="E92" s="23"/>
      <c r="F92" s="22">
        <f t="shared" si="2"/>
        <v>677</v>
      </c>
      <c r="G92" s="24">
        <f t="shared" si="3"/>
        <v>0.4490398818</v>
      </c>
      <c r="H92" s="24">
        <f t="shared" si="4"/>
        <v>0.5509601182</v>
      </c>
      <c r="I92" s="21" t="s">
        <v>159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21" t="s">
        <v>121</v>
      </c>
      <c r="B93" s="21" t="s">
        <v>150</v>
      </c>
      <c r="C93" s="22">
        <v>1201.0</v>
      </c>
      <c r="D93" s="22">
        <v>2373.0</v>
      </c>
      <c r="E93" s="23"/>
      <c r="F93" s="22">
        <f t="shared" si="2"/>
        <v>3574</v>
      </c>
      <c r="G93" s="24">
        <f t="shared" si="3"/>
        <v>0.3360380526</v>
      </c>
      <c r="H93" s="24">
        <f t="shared" si="4"/>
        <v>0.6639619474</v>
      </c>
      <c r="I93" s="21" t="s">
        <v>159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21" t="s">
        <v>121</v>
      </c>
      <c r="B94" s="21" t="s">
        <v>151</v>
      </c>
      <c r="C94" s="22">
        <v>1903.0</v>
      </c>
      <c r="D94" s="22">
        <v>1900.0</v>
      </c>
      <c r="E94" s="23"/>
      <c r="F94" s="22">
        <f t="shared" si="2"/>
        <v>3803</v>
      </c>
      <c r="G94" s="24">
        <f t="shared" si="3"/>
        <v>0.5003944255</v>
      </c>
      <c r="H94" s="24">
        <f t="shared" si="4"/>
        <v>0.4996055745</v>
      </c>
      <c r="I94" s="21" t="s">
        <v>159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21" t="s">
        <v>121</v>
      </c>
      <c r="B95" s="21" t="s">
        <v>152</v>
      </c>
      <c r="C95" s="22">
        <v>342.0</v>
      </c>
      <c r="D95" s="22">
        <v>512.0</v>
      </c>
      <c r="E95" s="23"/>
      <c r="F95" s="22">
        <f t="shared" si="2"/>
        <v>854</v>
      </c>
      <c r="G95" s="24">
        <f t="shared" si="3"/>
        <v>0.4004683841</v>
      </c>
      <c r="H95" s="24">
        <f t="shared" si="4"/>
        <v>0.5995316159</v>
      </c>
      <c r="I95" s="21" t="s">
        <v>159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21" t="s">
        <v>121</v>
      </c>
      <c r="B96" s="21" t="s">
        <v>153</v>
      </c>
      <c r="C96" s="22">
        <v>1038.0</v>
      </c>
      <c r="D96" s="22">
        <v>1846.0</v>
      </c>
      <c r="E96" s="23"/>
      <c r="F96" s="22">
        <f t="shared" si="2"/>
        <v>2884</v>
      </c>
      <c r="G96" s="24">
        <f t="shared" si="3"/>
        <v>0.3599167822</v>
      </c>
      <c r="H96" s="24">
        <f t="shared" si="4"/>
        <v>0.6400832178</v>
      </c>
      <c r="I96" s="21" t="s">
        <v>159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21" t="s">
        <v>121</v>
      </c>
      <c r="B97" s="21" t="s">
        <v>154</v>
      </c>
      <c r="C97" s="22">
        <v>225.0</v>
      </c>
      <c r="D97" s="22">
        <v>248.0</v>
      </c>
      <c r="E97" s="23"/>
      <c r="F97" s="22">
        <f t="shared" si="2"/>
        <v>473</v>
      </c>
      <c r="G97" s="24">
        <f t="shared" si="3"/>
        <v>0.4756871036</v>
      </c>
      <c r="H97" s="24">
        <f t="shared" si="4"/>
        <v>0.5243128964</v>
      </c>
      <c r="I97" s="21" t="s">
        <v>159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21" t="s">
        <v>121</v>
      </c>
      <c r="B98" s="21" t="s">
        <v>155</v>
      </c>
      <c r="C98" s="22">
        <v>1748.0</v>
      </c>
      <c r="D98" s="22">
        <v>2054.0</v>
      </c>
      <c r="E98" s="23"/>
      <c r="F98" s="22">
        <f t="shared" si="2"/>
        <v>3802</v>
      </c>
      <c r="G98" s="24">
        <f t="shared" si="3"/>
        <v>0.4597580221</v>
      </c>
      <c r="H98" s="24">
        <f t="shared" si="4"/>
        <v>0.5402419779</v>
      </c>
      <c r="I98" s="21" t="s">
        <v>159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21" t="s">
        <v>121</v>
      </c>
      <c r="B99" s="21" t="s">
        <v>156</v>
      </c>
      <c r="C99" s="22">
        <v>1422.0</v>
      </c>
      <c r="D99" s="22">
        <v>1107.0</v>
      </c>
      <c r="E99" s="23"/>
      <c r="F99" s="22">
        <f t="shared" si="2"/>
        <v>2529</v>
      </c>
      <c r="G99" s="24">
        <f t="shared" si="3"/>
        <v>0.5622775801</v>
      </c>
      <c r="H99" s="24">
        <f t="shared" si="4"/>
        <v>0.4377224199</v>
      </c>
      <c r="I99" s="21" t="s">
        <v>159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21" t="s">
        <v>121</v>
      </c>
      <c r="B100" s="21" t="s">
        <v>157</v>
      </c>
      <c r="C100" s="22">
        <v>614.0</v>
      </c>
      <c r="D100" s="22">
        <v>777.0</v>
      </c>
      <c r="E100" s="23"/>
      <c r="F100" s="22">
        <f t="shared" si="2"/>
        <v>1391</v>
      </c>
      <c r="G100" s="24">
        <f t="shared" si="3"/>
        <v>0.4414090582</v>
      </c>
      <c r="H100" s="24">
        <f t="shared" si="4"/>
        <v>0.5585909418</v>
      </c>
      <c r="I100" s="21" t="s">
        <v>159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I1"/>
    <mergeCell ref="A3:I3"/>
    <mergeCell ref="A6:I6"/>
    <mergeCell ref="A9:I9"/>
    <mergeCell ref="A10:I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2026-09-15T11:15:51Z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