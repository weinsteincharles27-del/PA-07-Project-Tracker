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House Vote Data (Actual)" sheetId="2" state="visible" r:id="rId4"/>
    <sheet name="Carbon County Estimates" sheetId="3" state="visible" r:id="rId5"/>
    <sheet name="Geography Validation" sheetId="4" state="visible" r:id="rId6"/>
    <sheet name="Combined District Data" sheetId="5" state="visible" r:id="rId7"/>
    <sheet name="Predictability Ranking" sheetId="6" state="visible" r:id="rId8"/>
    <sheet name="Magic Municipality" sheetId="7" state="visible" r:id="rId9"/>
    <sheet name="Beta Coefficients" sheetId="8" state="visible" r:id="rId10"/>
    <sheet name="Carbon 2026 Registration" sheetId="9" state="visible" r:id="rId11"/>
    <sheet name="Kiley - 2026 Vote Forecast" sheetId="10" state="visible" r:id="rId12"/>
    <sheet name="2024 Backtest" sheetId="11" state="visible" r:id="rId13"/>
    <sheet name="Governor-House Correlation" sheetId="12" state="visible" r:id="rId14"/>
    <sheet name="Methodology" sheetId="13" state="visible" r:id="rId15"/>
    <sheet name="Representative 30 Munis" sheetId="14" state="visible" r:id="rId16"/>
    <sheet name="Regression Analysis" sheetId="15" state="visible" r:id="rId17"/>
    <sheet name="Model Comparison" sheetId="16" state="visible" r:id="rId18"/>
    <sheet name="Model Inputs (Reg + ACS)" sheetId="17" state="visible" r:id="rId19"/>
    <sheet name="2026 Regression Forecast" sheetId="18" state="visible" r:id="rId20"/>
    <sheet name="2026 Beta-Adjusted Forecast" sheetId="19" state="visible" r:id="rId21"/>
  </sheets>
  <definedNames>
    <definedName function="false" hidden="true" localSheetId="17" name="_xlnm._FilterDatabase" vbProcedure="false">'2026 Regression Forecast'!$A$4:$H$90</definedName>
    <definedName function="false" hidden="true" localSheetId="9" name="_xlnm._FilterDatabase" vbProcedure="false">'Kiley - 2026 Vote Forecast'!$A$4:$H$90</definedName>
    <definedName function="false" hidden="true" localSheetId="5" name="_xlnm._FilterDatabase" vbProcedure="false">'Predictability Ranking'!$A$3:$H$89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<sst xmlns="http://schemas.openxmlformats.org/spreadsheetml/2006/main" count="4175" uniqueCount="340">
  <si>
    <t xml:space="preserve">PA-07 Forecast Workbook v2 — Rebuilt on Complete Voter File Data</t>
  </si>
  <si>
    <t xml:space="preserve">Companion file: PA07_Data.xlsx holds the raw source tables (House Vote Data, Carbon Estimates, Combined District Data, Model Inputs, Carbon 2026 Registration) on their own for easy review. This workbook keeps its own copies of those same sheets so every formula here still works standalone -- edit data in one place only if you want the two to stay in sync.</t>
  </si>
  <si>
    <t xml:space="preserve">Sheet</t>
  </si>
  <si>
    <t xml:space="preserve">What it does</t>
  </si>
  <si>
    <t xml:space="preserve">What it tells us</t>
  </si>
  <si>
    <t xml:space="preserve">House Vote Data (Actual)</t>
  </si>
  <si>
    <t xml:space="preserve">Real House + Governor vote counts for the 63 Lehigh+Northampton municipalities, 2018-2024 (4 cycles, no invalid 2016).</t>
  </si>
  <si>
    <t xml:space="preserve">The verified core of the dataset.</t>
  </si>
  <si>
    <t xml:space="preserve">Carbon County Estimates</t>
  </si>
  <si>
    <t xml:space="preserve">Estimated House vote counts for Carbon's 23 municipalities, derived from registration lean calibrated against Lehigh+Northampton's actual registration-to-vote relationship.</t>
  </si>
  <si>
    <t xml:space="preserve">Fills in the single biggest geography gap from the prior workbook, with a documented, validated method.</t>
  </si>
  <si>
    <t xml:space="preserve">Carbon 2026 Registration</t>
  </si>
  <si>
    <t xml:space="preserve">Raw Aug-2026 registration snapshot and historical ballot counts for Carbon, used to build the 2026 forecast.</t>
  </si>
  <si>
    <t xml:space="preserve">Supporting data for the forecast sheet.</t>
  </si>
  <si>
    <t xml:space="preserve">Combined District Data</t>
  </si>
  <si>
    <t xml:space="preserve">Merges actual (63 towns) + estimated (23 Carbon towns) into one 86-municipality table, flagged by source.</t>
  </si>
  <si>
    <t xml:space="preserve">The single source every downstream analysis sheet reads from.</t>
  </si>
  <si>
    <t xml:space="preserve">Geography Validation</t>
  </si>
  <si>
    <t xml:space="preserve">Compares the combined actual+estimated district total to the true PA-07 totals (from the prior external reference) for every year.</t>
  </si>
  <si>
    <t xml:space="preserve">CRITICAL: shows the Carbon estimate closes the gap from 20,000-42,000 missing votes/year down to just a few thousand (Monroe's residual).</t>
  </si>
  <si>
    <t xml:space="preserve">Predictability Ranking</t>
  </si>
  <si>
    <t xml:space="preserve">Classifies all 86 municipalities Easy/Medium/Hard to predict.</t>
  </si>
  <si>
    <t xml:space="preserve">Where more data/effort would change the forecast, now across the full reportable district.</t>
  </si>
  <si>
    <t xml:space="preserve">Kiley - 2026 Vote Forecast</t>
  </si>
  <si>
    <t xml:space="preserve">Trend-based forecast for Lehigh+Northampton + calibration-based forecast for Carbon, summed to a district total.</t>
  </si>
  <si>
    <t xml:space="preserve">MAJOR UPDATE: district flips to 49.4% Dem / Republican win, vs. the old 54.7% Dem estimate -- Carbon's inclusion changes the outcome.</t>
  </si>
  <si>
    <t xml:space="preserve">Magic Municipality</t>
  </si>
  <si>
    <t xml:space="preserve">Bellwether search across all 86 municipalities.</t>
  </si>
  <si>
    <t xml:space="preserve">Coplay is now the closest-tracking bellwether (updated from Catasauqua in the prior version).</t>
  </si>
  <si>
    <t xml:space="preserve">Beta Coefficients</t>
  </si>
  <si>
    <t xml:space="preserve">Each municipality's beta and R-squared against the self-computed combined-district index.</t>
  </si>
  <si>
    <t xml:space="preserve">No longer needs an external 'true' reference -- the district index is now built from data this workbook owns.</t>
  </si>
  <si>
    <t xml:space="preserve">Governor-House Correlation</t>
  </si>
  <si>
    <t xml:space="preserve">Correlates Governor vs. House Dem Share, Lehigh+Northampton, 2018 and 2022.</t>
  </si>
  <si>
    <t xml:space="preserve">r = 0.99 -- consistent with the prior finding; still no ticket-splitting to speak of.</t>
  </si>
  <si>
    <t xml:space="preserve">2024 Backtest</t>
  </si>
  <si>
    <t xml:space="preserve">Reruns the trend method on 2018-2022 only, checks against real 2024, compares to a naive 'assume 2022 repeats' baseline.</t>
  </si>
  <si>
    <t xml:space="preserve">UPDATED FINDING: with 2016 no longer contaminating the trend, the trend model now performs about even with the naive baseline (2.17 vs 2.25 pts MAE), not clearly worse as before.</t>
  </si>
  <si>
    <t xml:space="preserve">Methodology</t>
  </si>
  <si>
    <t xml:space="preserve">Documents every method, data limitation, and the one remaining gap (Monroe's 3 townships).</t>
  </si>
  <si>
    <t xml:space="preserve">Lets someone unfamiliar with the rebuild understand what changed and why.</t>
  </si>
  <si>
    <t xml:space="preserve">Representative 30 Munis</t>
  </si>
  <si>
    <t xml:space="preserve">Selects 30 municipalities whose registrant-weighted profile (Dem Share, registration lean, turnout) matches the full 86-municipality district.</t>
  </si>
  <si>
    <t xml:space="preserve">A smaller, cheaper-to-poll set that still tracks the whole district closely -- rebuilt using registration data since income/education data isn't in this source.</t>
  </si>
  <si>
    <t xml:space="preserve">Regression Analysis</t>
  </si>
  <si>
    <t xml:space="preserve">Documents a proposed deeper regression model using variables this data source actually has: registration lean, turnout, mail share, presidential-year dummy, lagged Dem Share.</t>
  </si>
  <si>
    <t xml:space="preserve">A roadmap for the next stage of modeling, updated for what changed about the underlying data.</t>
  </si>
  <si>
    <t xml:space="preserve">Model Inputs (Reg + ACS)</t>
  </si>
  <si>
    <t xml:space="preserve">Raw registration lean and 2024 ACS % bachelor's degree data per municipality, used by the regression forecast.</t>
  </si>
  <si>
    <t xml:space="preserve">Supporting data -- not an analysis sheet on its own.</t>
  </si>
  <si>
    <t xml:space="preserve">2026 Regression Forecast</t>
  </si>
  <si>
    <t xml:space="preserve">Applies the backtested multi-variable regression (R²=0.97, MAE 1.13 on 2024 holdout) to generate a live 2026 prediction per municipality.</t>
  </si>
  <si>
    <t xml:space="preserve">The best-validated forecast built so far: 51.2% Dem, Democrat win -- disagrees with the other two methods.</t>
  </si>
  <si>
    <t xml:space="preserve">2026 Beta-Adjusted Forecast</t>
  </si>
  <si>
    <t xml:space="preserve">Applies each municipality's beta to the district-wide trend shift to generate a live 2026 prediction per municipality.</t>
  </si>
  <si>
    <t xml:space="preserve">48.8% Dem, Republican win.</t>
  </si>
  <si>
    <t xml:space="preserve">Model Comparison</t>
  </si>
  <si>
    <t xml:space="preserve">All three 2026 forecasts (trend, beta-adjusted, regression) side by side with their backtested accuracy.</t>
  </si>
  <si>
    <t xml:space="preserve">The real takeaway: methods span a 2.4-point range and split 2-1 on the winner -- this is a genuine toss-up, not a confident call.</t>
  </si>
  <si>
    <t xml:space="preserve">Year</t>
  </si>
  <si>
    <t xml:space="preserve">Municipality</t>
  </si>
  <si>
    <t xml:space="preserve">County</t>
  </si>
  <si>
    <t xml:space="preserve">Dem Votes</t>
  </si>
  <si>
    <t xml:space="preserve">Rep Votes</t>
  </si>
  <si>
    <t xml:space="preserve">Other Votes</t>
  </si>
  <si>
    <t xml:space="preserve">Total Votes</t>
  </si>
  <si>
    <t xml:space="preserve">Dem Share %</t>
  </si>
  <si>
    <t xml:space="preserve">Governor Dem Votes</t>
  </si>
  <si>
    <t xml:space="preserve">Governor Rep Votes</t>
  </si>
  <si>
    <t xml:space="preserve">Governor Total Votes</t>
  </si>
  <si>
    <t xml:space="preserve">Governor Dem Share</t>
  </si>
  <si>
    <t xml:space="preserve">Presidential Year (dummy)</t>
  </si>
  <si>
    <t xml:space="preserve">Alburtis</t>
  </si>
  <si>
    <t xml:space="preserve">Lehigh</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</si>
  <si>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</si>
  <si>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</si>
  <si>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</si>
  <si>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</si>
  <si>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</si>
  <si>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</si>
  <si>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</si>
  <si>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</si>
  <si>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</si>
  <si>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</si>
  <si>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</si>
  <si>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</si>
  <si>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</si>
  <si>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</si>
  <si>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</si>
  <si>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</si>
  <si>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</si>
  <si>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</si>
  <si>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</si>
  <si>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</si>
  <si>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</si>
  <si>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</si>
  <si>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</si>
  <si>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</si>
  <si>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Allen</t>
  </si>
  <si>
    <t xml:space="preserve">Northampton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</si>
  <si>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</si>
  <si>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</si>
  <si>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</si>
  <si>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</si>
  <si>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</si>
  <si>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</si>
  <si>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</si>
  <si>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</si>
  <si>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</si>
  <si>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</si>
  <si>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</si>
  <si>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</si>
  <si>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Lower Mount Bethel</t>
  </si>
  <si>
    <t xml:space="preserve">Nazareth</t>
  </si>
  <si>
    <t xml:space="preserve">Lower Saucon</t>
  </si>
  <si>
    <t xml:space="preserve">Moore</t>
  </si>
  <si>
    <t xml:space="preserve">Lower Nazareth</t>
  </si>
  <si>
    <t xml:space="preserve">North Catasauqua</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</si>
  <si>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</si>
  <si>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</si>
  <si>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</si>
  <si>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</si>
  <si>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</si>
  <si>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</si>
  <si>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</si>
  <si>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</si>
  <si>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Nazereth</t>
  </si>
  <si>
    <t xml:space="preserve">Walnutport</t>
  </si>
  <si>
    <t xml:space="preserve">West Easton</t>
  </si>
  <si>
    <t xml:space="preserve">Williams Township</t>
  </si>
  <si>
    <t xml:space="preserve">Wilson</t>
  </si>
  <si>
    <t xml:space="preserve">Wind Gap</t>
  </si>
  <si>
    <t xml:space="preserve">Carbon County has no directly reported House vote counts in the source file. These figures are ESTIMATED from each municipality's voter-registration lean (Reg D minus Reg R), calibrated against the actual registration-to-vote relationship observed in Lehigh+Northampton municipalities each year (see Geography Validation sheet for the calibration and its accuracy).</t>
  </si>
  <si>
    <t xml:space="preserve">Reg D-R (registration lean)</t>
  </si>
  <si>
    <t xml:space="preserve">Estimated Dem Votes</t>
  </si>
  <si>
    <t xml:space="preserve">Estimated Rep Votes</t>
  </si>
  <si>
    <t xml:space="preserve">Estimated Total Votes</t>
  </si>
  <si>
    <t xml:space="preserve">Estimated Dem Share %</t>
  </si>
  <si>
    <t xml:space="preserve">Banks Township</t>
  </si>
  <si>
    <t xml:space="preserve">Carbon</t>
  </si>
  <si>
    <t xml:space="preserve">Beaver Meadows Borough</t>
  </si>
  <si>
    <t xml:space="preserve">Bowmanstown Borough</t>
  </si>
  <si>
    <t xml:space="preserve">East Penn Township</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</si>
  <si>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</si>
  <si>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</si>
  <si>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</si>
  <si>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</si>
  <si>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</si>
  <si>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</si>
  <si>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</si>
  <si>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</si>
  <si>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Twp.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</si>
  <si>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</si>
  <si>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</si>
  <si>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</si>
  <si>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</si>
  <si>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</si>
  <si>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</si>
  <si>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Summit Hill Borough</t>
  </si>
  <si>
    <t xml:space="preserve">Towamensing Township</t>
  </si>
  <si>
    <t xml:space="preserve">Weatherly Borough</t>
  </si>
  <si>
    <t xml:space="preserve">Weissport Borough</t>
  </si>
  <si>
    <t xml:space="preserve">Closing the Geography Gap: Carbon County Estimate vs. True Totals</t>
  </si>
  <si>
    <t xml:space="preserve">Method: for each year, fit a simple linear model (actual Dem vote share ~ registration D-minus-R) using the 63 Lehigh+Northampton municipalities where we have BOTH real votes and registration data. Apply that same model to Carbon County's registration lean to estimate its vote share, since Carbon's actual House vote counts aren't in the source file. Monroe County's 3 townships remain fully unaccounted for (no votes or registration data available anywhere in the source) -- the small residual gap below is entirely Monroe.</t>
  </si>
  <si>
    <t xml:space="preserve">Calibration (slope, intercept, R²)</t>
  </si>
  <si>
    <t xml:space="preserve">Estimated District Total (Actual LN + Estimated Carbon)</t>
  </si>
  <si>
    <t xml:space="preserve">True District Total</t>
  </si>
  <si>
    <t xml:space="preserve">Remaining Gap (Monroe only)</t>
  </si>
  <si>
    <t xml:space="preserve">Estimated vs True Dem Share</t>
  </si>
  <si>
    <t xml:space="preserve">slope=0.5165, intercept=0.5124, R²=0.937</t>
  </si>
  <si>
    <t xml:space="preserve">slope=0.5286, intercept=0.4879, R²=0.936</t>
  </si>
  <si>
    <t xml:space="preserve">slope=0.4989, intercept=0.5112, R²=0.934</t>
  </si>
  <si>
    <t xml:space="preserve">slope=0.4899, intercept=0.489, R²=0.939</t>
  </si>
  <si>
    <t xml:space="preserve">Compare: before this estimate, our old Lehigh+Northampton-only totals were missing 20,000-42,000 votes per year (see prior 'Geography Gap Check' analysis). The registration-based Carbon estimate closes that down to just Monroe's residual (a few thousand votes from only 3 small townships) -- a real, validated improvement in district coverage.</t>
  </si>
  <si>
    <t xml:space="preserve">Merges actual Lehigh+Northampton votes with estimated Carbon County votes into one 86-municipality table (all Combined District analyses -- Predictability, Magic Municipality, Beta, Forecast -- read from here). Monroe County's 3 townships are not included (no data available). 'Source' flags whether each row is Actual or Estimated.</t>
  </si>
  <si>
    <t xml:space="preserve">Source</t>
  </si>
  <si>
    <t xml:space="preserve">Actual</t>
  </si>
  <si>
    <t xml:space="preserve">Estimated</t>
  </si>
  <si>
    <t xml:space="preserve">Same methodology as before (margin from 50%, cycle-to-cycle volatility, party flips), now run on all 86 municipalities -- 63 with actual votes, 23 Carbon estimates. Estimated rows are flagged so you can weight confidence accordingly.</t>
  </si>
  <si>
    <t xml:space="preserve">Avg Dem Share</t>
  </si>
  <si>
    <t xml:space="preserve">Avg Margin from 50pt</t>
  </si>
  <si>
    <t xml:space="preserve">Stdev Dem Share</t>
  </si>
  <si>
    <t xml:space="preserve">Party Flips</t>
  </si>
  <si>
    <t xml:space="preserve">Predictability</t>
  </si>
  <si>
    <t xml:space="preserve">Bellwether Search (86 Municipalities)</t>
  </si>
  <si>
    <t xml:space="preserve">District-wide result now computed directly from the Combined District Data (actual + Carbon estimate), not an external reference. Match = municipality's own winner equals the combined-district winner that year.</t>
  </si>
  <si>
    <t xml:space="preserve">District-wide result by year</t>
  </si>
  <si>
    <t xml:space="preserve">District Dem Votes</t>
  </si>
  <si>
    <t xml:space="preserve">District Rep Votes</t>
  </si>
  <si>
    <t xml:space="preserve">District Dem Share</t>
  </si>
  <si>
    <t xml:space="preserve">District Winner</t>
  </si>
  <si>
    <t xml:space="preserve">Per-municipality bellwether test</t>
  </si>
  <si>
    <t xml:space="preserve">Match 2018</t>
  </si>
  <si>
    <t xml:space="preserve">Match 2020</t>
  </si>
  <si>
    <t xml:space="preserve">Match 2022</t>
  </si>
  <si>
    <t xml:space="preserve">Match 2024</t>
  </si>
  <si>
    <t xml:space="preserve">Total Matches (/4)</t>
  </si>
  <si>
    <t xml:space="preserve">Avg Point Gap vs District</t>
  </si>
  <si>
    <t xml:space="preserve">Magic Municipality?</t>
  </si>
  <si>
    <t xml:space="preserve">(helper)</t>
  </si>
  <si>
    <t xml:space="preserve">Municipality "Beta" vs. the Combined District (86 Municipalities)</t>
  </si>
  <si>
    <t xml:space="preserve">Beta = slope of a municipality's Dem Share regressed on the Combined District's Dem Share (computed directly from the Combined District Data sheet -- actual + Carbon estimate) across 2018-2024. Beta=1.0 means moving in lockstep with the district; R-squared shows how reliable that relationship is.</t>
  </si>
  <si>
    <t xml:space="preserve">District Dem Share (the 'index') -- pulled from Magic Municipality sheet</t>
  </si>
  <si>
    <t xml:space="preserve">Beta</t>
  </si>
  <si>
    <t xml:space="preserve">R-squared</t>
  </si>
  <si>
    <t xml:space="preserve">Deviation from 1.0</t>
  </si>
  <si>
    <t xml:space="preserve">Selected (Top 30 fit)</t>
  </si>
  <si>
    <t xml:space="preserve">(helper) score</t>
  </si>
  <si>
    <t xml:space="preserve">(helper) rank</t>
  </si>
  <si>
    <t xml:space="preserve">Reg D-R (Aug 2026 snapshot)</t>
  </si>
  <si>
    <t xml:space="preserve">2018 Ballots (actual turnout)</t>
  </si>
  <si>
    <t xml:space="preserve">2022 Ballots (actual turnout)</t>
  </si>
  <si>
    <t xml:space="preserve">2026 House Vote Forecast (86 Municipalities: Actual Trend + Carbon Estimate)</t>
  </si>
  <si>
    <t xml:space="preserve">Lehigh+Northampton (63 towns): same trend method as before -- turnout extrapolated from the two prior midterm cycles (2018, 2022); Dem share via linear trend across 2018-2024. Carbon (23 towns): Dem share estimated by applying the 2024 registration-to-vote calibration to each town's most current (Aug 2026) registration lean; turnout extrapolated the same midterm-only way from actual historical ballot counts.</t>
  </si>
  <si>
    <t xml:space="preserve">Projected Total Votes 2026</t>
  </si>
  <si>
    <t xml:space="preserve">Projected Dem Share 2026</t>
  </si>
  <si>
    <t xml:space="preserve">Projected Dem Votes 2026</t>
  </si>
  <si>
    <t xml:space="preserve">Projected Rep Votes 2026</t>
  </si>
  <si>
    <t xml:space="preserve">Projected Winner</t>
  </si>
  <si>
    <t xml:space="preserve">Actual-based</t>
  </si>
  <si>
    <t xml:space="preserve">DISTRICT TOTAL (86 municipalities)</t>
  </si>
  <si>
    <t xml:space="preserve">District-wide projected Dem share</t>
  </si>
  <si>
    <t xml:space="preserve">District-wide projected winner</t>
  </si>
  <si>
    <t xml:space="preserve">Backtest: Trend Method on 2018-2022, Checked Against Real 2024</t>
  </si>
  <si>
    <t xml:space="preserve">Lehigh+Northampton only (Carbon has no actual 2024 votes to check against -- it's already an estimate). Turnout projected from 2018 only (can't do a two-point midterm extrapolation with 3 valid pre-2024 points); Dem share via trend across 2018, 2020, 2022. Naive baseline = assume 2024 equals 2022.</t>
  </si>
  <si>
    <t xml:space="preserve">Predicted Dem Share</t>
  </si>
  <si>
    <t xml:space="preserve">Actual Dem Share</t>
  </si>
  <si>
    <t xml:space="preserve">Error (pts)</t>
  </si>
  <si>
    <t xml:space="preserve">Naive (=2022) Share</t>
  </si>
  <si>
    <t xml:space="preserve">Naive Error (pts)</t>
  </si>
  <si>
    <t xml:space="preserve">Winner Correct? (Trend)</t>
  </si>
  <si>
    <t xml:space="preserve">Winner Correct? (Naive)</t>
  </si>
  <si>
    <t xml:space="preserve">(h) abs trend err</t>
  </si>
  <si>
    <t xml:space="preserve">(h) abs naive err</t>
  </si>
  <si>
    <t xml:space="preserve">Trend model MAE (pts)</t>
  </si>
  <si>
    <t xml:space="preserve">Naive model MAE (pts)</t>
  </si>
  <si>
    <t xml:space="preserve">Trend winner accuracy</t>
  </si>
  <si>
    <t xml:space="preserve">Naive winner accuracy</t>
  </si>
  <si>
    <t xml:space="preserve">Correlation: Governor Race vs. House Race (Dem Vote Share)</t>
  </si>
  <si>
    <t xml:space="preserve">Lehigh+Northampton only -- Carbon has no actual Governor votes either. 2018 and 2022 were the only gubernatorial election years in this window.</t>
  </si>
  <si>
    <t xml:space="preserve">House Dem Share</t>
  </si>
  <si>
    <t xml:space="preserve">Correlation (r), 2018:</t>
  </si>
  <si>
    <t xml:space="preserve">Correlation (r), 2022:</t>
  </si>
  <si>
    <t xml:space="preserve">Correlation (r), pooled:</t>
  </si>
  <si>
    <t xml:space="preserve">Data source</t>
  </si>
  <si>
    <t xml:space="preserve">Municipal_Data_Final.xlsx (uploaded) -- PA Dept of State voter file export, 3 county snapshots dated 08/31/2026, 532,457 records. House/Governor vote totals come from the 'All PA07 Voting Data' tab; registration and turnout come from 'Muni Summary'.</t>
  </si>
  <si>
    <t xml:space="preserve">Coverage</t>
  </si>
  <si>
    <t xml:space="preserve">89 true PA-07 municipalities exist (Carbon 23, Lehigh 25, Northampton 38, Monroe 3). Actual House vote counts are only reported for the 63 Lehigh+Northampton municipalities. Carbon's 23 municipalities have real registration/turnout data but no reported vote counts, so their House results are ESTIMATED (see Carbon County Estimates + Geography Validation sheets). Monroe's 3 townships have no data of any kind in the source file and are excluded entirely.</t>
  </si>
  <si>
    <t xml:space="preserve">Why 2016 is absent</t>
  </si>
  <si>
    <t xml:space="preserve">The source file itself starts at 2018 -- 2016 PA-07 was a different, Philadelphia-suburbs district, so it was correctly left out rather than needing manual exclusion.</t>
  </si>
  <si>
    <t xml:space="preserve">Carbon estimation method</t>
  </si>
  <si>
    <t xml:space="preserve">For each year, fit Dem Vote Share ~ Registration(D-minus-R) using the 63 Lehigh+Northampton municipalities (both variables known). Apply that fitted line to Carbon's own registration lean to estimate its Dem vote share, then multiply by Carbon's actual reported turnout (ballots cast) to get estimated vote counts. R-squared for this calibration is 0.93-0.94 every year -- a strong, validated relationship.</t>
  </si>
  <si>
    <t xml:space="preserve">2026 Forecast method</t>
  </si>
  <si>
    <t xml:space="preserve">Lehigh+Northampton: turnout trend from the two prior midterm cycles (2018, 2022); Dem share via linear trend across all 4 valid cycles (2018-2024). Carbon: Dem share from the 2024 calibration applied to the most current (Aug 2026) registration snapshot; turnout via the same midterm-only trend, using Carbon's actual historical ballot counts.</t>
  </si>
  <si>
    <t xml:space="preserve">Hard: any party flip in 2018-2024, or average margin from 50% under 5 points. Easy: average margin &gt;=15 points and low cycle-to-cycle swing, never flipped. Medium: everything else. Run across all 86 municipalities (actual + Carbon estimate).</t>
  </si>
  <si>
    <t xml:space="preserve">Magic Municipality / Beta</t>
  </si>
  <si>
    <t xml:space="preserve">District 'index' is now computed directly from the Combined District Data (actual Lehigh+Northampton votes + Carbon estimate) rather than an external reference -- no more need for a separately hardcoded 'true total', since Carbon's inclusion closes nearly the entire prior gap.</t>
  </si>
  <si>
    <t xml:space="preserve">Known remaining limitation</t>
  </si>
  <si>
    <t xml:space="preserve">Monroe County's 3 townships are still fully unaccounted for -- no votes, no registration, nothing in the source file. This is a small residual (a few thousand voters) but should be named explicitly to the professor as the one piece of PA-07 this workbook still cannot see.</t>
  </si>
  <si>
    <t xml:space="preserve">Greedy selection: balances two goals -- (1) the running registrant-weighted average (Dem Share, Registration D-minus-R, Turnout) should match the full 86-municipality district, and (2) individual towns with a strong track record predicting the district (beta near 1.0, high R² on the Beta Coefficients sheet) are favored over towns that only average out correctly. Registrants stand in for population as the weight, since this data source has no census figures.</t>
  </si>
  <si>
    <t xml:space="preserve">Avg Registrants</t>
  </si>
  <si>
    <t xml:space="preserve">Avg Reg D-minus-R</t>
  </si>
  <si>
    <t xml:space="preserve">Avg Turnout</t>
  </si>
  <si>
    <t xml:space="preserve">Selected (1=Yes)</t>
  </si>
  <si>
    <t xml:space="preserve">Population-weighted comparison</t>
  </si>
  <si>
    <t xml:space="preserve">Dem Share</t>
  </si>
  <si>
    <t xml:space="preserve">Reg D-minus-R</t>
  </si>
  <si>
    <t xml:space="preserve">Turnout</t>
  </si>
  <si>
    <t xml:space="preserve">Registrants Covered</t>
  </si>
  <si>
    <t xml:space="preserve">Full district (86 munis)</t>
  </si>
  <si>
    <t xml:space="preserve">Selected 30 municipalities</t>
  </si>
  <si>
    <t xml:space="preserve">Subset as % of district registrants</t>
  </si>
  <si>
    <t xml:space="preserve">Regression Analysis: Methodology &amp; Variables (v2 -- Voter File Data)</t>
  </si>
  <si>
    <t xml:space="preserve">What changed from the prior version</t>
  </si>
  <si>
    <t xml:space="preserve">The prior version proposed income, education, and race/ethnicity as predictors, sourced from the original PDF dataset. This new voter-file source doesn't contain those -- but it has something arguably more directly relevant: current party registration lean, turnout, and mail-voting behavior, for all 86 municipalities including Carbon County. The proposed model below is rebuilt around what's actually available.</t>
  </si>
  <si>
    <t xml:space="preserve">Model 1 (built): Trend regression used in the 2026 forecast</t>
  </si>
  <si>
    <t xml:space="preserve">On the "Kiley - 2026 Vote Forecast" sheet, each Lehigh+Northampton municipality's Dem Share is regressed on election year alone (SLOPE/INTERCEPT across 2018-2024); Carbon's Dem Share instead comes from the registration calibration on the Geography Validation sheet. Both are single-predictor baselines, deliberately simple.</t>
  </si>
  <si>
    <t xml:space="preserve">Model 2 (proposed): a multi-variable regression for a deeper model</t>
  </si>
  <si>
    <t xml:space="preserve">Dem Share = b0 + b1(Reg D-minus-R) + b2(Turnout) + b3(Mail Share) + b4(Presidential Year Dummy) + b5(Lagged Dem Share) + ... + error</t>
  </si>
  <si>
    <t xml:space="preserve">Candidate variables</t>
  </si>
  <si>
    <t xml:space="preserve">Variable</t>
  </si>
  <si>
    <t xml:space="preserve">Role</t>
  </si>
  <si>
    <t xml:space="preserve">Why it's included</t>
  </si>
  <si>
    <t xml:space="preserve">Dependent variable</t>
  </si>
  <si>
    <t xml:space="preserve">'Combined District Data'!H</t>
  </si>
  <si>
    <t xml:space="preserve">What we're trying to explain/predict</t>
  </si>
  <si>
    <t xml:space="preserve">Registration D-minus-R</t>
  </si>
  <si>
    <t xml:space="preserve">Predictor</t>
  </si>
  <si>
    <t xml:space="preserve">Muni Summary (voter file)</t>
  </si>
  <si>
    <t xml:space="preserve">Direct measure of a municipality's current partisan lean -- likely the single strongest predictor available, and the same variable that successfully estimated Carbon's votes</t>
  </si>
  <si>
    <t xml:space="preserve">Turnout %</t>
  </si>
  <si>
    <t xml:space="preserve">Predictor / control</t>
  </si>
  <si>
    <t xml:space="preserve">Distinguishes 'the electorate got bigger/smaller' from 'opinion changed' -- especially important since the file's own caveats note older turnout figures are upward-biased</t>
  </si>
  <si>
    <t xml:space="preserve">Mail Ballot Share</t>
  </si>
  <si>
    <t xml:space="preserve">Muni Summary (2020+ only)</t>
  </si>
  <si>
    <t xml:space="preserve">Mail voting patterns differ by party in PA; useful once Act 77 data exists (2018 has no mail column)</t>
  </si>
  <si>
    <t xml:space="preserve">Control variable</t>
  </si>
  <si>
    <t xml:space="preserve">'House Vote Data (Actual)'!M (built)</t>
  </si>
  <si>
    <t xml:space="preserve">Presidential-year turnout is larger and compositionally different; isolates that effect. 1 = 2020/2024, 0 = 2018/2022/2026</t>
  </si>
  <si>
    <t xml:space="preserve">Lagged Dem Share (prior cycle)</t>
  </si>
  <si>
    <t xml:space="preserve">'Combined District Data'!H, offset one cycle</t>
  </si>
  <si>
    <t xml:space="preserve">Political lean is sticky -- typically the strongest single predictor in fundamentals-based election models</t>
  </si>
  <si>
    <t xml:space="preserve">County (Carbon/Lehigh/Northampton)</t>
  </si>
  <si>
    <t xml:space="preserve">Predictor / fixed effect</t>
  </si>
  <si>
    <t xml:space="preserve">'Combined District Data'!C</t>
  </si>
  <si>
    <t xml:space="preserve">Captures systematic county-level differences the other variables might not fully explain, especially useful while Carbon relies on an estimate rather than real votes</t>
  </si>
  <si>
    <t xml:space="preserve">A caution specific to this data source</t>
  </si>
  <si>
    <t xml:space="preserve">The source file is explicit that party registration is a snapshot at the file date, not what a voter was registered as at the time of a past election -- so a 2018 row's registration lean reflects 2026 registration, not 2018 registration. This is fine for the calibration approach (which only needs the D-R gap, not perfect historical accuracy) but would need re-checking before treating any single year's coefficient as a precise historical estimate.</t>
  </si>
  <si>
    <t xml:space="preserve">2026 Forecast: All Three Methods Side by Side</t>
  </si>
  <si>
    <t xml:space="preserve">The spread between these three numbers IS the honest uncertainty range for this forecast -- not a single confident point estimate. Backtested error margins come from each method's performance predicting the real 2024 result using only prior-cycle data.</t>
  </si>
  <si>
    <t xml:space="preserve">Method</t>
  </si>
  <si>
    <t xml:space="preserve">2026 Dem Share</t>
  </si>
  <si>
    <t xml:space="preserve">Backtest MAE (2024 holdout)</t>
  </si>
  <si>
    <t xml:space="preserve">Backtest Winner Accuracy</t>
  </si>
  <si>
    <t xml:space="preserve">Simple Trend (Kiley - 2026 Vote Forecast)</t>
  </si>
  <si>
    <t xml:space="preserve">57 / 63</t>
  </si>
  <si>
    <t xml:space="preserve">Beta-Adjusted</t>
  </si>
  <si>
    <t xml:space="preserve">59 / 63</t>
  </si>
  <si>
    <t xml:space="preserve">Multi-Variable Regression</t>
  </si>
  <si>
    <t xml:space="preserve">61 / 63</t>
  </si>
  <si>
    <t xml:space="preserve">Range across methods</t>
  </si>
  <si>
    <t xml:space="preserve">Recommended point estimate (best-backtested method)</t>
  </si>
  <si>
    <t xml:space="preserve">Confidence band (± backtested MAE)</t>
  </si>
  <si>
    <t xml:space="preserve">Reading this table: the three methods span roughly a 2.4-point range (48.8% to 51.2% Dem) -- two of three call it for the Republican, one for the Democrat, which by itself signals this is a genuine toss-up race rather than a confident call in either direction. The regression method has the best track record backtesting against real 2024 results, so it's the recommended point estimate, but the disagreement with the other two methods should be reported alongside it, not hidden behind a single number.</t>
  </si>
  <si>
    <t xml:space="preserve">Reg D-minus-R (static)</t>
  </si>
  <si>
    <t xml:space="preserve">% Bachelor's Degree (2024 ACS)</t>
  </si>
  <si>
    <t xml:space="preserve">2026 Forecast: Multi-Variable Regression Method</t>
  </si>
  <si>
    <t xml:space="preserve">Coefficients fit on 2020-2024 panel data (189 obs, R²=0.97, backtested MAE=1.13 pts on 2024 holdout): Dem Share = 16.63 + 18.07(Reg D-minus-R) + 7.62(%Bachelor's) - 3.67(Presidential Year) + 0.656(Lagged Dem Share). Lehigh+Northampton use this regression; Carbon still uses the registration-calibration method (Geography Validation sheet) since it lacks real vote history to regress on.</t>
  </si>
  <si>
    <t xml:space="preserve">Projected Total Votes</t>
  </si>
  <si>
    <t xml:space="preserve">Projected Dem Share</t>
  </si>
  <si>
    <t xml:space="preserve">Projected Dem Votes</t>
  </si>
  <si>
    <t xml:space="preserve">Projected Rep Votes</t>
  </si>
  <si>
    <t xml:space="preserve">Regression</t>
  </si>
  <si>
    <t xml:space="preserve">Registration Calibration</t>
  </si>
  <si>
    <t xml:space="preserve">DISTRICT TOTAL (Regression + Carbon Calibration)</t>
  </si>
  <si>
    <t xml:space="preserve">Backtested error margin (from 2024 holdout)</t>
  </si>
  <si>
    <t xml:space="preserve">± 1.13 points</t>
  </si>
  <si>
    <t xml:space="preserve">2026 Forecast: Beta-Adjusted Method</t>
  </si>
  <si>
    <t xml:space="preserve">Forecast_muni(2026) = Actual_muni(2024) + Beta_muni x [Trend_district(2026) - Actual_district(2024)]. District shift uses the trend-based 2026 forecast (49.4%) vs. actual 2024 (50.2%) = -0.86 points. Carbon uses the same registration-calibration estimate as the other forecast sheets.</t>
  </si>
  <si>
    <t xml:space="preserve">DISTRICT TOTAL (Beta-Adjusted + Carbon Calibration)</t>
  </si>
</sst>
</file>

<file path=xl/styles.xml><?xml version="1.0" encoding="utf-8"?>
<styleSheet xmlns="http://schemas.openxmlformats.org/spreadsheetml/2006/main">
  <numFmts count="7">
    <numFmt numFmtId="164" formatCode="General"/>
    <numFmt numFmtId="165" formatCode="0.0%"/>
    <numFmt numFmtId="166" formatCode="#,##0"/>
    <numFmt numFmtId="167" formatCode="0.00%"/>
    <numFmt numFmtId="168" formatCode="0.00"/>
    <numFmt numFmtId="169" formatCode="0.0"/>
    <numFmt numFmtId="170" formatCode="General"/>
  </numFmts>
  <fonts count="18">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1"/>
      <name val="Arial"/>
      <family val="0"/>
      <charset val="1"/>
    </font>
    <font>
      <b val="true"/>
      <sz val="11"/>
      <color rgb="FFFFFFFF"/>
      <name val="Arial"/>
      <family val="0"/>
      <charset val="1"/>
    </font>
    <font>
      <b val="true"/>
      <sz val="11"/>
      <name val="Arial"/>
      <family val="0"/>
      <charset val="1"/>
    </font>
    <font>
      <sz val="11"/>
      <name val="Arial"/>
      <family val="0"/>
      <charset val="1"/>
    </font>
    <font>
      <i val="true"/>
      <sz val="9"/>
      <name val="Arial"/>
      <family val="0"/>
      <charset val="1"/>
    </font>
    <font>
      <b val="true"/>
      <sz val="13"/>
      <name val="Arial"/>
      <family val="0"/>
      <charset val="1"/>
    </font>
    <font>
      <b val="true"/>
      <sz val="11"/>
      <color rgb="FF006100"/>
      <name val="Arial"/>
      <family val="0"/>
      <charset val="1"/>
    </font>
    <font>
      <i val="true"/>
      <sz val="8"/>
      <name val="Cambria"/>
      <family val="0"/>
      <charset val="1"/>
    </font>
    <font>
      <b val="true"/>
      <sz val="12"/>
      <name val="Arial"/>
      <family val="0"/>
      <charset val="1"/>
    </font>
    <font>
      <b val="true"/>
      <sz val="14"/>
      <name val="Arial"/>
      <family val="0"/>
      <charset val="1"/>
    </font>
    <font>
      <b val="true"/>
      <sz val="12"/>
      <color rgb="FF1F4E78"/>
      <name val="Arial"/>
      <family val="0"/>
      <charset val="1"/>
    </font>
    <font>
      <b val="true"/>
      <i val="true"/>
      <sz val="10"/>
      <name val="Arial"/>
      <family val="0"/>
      <charset val="1"/>
    </font>
    <font>
      <i val="true"/>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C6EFCE"/>
        <bgColor rgb="FFD9D9D9"/>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8"/>
    <col collapsed="false" customWidth="true" hidden="false" outlineLevel="0" max="3" min="3" style="1" width="55"/>
  </cols>
  <sheetData>
    <row r="1" customFormat="false" ht="18" hidden="false" customHeight="true" outlineLevel="0" collapsed="false">
      <c r="A1" s="2" t="s">
        <v>0</v>
      </c>
      <c r="B1" s="2"/>
      <c r="C1" s="2"/>
    </row>
    <row r="2" customFormat="false" ht="15" hidden="false" customHeight="true" outlineLevel="0" collapsed="false">
      <c r="A2" s="3" t="s">
        <v>1</v>
      </c>
      <c r="B2" s="3"/>
      <c r="C2" s="3"/>
    </row>
    <row r="4" customFormat="false" ht="15" hidden="false" customHeight="true" outlineLevel="0" collapsed="false">
      <c r="A4" s="4" t="s">
        <v>2</v>
      </c>
      <c r="B4" s="4" t="s">
        <v>3</v>
      </c>
      <c r="C4" s="4" t="s">
        <v>4</v>
      </c>
    </row>
    <row r="5" customFormat="false" ht="60" hidden="false" customHeight="true" outlineLevel="0" collapsed="false">
      <c r="A5" s="5" t="s">
        <v>5</v>
      </c>
      <c r="B5" s="6" t="s">
        <v>6</v>
      </c>
      <c r="C5" s="6" t="s">
        <v>7</v>
      </c>
    </row>
    <row r="6" customFormat="false" ht="60" hidden="false" customHeight="true" outlineLevel="0" collapsed="false">
      <c r="A6" s="5" t="s">
        <v>8</v>
      </c>
      <c r="B6" s="6" t="s">
        <v>9</v>
      </c>
      <c r="C6" s="6" t="s">
        <v>10</v>
      </c>
    </row>
    <row r="7" customFormat="false" ht="60" hidden="false" customHeight="true" outlineLevel="0" collapsed="false">
      <c r="A7" s="5" t="s">
        <v>11</v>
      </c>
      <c r="B7" s="6" t="s">
        <v>12</v>
      </c>
      <c r="C7" s="6" t="s">
        <v>13</v>
      </c>
    </row>
    <row r="8" customFormat="false" ht="60" hidden="false" customHeight="true" outlineLevel="0" collapsed="false">
      <c r="A8" s="5" t="s">
        <v>14</v>
      </c>
      <c r="B8" s="6" t="s">
        <v>15</v>
      </c>
      <c r="C8" s="6" t="s">
        <v>16</v>
      </c>
    </row>
    <row r="9" customFormat="false" ht="60" hidden="false" customHeight="true" outlineLevel="0" collapsed="false">
      <c r="A9" s="5" t="s">
        <v>17</v>
      </c>
      <c r="B9" s="6" t="s">
        <v>18</v>
      </c>
      <c r="C9" s="6" t="s">
        <v>19</v>
      </c>
    </row>
    <row r="10" customFormat="false" ht="60" hidden="false" customHeight="true" outlineLevel="0" collapsed="false">
      <c r="A10" s="5" t="s">
        <v>20</v>
      </c>
      <c r="B10" s="6" t="s">
        <v>21</v>
      </c>
      <c r="C10" s="6" t="s">
        <v>22</v>
      </c>
    </row>
    <row r="11" customFormat="false" ht="60" hidden="false" customHeight="true" outlineLevel="0" collapsed="false">
      <c r="A11" s="5" t="s">
        <v>23</v>
      </c>
      <c r="B11" s="6" t="s">
        <v>24</v>
      </c>
      <c r="C11" s="6" t="s">
        <v>25</v>
      </c>
    </row>
    <row r="12" customFormat="false" ht="60" hidden="false" customHeight="true" outlineLevel="0" collapsed="false">
      <c r="A12" s="5" t="s">
        <v>26</v>
      </c>
      <c r="B12" s="6" t="s">
        <v>27</v>
      </c>
      <c r="C12" s="6" t="s">
        <v>28</v>
      </c>
    </row>
    <row r="13" customFormat="false" ht="60" hidden="false" customHeight="true" outlineLevel="0" collapsed="false">
      <c r="A13" s="5" t="s">
        <v>29</v>
      </c>
      <c r="B13" s="6" t="s">
        <v>30</v>
      </c>
      <c r="C13" s="6" t="s">
        <v>31</v>
      </c>
    </row>
    <row r="14" customFormat="false" ht="60" hidden="false" customHeight="true" outlineLevel="0" collapsed="false">
      <c r="A14" s="5" t="s">
        <v>32</v>
      </c>
      <c r="B14" s="6" t="s">
        <v>33</v>
      </c>
      <c r="C14" s="6" t="s">
        <v>34</v>
      </c>
    </row>
    <row r="15" customFormat="false" ht="60" hidden="false" customHeight="true" outlineLevel="0" collapsed="false">
      <c r="A15" s="5" t="s">
        <v>35</v>
      </c>
      <c r="B15" s="6" t="s">
        <v>36</v>
      </c>
      <c r="C15" s="6" t="s">
        <v>37</v>
      </c>
    </row>
    <row r="16" customFormat="false" ht="60" hidden="false" customHeight="true" outlineLevel="0" collapsed="false">
      <c r="A16" s="5" t="s">
        <v>38</v>
      </c>
      <c r="B16" s="6" t="s">
        <v>39</v>
      </c>
      <c r="C16" s="6" t="s">
        <v>40</v>
      </c>
    </row>
    <row r="17" customFormat="false" ht="60" hidden="false" customHeight="true" outlineLevel="0" collapsed="false">
      <c r="A17" s="5" t="s">
        <v>41</v>
      </c>
      <c r="B17" s="6" t="s">
        <v>42</v>
      </c>
      <c r="C17" s="6" t="s">
        <v>43</v>
      </c>
    </row>
    <row r="18" customFormat="false" ht="60" hidden="false" customHeight="true" outlineLevel="0" collapsed="false">
      <c r="A18" s="5" t="s">
        <v>44</v>
      </c>
      <c r="B18" s="6" t="s">
        <v>45</v>
      </c>
      <c r="C18" s="6" t="s">
        <v>46</v>
      </c>
    </row>
    <row r="19" customFormat="false" ht="54.75" hidden="false" customHeight="true" outlineLevel="0" collapsed="false">
      <c r="A19" s="5" t="s">
        <v>47</v>
      </c>
      <c r="B19" s="6" t="s">
        <v>48</v>
      </c>
      <c r="C19" s="6" t="s">
        <v>49</v>
      </c>
    </row>
    <row r="20" customFormat="false" ht="54.75" hidden="false" customHeight="true" outlineLevel="0" collapsed="false">
      <c r="A20" s="5" t="s">
        <v>50</v>
      </c>
      <c r="B20" s="6" t="s">
        <v>51</v>
      </c>
      <c r="C20" s="6" t="s">
        <v>52</v>
      </c>
    </row>
    <row r="21" customFormat="false" ht="54.75" hidden="false" customHeight="true" outlineLevel="0" collapsed="false">
      <c r="A21" s="5" t="s">
        <v>53</v>
      </c>
      <c r="B21" s="6" t="s">
        <v>54</v>
      </c>
      <c r="C21" s="6" t="s">
        <v>55</v>
      </c>
    </row>
    <row r="22" customFormat="false" ht="54.75" hidden="false" customHeight="true" outlineLevel="0" collapsed="false">
      <c r="A22" s="5" t="s">
        <v>56</v>
      </c>
      <c r="B22" s="6" t="s">
        <v>57</v>
      </c>
      <c r="C22" s="6" t="s">
        <v>58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14"/>
    <col collapsed="false" customWidth="true" hidden="false" outlineLevel="0" max="8" min="4" style="1" width="11"/>
    <col collapsed="false" customWidth="true" hidden="false" outlineLevel="0" max="10" min="9" style="1" width="15"/>
    <col collapsed="false" customWidth="true" hidden="false" outlineLevel="0" max="12" min="11" style="1" width="14"/>
  </cols>
  <sheetData>
    <row r="1" customFormat="false" ht="15" hidden="false" customHeight="true" outlineLevel="0" collapsed="false">
      <c r="A1" s="7" t="s">
        <v>59</v>
      </c>
      <c r="B1" s="7" t="s">
        <v>60</v>
      </c>
      <c r="C1" s="7" t="s">
        <v>61</v>
      </c>
      <c r="D1" s="7" t="s">
        <v>62</v>
      </c>
      <c r="E1" s="7" t="s">
        <v>63</v>
      </c>
      <c r="F1" s="7" t="s">
        <v>64</v>
      </c>
      <c r="G1" s="7" t="s">
        <v>65</v>
      </c>
      <c r="H1" s="7" t="s">
        <v>66</v>
      </c>
      <c r="I1" s="7" t="s">
        <v>67</v>
      </c>
      <c r="J1" s="7" t="s">
        <v>68</v>
      </c>
      <c r="K1" s="7" t="s">
        <v>69</v>
      </c>
      <c r="L1" s="7" t="s">
        <v>70</v>
      </c>
      <c r="M1" s="7" t="s">
        <v>71</v>
      </c>
    </row>
    <row r="2" customFormat="false" ht="15" hidden="false" customHeight="true" outlineLevel="0" collapsed="false">
      <c r="A2" s="8" t="n">
        <v>2018</v>
      </c>
      <c r="B2" s="8" t="s">
        <v>72</v>
      </c>
      <c r="C2" s="8" t="s">
        <v>73</v>
      </c>
      <c r="D2" s="8" t="n">
        <v>454</v>
      </c>
      <c r="E2" s="8" t="n">
        <v>406</v>
      </c>
      <c r="F2" s="8" t="n">
        <v>36</v>
      </c>
      <c r="G2" s="8" t="n">
        <f aca="false">D2+E2+F2</f>
        <v>896</v>
      </c>
      <c r="H2" s="9" t="n">
        <f aca="false">D2/G2</f>
        <v>0.506696428571429</v>
      </c>
      <c r="I2" s="8" t="n">
        <v>519</v>
      </c>
      <c r="J2" s="8" t="n">
        <v>356</v>
      </c>
      <c r="K2" s="8" t="n">
        <f aca="false">I2+J2</f>
        <v>875</v>
      </c>
      <c r="L2" s="9" t="n">
        <f aca="false">IF(K2=0,"",I2/K2)</f>
        <v>0.593142857142857</v>
      </c>
      <c r="M2" s="8" t="n">
        <f aca="false">IF(OR(A2=2020,A2=2024),1,0)</f>
        <v>0</v>
      </c>
    </row>
    <row r="3" customFormat="false" ht="15" hidden="false" customHeight="true" outlineLevel="0" collapsed="false">
      <c r="A3" s="8" t="n">
        <v>2020</v>
      </c>
      <c r="B3" s="8" t="s">
        <v>72</v>
      </c>
      <c r="C3" s="8" t="s">
        <v>73</v>
      </c>
      <c r="D3" s="8" t="n">
        <v>644</v>
      </c>
      <c r="E3" s="8" t="n">
        <v>735</v>
      </c>
      <c r="F3" s="8" t="n">
        <v>0</v>
      </c>
      <c r="G3" s="8" t="n">
        <f aca="false">D3+E3+F3</f>
        <v>1379</v>
      </c>
      <c r="H3" s="9" t="n">
        <f aca="false">D3/G3</f>
        <v>0.467005076142132</v>
      </c>
      <c r="I3" s="8" t="n">
        <v>0</v>
      </c>
      <c r="J3" s="8" t="n">
        <v>0</v>
      </c>
      <c r="K3" s="8" t="n">
        <f aca="false">I3+J3</f>
        <v>0</v>
      </c>
      <c r="L3" s="9" t="str">
        <f aca="false">IF(K3=0,"",I3/K3)</f>
        <v/>
      </c>
      <c r="M3" s="8" t="n">
        <f aca="false">IF(OR(A3=2020,A3=2024),1,0)</f>
        <v>1</v>
      </c>
    </row>
    <row r="4" customFormat="false" ht="15" hidden="false" customHeight="true" outlineLevel="0" collapsed="false">
      <c r="A4" s="8" t="n">
        <v>2022</v>
      </c>
      <c r="B4" s="8" t="s">
        <v>72</v>
      </c>
      <c r="C4" s="8" t="s">
        <v>73</v>
      </c>
      <c r="D4" s="8" t="n">
        <v>494</v>
      </c>
      <c r="E4" s="8" t="n">
        <v>519</v>
      </c>
      <c r="F4" s="8" t="n">
        <v>0</v>
      </c>
      <c r="G4" s="8" t="n">
        <f aca="false">D4+E4+F4</f>
        <v>1013</v>
      </c>
      <c r="H4" s="9" t="n">
        <f aca="false">D4/G4</f>
        <v>0.487660414610069</v>
      </c>
      <c r="I4" s="8" t="n">
        <v>539</v>
      </c>
      <c r="J4" s="8" t="n">
        <v>447</v>
      </c>
      <c r="K4" s="8" t="n">
        <f aca="false">I4+J4</f>
        <v>986</v>
      </c>
      <c r="L4" s="9" t="n">
        <f aca="false">IF(K4=0,"",I4/K4)</f>
        <v>0.546653144016227</v>
      </c>
      <c r="M4" s="8" t="n">
        <f aca="false">IF(OR(A4=2020,A4=2024),1,0)</f>
        <v>0</v>
      </c>
    </row>
    <row r="5" customFormat="false" ht="15" hidden="false" customHeight="true" outlineLevel="0" collapsed="false">
      <c r="A5" s="8" t="n">
        <v>2024</v>
      </c>
      <c r="B5" s="8" t="s">
        <v>72</v>
      </c>
      <c r="C5" s="8" t="s">
        <v>73</v>
      </c>
      <c r="D5" s="8" t="n">
        <v>601</v>
      </c>
      <c r="E5" s="8" t="n">
        <v>766</v>
      </c>
      <c r="F5" s="8" t="n">
        <v>0</v>
      </c>
      <c r="G5" s="8" t="n">
        <f aca="false">D5+E5+F5</f>
        <v>1367</v>
      </c>
      <c r="H5" s="9" t="n">
        <f aca="false">D5/G5</f>
        <v>0.439648866130212</v>
      </c>
      <c r="I5" s="8" t="n">
        <v>0</v>
      </c>
      <c r="J5" s="8" t="n">
        <v>0</v>
      </c>
      <c r="K5" s="8" t="n">
        <f aca="false">I5+J5</f>
        <v>0</v>
      </c>
      <c r="L5" s="9" t="str">
        <f aca="false">IF(K5=0,"",I5/K5)</f>
        <v/>
      </c>
      <c r="M5" s="8" t="n">
        <f aca="false">IF(OR(A5=2020,A5=2024),1,0)</f>
        <v>1</v>
      </c>
    </row>
    <row r="6" customFormat="false" ht="15" hidden="false" customHeight="true" outlineLevel="0" collapsed="false">
      <c r="A6" s="8" t="n">
        <v>2018</v>
      </c>
      <c r="B6" s="8" t="s">
        <v>74</v>
      </c>
      <c r="C6" s="8" t="s">
        <v>73</v>
      </c>
      <c r="D6" s="8" t="n">
        <v>19919</v>
      </c>
      <c r="E6" s="8" t="n">
        <v>7341</v>
      </c>
      <c r="F6" s="8" t="n">
        <v>773</v>
      </c>
      <c r="G6" s="8" t="n">
        <f aca="false">D6+E6+F6</f>
        <v>28033</v>
      </c>
      <c r="H6" s="9" t="n">
        <f aca="false">D6/G6</f>
        <v>0.710555416830164</v>
      </c>
      <c r="I6" s="8" t="n">
        <v>21066</v>
      </c>
      <c r="J6" s="8" t="n">
        <v>6512</v>
      </c>
      <c r="K6" s="8" t="n">
        <f aca="false">I6+J6</f>
        <v>27578</v>
      </c>
      <c r="L6" s="9" t="n">
        <f aca="false">IF(K6=0,"",I6/K6)</f>
        <v>0.763869751250997</v>
      </c>
      <c r="M6" s="8" t="n">
        <f aca="false">IF(OR(A6=2020,A6=2024),1,0)</f>
        <v>0</v>
      </c>
    </row>
    <row r="7" customFormat="false" ht="15" hidden="false" customHeight="true" outlineLevel="0" collapsed="false">
      <c r="A7" s="8" t="n">
        <v>2020</v>
      </c>
      <c r="B7" s="8" t="s">
        <v>74</v>
      </c>
      <c r="C7" s="8" t="s">
        <v>73</v>
      </c>
      <c r="D7" s="8" t="n">
        <v>27952</v>
      </c>
      <c r="E7" s="8" t="n">
        <v>12938</v>
      </c>
      <c r="F7" s="8" t="n">
        <v>0</v>
      </c>
      <c r="G7" s="8" t="n">
        <f aca="false">D7+E7+F7</f>
        <v>40890</v>
      </c>
      <c r="H7" s="9" t="n">
        <f aca="false">D7/G7</f>
        <v>0.6835901198337</v>
      </c>
      <c r="I7" s="8" t="n">
        <v>0</v>
      </c>
      <c r="J7" s="8" t="n">
        <v>0</v>
      </c>
      <c r="K7" s="8" t="n">
        <f aca="false">I7+J7</f>
        <v>0</v>
      </c>
      <c r="L7" s="9" t="str">
        <f aca="false">IF(K7=0,"",I7/K7)</f>
        <v/>
      </c>
      <c r="M7" s="8" t="n">
        <f aca="false">IF(OR(A7=2020,A7=2024),1,0)</f>
        <v>1</v>
      </c>
    </row>
    <row r="8" customFormat="false" ht="15" hidden="false" customHeight="true" outlineLevel="0" collapsed="false">
      <c r="A8" s="8" t="n">
        <v>2022</v>
      </c>
      <c r="B8" s="8" t="s">
        <v>74</v>
      </c>
      <c r="C8" s="8" t="s">
        <v>73</v>
      </c>
      <c r="D8" s="8" t="n">
        <v>16965</v>
      </c>
      <c r="E8" s="8" t="n">
        <v>7936</v>
      </c>
      <c r="F8" s="8" t="n">
        <v>0</v>
      </c>
      <c r="G8" s="8" t="n">
        <f aca="false">D8+E8+F8</f>
        <v>24901</v>
      </c>
      <c r="H8" s="9" t="n">
        <f aca="false">D8/G8</f>
        <v>0.681297939841773</v>
      </c>
      <c r="I8" s="8" t="n">
        <v>17605</v>
      </c>
      <c r="J8" s="8" t="n">
        <v>6760</v>
      </c>
      <c r="K8" s="8" t="n">
        <f aca="false">I8+J8</f>
        <v>24365</v>
      </c>
      <c r="L8" s="9" t="n">
        <f aca="false">IF(K8=0,"",I8/K8)</f>
        <v>0.722552842191668</v>
      </c>
      <c r="M8" s="8" t="n">
        <f aca="false">IF(OR(A8=2020,A8=2024),1,0)</f>
        <v>0</v>
      </c>
    </row>
    <row r="9" customFormat="false" ht="15" hidden="false" customHeight="true" outlineLevel="0" collapsed="false">
      <c r="A9" s="8" t="n">
        <v>2024</v>
      </c>
      <c r="B9" s="8" t="s">
        <v>74</v>
      </c>
      <c r="C9" s="8" t="s">
        <v>73</v>
      </c>
      <c r="D9" s="8" t="n">
        <v>26568</v>
      </c>
      <c r="E9" s="8" t="n">
        <v>14583</v>
      </c>
      <c r="F9" s="8" t="n">
        <v>0</v>
      </c>
      <c r="G9" s="8" t="n">
        <f aca="false">D9+E9+F9</f>
        <v>41151</v>
      </c>
      <c r="H9" s="9" t="n">
        <f aca="false">D9/G9</f>
        <v>0.645622220602172</v>
      </c>
      <c r="I9" s="8" t="n">
        <v>0</v>
      </c>
      <c r="J9" s="8" t="n">
        <v>0</v>
      </c>
      <c r="K9" s="8" t="n">
        <f aca="false">I9+J9</f>
        <v>0</v>
      </c>
      <c r="L9" s="9" t="str">
        <f aca="false">IF(K9=0,"",I9/K9)</f>
        <v/>
      </c>
      <c r="M9" s="8" t="n">
        <f aca="false">IF(OR(A9=2020,A9=2024),1,0)</f>
        <v>1</v>
      </c>
    </row>
    <row r="10" customFormat="false" ht="15" hidden="false" customHeight="true" outlineLevel="0" collapsed="false">
      <c r="A10" s="8" t="n">
        <v>2018</v>
      </c>
      <c r="B10" s="8" t="s">
        <v>75</v>
      </c>
      <c r="C10" s="8" t="s">
        <v>73</v>
      </c>
      <c r="D10" s="8" t="n">
        <v>4700</v>
      </c>
      <c r="E10" s="8" t="n">
        <v>2300</v>
      </c>
      <c r="F10" s="8" t="n">
        <v>378</v>
      </c>
      <c r="G10" s="8" t="n">
        <f aca="false">D10+E10+F10</f>
        <v>7378</v>
      </c>
      <c r="H10" s="9" t="n">
        <f aca="false">D10/G10</f>
        <v>0.637029005150447</v>
      </c>
      <c r="I10" s="8" t="n">
        <v>5072</v>
      </c>
      <c r="J10" s="8" t="n">
        <v>2132</v>
      </c>
      <c r="K10" s="8" t="n">
        <f aca="false">I10+J10</f>
        <v>7204</v>
      </c>
      <c r="L10" s="9" t="n">
        <f aca="false">IF(K10=0,"",I10/K10)</f>
        <v>0.704053303720156</v>
      </c>
      <c r="M10" s="8" t="n">
        <f aca="false">IF(OR(A10=2020,A10=2024),1,0)</f>
        <v>0</v>
      </c>
    </row>
    <row r="11" customFormat="false" ht="15" hidden="false" customHeight="true" outlineLevel="0" collapsed="false">
      <c r="A11" s="8" t="n">
        <v>2020</v>
      </c>
      <c r="B11" s="8" t="s">
        <v>75</v>
      </c>
      <c r="C11" s="8" t="s">
        <v>73</v>
      </c>
      <c r="D11" s="8" t="n">
        <v>6475</v>
      </c>
      <c r="E11" s="8" t="n">
        <v>3784</v>
      </c>
      <c r="F11" s="8" t="n">
        <v>0</v>
      </c>
      <c r="G11" s="8" t="n">
        <f aca="false">D11+E11+F11</f>
        <v>10259</v>
      </c>
      <c r="H11" s="9" t="n">
        <f aca="false">D11/G11</f>
        <v>0.631153133833707</v>
      </c>
      <c r="I11" s="8" t="n">
        <v>0</v>
      </c>
      <c r="J11" s="8" t="n">
        <v>0</v>
      </c>
      <c r="K11" s="8" t="n">
        <f aca="false">I11+J11</f>
        <v>0</v>
      </c>
      <c r="L11" s="9" t="str">
        <f aca="false">IF(K11=0,"",I11/K11)</f>
        <v/>
      </c>
      <c r="M11" s="8" t="n">
        <f aca="false">IF(OR(A11=2020,A11=2024),1,0)</f>
        <v>1</v>
      </c>
    </row>
    <row r="12" customFormat="false" ht="15" hidden="false" customHeight="true" outlineLevel="0" collapsed="false">
      <c r="A12" s="8" t="n">
        <v>2022</v>
      </c>
      <c r="B12" s="8" t="s">
        <v>75</v>
      </c>
      <c r="C12" s="8" t="s">
        <v>73</v>
      </c>
      <c r="D12" s="8" t="n">
        <v>5186</v>
      </c>
      <c r="E12" s="8" t="n">
        <v>2705</v>
      </c>
      <c r="F12" s="8" t="n">
        <v>0</v>
      </c>
      <c r="G12" s="8" t="n">
        <f aca="false">D12+E12+F12</f>
        <v>7891</v>
      </c>
      <c r="H12" s="9" t="n">
        <f aca="false">D12/G12</f>
        <v>0.657204410087441</v>
      </c>
      <c r="I12" s="8" t="n">
        <v>5445</v>
      </c>
      <c r="J12" s="8" t="n">
        <v>2279</v>
      </c>
      <c r="K12" s="8" t="n">
        <f aca="false">I12+J12</f>
        <v>7724</v>
      </c>
      <c r="L12" s="9" t="n">
        <f aca="false">IF(K12=0,"",I12/K12)</f>
        <v>0.704945624029001</v>
      </c>
      <c r="M12" s="8" t="n">
        <f aca="false">IF(OR(A12=2020,A12=2024),1,0)</f>
        <v>0</v>
      </c>
    </row>
    <row r="13" customFormat="false" ht="15" hidden="false" customHeight="true" outlineLevel="0" collapsed="false">
      <c r="A13" s="8" t="n">
        <v>2024</v>
      </c>
      <c r="B13" s="8" t="s">
        <v>75</v>
      </c>
      <c r="C13" s="8" t="s">
        <v>73</v>
      </c>
      <c r="D13" s="8" t="n">
        <v>6612</v>
      </c>
      <c r="E13" s="8" t="n">
        <v>3834</v>
      </c>
      <c r="F13" s="8" t="n">
        <v>0</v>
      </c>
      <c r="G13" s="8" t="n">
        <f aca="false">D13+E13+F13</f>
        <v>10446</v>
      </c>
      <c r="H13" s="9" t="n">
        <f aca="false">D13/G13</f>
        <v>0.632969557725445</v>
      </c>
      <c r="I13" s="8" t="n">
        <v>0</v>
      </c>
      <c r="J13" s="8" t="n">
        <v>0</v>
      </c>
      <c r="K13" s="8" t="n">
        <f aca="false">I13+J13</f>
        <v>0</v>
      </c>
      <c r="L13" s="9" t="str">
        <f aca="false">IF(K13=0,"",I13/K13)</f>
        <v/>
      </c>
      <c r="M13" s="8" t="n">
        <f aca="false">IF(OR(A13=2020,A13=2024),1,0)</f>
        <v>1</v>
      </c>
    </row>
    <row r="14" customFormat="false" ht="15" hidden="false" customHeight="true" outlineLevel="0" collapsed="false">
      <c r="A14" s="8" t="n">
        <v>2018</v>
      </c>
      <c r="B14" s="8" t="s">
        <v>76</v>
      </c>
      <c r="C14" s="8" t="s">
        <v>73</v>
      </c>
      <c r="D14" s="8" t="n">
        <v>1137</v>
      </c>
      <c r="E14" s="8" t="n">
        <v>821</v>
      </c>
      <c r="F14" s="8" t="n">
        <v>102</v>
      </c>
      <c r="G14" s="8" t="n">
        <f aca="false">D14+E14+F14</f>
        <v>2060</v>
      </c>
      <c r="H14" s="9" t="n">
        <f aca="false">D14/G14</f>
        <v>0.551941747572816</v>
      </c>
      <c r="I14" s="8" t="n">
        <v>1266</v>
      </c>
      <c r="J14" s="8" t="n">
        <v>733</v>
      </c>
      <c r="K14" s="8" t="n">
        <f aca="false">I14+J14</f>
        <v>1999</v>
      </c>
      <c r="L14" s="9" t="n">
        <f aca="false">IF(K14=0,"",I14/K14)</f>
        <v>0.633316658329165</v>
      </c>
      <c r="M14" s="8" t="n">
        <f aca="false">IF(OR(A14=2020,A14=2024),1,0)</f>
        <v>0</v>
      </c>
    </row>
    <row r="15" customFormat="false" ht="15" hidden="false" customHeight="true" outlineLevel="0" collapsed="false">
      <c r="A15" s="8" t="n">
        <v>2020</v>
      </c>
      <c r="B15" s="8" t="s">
        <v>76</v>
      </c>
      <c r="C15" s="8" t="s">
        <v>73</v>
      </c>
      <c r="D15" s="8" t="n">
        <v>1582</v>
      </c>
      <c r="E15" s="8" t="n">
        <v>1496</v>
      </c>
      <c r="F15" s="8" t="n">
        <v>0</v>
      </c>
      <c r="G15" s="8" t="n">
        <f aca="false">D15+E15+F15</f>
        <v>3078</v>
      </c>
      <c r="H15" s="9" t="n">
        <f aca="false">D15/G15</f>
        <v>0.513970110461339</v>
      </c>
      <c r="I15" s="8" t="n">
        <v>0</v>
      </c>
      <c r="J15" s="8" t="n">
        <v>0</v>
      </c>
      <c r="K15" s="8" t="n">
        <f aca="false">I15+J15</f>
        <v>0</v>
      </c>
      <c r="L15" s="9" t="str">
        <f aca="false">IF(K15=0,"",I15/K15)</f>
        <v/>
      </c>
      <c r="M15" s="8" t="n">
        <f aca="false">IF(OR(A15=2020,A15=2024),1,0)</f>
        <v>1</v>
      </c>
    </row>
    <row r="16" customFormat="false" ht="15" hidden="false" customHeight="true" outlineLevel="0" collapsed="false">
      <c r="A16" s="8" t="n">
        <v>2022</v>
      </c>
      <c r="B16" s="8" t="s">
        <v>76</v>
      </c>
      <c r="C16" s="8" t="s">
        <v>73</v>
      </c>
      <c r="D16" s="8" t="n">
        <v>1135</v>
      </c>
      <c r="E16" s="8" t="n">
        <v>975</v>
      </c>
      <c r="F16" s="8" t="n">
        <v>0</v>
      </c>
      <c r="G16" s="8" t="n">
        <f aca="false">D16+E16+F16</f>
        <v>2110</v>
      </c>
      <c r="H16" s="9" t="n">
        <f aca="false">D16/G16</f>
        <v>0.537914691943128</v>
      </c>
      <c r="I16" s="8" t="n">
        <v>1235</v>
      </c>
      <c r="J16" s="8" t="n">
        <v>827</v>
      </c>
      <c r="K16" s="8" t="n">
        <f aca="false">I16+J16</f>
        <v>2062</v>
      </c>
      <c r="L16" s="9" t="n">
        <f aca="false">IF(K16=0,"",I16/K16)</f>
        <v>0.598933074684772</v>
      </c>
      <c r="M16" s="8" t="n">
        <f aca="false">IF(OR(A16=2020,A16=2024),1,0)</f>
        <v>0</v>
      </c>
    </row>
    <row r="17" customFormat="false" ht="15" hidden="false" customHeight="true" outlineLevel="0" collapsed="false">
      <c r="A17" s="8" t="n">
        <v>2024</v>
      </c>
      <c r="B17" s="8" t="s">
        <v>76</v>
      </c>
      <c r="C17" s="8" t="s">
        <v>73</v>
      </c>
      <c r="D17" s="8" t="n">
        <v>1560</v>
      </c>
      <c r="E17" s="8" t="n">
        <v>1491</v>
      </c>
      <c r="F17" s="8" t="n">
        <v>0</v>
      </c>
      <c r="G17" s="8" t="n">
        <f aca="false">D17+E17+F17</f>
        <v>3051</v>
      </c>
      <c r="H17" s="9" t="n">
        <f aca="false">D17/G17</f>
        <v>0.511307767944936</v>
      </c>
      <c r="I17" s="8" t="n">
        <v>0</v>
      </c>
      <c r="J17" s="8" t="n">
        <v>0</v>
      </c>
      <c r="K17" s="8" t="n">
        <f aca="false">I17+J17</f>
        <v>0</v>
      </c>
      <c r="L17" s="9" t="str">
        <f aca="false">IF(K17=0,"",I17/K17)</f>
        <v/>
      </c>
      <c r="M17" s="8" t="n">
        <f aca="false">IF(OR(A17=2020,A17=2024),1,0)</f>
        <v>1</v>
      </c>
    </row>
    <row r="18" customFormat="false" ht="15" hidden="false" customHeight="true" outlineLevel="0" collapsed="false">
      <c r="A18" s="8" t="n">
        <v>2018</v>
      </c>
      <c r="B18" s="8" t="s">
        <v>77</v>
      </c>
      <c r="C18" s="8" t="s">
        <v>73</v>
      </c>
      <c r="D18" s="8" t="n">
        <v>513</v>
      </c>
      <c r="E18" s="8" t="n">
        <v>446</v>
      </c>
      <c r="F18" s="8" t="n">
        <v>46</v>
      </c>
      <c r="G18" s="8" t="n">
        <f aca="false">D18+E18+F18</f>
        <v>1005</v>
      </c>
      <c r="H18" s="9" t="n">
        <f aca="false">D18/G18</f>
        <v>0.51044776119403</v>
      </c>
      <c r="I18" s="8" t="n">
        <v>583</v>
      </c>
      <c r="J18" s="8" t="n">
        <v>403</v>
      </c>
      <c r="K18" s="8" t="n">
        <f aca="false">I18+J18</f>
        <v>986</v>
      </c>
      <c r="L18" s="9" t="n">
        <f aca="false">IF(K18=0,"",I18/K18)</f>
        <v>0.591277890466532</v>
      </c>
      <c r="M18" s="8" t="n">
        <f aca="false">IF(OR(A18=2020,A18=2024),1,0)</f>
        <v>0</v>
      </c>
    </row>
    <row r="19" customFormat="false" ht="15" hidden="false" customHeight="true" outlineLevel="0" collapsed="false">
      <c r="A19" s="8" t="n">
        <v>2020</v>
      </c>
      <c r="B19" s="8" t="s">
        <v>77</v>
      </c>
      <c r="C19" s="8" t="s">
        <v>73</v>
      </c>
      <c r="D19" s="8" t="n">
        <v>704</v>
      </c>
      <c r="E19" s="8" t="n">
        <v>791</v>
      </c>
      <c r="F19" s="8" t="n">
        <v>0</v>
      </c>
      <c r="G19" s="8" t="n">
        <f aca="false">D19+E19+F19</f>
        <v>1495</v>
      </c>
      <c r="H19" s="9" t="n">
        <f aca="false">D19/G19</f>
        <v>0.470903010033445</v>
      </c>
      <c r="I19" s="8" t="n">
        <v>0</v>
      </c>
      <c r="J19" s="8" t="n">
        <v>0</v>
      </c>
      <c r="K19" s="8" t="n">
        <f aca="false">I19+J19</f>
        <v>0</v>
      </c>
      <c r="L19" s="9" t="str">
        <f aca="false">IF(K19=0,"",I19/K19)</f>
        <v/>
      </c>
      <c r="M19" s="8" t="n">
        <f aca="false">IF(OR(A19=2020,A19=2024),1,0)</f>
        <v>1</v>
      </c>
    </row>
    <row r="20" customFormat="false" ht="15" hidden="false" customHeight="true" outlineLevel="0" collapsed="false">
      <c r="A20" s="8" t="n">
        <v>2022</v>
      </c>
      <c r="B20" s="8" t="s">
        <v>77</v>
      </c>
      <c r="C20" s="8" t="s">
        <v>73</v>
      </c>
      <c r="D20" s="8" t="n">
        <v>621</v>
      </c>
      <c r="E20" s="8" t="n">
        <v>598</v>
      </c>
      <c r="F20" s="8" t="n">
        <v>0</v>
      </c>
      <c r="G20" s="8" t="n">
        <f aca="false">D20+E20+F20</f>
        <v>1219</v>
      </c>
      <c r="H20" s="9" t="n">
        <f aca="false">D20/G20</f>
        <v>0.509433962264151</v>
      </c>
      <c r="I20" s="8" t="n">
        <v>673</v>
      </c>
      <c r="J20" s="8" t="n">
        <v>516</v>
      </c>
      <c r="K20" s="8" t="n">
        <f aca="false">I20+J20</f>
        <v>1189</v>
      </c>
      <c r="L20" s="9" t="n">
        <f aca="false">IF(K20=0,"",I20/K20)</f>
        <v>0.566021867115223</v>
      </c>
      <c r="M20" s="8" t="n">
        <f aca="false">IF(OR(A20=2020,A20=2024),1,0)</f>
        <v>0</v>
      </c>
    </row>
    <row r="21" customFormat="false" ht="15" hidden="false" customHeight="true" outlineLevel="0" collapsed="false">
      <c r="A21" s="8" t="n">
        <v>2024</v>
      </c>
      <c r="B21" s="8" t="s">
        <v>77</v>
      </c>
      <c r="C21" s="8" t="s">
        <v>73</v>
      </c>
      <c r="D21" s="8" t="n">
        <v>735</v>
      </c>
      <c r="E21" s="8" t="n">
        <v>804</v>
      </c>
      <c r="F21" s="8" t="n">
        <v>0</v>
      </c>
      <c r="G21" s="8" t="n">
        <f aca="false">D21+E21+F21</f>
        <v>1539</v>
      </c>
      <c r="H21" s="9" t="n">
        <f aca="false">D21/G21</f>
        <v>0.477582846003899</v>
      </c>
      <c r="I21" s="8" t="n">
        <v>0</v>
      </c>
      <c r="J21" s="8" t="n">
        <v>0</v>
      </c>
      <c r="K21" s="8" t="n">
        <f aca="false">I21+J21</f>
        <v>0</v>
      </c>
      <c r="L21" s="9" t="str">
        <f aca="false">IF(K21=0,"",I21/K21)</f>
        <v/>
      </c>
      <c r="M21" s="8" t="n">
        <f aca="false">IF(OR(A21=2020,A21=2024),1,0)</f>
        <v>1</v>
      </c>
    </row>
    <row r="22" customFormat="false" ht="15" hidden="false" customHeight="true" outlineLevel="0" collapsed="false">
      <c r="A22" s="8" t="n">
        <v>2018</v>
      </c>
      <c r="B22" s="8" t="s">
        <v>78</v>
      </c>
      <c r="C22" s="8" t="s">
        <v>73</v>
      </c>
      <c r="D22" s="8" t="n">
        <v>660</v>
      </c>
      <c r="E22" s="8" t="n">
        <v>515</v>
      </c>
      <c r="F22" s="8" t="n">
        <v>54</v>
      </c>
      <c r="G22" s="8" t="n">
        <f aca="false">D22+E22+F22</f>
        <v>1229</v>
      </c>
      <c r="H22" s="9" t="n">
        <f aca="false">D22/G22</f>
        <v>0.537021969080553</v>
      </c>
      <c r="I22" s="8" t="n">
        <v>732</v>
      </c>
      <c r="J22" s="8" t="n">
        <v>470</v>
      </c>
      <c r="K22" s="8" t="n">
        <f aca="false">I22+J22</f>
        <v>1202</v>
      </c>
      <c r="L22" s="9" t="n">
        <f aca="false">IF(K22=0,"",I22/K22)</f>
        <v>0.608985024958403</v>
      </c>
      <c r="M22" s="8" t="n">
        <f aca="false">IF(OR(A22=2020,A22=2024),1,0)</f>
        <v>0</v>
      </c>
    </row>
    <row r="23" customFormat="false" ht="15" hidden="false" customHeight="true" outlineLevel="0" collapsed="false">
      <c r="A23" s="8" t="n">
        <v>2020</v>
      </c>
      <c r="B23" s="8" t="s">
        <v>78</v>
      </c>
      <c r="C23" s="8" t="s">
        <v>73</v>
      </c>
      <c r="D23" s="8" t="n">
        <v>878</v>
      </c>
      <c r="E23" s="8" t="n">
        <v>870</v>
      </c>
      <c r="F23" s="8" t="n">
        <v>0</v>
      </c>
      <c r="G23" s="8" t="n">
        <f aca="false">D23+E23+F23</f>
        <v>1748</v>
      </c>
      <c r="H23" s="9" t="n">
        <f aca="false">D23/G23</f>
        <v>0.502288329519451</v>
      </c>
      <c r="I23" s="8" t="n">
        <v>0</v>
      </c>
      <c r="J23" s="8" t="n">
        <v>0</v>
      </c>
      <c r="K23" s="8" t="n">
        <f aca="false">I23+J23</f>
        <v>0</v>
      </c>
      <c r="L23" s="9" t="str">
        <f aca="false">IF(K23=0,"",I23/K23)</f>
        <v/>
      </c>
      <c r="M23" s="8" t="n">
        <f aca="false">IF(OR(A23=2020,A23=2024),1,0)</f>
        <v>1</v>
      </c>
    </row>
    <row r="24" customFormat="false" ht="15" hidden="false" customHeight="true" outlineLevel="0" collapsed="false">
      <c r="A24" s="8" t="n">
        <v>2022</v>
      </c>
      <c r="B24" s="8" t="s">
        <v>78</v>
      </c>
      <c r="C24" s="8" t="s">
        <v>73</v>
      </c>
      <c r="D24" s="8" t="n">
        <v>691</v>
      </c>
      <c r="E24" s="8" t="n">
        <v>606</v>
      </c>
      <c r="F24" s="8" t="n">
        <v>0</v>
      </c>
      <c r="G24" s="8" t="n">
        <f aca="false">D24+E24+F24</f>
        <v>1297</v>
      </c>
      <c r="H24" s="9" t="n">
        <f aca="false">D24/G24</f>
        <v>0.532767925983038</v>
      </c>
      <c r="I24" s="8" t="n">
        <v>743</v>
      </c>
      <c r="J24" s="8" t="n">
        <v>528</v>
      </c>
      <c r="K24" s="8" t="n">
        <f aca="false">I24+J24</f>
        <v>1271</v>
      </c>
      <c r="L24" s="9" t="n">
        <f aca="false">IF(K24=0,"",I24/K24)</f>
        <v>0.584579071597168</v>
      </c>
      <c r="M24" s="8" t="n">
        <f aca="false">IF(OR(A24=2020,A24=2024),1,0)</f>
        <v>0</v>
      </c>
    </row>
    <row r="25" customFormat="false" ht="15" hidden="false" customHeight="true" outlineLevel="0" collapsed="false">
      <c r="A25" s="8" t="n">
        <v>2024</v>
      </c>
      <c r="B25" s="8" t="s">
        <v>78</v>
      </c>
      <c r="C25" s="8" t="s">
        <v>73</v>
      </c>
      <c r="D25" s="8" t="n">
        <v>899</v>
      </c>
      <c r="E25" s="8" t="n">
        <v>898</v>
      </c>
      <c r="F25" s="8" t="n">
        <v>0</v>
      </c>
      <c r="G25" s="8" t="n">
        <f aca="false">D25+E25+F25</f>
        <v>1797</v>
      </c>
      <c r="H25" s="9" t="n">
        <f aca="false">D25/G25</f>
        <v>0.500278241513634</v>
      </c>
      <c r="I25" s="8" t="n">
        <v>0</v>
      </c>
      <c r="J25" s="8" t="n">
        <v>0</v>
      </c>
      <c r="K25" s="8" t="n">
        <f aca="false">I25+J25</f>
        <v>0</v>
      </c>
      <c r="L25" s="9" t="str">
        <f aca="false">IF(K25=0,"",I25/K25)</f>
        <v/>
      </c>
      <c r="M25" s="8" t="n">
        <f aca="false">IF(OR(A25=2020,A25=2024),1,0)</f>
        <v>1</v>
      </c>
    </row>
    <row r="26" customFormat="false" ht="15" hidden="false" customHeight="true" outlineLevel="0" collapsed="false">
      <c r="A26" s="8" t="n">
        <v>2018</v>
      </c>
      <c r="B26" s="8" t="s">
        <v>79</v>
      </c>
      <c r="C26" s="8" t="s">
        <v>73</v>
      </c>
      <c r="D26" s="8" t="n">
        <v>2434</v>
      </c>
      <c r="E26" s="8" t="n">
        <v>1955</v>
      </c>
      <c r="F26" s="8" t="n">
        <v>181</v>
      </c>
      <c r="G26" s="8" t="n">
        <f aca="false">D26+E26+F26</f>
        <v>4570</v>
      </c>
      <c r="H26" s="9" t="n">
        <f aca="false">D26/G26</f>
        <v>0.532603938730853</v>
      </c>
      <c r="I26" s="8" t="n">
        <v>2687</v>
      </c>
      <c r="J26" s="8" t="n">
        <v>1769</v>
      </c>
      <c r="K26" s="8" t="n">
        <f aca="false">I26+J26</f>
        <v>4456</v>
      </c>
      <c r="L26" s="9" t="n">
        <f aca="false">IF(K26=0,"",I26/K26)</f>
        <v>0.603007181328546</v>
      </c>
      <c r="M26" s="8" t="n">
        <f aca="false">IF(OR(A26=2020,A26=2024),1,0)</f>
        <v>0</v>
      </c>
    </row>
    <row r="27" customFormat="false" ht="15" hidden="false" customHeight="true" outlineLevel="0" collapsed="false">
      <c r="A27" s="8" t="n">
        <v>2020</v>
      </c>
      <c r="B27" s="8" t="s">
        <v>79</v>
      </c>
      <c r="C27" s="8" t="s">
        <v>73</v>
      </c>
      <c r="D27" s="8" t="n">
        <v>3393</v>
      </c>
      <c r="E27" s="8" t="n">
        <v>3078</v>
      </c>
      <c r="F27" s="8" t="n">
        <v>0</v>
      </c>
      <c r="G27" s="8" t="n">
        <f aca="false">D27+E27+F27</f>
        <v>6471</v>
      </c>
      <c r="H27" s="9" t="n">
        <f aca="false">D27/G27</f>
        <v>0.524339360222531</v>
      </c>
      <c r="I27" s="8" t="n">
        <v>0</v>
      </c>
      <c r="J27" s="8" t="n">
        <v>0</v>
      </c>
      <c r="K27" s="8" t="n">
        <f aca="false">I27+J27</f>
        <v>0</v>
      </c>
      <c r="L27" s="9" t="str">
        <f aca="false">IF(K27=0,"",I27/K27)</f>
        <v/>
      </c>
      <c r="M27" s="8" t="n">
        <f aca="false">IF(OR(A27=2020,A27=2024),1,0)</f>
        <v>1</v>
      </c>
    </row>
    <row r="28" customFormat="false" ht="15" hidden="false" customHeight="true" outlineLevel="0" collapsed="false">
      <c r="A28" s="8" t="n">
        <v>2022</v>
      </c>
      <c r="B28" s="8" t="s">
        <v>79</v>
      </c>
      <c r="C28" s="8" t="s">
        <v>73</v>
      </c>
      <c r="D28" s="8" t="n">
        <v>2834</v>
      </c>
      <c r="E28" s="8" t="n">
        <v>2250</v>
      </c>
      <c r="F28" s="8" t="n">
        <v>0</v>
      </c>
      <c r="G28" s="8" t="n">
        <f aca="false">D28+E28+F28</f>
        <v>5084</v>
      </c>
      <c r="H28" s="9" t="n">
        <f aca="false">D28/G28</f>
        <v>0.557435090479937</v>
      </c>
      <c r="I28" s="8" t="n">
        <v>3045</v>
      </c>
      <c r="J28" s="8" t="n">
        <v>1925</v>
      </c>
      <c r="K28" s="8" t="n">
        <f aca="false">I28+J28</f>
        <v>4970</v>
      </c>
      <c r="L28" s="9" t="n">
        <f aca="false">IF(K28=0,"",I28/K28)</f>
        <v>0.612676056338028</v>
      </c>
      <c r="M28" s="8" t="n">
        <f aca="false">IF(OR(A28=2020,A28=2024),1,0)</f>
        <v>0</v>
      </c>
    </row>
    <row r="29" customFormat="false" ht="15" hidden="false" customHeight="true" outlineLevel="0" collapsed="false">
      <c r="A29" s="8" t="n">
        <v>2024</v>
      </c>
      <c r="B29" s="8" t="s">
        <v>79</v>
      </c>
      <c r="C29" s="8" t="s">
        <v>73</v>
      </c>
      <c r="D29" s="8" t="n">
        <v>3663</v>
      </c>
      <c r="E29" s="8" t="n">
        <v>3236</v>
      </c>
      <c r="F29" s="8" t="n">
        <v>0</v>
      </c>
      <c r="G29" s="8" t="n">
        <f aca="false">D29+E29+F29</f>
        <v>6899</v>
      </c>
      <c r="H29" s="9" t="n">
        <f aca="false">D29/G29</f>
        <v>0.530946513987535</v>
      </c>
      <c r="I29" s="8" t="n">
        <v>0</v>
      </c>
      <c r="J29" s="8" t="n">
        <v>0</v>
      </c>
      <c r="K29" s="8" t="n">
        <f aca="false">I29+J29</f>
        <v>0</v>
      </c>
      <c r="L29" s="9" t="str">
        <f aca="false">IF(K29=0,"",I29/K29)</f>
        <v/>
      </c>
      <c r="M29" s="8" t="n">
        <f aca="false">IF(OR(A29=2020,A29=2024),1,0)</f>
        <v>1</v>
      </c>
    </row>
    <row r="30" customFormat="false" ht="15" hidden="false" customHeight="true" outlineLevel="0" collapsed="false">
      <c r="A30" s="8" t="n">
        <v>2018</v>
      </c>
      <c r="B30" s="8" t="s">
        <v>80</v>
      </c>
      <c r="C30" s="8" t="s">
        <v>73</v>
      </c>
      <c r="D30" s="8" t="n">
        <v>1077</v>
      </c>
      <c r="E30" s="8" t="n">
        <v>463</v>
      </c>
      <c r="F30" s="8" t="n">
        <v>78</v>
      </c>
      <c r="G30" s="8" t="n">
        <f aca="false">D30+E30+F30</f>
        <v>1618</v>
      </c>
      <c r="H30" s="9" t="n">
        <f aca="false">D30/G30</f>
        <v>0.665636588380717</v>
      </c>
      <c r="I30" s="8" t="n">
        <v>1149</v>
      </c>
      <c r="J30" s="8" t="n">
        <v>425</v>
      </c>
      <c r="K30" s="8" t="n">
        <f aca="false">I30+J30</f>
        <v>1574</v>
      </c>
      <c r="L30" s="9" t="n">
        <f aca="false">IF(K30=0,"",I30/K30)</f>
        <v>0.729987293519695</v>
      </c>
      <c r="M30" s="8" t="n">
        <f aca="false">IF(OR(A30=2020,A30=2024),1,0)</f>
        <v>0</v>
      </c>
    </row>
    <row r="31" customFormat="false" ht="15" hidden="false" customHeight="true" outlineLevel="0" collapsed="false">
      <c r="A31" s="8" t="n">
        <v>2020</v>
      </c>
      <c r="B31" s="8" t="s">
        <v>80</v>
      </c>
      <c r="C31" s="8" t="s">
        <v>73</v>
      </c>
      <c r="D31" s="8" t="n">
        <v>1481</v>
      </c>
      <c r="E31" s="8" t="n">
        <v>737</v>
      </c>
      <c r="F31" s="8" t="n">
        <v>0</v>
      </c>
      <c r="G31" s="8" t="n">
        <f aca="false">D31+E31+F31</f>
        <v>2218</v>
      </c>
      <c r="H31" s="9" t="n">
        <f aca="false">D31/G31</f>
        <v>0.667718665464382</v>
      </c>
      <c r="I31" s="8" t="n">
        <v>0</v>
      </c>
      <c r="J31" s="8" t="n">
        <v>0</v>
      </c>
      <c r="K31" s="8" t="n">
        <f aca="false">I31+J31</f>
        <v>0</v>
      </c>
      <c r="L31" s="9" t="str">
        <f aca="false">IF(K31=0,"",I31/K31)</f>
        <v/>
      </c>
      <c r="M31" s="8" t="n">
        <f aca="false">IF(OR(A31=2020,A31=2024),1,0)</f>
        <v>1</v>
      </c>
    </row>
    <row r="32" customFormat="false" ht="15" hidden="false" customHeight="true" outlineLevel="0" collapsed="false">
      <c r="A32" s="8" t="n">
        <v>2022</v>
      </c>
      <c r="B32" s="8" t="s">
        <v>80</v>
      </c>
      <c r="C32" s="8" t="s">
        <v>73</v>
      </c>
      <c r="D32" s="8" t="n">
        <v>1070</v>
      </c>
      <c r="E32" s="8" t="n">
        <v>479</v>
      </c>
      <c r="F32" s="8" t="n">
        <v>0</v>
      </c>
      <c r="G32" s="8" t="n">
        <f aca="false">D32+E32+F32</f>
        <v>1549</v>
      </c>
      <c r="H32" s="9" t="n">
        <f aca="false">D32/G32</f>
        <v>0.690768237572628</v>
      </c>
      <c r="I32" s="8" t="n">
        <v>1119</v>
      </c>
      <c r="J32" s="8" t="n">
        <v>403</v>
      </c>
      <c r="K32" s="8" t="n">
        <f aca="false">I32+J32</f>
        <v>1522</v>
      </c>
      <c r="L32" s="9" t="n">
        <f aca="false">IF(K32=0,"",I32/K32)</f>
        <v>0.735216819973719</v>
      </c>
      <c r="M32" s="8" t="n">
        <f aca="false">IF(OR(A32=2020,A32=2024),1,0)</f>
        <v>0</v>
      </c>
    </row>
    <row r="33" customFormat="false" ht="15" hidden="false" customHeight="true" outlineLevel="0" collapsed="false">
      <c r="A33" s="8" t="n">
        <v>2024</v>
      </c>
      <c r="B33" s="8" t="s">
        <v>80</v>
      </c>
      <c r="C33" s="8" t="s">
        <v>73</v>
      </c>
      <c r="D33" s="8" t="n">
        <v>1433</v>
      </c>
      <c r="E33" s="8" t="n">
        <v>793</v>
      </c>
      <c r="F33" s="8" t="n">
        <v>0</v>
      </c>
      <c r="G33" s="8" t="n">
        <f aca="false">D33+E33+F33</f>
        <v>2226</v>
      </c>
      <c r="H33" s="9" t="n">
        <f aca="false">D33/G33</f>
        <v>0.643755615453729</v>
      </c>
      <c r="I33" s="8" t="n">
        <v>0</v>
      </c>
      <c r="J33" s="8" t="n">
        <v>0</v>
      </c>
      <c r="K33" s="8" t="n">
        <f aca="false">I33+J33</f>
        <v>0</v>
      </c>
      <c r="L33" s="9" t="str">
        <f aca="false">IF(K33=0,"",I33/K33)</f>
        <v/>
      </c>
      <c r="M33" s="8" t="n">
        <f aca="false">IF(OR(A33=2020,A33=2024),1,0)</f>
        <v>1</v>
      </c>
    </row>
    <row r="34" customFormat="false" ht="15" hidden="false" customHeight="true" outlineLevel="0" collapsed="false">
      <c r="A34" s="8" t="n">
        <v>2018</v>
      </c>
      <c r="B34" s="8" t="s">
        <v>81</v>
      </c>
      <c r="C34" s="8" t="s">
        <v>73</v>
      </c>
      <c r="D34" s="8" t="n">
        <v>294</v>
      </c>
      <c r="E34" s="8" t="n">
        <v>198</v>
      </c>
      <c r="F34" s="8" t="n">
        <v>11</v>
      </c>
      <c r="G34" s="8" t="n">
        <f aca="false">D34+E34+F34</f>
        <v>503</v>
      </c>
      <c r="H34" s="9" t="n">
        <f aca="false">D34/G34</f>
        <v>0.584493041749503</v>
      </c>
      <c r="I34" s="8" t="n">
        <v>314</v>
      </c>
      <c r="J34" s="8" t="n">
        <v>177</v>
      </c>
      <c r="K34" s="8" t="n">
        <f aca="false">I34+J34</f>
        <v>491</v>
      </c>
      <c r="L34" s="9" t="n">
        <f aca="false">IF(K34=0,"",I34/K34)</f>
        <v>0.639511201629328</v>
      </c>
      <c r="M34" s="8" t="n">
        <f aca="false">IF(OR(A34=2020,A34=2024),1,0)</f>
        <v>0</v>
      </c>
    </row>
    <row r="35" customFormat="false" ht="15" hidden="false" customHeight="true" outlineLevel="0" collapsed="false">
      <c r="A35" s="8" t="n">
        <v>2020</v>
      </c>
      <c r="B35" s="8" t="s">
        <v>81</v>
      </c>
      <c r="C35" s="8" t="s">
        <v>73</v>
      </c>
      <c r="D35" s="8" t="n">
        <v>405</v>
      </c>
      <c r="E35" s="8" t="n">
        <v>304</v>
      </c>
      <c r="F35" s="8" t="n">
        <v>0</v>
      </c>
      <c r="G35" s="8" t="n">
        <f aca="false">D35+E35+F35</f>
        <v>709</v>
      </c>
      <c r="H35" s="9" t="n">
        <f aca="false">D35/G35</f>
        <v>0.571227080394922</v>
      </c>
      <c r="I35" s="8" t="n">
        <v>0</v>
      </c>
      <c r="J35" s="8" t="n">
        <v>0</v>
      </c>
      <c r="K35" s="8" t="n">
        <f aca="false">I35+J35</f>
        <v>0</v>
      </c>
      <c r="L35" s="9" t="str">
        <f aca="false">IF(K35=0,"",I35/K35)</f>
        <v/>
      </c>
      <c r="M35" s="8" t="n">
        <f aca="false">IF(OR(A35=2020,A35=2024),1,0)</f>
        <v>1</v>
      </c>
    </row>
    <row r="36" customFormat="false" ht="15" hidden="false" customHeight="true" outlineLevel="0" collapsed="false">
      <c r="A36" s="8" t="n">
        <v>2022</v>
      </c>
      <c r="B36" s="8" t="s">
        <v>81</v>
      </c>
      <c r="C36" s="8" t="s">
        <v>73</v>
      </c>
      <c r="D36" s="8" t="n">
        <v>262</v>
      </c>
      <c r="E36" s="8" t="n">
        <v>205</v>
      </c>
      <c r="F36" s="8" t="n">
        <v>0</v>
      </c>
      <c r="G36" s="8" t="n">
        <f aca="false">D36+E36+F36</f>
        <v>467</v>
      </c>
      <c r="H36" s="9" t="n">
        <f aca="false">D36/G36</f>
        <v>0.561027837259101</v>
      </c>
      <c r="I36" s="8" t="n">
        <v>283</v>
      </c>
      <c r="J36" s="8" t="n">
        <v>175</v>
      </c>
      <c r="K36" s="8" t="n">
        <f aca="false">I36+J36</f>
        <v>458</v>
      </c>
      <c r="L36" s="9" t="n">
        <f aca="false">IF(K36=0,"",I36/K36)</f>
        <v>0.617903930131004</v>
      </c>
      <c r="M36" s="8" t="n">
        <f aca="false">IF(OR(A36=2020,A36=2024),1,0)</f>
        <v>0</v>
      </c>
    </row>
    <row r="37" customFormat="false" ht="15" hidden="false" customHeight="true" outlineLevel="0" collapsed="false">
      <c r="A37" s="8" t="n">
        <v>2024</v>
      </c>
      <c r="B37" s="8" t="s">
        <v>81</v>
      </c>
      <c r="C37" s="8" t="s">
        <v>73</v>
      </c>
      <c r="D37" s="8" t="n">
        <v>379</v>
      </c>
      <c r="E37" s="8" t="n">
        <v>330</v>
      </c>
      <c r="F37" s="8" t="n">
        <v>0</v>
      </c>
      <c r="G37" s="8" t="n">
        <f aca="false">D37+E37+F37</f>
        <v>709</v>
      </c>
      <c r="H37" s="9" t="n">
        <f aca="false">D37/G37</f>
        <v>0.534555712270804</v>
      </c>
      <c r="I37" s="8" t="n">
        <v>0</v>
      </c>
      <c r="J37" s="8" t="n">
        <v>0</v>
      </c>
      <c r="K37" s="8" t="n">
        <f aca="false">I37+J37</f>
        <v>0</v>
      </c>
      <c r="L37" s="9" t="str">
        <f aca="false">IF(K37=0,"",I37/K37)</f>
        <v/>
      </c>
      <c r="M37" s="8" t="n">
        <f aca="false">IF(OR(A37=2020,A37=2024),1,0)</f>
        <v>1</v>
      </c>
    </row>
    <row r="38" customFormat="false" ht="15" hidden="false" customHeight="true" outlineLevel="0" collapsed="false">
      <c r="A38" s="8" t="n">
        <v>2018</v>
      </c>
      <c r="B38" s="8" t="s">
        <v>82</v>
      </c>
      <c r="C38" s="8" t="s">
        <v>73</v>
      </c>
      <c r="D38" s="8" t="n">
        <v>498</v>
      </c>
      <c r="E38" s="8" t="n">
        <v>876</v>
      </c>
      <c r="F38" s="8" t="n">
        <v>52</v>
      </c>
      <c r="G38" s="8" t="n">
        <f aca="false">D38+E38+F38</f>
        <v>1426</v>
      </c>
      <c r="H38" s="9" t="n">
        <f aca="false">D38/G38</f>
        <v>0.349228611500701</v>
      </c>
      <c r="I38" s="8" t="n">
        <v>596</v>
      </c>
      <c r="J38" s="8" t="n">
        <v>806</v>
      </c>
      <c r="K38" s="8" t="n">
        <f aca="false">I38+J38</f>
        <v>1402</v>
      </c>
      <c r="L38" s="9" t="n">
        <f aca="false">IF(K38=0,"",I38/K38)</f>
        <v>0.425106990014265</v>
      </c>
      <c r="M38" s="8" t="n">
        <f aca="false">IF(OR(A38=2020,A38=2024),1,0)</f>
        <v>0</v>
      </c>
    </row>
    <row r="39" customFormat="false" ht="15" hidden="false" customHeight="true" outlineLevel="0" collapsed="false">
      <c r="A39" s="8" t="n">
        <v>2020</v>
      </c>
      <c r="B39" s="8" t="s">
        <v>82</v>
      </c>
      <c r="C39" s="8" t="s">
        <v>73</v>
      </c>
      <c r="D39" s="8" t="n">
        <v>602</v>
      </c>
      <c r="E39" s="8" t="n">
        <v>1339</v>
      </c>
      <c r="F39" s="8" t="n">
        <v>0</v>
      </c>
      <c r="G39" s="8" t="n">
        <f aca="false">D39+E39+F39</f>
        <v>1941</v>
      </c>
      <c r="H39" s="9" t="n">
        <f aca="false">D39/G39</f>
        <v>0.310149407521896</v>
      </c>
      <c r="I39" s="8" t="n">
        <v>0</v>
      </c>
      <c r="J39" s="8" t="n">
        <v>0</v>
      </c>
      <c r="K39" s="8" t="n">
        <f aca="false">I39+J39</f>
        <v>0</v>
      </c>
      <c r="L39" s="9" t="str">
        <f aca="false">IF(K39=0,"",I39/K39)</f>
        <v/>
      </c>
      <c r="M39" s="8" t="n">
        <f aca="false">IF(OR(A39=2020,A39=2024),1,0)</f>
        <v>1</v>
      </c>
    </row>
    <row r="40" customFormat="false" ht="15" hidden="false" customHeight="true" outlineLevel="0" collapsed="false">
      <c r="A40" s="8" t="n">
        <v>2022</v>
      </c>
      <c r="B40" s="8" t="s">
        <v>82</v>
      </c>
      <c r="C40" s="8" t="s">
        <v>73</v>
      </c>
      <c r="D40" s="8" t="n">
        <v>532</v>
      </c>
      <c r="E40" s="8" t="n">
        <v>1068</v>
      </c>
      <c r="F40" s="8" t="n">
        <v>0</v>
      </c>
      <c r="G40" s="8" t="n">
        <f aca="false">D40+E40+F40</f>
        <v>1600</v>
      </c>
      <c r="H40" s="9" t="n">
        <f aca="false">D40/G40</f>
        <v>0.3325</v>
      </c>
      <c r="I40" s="8" t="n">
        <v>603</v>
      </c>
      <c r="J40" s="8" t="n">
        <v>985</v>
      </c>
      <c r="K40" s="8" t="n">
        <f aca="false">I40+J40</f>
        <v>1588</v>
      </c>
      <c r="L40" s="9" t="n">
        <f aca="false">IF(K40=0,"",I40/K40)</f>
        <v>0.379722921914358</v>
      </c>
      <c r="M40" s="8" t="n">
        <f aca="false">IF(OR(A40=2020,A40=2024),1,0)</f>
        <v>0</v>
      </c>
    </row>
    <row r="41" customFormat="false" ht="15" hidden="false" customHeight="true" outlineLevel="0" collapsed="false">
      <c r="A41" s="8" t="n">
        <v>2024</v>
      </c>
      <c r="B41" s="8" t="s">
        <v>82</v>
      </c>
      <c r="C41" s="8" t="s">
        <v>73</v>
      </c>
      <c r="D41" s="8" t="n">
        <v>654</v>
      </c>
      <c r="E41" s="8" t="n">
        <v>1439</v>
      </c>
      <c r="F41" s="8" t="n">
        <v>0</v>
      </c>
      <c r="G41" s="8" t="n">
        <f aca="false">D41+E41+F41</f>
        <v>2093</v>
      </c>
      <c r="H41" s="9" t="n">
        <f aca="false">D41/G41</f>
        <v>0.312470138557095</v>
      </c>
      <c r="I41" s="8" t="n">
        <v>0</v>
      </c>
      <c r="J41" s="8" t="n">
        <v>0</v>
      </c>
      <c r="K41" s="8" t="n">
        <f aca="false">I41+J41</f>
        <v>0</v>
      </c>
      <c r="L41" s="9" t="str">
        <f aca="false">IF(K41=0,"",I41/K41)</f>
        <v/>
      </c>
      <c r="M41" s="8" t="n">
        <f aca="false">IF(OR(A41=2020,A41=2024),1,0)</f>
        <v>1</v>
      </c>
    </row>
    <row r="42" customFormat="false" ht="15" hidden="false" customHeight="true" outlineLevel="0" collapsed="false">
      <c r="A42" s="8" t="n">
        <v>2018</v>
      </c>
      <c r="B42" s="8" t="s">
        <v>83</v>
      </c>
      <c r="C42" s="8" t="s">
        <v>73</v>
      </c>
      <c r="D42" s="8" t="n">
        <v>7236</v>
      </c>
      <c r="E42" s="8" t="n">
        <v>6846</v>
      </c>
      <c r="F42" s="8" t="n">
        <v>403</v>
      </c>
      <c r="G42" s="8" t="n">
        <f aca="false">D42+E42+F42</f>
        <v>14485</v>
      </c>
      <c r="H42" s="9" t="n">
        <f aca="false">D42/G42</f>
        <v>0.499551259924059</v>
      </c>
      <c r="I42" s="8" t="n">
        <v>8135</v>
      </c>
      <c r="J42" s="8" t="n">
        <v>6138</v>
      </c>
      <c r="K42" s="8" t="n">
        <f aca="false">I42+J42</f>
        <v>14273</v>
      </c>
      <c r="L42" s="9" t="n">
        <f aca="false">IF(K42=0,"",I42/K42)</f>
        <v>0.569957261963147</v>
      </c>
      <c r="M42" s="8" t="n">
        <f aca="false">IF(OR(A42=2020,A42=2024),1,0)</f>
        <v>0</v>
      </c>
    </row>
    <row r="43" customFormat="false" ht="15" hidden="false" customHeight="true" outlineLevel="0" collapsed="false">
      <c r="A43" s="8" t="n">
        <v>2020</v>
      </c>
      <c r="B43" s="8" t="s">
        <v>83</v>
      </c>
      <c r="C43" s="8" t="s">
        <v>73</v>
      </c>
      <c r="D43" s="8" t="n">
        <v>9782</v>
      </c>
      <c r="E43" s="8" t="n">
        <v>10014</v>
      </c>
      <c r="F43" s="8" t="n">
        <v>0</v>
      </c>
      <c r="G43" s="8" t="n">
        <f aca="false">D43+E43+F43</f>
        <v>19796</v>
      </c>
      <c r="H43" s="9" t="n">
        <f aca="false">D43/G43</f>
        <v>0.494140230349566</v>
      </c>
      <c r="I43" s="8" t="n">
        <v>0</v>
      </c>
      <c r="J43" s="8" t="n">
        <v>0</v>
      </c>
      <c r="K43" s="8" t="n">
        <f aca="false">I43+J43</f>
        <v>0</v>
      </c>
      <c r="L43" s="9" t="str">
        <f aca="false">IF(K43=0,"",I43/K43)</f>
        <v/>
      </c>
      <c r="M43" s="8" t="n">
        <f aca="false">IF(OR(A43=2020,A43=2024),1,0)</f>
        <v>1</v>
      </c>
    </row>
    <row r="44" customFormat="false" ht="15" hidden="false" customHeight="true" outlineLevel="0" collapsed="false">
      <c r="A44" s="8" t="n">
        <v>2022</v>
      </c>
      <c r="B44" s="8" t="s">
        <v>83</v>
      </c>
      <c r="C44" s="8" t="s">
        <v>73</v>
      </c>
      <c r="D44" s="8" t="n">
        <v>8358</v>
      </c>
      <c r="E44" s="8" t="n">
        <v>7595</v>
      </c>
      <c r="F44" s="8" t="n">
        <v>0</v>
      </c>
      <c r="G44" s="8" t="n">
        <f aca="false">D44+E44+F44</f>
        <v>15953</v>
      </c>
      <c r="H44" s="9" t="n">
        <f aca="false">D44/G44</f>
        <v>0.523913997367266</v>
      </c>
      <c r="I44" s="8" t="n">
        <v>9278</v>
      </c>
      <c r="J44" s="8" t="n">
        <v>6376</v>
      </c>
      <c r="K44" s="8" t="n">
        <f aca="false">I44+J44</f>
        <v>15654</v>
      </c>
      <c r="L44" s="9" t="n">
        <f aca="false">IF(K44=0,"",I44/K44)</f>
        <v>0.592691963715344</v>
      </c>
      <c r="M44" s="8" t="n">
        <f aca="false">IF(OR(A44=2020,A44=2024),1,0)</f>
        <v>0</v>
      </c>
    </row>
    <row r="45" customFormat="false" ht="15" hidden="false" customHeight="true" outlineLevel="0" collapsed="false">
      <c r="A45" s="8" t="n">
        <v>2024</v>
      </c>
      <c r="B45" s="8" t="s">
        <v>83</v>
      </c>
      <c r="C45" s="8" t="s">
        <v>73</v>
      </c>
      <c r="D45" s="8" t="n">
        <v>10021</v>
      </c>
      <c r="E45" s="8" t="n">
        <v>10199</v>
      </c>
      <c r="F45" s="8" t="n">
        <v>0</v>
      </c>
      <c r="G45" s="8" t="n">
        <f aca="false">D45+E45+F45</f>
        <v>20220</v>
      </c>
      <c r="H45" s="9" t="n">
        <f aca="false">D45/G45</f>
        <v>0.495598417408506</v>
      </c>
      <c r="I45" s="8" t="n">
        <v>0</v>
      </c>
      <c r="J45" s="8" t="n">
        <v>0</v>
      </c>
      <c r="K45" s="8" t="n">
        <f aca="false">I45+J45</f>
        <v>0</v>
      </c>
      <c r="L45" s="9" t="str">
        <f aca="false">IF(K45=0,"",I45/K45)</f>
        <v/>
      </c>
      <c r="M45" s="8" t="n">
        <f aca="false">IF(OR(A45=2020,A45=2024),1,0)</f>
        <v>1</v>
      </c>
    </row>
    <row r="46" customFormat="false" ht="15" hidden="false" customHeight="true" outlineLevel="0" collapsed="false">
      <c r="A46" s="8" t="n">
        <v>2018</v>
      </c>
      <c r="B46" s="8" t="s">
        <v>84</v>
      </c>
      <c r="C46" s="8" t="s">
        <v>73</v>
      </c>
      <c r="D46" s="8" t="n">
        <v>738</v>
      </c>
      <c r="E46" s="8" t="n">
        <v>1114</v>
      </c>
      <c r="F46" s="8" t="n">
        <v>48</v>
      </c>
      <c r="G46" s="8" t="n">
        <f aca="false">D46+E46+F46</f>
        <v>1900</v>
      </c>
      <c r="H46" s="9" t="n">
        <f aca="false">D46/G46</f>
        <v>0.388421052631579</v>
      </c>
      <c r="I46" s="8" t="n">
        <v>836</v>
      </c>
      <c r="J46" s="8" t="n">
        <v>1035</v>
      </c>
      <c r="K46" s="8" t="n">
        <f aca="false">I46+J46</f>
        <v>1871</v>
      </c>
      <c r="L46" s="9" t="n">
        <f aca="false">IF(K46=0,"",I46/K46)</f>
        <v>0.44681988241582</v>
      </c>
      <c r="M46" s="8" t="n">
        <f aca="false">IF(OR(A46=2020,A46=2024),1,0)</f>
        <v>0</v>
      </c>
    </row>
    <row r="47" customFormat="false" ht="15" hidden="false" customHeight="true" outlineLevel="0" collapsed="false">
      <c r="A47" s="8" t="n">
        <v>2020</v>
      </c>
      <c r="B47" s="8" t="s">
        <v>84</v>
      </c>
      <c r="C47" s="8" t="s">
        <v>73</v>
      </c>
      <c r="D47" s="8" t="n">
        <v>920</v>
      </c>
      <c r="E47" s="8" t="n">
        <v>1596</v>
      </c>
      <c r="F47" s="8" t="n">
        <v>0</v>
      </c>
      <c r="G47" s="8" t="n">
        <f aca="false">D47+E47+F47</f>
        <v>2516</v>
      </c>
      <c r="H47" s="9" t="n">
        <f aca="false">D47/G47</f>
        <v>0.365659777424483</v>
      </c>
      <c r="I47" s="8" t="n">
        <v>0</v>
      </c>
      <c r="J47" s="8" t="n">
        <v>0</v>
      </c>
      <c r="K47" s="8" t="n">
        <f aca="false">I47+J47</f>
        <v>0</v>
      </c>
      <c r="L47" s="9" t="str">
        <f aca="false">IF(K47=0,"",I47/K47)</f>
        <v/>
      </c>
      <c r="M47" s="8" t="n">
        <f aca="false">IF(OR(A47=2020,A47=2024),1,0)</f>
        <v>1</v>
      </c>
    </row>
    <row r="48" customFormat="false" ht="15" hidden="false" customHeight="true" outlineLevel="0" collapsed="false">
      <c r="A48" s="8" t="n">
        <v>2022</v>
      </c>
      <c r="B48" s="8" t="s">
        <v>84</v>
      </c>
      <c r="C48" s="8" t="s">
        <v>73</v>
      </c>
      <c r="D48" s="8" t="n">
        <v>850</v>
      </c>
      <c r="E48" s="8" t="n">
        <v>1311</v>
      </c>
      <c r="F48" s="8" t="n">
        <v>0</v>
      </c>
      <c r="G48" s="8" t="n">
        <f aca="false">D48+E48+F48</f>
        <v>2161</v>
      </c>
      <c r="H48" s="9" t="n">
        <f aca="false">D48/G48</f>
        <v>0.39333641832485</v>
      </c>
      <c r="I48" s="8" t="n">
        <v>969</v>
      </c>
      <c r="J48" s="8" t="n">
        <v>1160</v>
      </c>
      <c r="K48" s="8" t="n">
        <f aca="false">I48+J48</f>
        <v>2129</v>
      </c>
      <c r="L48" s="9" t="n">
        <f aca="false">IF(K48=0,"",I48/K48)</f>
        <v>0.45514325974636</v>
      </c>
      <c r="M48" s="8" t="n">
        <f aca="false">IF(OR(A48=2020,A48=2024),1,0)</f>
        <v>0</v>
      </c>
    </row>
    <row r="49" customFormat="false" ht="15" hidden="false" customHeight="true" outlineLevel="0" collapsed="false">
      <c r="A49" s="8" t="n">
        <v>2024</v>
      </c>
      <c r="B49" s="8" t="s">
        <v>84</v>
      </c>
      <c r="C49" s="8" t="s">
        <v>73</v>
      </c>
      <c r="D49" s="8" t="n">
        <v>985</v>
      </c>
      <c r="E49" s="8" t="n">
        <v>1586</v>
      </c>
      <c r="F49" s="8" t="n">
        <v>0</v>
      </c>
      <c r="G49" s="8" t="n">
        <f aca="false">D49+E49+F49</f>
        <v>2571</v>
      </c>
      <c r="H49" s="9" t="n">
        <f aca="false">D49/G49</f>
        <v>0.383119408790354</v>
      </c>
      <c r="I49" s="8" t="n">
        <v>0</v>
      </c>
      <c r="J49" s="8" t="n">
        <v>0</v>
      </c>
      <c r="K49" s="8" t="n">
        <f aca="false">I49+J49</f>
        <v>0</v>
      </c>
      <c r="L49" s="9" t="str">
        <f aca="false">IF(K49=0,"",I49/K49)</f>
        <v/>
      </c>
      <c r="M49" s="8" t="n">
        <f aca="false">IF(OR(A49=2020,A49=2024),1,0)</f>
        <v>1</v>
      </c>
    </row>
    <row r="50" customFormat="false" ht="15" hidden="false" customHeight="true" outlineLevel="0" collapsed="false">
      <c r="A50" s="8" t="n">
        <v>2018</v>
      </c>
      <c r="B50" s="8" t="s">
        <v>85</v>
      </c>
      <c r="C50" s="8" t="s">
        <v>73</v>
      </c>
      <c r="D50" s="8" t="n">
        <v>411</v>
      </c>
      <c r="E50" s="8" t="n">
        <v>680</v>
      </c>
      <c r="F50" s="8" t="n">
        <v>38</v>
      </c>
      <c r="G50" s="8" t="n">
        <f aca="false">D50+E50+F50</f>
        <v>1129</v>
      </c>
      <c r="H50" s="9" t="n">
        <f aca="false">D50/G50</f>
        <v>0.364038972542073</v>
      </c>
      <c r="I50" s="8" t="n">
        <v>471</v>
      </c>
      <c r="J50" s="8" t="n">
        <v>647</v>
      </c>
      <c r="K50" s="8" t="n">
        <f aca="false">I50+J50</f>
        <v>1118</v>
      </c>
      <c r="L50" s="9" t="n">
        <f aca="false">IF(K50=0,"",I50/K50)</f>
        <v>0.42128801431127</v>
      </c>
      <c r="M50" s="8" t="n">
        <f aca="false">IF(OR(A50=2020,A50=2024),1,0)</f>
        <v>0</v>
      </c>
    </row>
    <row r="51" customFormat="false" ht="15" hidden="false" customHeight="true" outlineLevel="0" collapsed="false">
      <c r="A51" s="8" t="n">
        <v>2020</v>
      </c>
      <c r="B51" s="8" t="s">
        <v>85</v>
      </c>
      <c r="C51" s="8" t="s">
        <v>73</v>
      </c>
      <c r="D51" s="8" t="n">
        <v>533</v>
      </c>
      <c r="E51" s="8" t="n">
        <v>955</v>
      </c>
      <c r="F51" s="8" t="n">
        <v>0</v>
      </c>
      <c r="G51" s="8" t="n">
        <f aca="false">D51+E51+F51</f>
        <v>1488</v>
      </c>
      <c r="H51" s="9" t="n">
        <f aca="false">D51/G51</f>
        <v>0.358198924731183</v>
      </c>
      <c r="I51" s="8" t="n">
        <v>0</v>
      </c>
      <c r="J51" s="8" t="n">
        <v>0</v>
      </c>
      <c r="K51" s="8" t="n">
        <f aca="false">I51+J51</f>
        <v>0</v>
      </c>
      <c r="L51" s="9" t="str">
        <f aca="false">IF(K51=0,"",I51/K51)</f>
        <v/>
      </c>
      <c r="M51" s="8" t="n">
        <f aca="false">IF(OR(A51=2020,A51=2024),1,0)</f>
        <v>1</v>
      </c>
    </row>
    <row r="52" customFormat="false" ht="15" hidden="false" customHeight="true" outlineLevel="0" collapsed="false">
      <c r="A52" s="8" t="n">
        <v>2022</v>
      </c>
      <c r="B52" s="8" t="s">
        <v>85</v>
      </c>
      <c r="C52" s="8" t="s">
        <v>73</v>
      </c>
      <c r="D52" s="8" t="n">
        <v>457</v>
      </c>
      <c r="E52" s="8" t="n">
        <v>760</v>
      </c>
      <c r="F52" s="8" t="n">
        <v>0</v>
      </c>
      <c r="G52" s="8" t="n">
        <f aca="false">D52+E52+F52</f>
        <v>1217</v>
      </c>
      <c r="H52" s="9" t="n">
        <f aca="false">D52/G52</f>
        <v>0.375513557929334</v>
      </c>
      <c r="I52" s="8" t="n">
        <v>505</v>
      </c>
      <c r="J52" s="8" t="n">
        <v>689</v>
      </c>
      <c r="K52" s="8" t="n">
        <f aca="false">I52+J52</f>
        <v>1194</v>
      </c>
      <c r="L52" s="9" t="n">
        <f aca="false">IF(K52=0,"",I52/K52)</f>
        <v>0.422948073701843</v>
      </c>
      <c r="M52" s="8" t="n">
        <f aca="false">IF(OR(A52=2020,A52=2024),1,0)</f>
        <v>0</v>
      </c>
    </row>
    <row r="53" customFormat="false" ht="15" hidden="false" customHeight="true" outlineLevel="0" collapsed="false">
      <c r="A53" s="8" t="n">
        <v>2024</v>
      </c>
      <c r="B53" s="8" t="s">
        <v>85</v>
      </c>
      <c r="C53" s="8" t="s">
        <v>73</v>
      </c>
      <c r="D53" s="8" t="n">
        <v>543</v>
      </c>
      <c r="E53" s="8" t="n">
        <v>990</v>
      </c>
      <c r="F53" s="8" t="n">
        <v>0</v>
      </c>
      <c r="G53" s="8" t="n">
        <f aca="false">D53+E53+F53</f>
        <v>1533</v>
      </c>
      <c r="H53" s="9" t="n">
        <f aca="false">D53/G53</f>
        <v>0.354207436399217</v>
      </c>
      <c r="I53" s="8" t="n">
        <v>0</v>
      </c>
      <c r="J53" s="8" t="n">
        <v>0</v>
      </c>
      <c r="K53" s="8" t="n">
        <f aca="false">I53+J53</f>
        <v>0</v>
      </c>
      <c r="L53" s="9" t="str">
        <f aca="false">IF(K53=0,"",I53/K53)</f>
        <v/>
      </c>
      <c r="M53" s="8" t="n">
        <f aca="false">IF(OR(A53=2020,A53=2024),1,0)</f>
        <v>1</v>
      </c>
    </row>
    <row r="54" customFormat="false" ht="15" hidden="false" customHeight="true" outlineLevel="0" collapsed="false">
      <c r="A54" s="8" t="n">
        <v>2018</v>
      </c>
      <c r="B54" s="8" t="s">
        <v>86</v>
      </c>
      <c r="C54" s="8" t="s">
        <v>73</v>
      </c>
      <c r="D54" s="8" t="n">
        <v>623</v>
      </c>
      <c r="E54" s="8" t="n">
        <v>1233</v>
      </c>
      <c r="F54" s="8" t="n">
        <v>65</v>
      </c>
      <c r="G54" s="8" t="n">
        <f aca="false">D54+E54+F54</f>
        <v>1921</v>
      </c>
      <c r="H54" s="9" t="n">
        <f aca="false">D54/G54</f>
        <v>0.324310255075482</v>
      </c>
      <c r="I54" s="8" t="n">
        <v>744</v>
      </c>
      <c r="J54" s="8" t="n">
        <v>1131</v>
      </c>
      <c r="K54" s="8" t="n">
        <f aca="false">I54+J54</f>
        <v>1875</v>
      </c>
      <c r="L54" s="9" t="n">
        <f aca="false">IF(K54=0,"",I54/K54)</f>
        <v>0.3968</v>
      </c>
      <c r="M54" s="8" t="n">
        <f aca="false">IF(OR(A54=2020,A54=2024),1,0)</f>
        <v>0</v>
      </c>
    </row>
    <row r="55" customFormat="false" ht="15" hidden="false" customHeight="true" outlineLevel="0" collapsed="false">
      <c r="A55" s="8" t="n">
        <v>2020</v>
      </c>
      <c r="B55" s="8" t="s">
        <v>86</v>
      </c>
      <c r="C55" s="8" t="s">
        <v>73</v>
      </c>
      <c r="D55" s="8" t="n">
        <v>846</v>
      </c>
      <c r="E55" s="8" t="n">
        <v>1783</v>
      </c>
      <c r="F55" s="8" t="n">
        <v>0</v>
      </c>
      <c r="G55" s="8" t="n">
        <f aca="false">D55+E55+F55</f>
        <v>2629</v>
      </c>
      <c r="H55" s="9" t="n">
        <f aca="false">D55/G55</f>
        <v>0.321795359452263</v>
      </c>
      <c r="I55" s="8" t="n">
        <v>0</v>
      </c>
      <c r="J55" s="8" t="n">
        <v>0</v>
      </c>
      <c r="K55" s="8" t="n">
        <f aca="false">I55+J55</f>
        <v>0</v>
      </c>
      <c r="L55" s="9" t="str">
        <f aca="false">IF(K55=0,"",I55/K55)</f>
        <v/>
      </c>
      <c r="M55" s="8" t="n">
        <f aca="false">IF(OR(A55=2020,A55=2024),1,0)</f>
        <v>1</v>
      </c>
    </row>
    <row r="56" customFormat="false" ht="15" hidden="false" customHeight="true" outlineLevel="0" collapsed="false">
      <c r="A56" s="8" t="n">
        <v>2022</v>
      </c>
      <c r="B56" s="8" t="s">
        <v>86</v>
      </c>
      <c r="C56" s="8" t="s">
        <v>73</v>
      </c>
      <c r="D56" s="8" t="n">
        <v>719</v>
      </c>
      <c r="E56" s="8" t="n">
        <v>1434</v>
      </c>
      <c r="F56" s="8" t="n">
        <v>0</v>
      </c>
      <c r="G56" s="8" t="n">
        <f aca="false">D56+E56+F56</f>
        <v>2153</v>
      </c>
      <c r="H56" s="9" t="n">
        <f aca="false">D56/G56</f>
        <v>0.333952624245239</v>
      </c>
      <c r="I56" s="8" t="n">
        <v>808</v>
      </c>
      <c r="J56" s="8" t="n">
        <v>1330</v>
      </c>
      <c r="K56" s="8" t="n">
        <f aca="false">I56+J56</f>
        <v>2138</v>
      </c>
      <c r="L56" s="9" t="n">
        <f aca="false">IF(K56=0,"",I56/K56)</f>
        <v>0.377923292797007</v>
      </c>
      <c r="M56" s="8" t="n">
        <f aca="false">IF(OR(A56=2020,A56=2024),1,0)</f>
        <v>0</v>
      </c>
    </row>
    <row r="57" customFormat="false" ht="15" hidden="false" customHeight="true" outlineLevel="0" collapsed="false">
      <c r="A57" s="8" t="n">
        <v>2024</v>
      </c>
      <c r="B57" s="8" t="s">
        <v>86</v>
      </c>
      <c r="C57" s="8" t="s">
        <v>73</v>
      </c>
      <c r="D57" s="8" t="n">
        <v>850</v>
      </c>
      <c r="E57" s="8" t="n">
        <v>1856</v>
      </c>
      <c r="F57" s="8" t="n">
        <v>0</v>
      </c>
      <c r="G57" s="8" t="n">
        <f aca="false">D57+E57+F57</f>
        <v>2706</v>
      </c>
      <c r="H57" s="9" t="n">
        <f aca="false">D57/G57</f>
        <v>0.314116777531412</v>
      </c>
      <c r="I57" s="8" t="n">
        <v>0</v>
      </c>
      <c r="J57" s="8" t="n">
        <v>0</v>
      </c>
      <c r="K57" s="8" t="n">
        <f aca="false">I57+J57</f>
        <v>0</v>
      </c>
      <c r="L57" s="9" t="str">
        <f aca="false">IF(K57=0,"",I57/K57)</f>
        <v/>
      </c>
      <c r="M57" s="8" t="n">
        <f aca="false">IF(OR(A57=2020,A57=2024),1,0)</f>
        <v>1</v>
      </c>
    </row>
    <row r="58" customFormat="false" ht="15" hidden="false" customHeight="true" outlineLevel="0" collapsed="false">
      <c r="A58" s="8" t="n">
        <v>2018</v>
      </c>
      <c r="B58" s="8" t="s">
        <v>87</v>
      </c>
      <c r="C58" s="8" t="s">
        <v>73</v>
      </c>
      <c r="D58" s="8" t="n">
        <v>691</v>
      </c>
      <c r="E58" s="8" t="n">
        <v>584</v>
      </c>
      <c r="F58" s="8" t="n">
        <v>40</v>
      </c>
      <c r="G58" s="8" t="n">
        <f aca="false">D58+E58+F58</f>
        <v>1315</v>
      </c>
      <c r="H58" s="9" t="n">
        <f aca="false">D58/G58</f>
        <v>0.525475285171103</v>
      </c>
      <c r="I58" s="8" t="n">
        <v>790</v>
      </c>
      <c r="J58" s="8" t="n">
        <v>508</v>
      </c>
      <c r="K58" s="8" t="n">
        <f aca="false">I58+J58</f>
        <v>1298</v>
      </c>
      <c r="L58" s="9" t="n">
        <f aca="false">IF(K58=0,"",I58/K58)</f>
        <v>0.608628659476117</v>
      </c>
      <c r="M58" s="8" t="n">
        <f aca="false">IF(OR(A58=2020,A58=2024),1,0)</f>
        <v>0</v>
      </c>
    </row>
    <row r="59" customFormat="false" ht="15" hidden="false" customHeight="true" outlineLevel="0" collapsed="false">
      <c r="A59" s="8" t="n">
        <v>2020</v>
      </c>
      <c r="B59" s="8" t="s">
        <v>87</v>
      </c>
      <c r="C59" s="8" t="s">
        <v>73</v>
      </c>
      <c r="D59" s="8" t="n">
        <v>997</v>
      </c>
      <c r="E59" s="8" t="n">
        <v>860</v>
      </c>
      <c r="F59" s="8" t="n">
        <v>0</v>
      </c>
      <c r="G59" s="8" t="n">
        <f aca="false">D59+E59+F59</f>
        <v>1857</v>
      </c>
      <c r="H59" s="9" t="n">
        <f aca="false">D59/G59</f>
        <v>0.536887452880991</v>
      </c>
      <c r="I59" s="8" t="n">
        <v>0</v>
      </c>
      <c r="J59" s="8" t="n">
        <v>0</v>
      </c>
      <c r="K59" s="8" t="n">
        <f aca="false">I59+J59</f>
        <v>0</v>
      </c>
      <c r="L59" s="9" t="str">
        <f aca="false">IF(K59=0,"",I59/K59)</f>
        <v/>
      </c>
      <c r="M59" s="8" t="n">
        <f aca="false">IF(OR(A59=2020,A59=2024),1,0)</f>
        <v>1</v>
      </c>
    </row>
    <row r="60" customFormat="false" ht="15" hidden="false" customHeight="true" outlineLevel="0" collapsed="false">
      <c r="A60" s="8" t="n">
        <v>2022</v>
      </c>
      <c r="B60" s="8" t="s">
        <v>87</v>
      </c>
      <c r="C60" s="8" t="s">
        <v>73</v>
      </c>
      <c r="D60" s="8" t="n">
        <v>788</v>
      </c>
      <c r="E60" s="8" t="n">
        <v>628</v>
      </c>
      <c r="F60" s="8" t="n">
        <v>0</v>
      </c>
      <c r="G60" s="8" t="n">
        <f aca="false">D60+E60+F60</f>
        <v>1416</v>
      </c>
      <c r="H60" s="9" t="n">
        <f aca="false">D60/G60</f>
        <v>0.556497175141243</v>
      </c>
      <c r="I60" s="8" t="n">
        <v>865</v>
      </c>
      <c r="J60" s="8" t="n">
        <v>525</v>
      </c>
      <c r="K60" s="8" t="n">
        <f aca="false">I60+J60</f>
        <v>1390</v>
      </c>
      <c r="L60" s="9" t="n">
        <f aca="false">IF(K60=0,"",I60/K60)</f>
        <v>0.622302158273381</v>
      </c>
      <c r="M60" s="8" t="n">
        <f aca="false">IF(OR(A60=2020,A60=2024),1,0)</f>
        <v>0</v>
      </c>
    </row>
    <row r="61" customFormat="false" ht="15" hidden="false" customHeight="true" outlineLevel="0" collapsed="false">
      <c r="A61" s="8" t="n">
        <v>2024</v>
      </c>
      <c r="B61" s="8" t="s">
        <v>87</v>
      </c>
      <c r="C61" s="8" t="s">
        <v>73</v>
      </c>
      <c r="D61" s="8" t="n">
        <v>980</v>
      </c>
      <c r="E61" s="8" t="n">
        <v>872</v>
      </c>
      <c r="F61" s="8" t="n">
        <v>0</v>
      </c>
      <c r="G61" s="8" t="n">
        <f aca="false">D61+E61+F61</f>
        <v>1852</v>
      </c>
      <c r="H61" s="9" t="n">
        <f aca="false">D61/G61</f>
        <v>0.529157667386609</v>
      </c>
      <c r="I61" s="8" t="n">
        <v>0</v>
      </c>
      <c r="J61" s="8" t="n">
        <v>0</v>
      </c>
      <c r="K61" s="8" t="n">
        <f aca="false">I61+J61</f>
        <v>0</v>
      </c>
      <c r="L61" s="9" t="str">
        <f aca="false">IF(K61=0,"",I61/K61)</f>
        <v/>
      </c>
      <c r="M61" s="8" t="n">
        <f aca="false">IF(OR(A61=2020,A61=2024),1,0)</f>
        <v>1</v>
      </c>
    </row>
    <row r="62" customFormat="false" ht="15" hidden="false" customHeight="true" outlineLevel="0" collapsed="false">
      <c r="A62" s="8" t="n">
        <v>2018</v>
      </c>
      <c r="B62" s="8" t="s">
        <v>88</v>
      </c>
      <c r="C62" s="8" t="s">
        <v>73</v>
      </c>
      <c r="D62" s="8" t="n">
        <v>2780</v>
      </c>
      <c r="E62" s="8" t="n">
        <v>3849</v>
      </c>
      <c r="F62" s="8" t="n">
        <v>248</v>
      </c>
      <c r="G62" s="8" t="n">
        <f aca="false">D62+E62+F62</f>
        <v>6877</v>
      </c>
      <c r="H62" s="9" t="n">
        <f aca="false">D62/G62</f>
        <v>0.404246037516359</v>
      </c>
      <c r="I62" s="8" t="n">
        <v>3295</v>
      </c>
      <c r="J62" s="8" t="n">
        <v>3459</v>
      </c>
      <c r="K62" s="8" t="n">
        <f aca="false">I62+J62</f>
        <v>6754</v>
      </c>
      <c r="L62" s="9" t="n">
        <f aca="false">IF(K62=0,"",I62/K62)</f>
        <v>0.487859046490968</v>
      </c>
      <c r="M62" s="8" t="n">
        <f aca="false">IF(OR(A62=2020,A62=2024),1,0)</f>
        <v>0</v>
      </c>
    </row>
    <row r="63" customFormat="false" ht="15" hidden="false" customHeight="true" outlineLevel="0" collapsed="false">
      <c r="A63" s="8" t="n">
        <v>2020</v>
      </c>
      <c r="B63" s="8" t="s">
        <v>88</v>
      </c>
      <c r="C63" s="8" t="s">
        <v>73</v>
      </c>
      <c r="D63" s="8" t="n">
        <v>3900</v>
      </c>
      <c r="E63" s="8" t="n">
        <v>5859</v>
      </c>
      <c r="F63" s="8" t="n">
        <v>0</v>
      </c>
      <c r="G63" s="8" t="n">
        <f aca="false">D63+E63+F63</f>
        <v>9759</v>
      </c>
      <c r="H63" s="9" t="n">
        <f aca="false">D63/G63</f>
        <v>0.399631109744851</v>
      </c>
      <c r="I63" s="8" t="n">
        <v>0</v>
      </c>
      <c r="J63" s="8" t="n">
        <v>0</v>
      </c>
      <c r="K63" s="8" t="n">
        <f aca="false">I63+J63</f>
        <v>0</v>
      </c>
      <c r="L63" s="9" t="str">
        <f aca="false">IF(K63=0,"",I63/K63)</f>
        <v/>
      </c>
      <c r="M63" s="8" t="n">
        <f aca="false">IF(OR(A63=2020,A63=2024),1,0)</f>
        <v>1</v>
      </c>
    </row>
    <row r="64" customFormat="false" ht="15" hidden="false" customHeight="true" outlineLevel="0" collapsed="false">
      <c r="A64" s="8" t="n">
        <v>2022</v>
      </c>
      <c r="B64" s="8" t="s">
        <v>88</v>
      </c>
      <c r="C64" s="8" t="s">
        <v>73</v>
      </c>
      <c r="D64" s="8" t="n">
        <v>3255</v>
      </c>
      <c r="E64" s="8" t="n">
        <v>4462</v>
      </c>
      <c r="F64" s="8" t="n">
        <v>0</v>
      </c>
      <c r="G64" s="8" t="n">
        <f aca="false">D64+E64+F64</f>
        <v>7717</v>
      </c>
      <c r="H64" s="9" t="n">
        <f aca="false">D64/G64</f>
        <v>0.421796034728521</v>
      </c>
      <c r="I64" s="8" t="n">
        <v>3693</v>
      </c>
      <c r="J64" s="8" t="n">
        <v>3907</v>
      </c>
      <c r="K64" s="8" t="n">
        <f aca="false">I64+J64</f>
        <v>7600</v>
      </c>
      <c r="L64" s="9" t="n">
        <f aca="false">IF(K64=0,"",I64/K64)</f>
        <v>0.485921052631579</v>
      </c>
      <c r="M64" s="8" t="n">
        <f aca="false">IF(OR(A64=2020,A64=2024),1,0)</f>
        <v>0</v>
      </c>
    </row>
    <row r="65" customFormat="false" ht="15" hidden="false" customHeight="true" outlineLevel="0" collapsed="false">
      <c r="A65" s="8" t="n">
        <v>2024</v>
      </c>
      <c r="B65" s="8" t="s">
        <v>88</v>
      </c>
      <c r="C65" s="8" t="s">
        <v>73</v>
      </c>
      <c r="D65" s="8" t="n">
        <v>4022</v>
      </c>
      <c r="E65" s="8" t="n">
        <v>5915</v>
      </c>
      <c r="F65" s="8" t="n">
        <v>0</v>
      </c>
      <c r="G65" s="8" t="n">
        <f aca="false">D65+E65+F65</f>
        <v>9937</v>
      </c>
      <c r="H65" s="9" t="n">
        <f aca="false">D65/G65</f>
        <v>0.404749924524504</v>
      </c>
      <c r="I65" s="8" t="n">
        <v>0</v>
      </c>
      <c r="J65" s="8" t="n">
        <v>0</v>
      </c>
      <c r="K65" s="8" t="n">
        <f aca="false">I65+J65</f>
        <v>0</v>
      </c>
      <c r="L65" s="9" t="str">
        <f aca="false">IF(K65=0,"",I65/K65)</f>
        <v/>
      </c>
      <c r="M65" s="8" t="n">
        <f aca="false">IF(OR(A65=2020,A65=2024),1,0)</f>
        <v>1</v>
      </c>
    </row>
    <row r="66" customFormat="false" ht="15" hidden="false" customHeight="true" outlineLevel="0" collapsed="false">
      <c r="A66" s="8" t="n">
        <v>2018</v>
      </c>
      <c r="B66" s="8" t="s">
        <v>89</v>
      </c>
      <c r="C66" s="8" t="s">
        <v>73</v>
      </c>
      <c r="D66" s="8" t="n">
        <v>2945</v>
      </c>
      <c r="E66" s="8" t="n">
        <v>2844</v>
      </c>
      <c r="F66" s="8" t="n">
        <v>179</v>
      </c>
      <c r="G66" s="8" t="n">
        <f aca="false">D66+E66+F66</f>
        <v>5968</v>
      </c>
      <c r="H66" s="9" t="n">
        <f aca="false">D66/G66</f>
        <v>0.493465147453083</v>
      </c>
      <c r="I66" s="8" t="n">
        <v>3301</v>
      </c>
      <c r="J66" s="8" t="n">
        <v>2559</v>
      </c>
      <c r="K66" s="8" t="n">
        <f aca="false">I66+J66</f>
        <v>5860</v>
      </c>
      <c r="L66" s="9" t="n">
        <f aca="false">IF(K66=0,"",I66/K66)</f>
        <v>0.563310580204778</v>
      </c>
      <c r="M66" s="8" t="n">
        <f aca="false">IF(OR(A66=2020,A66=2024),1,0)</f>
        <v>0</v>
      </c>
    </row>
    <row r="67" customFormat="false" ht="15" hidden="false" customHeight="true" outlineLevel="0" collapsed="false">
      <c r="A67" s="8" t="n">
        <v>2020</v>
      </c>
      <c r="B67" s="8" t="s">
        <v>89</v>
      </c>
      <c r="C67" s="8" t="s">
        <v>73</v>
      </c>
      <c r="D67" s="8" t="n">
        <v>4029</v>
      </c>
      <c r="E67" s="8" t="n">
        <v>4143</v>
      </c>
      <c r="F67" s="8" t="n">
        <v>0</v>
      </c>
      <c r="G67" s="8" t="n">
        <f aca="false">D67+E67+F67</f>
        <v>8172</v>
      </c>
      <c r="H67" s="9" t="n">
        <f aca="false">D67/G67</f>
        <v>0.49302496328928</v>
      </c>
      <c r="I67" s="8" t="n">
        <v>0</v>
      </c>
      <c r="J67" s="8" t="n">
        <v>0</v>
      </c>
      <c r="K67" s="8" t="n">
        <f aca="false">I67+J67</f>
        <v>0</v>
      </c>
      <c r="L67" s="9" t="str">
        <f aca="false">IF(K67=0,"",I67/K67)</f>
        <v/>
      </c>
      <c r="M67" s="8" t="n">
        <f aca="false">IF(OR(A67=2020,A67=2024),1,0)</f>
        <v>1</v>
      </c>
    </row>
    <row r="68" customFormat="false" ht="15" hidden="false" customHeight="true" outlineLevel="0" collapsed="false">
      <c r="A68" s="8" t="n">
        <v>2022</v>
      </c>
      <c r="B68" s="8" t="s">
        <v>89</v>
      </c>
      <c r="C68" s="8" t="s">
        <v>73</v>
      </c>
      <c r="D68" s="8" t="n">
        <v>3239</v>
      </c>
      <c r="E68" s="8" t="n">
        <v>3129</v>
      </c>
      <c r="F68" s="8" t="n">
        <v>0</v>
      </c>
      <c r="G68" s="8" t="n">
        <f aca="false">D68+E68+F68</f>
        <v>6368</v>
      </c>
      <c r="H68" s="9" t="n">
        <f aca="false">D68/G68</f>
        <v>0.508636934673367</v>
      </c>
      <c r="I68" s="8" t="n">
        <v>3579</v>
      </c>
      <c r="J68" s="8" t="n">
        <v>2652</v>
      </c>
      <c r="K68" s="8" t="n">
        <f aca="false">I68+J68</f>
        <v>6231</v>
      </c>
      <c r="L68" s="9" t="n">
        <f aca="false">IF(K68=0,"",I68/K68)</f>
        <v>0.574386133846895</v>
      </c>
      <c r="M68" s="8" t="n">
        <f aca="false">IF(OR(A68=2020,A68=2024),1,0)</f>
        <v>0</v>
      </c>
    </row>
    <row r="69" customFormat="false" ht="15" hidden="false" customHeight="true" outlineLevel="0" collapsed="false">
      <c r="A69" s="8" t="n">
        <v>2024</v>
      </c>
      <c r="B69" s="8" t="s">
        <v>89</v>
      </c>
      <c r="C69" s="8" t="s">
        <v>73</v>
      </c>
      <c r="D69" s="8" t="n">
        <v>4010</v>
      </c>
      <c r="E69" s="8" t="n">
        <v>4104</v>
      </c>
      <c r="F69" s="8" t="n">
        <v>0</v>
      </c>
      <c r="G69" s="8" t="n">
        <f aca="false">D69+E69+F69</f>
        <v>8114</v>
      </c>
      <c r="H69" s="9" t="n">
        <f aca="false">D69/G69</f>
        <v>0.494207542519103</v>
      </c>
      <c r="I69" s="8" t="n">
        <v>0</v>
      </c>
      <c r="J69" s="8" t="n">
        <v>0</v>
      </c>
      <c r="K69" s="8" t="n">
        <f aca="false">I69+J69</f>
        <v>0</v>
      </c>
      <c r="L69" s="9" t="str">
        <f aca="false">IF(K69=0,"",I69/K69)</f>
        <v/>
      </c>
      <c r="M69" s="8" t="n">
        <f aca="false">IF(OR(A69=2020,A69=2024),1,0)</f>
        <v>1</v>
      </c>
    </row>
    <row r="70" customFormat="false" ht="15" hidden="false" customHeight="true" outlineLevel="0" collapsed="false">
      <c r="A70" s="8" t="n">
        <v>2018</v>
      </c>
      <c r="B70" s="8" t="s">
        <v>90</v>
      </c>
      <c r="C70" s="8" t="s">
        <v>73</v>
      </c>
      <c r="D70" s="8" t="n">
        <v>537</v>
      </c>
      <c r="E70" s="8" t="n">
        <v>626</v>
      </c>
      <c r="F70" s="8" t="n">
        <v>47</v>
      </c>
      <c r="G70" s="8" t="n">
        <f aca="false">D70+E70+F70</f>
        <v>1210</v>
      </c>
      <c r="H70" s="9" t="n">
        <f aca="false">D70/G70</f>
        <v>0.443801652892562</v>
      </c>
      <c r="I70" s="8" t="n">
        <v>595</v>
      </c>
      <c r="J70" s="8" t="n">
        <v>582</v>
      </c>
      <c r="K70" s="8" t="n">
        <f aca="false">I70+J70</f>
        <v>1177</v>
      </c>
      <c r="L70" s="9" t="n">
        <f aca="false">IF(K70=0,"",I70/K70)</f>
        <v>0.505522514868309</v>
      </c>
      <c r="M70" s="8" t="n">
        <f aca="false">IF(OR(A70=2020,A70=2024),1,0)</f>
        <v>0</v>
      </c>
    </row>
    <row r="71" customFormat="false" ht="15" hidden="false" customHeight="true" outlineLevel="0" collapsed="false">
      <c r="A71" s="8" t="n">
        <v>2020</v>
      </c>
      <c r="B71" s="8" t="s">
        <v>90</v>
      </c>
      <c r="C71" s="8" t="s">
        <v>73</v>
      </c>
      <c r="D71" s="8" t="n">
        <v>748</v>
      </c>
      <c r="E71" s="8" t="n">
        <v>1149</v>
      </c>
      <c r="F71" s="8" t="n">
        <v>0</v>
      </c>
      <c r="G71" s="8" t="n">
        <f aca="false">D71+E71+F71</f>
        <v>1897</v>
      </c>
      <c r="H71" s="9" t="n">
        <f aca="false">D71/G71</f>
        <v>0.394306800210859</v>
      </c>
      <c r="I71" s="8" t="n">
        <v>0</v>
      </c>
      <c r="J71" s="8" t="n">
        <v>0</v>
      </c>
      <c r="K71" s="8" t="n">
        <f aca="false">I71+J71</f>
        <v>0</v>
      </c>
      <c r="L71" s="9" t="str">
        <f aca="false">IF(K71=0,"",I71/K71)</f>
        <v/>
      </c>
      <c r="M71" s="8" t="n">
        <f aca="false">IF(OR(A71=2020,A71=2024),1,0)</f>
        <v>1</v>
      </c>
    </row>
    <row r="72" customFormat="false" ht="15" hidden="false" customHeight="true" outlineLevel="0" collapsed="false">
      <c r="A72" s="8" t="n">
        <v>2022</v>
      </c>
      <c r="B72" s="8" t="s">
        <v>90</v>
      </c>
      <c r="C72" s="8" t="s">
        <v>73</v>
      </c>
      <c r="D72" s="8" t="n">
        <v>611</v>
      </c>
      <c r="E72" s="8" t="n">
        <v>740</v>
      </c>
      <c r="F72" s="8" t="n">
        <v>0</v>
      </c>
      <c r="G72" s="8" t="n">
        <f aca="false">D72+E72+F72</f>
        <v>1351</v>
      </c>
      <c r="H72" s="9" t="n">
        <f aca="false">D72/G72</f>
        <v>0.452257586972613</v>
      </c>
      <c r="I72" s="8" t="n">
        <v>675</v>
      </c>
      <c r="J72" s="8" t="n">
        <v>639</v>
      </c>
      <c r="K72" s="8" t="n">
        <f aca="false">I72+J72</f>
        <v>1314</v>
      </c>
      <c r="L72" s="9" t="n">
        <f aca="false">IF(K72=0,"",I72/K72)</f>
        <v>0.513698630136986</v>
      </c>
      <c r="M72" s="8" t="n">
        <f aca="false">IF(OR(A72=2020,A72=2024),1,0)</f>
        <v>0</v>
      </c>
    </row>
    <row r="73" customFormat="false" ht="15" hidden="false" customHeight="true" outlineLevel="0" collapsed="false">
      <c r="A73" s="8" t="n">
        <v>2024</v>
      </c>
      <c r="B73" s="8" t="s">
        <v>90</v>
      </c>
      <c r="C73" s="8" t="s">
        <v>73</v>
      </c>
      <c r="D73" s="8" t="n">
        <v>800</v>
      </c>
      <c r="E73" s="8" t="n">
        <v>1156</v>
      </c>
      <c r="F73" s="8" t="n">
        <v>0</v>
      </c>
      <c r="G73" s="8" t="n">
        <f aca="false">D73+E73+F73</f>
        <v>1956</v>
      </c>
      <c r="H73" s="9" t="n">
        <f aca="false">D73/G73</f>
        <v>0.408997955010225</v>
      </c>
      <c r="I73" s="8" t="n">
        <v>0</v>
      </c>
      <c r="J73" s="8" t="n">
        <v>0</v>
      </c>
      <c r="K73" s="8" t="n">
        <f aca="false">I73+J73</f>
        <v>0</v>
      </c>
      <c r="L73" s="9" t="str">
        <f aca="false">IF(K73=0,"",I73/K73)</f>
        <v/>
      </c>
      <c r="M73" s="8" t="n">
        <f aca="false">IF(OR(A73=2020,A73=2024),1,0)</f>
        <v>1</v>
      </c>
    </row>
    <row r="74" customFormat="false" ht="15" hidden="false" customHeight="true" outlineLevel="0" collapsed="false">
      <c r="A74" s="8" t="n">
        <v>2018</v>
      </c>
      <c r="B74" s="8" t="s">
        <v>91</v>
      </c>
      <c r="C74" s="8" t="s">
        <v>73</v>
      </c>
      <c r="D74" s="8" t="n">
        <v>5009</v>
      </c>
      <c r="E74" s="8" t="n">
        <v>3839</v>
      </c>
      <c r="F74" s="8" t="n">
        <v>261</v>
      </c>
      <c r="G74" s="8" t="n">
        <f aca="false">D74+E74+F74</f>
        <v>9109</v>
      </c>
      <c r="H74" s="9" t="n">
        <f aca="false">D74/G74</f>
        <v>0.549895707541992</v>
      </c>
      <c r="I74" s="8" t="n">
        <v>5541</v>
      </c>
      <c r="J74" s="8" t="n">
        <v>3434</v>
      </c>
      <c r="K74" s="8" t="n">
        <f aca="false">I74+J74</f>
        <v>8975</v>
      </c>
      <c r="L74" s="9" t="n">
        <f aca="false">IF(K74=0,"",I74/K74)</f>
        <v>0.617381615598886</v>
      </c>
      <c r="M74" s="8" t="n">
        <f aca="false">IF(OR(A74=2020,A74=2024),1,0)</f>
        <v>0</v>
      </c>
    </row>
    <row r="75" customFormat="false" ht="15" hidden="false" customHeight="true" outlineLevel="0" collapsed="false">
      <c r="A75" s="8" t="n">
        <v>2020</v>
      </c>
      <c r="B75" s="8" t="s">
        <v>91</v>
      </c>
      <c r="C75" s="8" t="s">
        <v>73</v>
      </c>
      <c r="D75" s="8" t="n">
        <v>6668</v>
      </c>
      <c r="E75" s="8" t="n">
        <v>5856</v>
      </c>
      <c r="F75" s="8" t="n">
        <v>0</v>
      </c>
      <c r="G75" s="8" t="n">
        <f aca="false">D75+E75+F75</f>
        <v>12524</v>
      </c>
      <c r="H75" s="9" t="n">
        <f aca="false">D75/G75</f>
        <v>0.532417757904823</v>
      </c>
      <c r="I75" s="8" t="n">
        <v>0</v>
      </c>
      <c r="J75" s="8" t="n">
        <v>0</v>
      </c>
      <c r="K75" s="8" t="n">
        <f aca="false">I75+J75</f>
        <v>0</v>
      </c>
      <c r="L75" s="9" t="str">
        <f aca="false">IF(K75=0,"",I75/K75)</f>
        <v/>
      </c>
      <c r="M75" s="8" t="n">
        <f aca="false">IF(OR(A75=2020,A75=2024),1,0)</f>
        <v>1</v>
      </c>
    </row>
    <row r="76" customFormat="false" ht="15" hidden="false" customHeight="true" outlineLevel="0" collapsed="false">
      <c r="A76" s="8" t="n">
        <v>2022</v>
      </c>
      <c r="B76" s="8" t="s">
        <v>91</v>
      </c>
      <c r="C76" s="8" t="s">
        <v>73</v>
      </c>
      <c r="D76" s="8" t="n">
        <v>5699</v>
      </c>
      <c r="E76" s="8" t="n">
        <v>4420</v>
      </c>
      <c r="F76" s="8" t="n">
        <v>0</v>
      </c>
      <c r="G76" s="8" t="n">
        <f aca="false">D76+E76+F76</f>
        <v>10119</v>
      </c>
      <c r="H76" s="9" t="n">
        <f aca="false">D76/G76</f>
        <v>0.563197944460915</v>
      </c>
      <c r="I76" s="8" t="n">
        <v>6278</v>
      </c>
      <c r="J76" s="8" t="n">
        <v>3673</v>
      </c>
      <c r="K76" s="8" t="n">
        <f aca="false">I76+J76</f>
        <v>9951</v>
      </c>
      <c r="L76" s="9" t="n">
        <f aca="false">IF(K76=0,"",I76/K76)</f>
        <v>0.630891367701739</v>
      </c>
      <c r="M76" s="8" t="n">
        <f aca="false">IF(OR(A76=2020,A76=2024),1,0)</f>
        <v>0</v>
      </c>
    </row>
    <row r="77" customFormat="false" ht="15" hidden="false" customHeight="true" outlineLevel="0" collapsed="false">
      <c r="A77" s="8" t="n">
        <v>2024</v>
      </c>
      <c r="B77" s="8" t="s">
        <v>91</v>
      </c>
      <c r="C77" s="8" t="s">
        <v>73</v>
      </c>
      <c r="D77" s="8" t="n">
        <v>7019</v>
      </c>
      <c r="E77" s="8" t="n">
        <v>6110</v>
      </c>
      <c r="F77" s="8" t="n">
        <v>0</v>
      </c>
      <c r="G77" s="8" t="n">
        <f aca="false">D77+E77+F77</f>
        <v>13129</v>
      </c>
      <c r="H77" s="9" t="n">
        <f aca="false">D77/G77</f>
        <v>0.534618021174499</v>
      </c>
      <c r="I77" s="8" t="n">
        <v>0</v>
      </c>
      <c r="J77" s="8" t="n">
        <v>0</v>
      </c>
      <c r="K77" s="8" t="n">
        <f aca="false">I77+J77</f>
        <v>0</v>
      </c>
      <c r="L77" s="9" t="str">
        <f aca="false">IF(K77=0,"",I77/K77)</f>
        <v/>
      </c>
      <c r="M77" s="8" t="n">
        <f aca="false">IF(OR(A77=2020,A77=2024),1,0)</f>
        <v>1</v>
      </c>
    </row>
    <row r="78" customFormat="false" ht="15" hidden="false" customHeight="true" outlineLevel="0" collapsed="false">
      <c r="A78" s="8" t="n">
        <v>2018</v>
      </c>
      <c r="B78" s="8" t="s">
        <v>92</v>
      </c>
      <c r="C78" s="8" t="s">
        <v>73</v>
      </c>
      <c r="D78" s="8" t="n">
        <v>5137</v>
      </c>
      <c r="E78" s="8" t="n">
        <v>4495</v>
      </c>
      <c r="F78" s="8" t="n">
        <v>307</v>
      </c>
      <c r="G78" s="8" t="n">
        <f aca="false">D78+E78+F78</f>
        <v>9939</v>
      </c>
      <c r="H78" s="9" t="n">
        <f aca="false">D78/G78</f>
        <v>0.516852802092766</v>
      </c>
      <c r="I78" s="8" t="n">
        <v>5703</v>
      </c>
      <c r="J78" s="8" t="n">
        <v>4067</v>
      </c>
      <c r="K78" s="8" t="n">
        <f aca="false">I78+J78</f>
        <v>9770</v>
      </c>
      <c r="L78" s="9" t="n">
        <f aca="false">IF(K78=0,"",I78/K78)</f>
        <v>0.583725690890481</v>
      </c>
      <c r="M78" s="8" t="n">
        <f aca="false">IF(OR(A78=2020,A78=2024),1,0)</f>
        <v>0</v>
      </c>
    </row>
    <row r="79" customFormat="false" ht="15" hidden="false" customHeight="true" outlineLevel="0" collapsed="false">
      <c r="A79" s="8" t="n">
        <v>2020</v>
      </c>
      <c r="B79" s="8" t="s">
        <v>92</v>
      </c>
      <c r="C79" s="8" t="s">
        <v>73</v>
      </c>
      <c r="D79" s="8" t="n">
        <v>7495</v>
      </c>
      <c r="E79" s="8" t="n">
        <v>7011</v>
      </c>
      <c r="F79" s="8" t="n">
        <v>0</v>
      </c>
      <c r="G79" s="8" t="n">
        <f aca="false">D79+E79+F79</f>
        <v>14506</v>
      </c>
      <c r="H79" s="9" t="n">
        <f aca="false">D79/G79</f>
        <v>0.516682751964704</v>
      </c>
      <c r="I79" s="8" t="n">
        <v>0</v>
      </c>
      <c r="J79" s="8" t="n">
        <v>0</v>
      </c>
      <c r="K79" s="8" t="n">
        <f aca="false">I79+J79</f>
        <v>0</v>
      </c>
      <c r="L79" s="9" t="str">
        <f aca="false">IF(K79=0,"",I79/K79)</f>
        <v/>
      </c>
      <c r="M79" s="8" t="n">
        <f aca="false">IF(OR(A79=2020,A79=2024),1,0)</f>
        <v>1</v>
      </c>
    </row>
    <row r="80" customFormat="false" ht="15" hidden="false" customHeight="true" outlineLevel="0" collapsed="false">
      <c r="A80" s="8" t="n">
        <v>2022</v>
      </c>
      <c r="B80" s="8" t="s">
        <v>92</v>
      </c>
      <c r="C80" s="8" t="s">
        <v>73</v>
      </c>
      <c r="D80" s="8" t="n">
        <v>6009</v>
      </c>
      <c r="E80" s="8" t="n">
        <v>5257</v>
      </c>
      <c r="F80" s="8" t="n">
        <v>0</v>
      </c>
      <c r="G80" s="8" t="n">
        <f aca="false">D80+E80+F80</f>
        <v>11266</v>
      </c>
      <c r="H80" s="9" t="n">
        <f aca="false">D80/G80</f>
        <v>0.533374755902716</v>
      </c>
      <c r="I80" s="8" t="n">
        <v>6657</v>
      </c>
      <c r="J80" s="8" t="n">
        <v>4396</v>
      </c>
      <c r="K80" s="8" t="n">
        <f aca="false">I80+J80</f>
        <v>11053</v>
      </c>
      <c r="L80" s="9" t="n">
        <f aca="false">IF(K80=0,"",I80/K80)</f>
        <v>0.602279924002533</v>
      </c>
      <c r="M80" s="8" t="n">
        <f aca="false">IF(OR(A80=2020,A80=2024),1,0)</f>
        <v>0</v>
      </c>
    </row>
    <row r="81" customFormat="false" ht="15" hidden="false" customHeight="true" outlineLevel="0" collapsed="false">
      <c r="A81" s="8" t="n">
        <v>2024</v>
      </c>
      <c r="B81" s="8" t="s">
        <v>92</v>
      </c>
      <c r="C81" s="8" t="s">
        <v>73</v>
      </c>
      <c r="D81" s="8" t="n">
        <v>8020</v>
      </c>
      <c r="E81" s="8" t="n">
        <v>7607</v>
      </c>
      <c r="F81" s="8" t="n">
        <v>0</v>
      </c>
      <c r="G81" s="8" t="n">
        <f aca="false">D81+E81+F81</f>
        <v>15627</v>
      </c>
      <c r="H81" s="9" t="n">
        <f aca="false">D81/G81</f>
        <v>0.513214308568503</v>
      </c>
      <c r="I81" s="8" t="n">
        <v>0</v>
      </c>
      <c r="J81" s="8" t="n">
        <v>0</v>
      </c>
      <c r="K81" s="8" t="n">
        <f aca="false">I81+J81</f>
        <v>0</v>
      </c>
      <c r="L81" s="9" t="str">
        <f aca="false">IF(K81=0,"",I81/K81)</f>
        <v/>
      </c>
      <c r="M81" s="8" t="n">
        <f aca="false">IF(OR(A81=2020,A81=2024),1,0)</f>
        <v>1</v>
      </c>
    </row>
    <row r="82" customFormat="false" ht="15" hidden="false" customHeight="true" outlineLevel="0" collapsed="false">
      <c r="A82" s="8" t="n">
        <v>2018</v>
      </c>
      <c r="B82" s="8" t="s">
        <v>93</v>
      </c>
      <c r="C82" s="8" t="s">
        <v>73</v>
      </c>
      <c r="D82" s="8" t="n">
        <v>1663</v>
      </c>
      <c r="E82" s="8" t="n">
        <v>1974</v>
      </c>
      <c r="F82" s="8" t="n">
        <v>104</v>
      </c>
      <c r="G82" s="8" t="n">
        <f aca="false">D82+E82+F82</f>
        <v>3741</v>
      </c>
      <c r="H82" s="9" t="n">
        <f aca="false">D82/G82</f>
        <v>0.444533547179898</v>
      </c>
      <c r="I82" s="8" t="n">
        <v>1847</v>
      </c>
      <c r="J82" s="8" t="n">
        <v>1832</v>
      </c>
      <c r="K82" s="8" t="n">
        <f aca="false">I82+J82</f>
        <v>3679</v>
      </c>
      <c r="L82" s="9" t="n">
        <f aca="false">IF(K82=0,"",I82/K82)</f>
        <v>0.502038597444958</v>
      </c>
      <c r="M82" s="8" t="n">
        <f aca="false">IF(OR(A82=2020,A82=2024),1,0)</f>
        <v>0</v>
      </c>
    </row>
    <row r="83" customFormat="false" ht="15" hidden="false" customHeight="true" outlineLevel="0" collapsed="false">
      <c r="A83" s="8" t="n">
        <v>2020</v>
      </c>
      <c r="B83" s="8" t="s">
        <v>93</v>
      </c>
      <c r="C83" s="8" t="s">
        <v>73</v>
      </c>
      <c r="D83" s="8" t="n">
        <v>2222</v>
      </c>
      <c r="E83" s="8" t="n">
        <v>2955</v>
      </c>
      <c r="F83" s="8" t="n">
        <v>0</v>
      </c>
      <c r="G83" s="8" t="n">
        <f aca="false">D83+E83+F83</f>
        <v>5177</v>
      </c>
      <c r="H83" s="9" t="n">
        <f aca="false">D83/G83</f>
        <v>0.42920610392119</v>
      </c>
      <c r="I83" s="8" t="n">
        <v>0</v>
      </c>
      <c r="J83" s="8" t="n">
        <v>0</v>
      </c>
      <c r="K83" s="8" t="n">
        <f aca="false">I83+J83</f>
        <v>0</v>
      </c>
      <c r="L83" s="9" t="str">
        <f aca="false">IF(K83=0,"",I83/K83)</f>
        <v/>
      </c>
      <c r="M83" s="8" t="n">
        <f aca="false">IF(OR(A83=2020,A83=2024),1,0)</f>
        <v>1</v>
      </c>
    </row>
    <row r="84" customFormat="false" ht="15" hidden="false" customHeight="true" outlineLevel="0" collapsed="false">
      <c r="A84" s="8" t="n">
        <v>2022</v>
      </c>
      <c r="B84" s="8" t="s">
        <v>93</v>
      </c>
      <c r="C84" s="8" t="s">
        <v>73</v>
      </c>
      <c r="D84" s="8" t="n">
        <v>2032</v>
      </c>
      <c r="E84" s="8" t="n">
        <v>2450</v>
      </c>
      <c r="F84" s="8" t="n">
        <v>0</v>
      </c>
      <c r="G84" s="8" t="n">
        <f aca="false">D84+E84+F84</f>
        <v>4482</v>
      </c>
      <c r="H84" s="9" t="n">
        <f aca="false">D84/G84</f>
        <v>0.453369031682285</v>
      </c>
      <c r="I84" s="8" t="n">
        <v>2244</v>
      </c>
      <c r="J84" s="8" t="n">
        <v>2150</v>
      </c>
      <c r="K84" s="8" t="n">
        <f aca="false">I84+J84</f>
        <v>4394</v>
      </c>
      <c r="L84" s="9" t="n">
        <f aca="false">IF(K84=0,"",I84/K84)</f>
        <v>0.510696404187529</v>
      </c>
      <c r="M84" s="8" t="n">
        <f aca="false">IF(OR(A84=2020,A84=2024),1,0)</f>
        <v>0</v>
      </c>
    </row>
    <row r="85" customFormat="false" ht="15" hidden="false" customHeight="true" outlineLevel="0" collapsed="false">
      <c r="A85" s="8" t="n">
        <v>2024</v>
      </c>
      <c r="B85" s="8" t="s">
        <v>93</v>
      </c>
      <c r="C85" s="8" t="s">
        <v>73</v>
      </c>
      <c r="D85" s="8" t="n">
        <v>2380</v>
      </c>
      <c r="E85" s="8" t="n">
        <v>3135</v>
      </c>
      <c r="F85" s="8" t="n">
        <v>0</v>
      </c>
      <c r="G85" s="8" t="n">
        <f aca="false">D85+E85+F85</f>
        <v>5515</v>
      </c>
      <c r="H85" s="9" t="n">
        <f aca="false">D85/G85</f>
        <v>0.43155031731641</v>
      </c>
      <c r="I85" s="8" t="n">
        <v>0</v>
      </c>
      <c r="J85" s="8" t="n">
        <v>0</v>
      </c>
      <c r="K85" s="8" t="n">
        <f aca="false">I85+J85</f>
        <v>0</v>
      </c>
      <c r="L85" s="9" t="str">
        <f aca="false">IF(K85=0,"",I85/K85)</f>
        <v/>
      </c>
      <c r="M85" s="8" t="n">
        <f aca="false">IF(OR(A85=2020,A85=2024),1,0)</f>
        <v>1</v>
      </c>
    </row>
    <row r="86" customFormat="false" ht="15" hidden="false" customHeight="true" outlineLevel="0" collapsed="false">
      <c r="A86" s="8" t="n">
        <v>2018</v>
      </c>
      <c r="B86" s="8" t="s">
        <v>94</v>
      </c>
      <c r="C86" s="8" t="s">
        <v>73</v>
      </c>
      <c r="D86" s="8" t="n">
        <v>3652</v>
      </c>
      <c r="E86" s="8" t="n">
        <v>3768</v>
      </c>
      <c r="F86" s="8" t="n">
        <v>206</v>
      </c>
      <c r="G86" s="8" t="n">
        <f aca="false">D86+E86+F86</f>
        <v>7626</v>
      </c>
      <c r="H86" s="9" t="n">
        <f aca="false">D86/G86</f>
        <v>0.478888014686599</v>
      </c>
      <c r="I86" s="8" t="n">
        <v>4092</v>
      </c>
      <c r="J86" s="8" t="n">
        <v>3438</v>
      </c>
      <c r="K86" s="8" t="n">
        <f aca="false">I86+J86</f>
        <v>7530</v>
      </c>
      <c r="L86" s="9" t="n">
        <f aca="false">IF(K86=0,"",I86/K86)</f>
        <v>0.543426294820717</v>
      </c>
      <c r="M86" s="8" t="n">
        <f aca="false">IF(OR(A86=2020,A86=2024),1,0)</f>
        <v>0</v>
      </c>
    </row>
    <row r="87" customFormat="false" ht="15" hidden="false" customHeight="true" outlineLevel="0" collapsed="false">
      <c r="A87" s="8" t="n">
        <v>2020</v>
      </c>
      <c r="B87" s="8" t="s">
        <v>94</v>
      </c>
      <c r="C87" s="8" t="s">
        <v>73</v>
      </c>
      <c r="D87" s="8" t="n">
        <v>4817</v>
      </c>
      <c r="E87" s="8" t="n">
        <v>5501</v>
      </c>
      <c r="F87" s="8" t="n">
        <v>0</v>
      </c>
      <c r="G87" s="8" t="n">
        <f aca="false">D87+E87+F87</f>
        <v>10318</v>
      </c>
      <c r="H87" s="9" t="n">
        <f aca="false">D87/G87</f>
        <v>0.466854041480907</v>
      </c>
      <c r="I87" s="8" t="n">
        <v>0</v>
      </c>
      <c r="J87" s="8" t="n">
        <v>0</v>
      </c>
      <c r="K87" s="8" t="n">
        <f aca="false">I87+J87</f>
        <v>0</v>
      </c>
      <c r="L87" s="9" t="str">
        <f aca="false">IF(K87=0,"",I87/K87)</f>
        <v/>
      </c>
      <c r="M87" s="8" t="n">
        <f aca="false">IF(OR(A87=2020,A87=2024),1,0)</f>
        <v>1</v>
      </c>
    </row>
    <row r="88" customFormat="false" ht="15" hidden="false" customHeight="true" outlineLevel="0" collapsed="false">
      <c r="A88" s="8" t="n">
        <v>2022</v>
      </c>
      <c r="B88" s="8" t="s">
        <v>94</v>
      </c>
      <c r="C88" s="8" t="s">
        <v>73</v>
      </c>
      <c r="D88" s="8" t="n">
        <v>4406</v>
      </c>
      <c r="E88" s="8" t="n">
        <v>4369</v>
      </c>
      <c r="F88" s="8" t="n">
        <v>0</v>
      </c>
      <c r="G88" s="8" t="n">
        <f aca="false">D88+E88+F88</f>
        <v>8775</v>
      </c>
      <c r="H88" s="9" t="n">
        <f aca="false">D88/G88</f>
        <v>0.502108262108262</v>
      </c>
      <c r="I88" s="8" t="n">
        <v>4861</v>
      </c>
      <c r="J88" s="8" t="n">
        <v>3730</v>
      </c>
      <c r="K88" s="8" t="n">
        <f aca="false">I88+J88</f>
        <v>8591</v>
      </c>
      <c r="L88" s="9" t="n">
        <f aca="false">IF(K88=0,"",I88/K88)</f>
        <v>0.565824700267722</v>
      </c>
      <c r="M88" s="8" t="n">
        <f aca="false">IF(OR(A88=2020,A88=2024),1,0)</f>
        <v>0</v>
      </c>
    </row>
    <row r="89" customFormat="false" ht="15" hidden="false" customHeight="true" outlineLevel="0" collapsed="false">
      <c r="A89" s="8" t="n">
        <v>2024</v>
      </c>
      <c r="B89" s="8" t="s">
        <v>94</v>
      </c>
      <c r="C89" s="8" t="s">
        <v>73</v>
      </c>
      <c r="D89" s="8" t="n">
        <v>5462</v>
      </c>
      <c r="E89" s="8" t="n">
        <v>5740</v>
      </c>
      <c r="F89" s="8" t="n">
        <v>0</v>
      </c>
      <c r="G89" s="8" t="n">
        <f aca="false">D89+E89+F89</f>
        <v>11202</v>
      </c>
      <c r="H89" s="9" t="n">
        <f aca="false">D89/G89</f>
        <v>0.487591501517586</v>
      </c>
      <c r="I89" s="8" t="n">
        <v>0</v>
      </c>
      <c r="J89" s="8" t="n">
        <v>0</v>
      </c>
      <c r="K89" s="8" t="n">
        <f aca="false">I89+J89</f>
        <v>0</v>
      </c>
      <c r="L89" s="9" t="str">
        <f aca="false">IF(K89=0,"",I89/K89)</f>
        <v/>
      </c>
      <c r="M89" s="8" t="n">
        <f aca="false">IF(OR(A89=2020,A89=2024),1,0)</f>
        <v>1</v>
      </c>
    </row>
    <row r="90" customFormat="false" ht="15" hidden="false" customHeight="true" outlineLevel="0" collapsed="false">
      <c r="A90" s="8" t="n">
        <v>2018</v>
      </c>
      <c r="B90" s="8" t="s">
        <v>95</v>
      </c>
      <c r="C90" s="8" t="s">
        <v>73</v>
      </c>
      <c r="D90" s="8" t="n">
        <v>875</v>
      </c>
      <c r="E90" s="8" t="n">
        <v>1592</v>
      </c>
      <c r="F90" s="8" t="n">
        <v>81</v>
      </c>
      <c r="G90" s="8" t="n">
        <f aca="false">D90+E90+F90</f>
        <v>2548</v>
      </c>
      <c r="H90" s="9" t="n">
        <f aca="false">D90/G90</f>
        <v>0.343406593406593</v>
      </c>
      <c r="I90" s="8" t="n">
        <v>1054</v>
      </c>
      <c r="J90" s="8" t="n">
        <v>1454</v>
      </c>
      <c r="K90" s="8" t="n">
        <f aca="false">I90+J90</f>
        <v>2508</v>
      </c>
      <c r="L90" s="9" t="n">
        <f aca="false">IF(K90=0,"",I90/K90)</f>
        <v>0.420255183413078</v>
      </c>
      <c r="M90" s="8" t="n">
        <f aca="false">IF(OR(A90=2020,A90=2024),1,0)</f>
        <v>0</v>
      </c>
    </row>
    <row r="91" customFormat="false" ht="15" hidden="false" customHeight="true" outlineLevel="0" collapsed="false">
      <c r="A91" s="8" t="n">
        <v>2020</v>
      </c>
      <c r="B91" s="8" t="s">
        <v>95</v>
      </c>
      <c r="C91" s="8" t="s">
        <v>73</v>
      </c>
      <c r="D91" s="8" t="n">
        <v>1231</v>
      </c>
      <c r="E91" s="8" t="n">
        <v>2578</v>
      </c>
      <c r="F91" s="8" t="n">
        <v>0</v>
      </c>
      <c r="G91" s="8" t="n">
        <f aca="false">D91+E91+F91</f>
        <v>3809</v>
      </c>
      <c r="H91" s="9" t="n">
        <f aca="false">D91/G91</f>
        <v>0.323181937516409</v>
      </c>
      <c r="I91" s="8" t="n">
        <v>0</v>
      </c>
      <c r="J91" s="8" t="n">
        <v>0</v>
      </c>
      <c r="K91" s="8" t="n">
        <f aca="false">I91+J91</f>
        <v>0</v>
      </c>
      <c r="L91" s="9" t="str">
        <f aca="false">IF(K91=0,"",I91/K91)</f>
        <v/>
      </c>
      <c r="M91" s="8" t="n">
        <f aca="false">IF(OR(A91=2020,A91=2024),1,0)</f>
        <v>1</v>
      </c>
    </row>
    <row r="92" customFormat="false" ht="15" hidden="false" customHeight="true" outlineLevel="0" collapsed="false">
      <c r="A92" s="8" t="n">
        <v>2022</v>
      </c>
      <c r="B92" s="8" t="s">
        <v>95</v>
      </c>
      <c r="C92" s="8" t="s">
        <v>73</v>
      </c>
      <c r="D92" s="8" t="n">
        <v>1054</v>
      </c>
      <c r="E92" s="8" t="n">
        <v>1952</v>
      </c>
      <c r="F92" s="8" t="n">
        <v>0</v>
      </c>
      <c r="G92" s="8" t="n">
        <f aca="false">D92+E92+F92</f>
        <v>3006</v>
      </c>
      <c r="H92" s="9" t="n">
        <f aca="false">D92/G92</f>
        <v>0.350632069194943</v>
      </c>
      <c r="I92" s="8" t="n">
        <v>1173</v>
      </c>
      <c r="J92" s="8" t="n">
        <v>1773</v>
      </c>
      <c r="K92" s="8" t="n">
        <f aca="false">I92+J92</f>
        <v>2946</v>
      </c>
      <c r="L92" s="9" t="n">
        <f aca="false">IF(K92=0,"",I92/K92)</f>
        <v>0.39816700610998</v>
      </c>
      <c r="M92" s="8" t="n">
        <f aca="false">IF(OR(A92=2020,A92=2024),1,0)</f>
        <v>0</v>
      </c>
    </row>
    <row r="93" customFormat="false" ht="15" hidden="false" customHeight="true" outlineLevel="0" collapsed="false">
      <c r="A93" s="8" t="n">
        <v>2024</v>
      </c>
      <c r="B93" s="8" t="s">
        <v>95</v>
      </c>
      <c r="C93" s="8" t="s">
        <v>73</v>
      </c>
      <c r="D93" s="8" t="n">
        <v>1266</v>
      </c>
      <c r="E93" s="8" t="n">
        <v>2669</v>
      </c>
      <c r="F93" s="8" t="n">
        <v>0</v>
      </c>
      <c r="G93" s="8" t="n">
        <f aca="false">D93+E93+F93</f>
        <v>3935</v>
      </c>
      <c r="H93" s="9" t="n">
        <f aca="false">D93/G93</f>
        <v>0.321728081321474</v>
      </c>
      <c r="I93" s="8" t="n">
        <v>0</v>
      </c>
      <c r="J93" s="8" t="n">
        <v>0</v>
      </c>
      <c r="K93" s="8" t="n">
        <f aca="false">I93+J93</f>
        <v>0</v>
      </c>
      <c r="L93" s="9" t="str">
        <f aca="false">IF(K93=0,"",I93/K93)</f>
        <v/>
      </c>
      <c r="M93" s="8" t="n">
        <f aca="false">IF(OR(A93=2020,A93=2024),1,0)</f>
        <v>1</v>
      </c>
    </row>
    <row r="94" customFormat="false" ht="15" hidden="false" customHeight="true" outlineLevel="0" collapsed="false">
      <c r="A94" s="8" t="n">
        <v>2018</v>
      </c>
      <c r="B94" s="8" t="s">
        <v>96</v>
      </c>
      <c r="C94" s="8" t="s">
        <v>73</v>
      </c>
      <c r="D94" s="8" t="n">
        <v>822</v>
      </c>
      <c r="E94" s="8" t="n">
        <v>1519</v>
      </c>
      <c r="F94" s="8" t="n">
        <v>64</v>
      </c>
      <c r="G94" s="8" t="n">
        <f aca="false">D94+E94+F94</f>
        <v>2405</v>
      </c>
      <c r="H94" s="9" t="n">
        <f aca="false">D94/G94</f>
        <v>0.341787941787942</v>
      </c>
      <c r="I94" s="8" t="n">
        <v>1011</v>
      </c>
      <c r="J94" s="8" t="n">
        <v>1367</v>
      </c>
      <c r="K94" s="8" t="n">
        <f aca="false">I94+J94</f>
        <v>2378</v>
      </c>
      <c r="L94" s="9" t="n">
        <f aca="false">IF(K94=0,"",I94/K94)</f>
        <v>0.425147182506308</v>
      </c>
      <c r="M94" s="8" t="n">
        <f aca="false">IF(OR(A94=2020,A94=2024),1,0)</f>
        <v>0</v>
      </c>
    </row>
    <row r="95" customFormat="false" ht="15" hidden="false" customHeight="true" outlineLevel="0" collapsed="false">
      <c r="A95" s="8" t="n">
        <v>2020</v>
      </c>
      <c r="B95" s="8" t="s">
        <v>96</v>
      </c>
      <c r="C95" s="8" t="s">
        <v>73</v>
      </c>
      <c r="D95" s="8" t="n">
        <v>1073</v>
      </c>
      <c r="E95" s="8" t="n">
        <v>2156</v>
      </c>
      <c r="F95" s="8" t="n">
        <v>0</v>
      </c>
      <c r="G95" s="8" t="n">
        <f aca="false">D95+E95+F95</f>
        <v>3229</v>
      </c>
      <c r="H95" s="9" t="n">
        <f aca="false">D95/G95</f>
        <v>0.332301021988232</v>
      </c>
      <c r="I95" s="8" t="n">
        <v>0</v>
      </c>
      <c r="J95" s="8" t="n">
        <v>0</v>
      </c>
      <c r="K95" s="8" t="n">
        <f aca="false">I95+J95</f>
        <v>0</v>
      </c>
      <c r="L95" s="9" t="str">
        <f aca="false">IF(K95=0,"",I95/K95)</f>
        <v/>
      </c>
      <c r="M95" s="8" t="n">
        <f aca="false">IF(OR(A95=2020,A95=2024),1,0)</f>
        <v>1</v>
      </c>
    </row>
    <row r="96" customFormat="false" ht="15" hidden="false" customHeight="true" outlineLevel="0" collapsed="false">
      <c r="A96" s="8" t="n">
        <v>2022</v>
      </c>
      <c r="B96" s="8" t="s">
        <v>96</v>
      </c>
      <c r="C96" s="8" t="s">
        <v>73</v>
      </c>
      <c r="D96" s="8" t="n">
        <v>981</v>
      </c>
      <c r="E96" s="8" t="n">
        <v>1711</v>
      </c>
      <c r="F96" s="8" t="n">
        <v>0</v>
      </c>
      <c r="G96" s="8" t="n">
        <f aca="false">D96+E96+F96</f>
        <v>2692</v>
      </c>
      <c r="H96" s="9" t="n">
        <f aca="false">D96/G96</f>
        <v>0.364413075780089</v>
      </c>
      <c r="I96" s="8" t="n">
        <v>1131</v>
      </c>
      <c r="J96" s="8" t="n">
        <v>1501</v>
      </c>
      <c r="K96" s="8" t="n">
        <f aca="false">I96+J96</f>
        <v>2632</v>
      </c>
      <c r="L96" s="9" t="n">
        <f aca="false">IF(K96=0,"",I96/K96)</f>
        <v>0.429711246200608</v>
      </c>
      <c r="M96" s="8" t="n">
        <f aca="false">IF(OR(A96=2020,A96=2024),1,0)</f>
        <v>0</v>
      </c>
    </row>
    <row r="97" customFormat="false" ht="15" hidden="false" customHeight="true" outlineLevel="0" collapsed="false">
      <c r="A97" s="8" t="n">
        <v>2024</v>
      </c>
      <c r="B97" s="8" t="s">
        <v>96</v>
      </c>
      <c r="C97" s="8" t="s">
        <v>73</v>
      </c>
      <c r="D97" s="8" t="n">
        <v>1172</v>
      </c>
      <c r="E97" s="8" t="n">
        <v>2201</v>
      </c>
      <c r="F97" s="8" t="n">
        <v>0</v>
      </c>
      <c r="G97" s="8" t="n">
        <f aca="false">D97+E97+F97</f>
        <v>3373</v>
      </c>
      <c r="H97" s="9" t="n">
        <f aca="false">D97/G97</f>
        <v>0.347465164541951</v>
      </c>
      <c r="I97" s="8" t="n">
        <v>0</v>
      </c>
      <c r="J97" s="8" t="n">
        <v>0</v>
      </c>
      <c r="K97" s="8" t="n">
        <f aca="false">I97+J97</f>
        <v>0</v>
      </c>
      <c r="L97" s="9" t="str">
        <f aca="false">IF(K97=0,"",I97/K97)</f>
        <v/>
      </c>
      <c r="M97" s="8" t="n">
        <f aca="false">IF(OR(A97=2020,A97=2024),1,0)</f>
        <v>1</v>
      </c>
    </row>
    <row r="98" customFormat="false" ht="15" hidden="false" customHeight="true" outlineLevel="0" collapsed="false">
      <c r="A98" s="8" t="n">
        <v>2018</v>
      </c>
      <c r="B98" s="8" t="s">
        <v>97</v>
      </c>
      <c r="C98" s="8" t="s">
        <v>73</v>
      </c>
      <c r="D98" s="8" t="n">
        <v>5195</v>
      </c>
      <c r="E98" s="8" t="n">
        <v>4070</v>
      </c>
      <c r="F98" s="8" t="n">
        <v>391</v>
      </c>
      <c r="G98" s="8" t="n">
        <f aca="false">D98+E98+F98</f>
        <v>9656</v>
      </c>
      <c r="H98" s="9" t="n">
        <f aca="false">D98/G98</f>
        <v>0.538007456503728</v>
      </c>
      <c r="I98" s="8" t="n">
        <v>5849</v>
      </c>
      <c r="J98" s="8" t="n">
        <v>3637</v>
      </c>
      <c r="K98" s="8" t="n">
        <f aca="false">I98+J98</f>
        <v>9486</v>
      </c>
      <c r="L98" s="9" t="n">
        <f aca="false">IF(K98=0,"",I98/K98)</f>
        <v>0.616592873708623</v>
      </c>
      <c r="M98" s="8" t="n">
        <f aca="false">IF(OR(A98=2020,A98=2024),1,0)</f>
        <v>0</v>
      </c>
    </row>
    <row r="99" customFormat="false" ht="15" hidden="false" customHeight="true" outlineLevel="0" collapsed="false">
      <c r="A99" s="8" t="n">
        <v>2020</v>
      </c>
      <c r="B99" s="8" t="s">
        <v>97</v>
      </c>
      <c r="C99" s="8" t="s">
        <v>73</v>
      </c>
      <c r="D99" s="8" t="n">
        <v>7458</v>
      </c>
      <c r="E99" s="8" t="n">
        <v>6731</v>
      </c>
      <c r="F99" s="8" t="n">
        <v>0</v>
      </c>
      <c r="G99" s="8" t="n">
        <f aca="false">D99+E99+F99</f>
        <v>14189</v>
      </c>
      <c r="H99" s="9" t="n">
        <f aca="false">D99/G99</f>
        <v>0.525618436817253</v>
      </c>
      <c r="I99" s="8" t="n">
        <v>0</v>
      </c>
      <c r="J99" s="8" t="n">
        <v>0</v>
      </c>
      <c r="K99" s="8" t="n">
        <f aca="false">I99+J99</f>
        <v>0</v>
      </c>
      <c r="L99" s="9" t="str">
        <f aca="false">IF(K99=0,"",I99/K99)</f>
        <v/>
      </c>
      <c r="M99" s="8" t="n">
        <f aca="false">IF(OR(A99=2020,A99=2024),1,0)</f>
        <v>1</v>
      </c>
    </row>
    <row r="100" customFormat="false" ht="15" hidden="false" customHeight="true" outlineLevel="0" collapsed="false">
      <c r="A100" s="8" t="n">
        <v>2022</v>
      </c>
      <c r="B100" s="8" t="s">
        <v>97</v>
      </c>
      <c r="C100" s="8" t="s">
        <v>73</v>
      </c>
      <c r="D100" s="8" t="n">
        <v>5508</v>
      </c>
      <c r="E100" s="8" t="n">
        <v>4784</v>
      </c>
      <c r="F100" s="8" t="n">
        <v>0</v>
      </c>
      <c r="G100" s="8" t="n">
        <f aca="false">D100+E100+F100</f>
        <v>10292</v>
      </c>
      <c r="H100" s="9" t="n">
        <f aca="false">D100/G100</f>
        <v>0.535172949863972</v>
      </c>
      <c r="I100" s="8" t="n">
        <v>5985</v>
      </c>
      <c r="J100" s="8" t="n">
        <v>4122</v>
      </c>
      <c r="K100" s="8" t="n">
        <f aca="false">I100+J100</f>
        <v>10107</v>
      </c>
      <c r="L100" s="9" t="n">
        <f aca="false">IF(K100=0,"",I100/K100)</f>
        <v>0.592163846838825</v>
      </c>
      <c r="M100" s="8" t="n">
        <f aca="false">IF(OR(A100=2020,A100=2024),1,0)</f>
        <v>0</v>
      </c>
    </row>
    <row r="101" customFormat="false" ht="15" hidden="false" customHeight="true" outlineLevel="0" collapsed="false">
      <c r="A101" s="8" t="n">
        <v>2024</v>
      </c>
      <c r="B101" s="8" t="s">
        <v>97</v>
      </c>
      <c r="C101" s="8" t="s">
        <v>73</v>
      </c>
      <c r="D101" s="8" t="n">
        <v>7383</v>
      </c>
      <c r="E101" s="8" t="n">
        <v>7036</v>
      </c>
      <c r="F101" s="8" t="n">
        <v>0</v>
      </c>
      <c r="G101" s="8" t="n">
        <f aca="false">D101+E101+F101</f>
        <v>14419</v>
      </c>
      <c r="H101" s="9" t="n">
        <f aca="false">D101/G101</f>
        <v>0.51203273458631</v>
      </c>
      <c r="I101" s="8" t="n">
        <v>0</v>
      </c>
      <c r="J101" s="8" t="n">
        <v>0</v>
      </c>
      <c r="K101" s="8" t="n">
        <f aca="false">I101+J101</f>
        <v>0</v>
      </c>
      <c r="L101" s="9" t="str">
        <f aca="false">IF(K101=0,"",I101/K101)</f>
        <v/>
      </c>
      <c r="M101" s="8" t="n">
        <f aca="false">IF(OR(A101=2020,A101=2024),1,0)</f>
        <v>1</v>
      </c>
    </row>
    <row r="102" customFormat="false" ht="15" hidden="false" customHeight="true" outlineLevel="0" collapsed="false">
      <c r="A102" s="8" t="n">
        <v>2018</v>
      </c>
      <c r="B102" s="8" t="s">
        <v>98</v>
      </c>
      <c r="C102" s="8" t="s">
        <v>99</v>
      </c>
      <c r="D102" s="8" t="n">
        <v>908</v>
      </c>
      <c r="E102" s="8" t="n">
        <v>1196</v>
      </c>
      <c r="F102" s="8" t="n">
        <v>62</v>
      </c>
      <c r="G102" s="8" t="n">
        <f aca="false">D102+E102+F102</f>
        <v>2166</v>
      </c>
      <c r="H102" s="9" t="n">
        <f aca="false">D102/G102</f>
        <v>0.419205909510619</v>
      </c>
      <c r="I102" s="8" t="n">
        <v>1065</v>
      </c>
      <c r="J102" s="8" t="n">
        <v>1079</v>
      </c>
      <c r="K102" s="8" t="n">
        <f aca="false">I102+J102</f>
        <v>2144</v>
      </c>
      <c r="L102" s="9" t="n">
        <f aca="false">IF(K102=0,"",I102/K102)</f>
        <v>0.496735074626866</v>
      </c>
      <c r="M102" s="8" t="n">
        <f aca="false">IF(OR(A102=2020,A102=2024),1,0)</f>
        <v>0</v>
      </c>
    </row>
    <row r="103" customFormat="false" ht="15" hidden="false" customHeight="true" outlineLevel="0" collapsed="false">
      <c r="A103" s="8" t="n">
        <v>2020</v>
      </c>
      <c r="B103" s="8" t="s">
        <v>98</v>
      </c>
      <c r="C103" s="8" t="s">
        <v>99</v>
      </c>
      <c r="D103" s="8" t="n">
        <v>1432</v>
      </c>
      <c r="E103" s="8" t="n">
        <v>1882</v>
      </c>
      <c r="F103" s="8" t="n">
        <v>0</v>
      </c>
      <c r="G103" s="8" t="n">
        <f aca="false">D103+E103+F103</f>
        <v>3314</v>
      </c>
      <c r="H103" s="9" t="n">
        <f aca="false">D103/G103</f>
        <v>0.432106216053108</v>
      </c>
      <c r="I103" s="8" t="n">
        <v>0</v>
      </c>
      <c r="J103" s="8" t="n">
        <v>0</v>
      </c>
      <c r="K103" s="8" t="n">
        <f aca="false">I103+J103</f>
        <v>0</v>
      </c>
      <c r="L103" s="9" t="str">
        <f aca="false">IF(K103=0,"",I103/K103)</f>
        <v/>
      </c>
      <c r="M103" s="8" t="n">
        <f aca="false">IF(OR(A103=2020,A103=2024),1,0)</f>
        <v>1</v>
      </c>
    </row>
    <row r="104" customFormat="false" ht="15" hidden="false" customHeight="true" outlineLevel="0" collapsed="false">
      <c r="A104" s="8" t="n">
        <v>2022</v>
      </c>
      <c r="B104" s="8" t="s">
        <v>98</v>
      </c>
      <c r="C104" s="8" t="s">
        <v>99</v>
      </c>
      <c r="D104" s="8" t="n">
        <v>1174</v>
      </c>
      <c r="E104" s="8" t="n">
        <v>1426</v>
      </c>
      <c r="F104" s="8" t="n">
        <v>0</v>
      </c>
      <c r="G104" s="8" t="n">
        <f aca="false">D104+E104+F104</f>
        <v>2600</v>
      </c>
      <c r="H104" s="9" t="n">
        <f aca="false">D104/G104</f>
        <v>0.451538461538462</v>
      </c>
      <c r="I104" s="8" t="n">
        <v>1307</v>
      </c>
      <c r="J104" s="8" t="n">
        <v>1253</v>
      </c>
      <c r="K104" s="8" t="n">
        <f aca="false">I104+J104</f>
        <v>2560</v>
      </c>
      <c r="L104" s="9" t="n">
        <f aca="false">IF(K104=0,"",I104/K104)</f>
        <v>0.510546875</v>
      </c>
      <c r="M104" s="8" t="n">
        <f aca="false">IF(OR(A104=2020,A104=2024),1,0)</f>
        <v>0</v>
      </c>
    </row>
    <row r="105" customFormat="false" ht="15" hidden="false" customHeight="true" outlineLevel="0" collapsed="false">
      <c r="A105" s="8" t="n">
        <v>2024</v>
      </c>
      <c r="B105" s="8" t="s">
        <v>98</v>
      </c>
      <c r="C105" s="8" t="s">
        <v>99</v>
      </c>
      <c r="D105" s="8" t="n">
        <v>1511</v>
      </c>
      <c r="E105" s="8" t="n">
        <v>2018</v>
      </c>
      <c r="F105" s="8" t="n">
        <v>0</v>
      </c>
      <c r="G105" s="8" t="n">
        <f aca="false">D105+E105+F105</f>
        <v>3529</v>
      </c>
      <c r="H105" s="9" t="n">
        <f aca="false">D105/G105</f>
        <v>0.428166619438935</v>
      </c>
      <c r="I105" s="8" t="n">
        <v>0</v>
      </c>
      <c r="J105" s="8" t="n">
        <v>0</v>
      </c>
      <c r="K105" s="8" t="n">
        <f aca="false">I105+J105</f>
        <v>0</v>
      </c>
      <c r="L105" s="9" t="str">
        <f aca="false">IF(K105=0,"",I105/K105)</f>
        <v/>
      </c>
      <c r="M105" s="8" t="n">
        <f aca="false">IF(OR(A105=2020,A105=2024),1,0)</f>
        <v>1</v>
      </c>
    </row>
    <row r="106" customFormat="false" ht="15" hidden="false" customHeight="true" outlineLevel="0" collapsed="false">
      <c r="A106" s="8" t="n">
        <v>2018</v>
      </c>
      <c r="B106" s="8" t="s">
        <v>100</v>
      </c>
      <c r="C106" s="8" t="s">
        <v>99</v>
      </c>
      <c r="D106" s="8" t="n">
        <v>701</v>
      </c>
      <c r="E106" s="8" t="n">
        <v>780</v>
      </c>
      <c r="F106" s="8" t="n">
        <v>42</v>
      </c>
      <c r="G106" s="8" t="n">
        <f aca="false">D106+E106+F106</f>
        <v>1523</v>
      </c>
      <c r="H106" s="9" t="n">
        <f aca="false">D106/G106</f>
        <v>0.460275771503611</v>
      </c>
      <c r="I106" s="8" t="n">
        <v>817</v>
      </c>
      <c r="J106" s="8" t="n">
        <v>694</v>
      </c>
      <c r="K106" s="8" t="n">
        <f aca="false">I106+J106</f>
        <v>1511</v>
      </c>
      <c r="L106" s="9" t="n">
        <f aca="false">IF(K106=0,"",I106/K106)</f>
        <v>0.540701522170748</v>
      </c>
      <c r="M106" s="8" t="n">
        <f aca="false">IF(OR(A106=2020,A106=2024),1,0)</f>
        <v>0</v>
      </c>
    </row>
    <row r="107" customFormat="false" ht="15" hidden="false" customHeight="true" outlineLevel="0" collapsed="false">
      <c r="A107" s="8" t="n">
        <v>2020</v>
      </c>
      <c r="B107" s="8" t="s">
        <v>100</v>
      </c>
      <c r="C107" s="8" t="s">
        <v>99</v>
      </c>
      <c r="D107" s="8" t="n">
        <v>965</v>
      </c>
      <c r="E107" s="8" t="n">
        <v>1342</v>
      </c>
      <c r="F107" s="8" t="n">
        <v>0</v>
      </c>
      <c r="G107" s="8" t="n">
        <f aca="false">D107+E107+F107</f>
        <v>2307</v>
      </c>
      <c r="H107" s="9" t="n">
        <f aca="false">D107/G107</f>
        <v>0.418292154312961</v>
      </c>
      <c r="I107" s="8" t="n">
        <v>0</v>
      </c>
      <c r="J107" s="8" t="n">
        <v>0</v>
      </c>
      <c r="K107" s="8" t="n">
        <f aca="false">I107+J107</f>
        <v>0</v>
      </c>
      <c r="L107" s="9" t="str">
        <f aca="false">IF(K107=0,"",I107/K107)</f>
        <v/>
      </c>
      <c r="M107" s="8" t="n">
        <f aca="false">IF(OR(A107=2020,A107=2024),1,0)</f>
        <v>1</v>
      </c>
    </row>
    <row r="108" customFormat="false" ht="15" hidden="false" customHeight="true" outlineLevel="0" collapsed="false">
      <c r="A108" s="8" t="n">
        <v>2022</v>
      </c>
      <c r="B108" s="8" t="s">
        <v>100</v>
      </c>
      <c r="C108" s="8" t="s">
        <v>99</v>
      </c>
      <c r="D108" s="8" t="n">
        <v>729</v>
      </c>
      <c r="E108" s="8" t="n">
        <v>928</v>
      </c>
      <c r="F108" s="8" t="n">
        <v>0</v>
      </c>
      <c r="G108" s="8" t="n">
        <f aca="false">D108+E108+F108</f>
        <v>1657</v>
      </c>
      <c r="H108" s="9" t="n">
        <f aca="false">D108/G108</f>
        <v>0.43995171997586</v>
      </c>
      <c r="I108" s="8" t="n">
        <v>803</v>
      </c>
      <c r="J108" s="8" t="n">
        <v>833</v>
      </c>
      <c r="K108" s="8" t="n">
        <f aca="false">I108+J108</f>
        <v>1636</v>
      </c>
      <c r="L108" s="9" t="n">
        <f aca="false">IF(K108=0,"",I108/K108)</f>
        <v>0.490831295843521</v>
      </c>
      <c r="M108" s="8" t="n">
        <f aca="false">IF(OR(A108=2020,A108=2024),1,0)</f>
        <v>0</v>
      </c>
    </row>
    <row r="109" customFormat="false" ht="15" hidden="false" customHeight="true" outlineLevel="0" collapsed="false">
      <c r="A109" s="8" t="n">
        <v>2024</v>
      </c>
      <c r="B109" s="8" t="s">
        <v>100</v>
      </c>
      <c r="C109" s="8" t="s">
        <v>99</v>
      </c>
      <c r="D109" s="8" t="n">
        <v>959</v>
      </c>
      <c r="E109" s="8" t="n">
        <v>1364</v>
      </c>
      <c r="F109" s="8" t="n">
        <v>0</v>
      </c>
      <c r="G109" s="8" t="n">
        <f aca="false">D109+E109+F109</f>
        <v>2323</v>
      </c>
      <c r="H109" s="9" t="n">
        <f aca="false">D109/G109</f>
        <v>0.412828239345674</v>
      </c>
      <c r="I109" s="8" t="n">
        <v>0</v>
      </c>
      <c r="J109" s="8" t="n">
        <v>0</v>
      </c>
      <c r="K109" s="8" t="n">
        <f aca="false">I109+J109</f>
        <v>0</v>
      </c>
      <c r="L109" s="9" t="str">
        <f aca="false">IF(K109=0,"",I109/K109)</f>
        <v/>
      </c>
      <c r="M109" s="8" t="n">
        <f aca="false">IF(OR(A109=2020,A109=2024),1,0)</f>
        <v>1</v>
      </c>
    </row>
    <row r="110" customFormat="false" ht="15" hidden="false" customHeight="true" outlineLevel="0" collapsed="false">
      <c r="A110" s="8" t="n">
        <v>2018</v>
      </c>
      <c r="B110" s="8" t="s">
        <v>101</v>
      </c>
      <c r="C110" s="8" t="s">
        <v>99</v>
      </c>
      <c r="D110" s="8" t="n">
        <v>368</v>
      </c>
      <c r="E110" s="8" t="n">
        <v>408</v>
      </c>
      <c r="F110" s="8" t="n">
        <v>33</v>
      </c>
      <c r="G110" s="8" t="n">
        <f aca="false">D110+E110+F110</f>
        <v>809</v>
      </c>
      <c r="H110" s="9" t="n">
        <f aca="false">D110/G110</f>
        <v>0.454882571075402</v>
      </c>
      <c r="I110" s="8" t="n">
        <v>432</v>
      </c>
      <c r="J110" s="8" t="n">
        <v>361</v>
      </c>
      <c r="K110" s="8" t="n">
        <f aca="false">I110+J110</f>
        <v>793</v>
      </c>
      <c r="L110" s="9" t="n">
        <f aca="false">IF(K110=0,"",I110/K110)</f>
        <v>0.544766708701135</v>
      </c>
      <c r="M110" s="8" t="n">
        <f aca="false">IF(OR(A110=2020,A110=2024),1,0)</f>
        <v>0</v>
      </c>
    </row>
    <row r="111" customFormat="false" ht="15" hidden="false" customHeight="true" outlineLevel="0" collapsed="false">
      <c r="A111" s="8" t="n">
        <v>2020</v>
      </c>
      <c r="B111" s="8" t="s">
        <v>101</v>
      </c>
      <c r="C111" s="8" t="s">
        <v>99</v>
      </c>
      <c r="D111" s="8" t="n">
        <v>579</v>
      </c>
      <c r="E111" s="8" t="n">
        <v>695</v>
      </c>
      <c r="F111" s="8" t="n">
        <v>0</v>
      </c>
      <c r="G111" s="8" t="n">
        <f aca="false">D111+E111+F111</f>
        <v>1274</v>
      </c>
      <c r="H111" s="9" t="n">
        <f aca="false">D111/G111</f>
        <v>0.45447409733124</v>
      </c>
      <c r="I111" s="8" t="n">
        <v>0</v>
      </c>
      <c r="J111" s="8" t="n">
        <v>0</v>
      </c>
      <c r="K111" s="8" t="n">
        <f aca="false">I111+J111</f>
        <v>0</v>
      </c>
      <c r="L111" s="9" t="str">
        <f aca="false">IF(K111=0,"",I111/K111)</f>
        <v/>
      </c>
      <c r="M111" s="8" t="n">
        <f aca="false">IF(OR(A111=2020,A111=2024),1,0)</f>
        <v>1</v>
      </c>
    </row>
    <row r="112" customFormat="false" ht="15" hidden="false" customHeight="true" outlineLevel="0" collapsed="false">
      <c r="A112" s="8" t="n">
        <v>2022</v>
      </c>
      <c r="B112" s="8" t="s">
        <v>101</v>
      </c>
      <c r="C112" s="8" t="s">
        <v>99</v>
      </c>
      <c r="D112" s="8" t="n">
        <v>441</v>
      </c>
      <c r="E112" s="8" t="n">
        <v>513</v>
      </c>
      <c r="F112" s="8" t="n">
        <v>0</v>
      </c>
      <c r="G112" s="8" t="n">
        <f aca="false">D112+E112+F112</f>
        <v>954</v>
      </c>
      <c r="H112" s="9" t="n">
        <f aca="false">D112/G112</f>
        <v>0.462264150943396</v>
      </c>
      <c r="I112" s="8" t="n">
        <v>492</v>
      </c>
      <c r="J112" s="8" t="n">
        <v>438</v>
      </c>
      <c r="K112" s="8" t="n">
        <f aca="false">I112+J112</f>
        <v>930</v>
      </c>
      <c r="L112" s="9" t="n">
        <f aca="false">IF(K112=0,"",I112/K112)</f>
        <v>0.529032258064516</v>
      </c>
      <c r="M112" s="8" t="n">
        <f aca="false">IF(OR(A112=2020,A112=2024),1,0)</f>
        <v>0</v>
      </c>
    </row>
    <row r="113" customFormat="false" ht="15" hidden="false" customHeight="true" outlineLevel="0" collapsed="false">
      <c r="A113" s="8" t="n">
        <v>2024</v>
      </c>
      <c r="B113" s="8" t="s">
        <v>101</v>
      </c>
      <c r="C113" s="8" t="s">
        <v>99</v>
      </c>
      <c r="D113" s="8" t="n">
        <v>623</v>
      </c>
      <c r="E113" s="8" t="n">
        <v>726</v>
      </c>
      <c r="F113" s="8" t="n">
        <v>0</v>
      </c>
      <c r="G113" s="8" t="n">
        <f aca="false">D113+E113+F113</f>
        <v>1349</v>
      </c>
      <c r="H113" s="9" t="n">
        <f aca="false">D113/G113</f>
        <v>0.46182357301705</v>
      </c>
      <c r="I113" s="8" t="n">
        <v>0</v>
      </c>
      <c r="J113" s="8" t="n">
        <v>0</v>
      </c>
      <c r="K113" s="8" t="n">
        <f aca="false">I113+J113</f>
        <v>0</v>
      </c>
      <c r="L113" s="9" t="str">
        <f aca="false">IF(K113=0,"",I113/K113)</f>
        <v/>
      </c>
      <c r="M113" s="8" t="n">
        <f aca="false">IF(OR(A113=2020,A113=2024),1,0)</f>
        <v>1</v>
      </c>
    </row>
    <row r="114" customFormat="false" ht="15" hidden="false" customHeight="true" outlineLevel="0" collapsed="false">
      <c r="A114" s="8" t="n">
        <v>2018</v>
      </c>
      <c r="B114" s="8" t="s">
        <v>75</v>
      </c>
      <c r="C114" s="8" t="s">
        <v>99</v>
      </c>
      <c r="D114" s="8" t="n">
        <v>12121</v>
      </c>
      <c r="E114" s="8" t="n">
        <v>4931</v>
      </c>
      <c r="F114" s="8" t="n">
        <v>578</v>
      </c>
      <c r="G114" s="8" t="n">
        <f aca="false">D114+E114+F114</f>
        <v>17630</v>
      </c>
      <c r="H114" s="9" t="n">
        <f aca="false">D114/G114</f>
        <v>0.687521270561543</v>
      </c>
      <c r="I114" s="8" t="n">
        <v>12842</v>
      </c>
      <c r="J114" s="8" t="n">
        <v>4513</v>
      </c>
      <c r="K114" s="8" t="n">
        <f aca="false">I114+J114</f>
        <v>17355</v>
      </c>
      <c r="L114" s="9" t="n">
        <f aca="false">IF(K114=0,"",I114/K114)</f>
        <v>0.739959665802362</v>
      </c>
      <c r="M114" s="8" t="n">
        <f aca="false">IF(OR(A114=2020,A114=2024),1,0)</f>
        <v>0</v>
      </c>
    </row>
    <row r="115" customFormat="false" ht="15" hidden="false" customHeight="true" outlineLevel="0" collapsed="false">
      <c r="A115" s="8" t="n">
        <v>2020</v>
      </c>
      <c r="B115" s="8" t="s">
        <v>75</v>
      </c>
      <c r="C115" s="8" t="s">
        <v>99</v>
      </c>
      <c r="D115" s="8" t="n">
        <v>16782</v>
      </c>
      <c r="E115" s="8" t="n">
        <v>8176</v>
      </c>
      <c r="F115" s="8" t="n">
        <v>0</v>
      </c>
      <c r="G115" s="8" t="n">
        <f aca="false">D115+E115+F115</f>
        <v>24958</v>
      </c>
      <c r="H115" s="9" t="n">
        <f aca="false">D115/G115</f>
        <v>0.672409648208991</v>
      </c>
      <c r="I115" s="8" t="n">
        <v>0</v>
      </c>
      <c r="J115" s="8" t="n">
        <v>0</v>
      </c>
      <c r="K115" s="8" t="n">
        <f aca="false">I115+J115</f>
        <v>0</v>
      </c>
      <c r="L115" s="9" t="str">
        <f aca="false">IF(K115=0,"",I115/K115)</f>
        <v/>
      </c>
      <c r="M115" s="8" t="n">
        <f aca="false">IF(OR(A115=2020,A115=2024),1,0)</f>
        <v>1</v>
      </c>
    </row>
    <row r="116" customFormat="false" ht="15" hidden="false" customHeight="true" outlineLevel="0" collapsed="false">
      <c r="A116" s="8" t="n">
        <v>2022</v>
      </c>
      <c r="B116" s="8" t="s">
        <v>75</v>
      </c>
      <c r="C116" s="8" t="s">
        <v>99</v>
      </c>
      <c r="D116" s="8" t="n">
        <v>12402</v>
      </c>
      <c r="E116" s="8" t="n">
        <v>5692</v>
      </c>
      <c r="F116" s="8" t="n">
        <v>0</v>
      </c>
      <c r="G116" s="8" t="n">
        <f aca="false">D116+E116+F116</f>
        <v>18094</v>
      </c>
      <c r="H116" s="9" t="n">
        <f aca="false">D116/G116</f>
        <v>0.685420581408202</v>
      </c>
      <c r="I116" s="8" t="n">
        <v>12911</v>
      </c>
      <c r="J116" s="8" t="n">
        <v>4818</v>
      </c>
      <c r="K116" s="8" t="n">
        <f aca="false">I116+J116</f>
        <v>17729</v>
      </c>
      <c r="L116" s="9" t="n">
        <f aca="false">IF(K116=0,"",I116/K116)</f>
        <v>0.728241863613289</v>
      </c>
      <c r="M116" s="8" t="n">
        <f aca="false">IF(OR(A116=2020,A116=2024),1,0)</f>
        <v>0</v>
      </c>
    </row>
    <row r="117" customFormat="false" ht="15" hidden="false" customHeight="true" outlineLevel="0" collapsed="false">
      <c r="A117" s="8" t="n">
        <v>2024</v>
      </c>
      <c r="B117" s="8" t="s">
        <v>75</v>
      </c>
      <c r="C117" s="8" t="s">
        <v>99</v>
      </c>
      <c r="D117" s="8" t="n">
        <v>17416</v>
      </c>
      <c r="E117" s="8" t="n">
        <v>8640</v>
      </c>
      <c r="F117" s="8" t="n">
        <v>0</v>
      </c>
      <c r="G117" s="8" t="n">
        <f aca="false">D117+E117+F117</f>
        <v>26056</v>
      </c>
      <c r="H117" s="9" t="n">
        <f aca="false">D117/G117</f>
        <v>0.668406509057415</v>
      </c>
      <c r="I117" s="8" t="n">
        <v>0</v>
      </c>
      <c r="J117" s="8" t="n">
        <v>0</v>
      </c>
      <c r="K117" s="8" t="n">
        <f aca="false">I117+J117</f>
        <v>0</v>
      </c>
      <c r="L117" s="9" t="str">
        <f aca="false">IF(K117=0,"",I117/K117)</f>
        <v/>
      </c>
      <c r="M117" s="8" t="n">
        <f aca="false">IF(OR(A117=2020,A117=2024),1,0)</f>
        <v>1</v>
      </c>
    </row>
    <row r="118" customFormat="false" ht="15" hidden="false" customHeight="true" outlineLevel="0" collapsed="false">
      <c r="A118" s="8" t="n">
        <v>2018</v>
      </c>
      <c r="B118" s="8" t="s">
        <v>102</v>
      </c>
      <c r="C118" s="8" t="s">
        <v>99</v>
      </c>
      <c r="D118" s="8" t="n">
        <v>5576</v>
      </c>
      <c r="E118" s="8" t="n">
        <v>4673</v>
      </c>
      <c r="F118" s="8" t="n">
        <v>288</v>
      </c>
      <c r="G118" s="8" t="n">
        <f aca="false">D118+E118+F118</f>
        <v>10537</v>
      </c>
      <c r="H118" s="9" t="n">
        <f aca="false">D118/G118</f>
        <v>0.529182879377432</v>
      </c>
      <c r="I118" s="8" t="n">
        <v>6152</v>
      </c>
      <c r="J118" s="8" t="n">
        <v>4242</v>
      </c>
      <c r="K118" s="8" t="n">
        <f aca="false">I118+J118</f>
        <v>10394</v>
      </c>
      <c r="L118" s="9" t="n">
        <f aca="false">IF(K118=0,"",I118/K118)</f>
        <v>0.591879930729267</v>
      </c>
      <c r="M118" s="8" t="n">
        <f aca="false">IF(OR(A118=2020,A118=2024),1,0)</f>
        <v>0</v>
      </c>
    </row>
    <row r="119" customFormat="false" ht="15" hidden="false" customHeight="true" outlineLevel="0" collapsed="false">
      <c r="A119" s="8" t="n">
        <v>2020</v>
      </c>
      <c r="B119" s="8" t="s">
        <v>102</v>
      </c>
      <c r="C119" s="8" t="s">
        <v>99</v>
      </c>
      <c r="D119" s="8" t="n">
        <v>8164</v>
      </c>
      <c r="E119" s="8" t="n">
        <v>7205</v>
      </c>
      <c r="F119" s="8" t="n">
        <v>0</v>
      </c>
      <c r="G119" s="8" t="n">
        <f aca="false">D119+E119+F119</f>
        <v>15369</v>
      </c>
      <c r="H119" s="9" t="n">
        <f aca="false">D119/G119</f>
        <v>0.531199167154662</v>
      </c>
      <c r="I119" s="8" t="n">
        <v>0</v>
      </c>
      <c r="J119" s="8" t="n">
        <v>0</v>
      </c>
      <c r="K119" s="8" t="n">
        <f aca="false">I119+J119</f>
        <v>0</v>
      </c>
      <c r="L119" s="9" t="str">
        <f aca="false">IF(K119=0,"",I119/K119)</f>
        <v/>
      </c>
      <c r="M119" s="8" t="n">
        <f aca="false">IF(OR(A119=2020,A119=2024),1,0)</f>
        <v>1</v>
      </c>
    </row>
    <row r="120" customFormat="false" ht="15" hidden="false" customHeight="true" outlineLevel="0" collapsed="false">
      <c r="A120" s="8" t="n">
        <v>2022</v>
      </c>
      <c r="B120" s="8" t="s">
        <v>102</v>
      </c>
      <c r="C120" s="8" t="s">
        <v>99</v>
      </c>
      <c r="D120" s="8" t="n">
        <v>6681</v>
      </c>
      <c r="E120" s="8" t="n">
        <v>5562</v>
      </c>
      <c r="F120" s="8" t="n">
        <v>0</v>
      </c>
      <c r="G120" s="8" t="n">
        <f aca="false">D120+E120+F120</f>
        <v>12243</v>
      </c>
      <c r="H120" s="9" t="n">
        <f aca="false">D120/G120</f>
        <v>0.545699583435433</v>
      </c>
      <c r="I120" s="8" t="n">
        <v>7205</v>
      </c>
      <c r="J120" s="8" t="n">
        <v>4790</v>
      </c>
      <c r="K120" s="8" t="n">
        <f aca="false">I120+J120</f>
        <v>11995</v>
      </c>
      <c r="L120" s="9" t="n">
        <f aca="false">IF(K120=0,"",I120/K120)</f>
        <v>0.600666944560233</v>
      </c>
      <c r="M120" s="8" t="n">
        <f aca="false">IF(OR(A120=2020,A120=2024),1,0)</f>
        <v>0</v>
      </c>
    </row>
    <row r="121" customFormat="false" ht="15" hidden="false" customHeight="true" outlineLevel="0" collapsed="false">
      <c r="A121" s="8" t="n">
        <v>2024</v>
      </c>
      <c r="B121" s="8" t="s">
        <v>102</v>
      </c>
      <c r="C121" s="8" t="s">
        <v>99</v>
      </c>
      <c r="D121" s="8" t="n">
        <v>8595</v>
      </c>
      <c r="E121" s="8" t="n">
        <v>7440</v>
      </c>
      <c r="F121" s="8" t="n">
        <v>0</v>
      </c>
      <c r="G121" s="8" t="n">
        <f aca="false">D121+E121+F121</f>
        <v>16035</v>
      </c>
      <c r="H121" s="9" t="n">
        <f aca="false">D121/G121</f>
        <v>0.536014967259121</v>
      </c>
      <c r="I121" s="8" t="n">
        <v>0</v>
      </c>
      <c r="J121" s="8" t="n">
        <v>0</v>
      </c>
      <c r="K121" s="8" t="n">
        <f aca="false">I121+J121</f>
        <v>0</v>
      </c>
      <c r="L121" s="9" t="str">
        <f aca="false">IF(K121=0,"",I121/K121)</f>
        <v/>
      </c>
      <c r="M121" s="8" t="n">
        <f aca="false">IF(OR(A121=2020,A121=2024),1,0)</f>
        <v>1</v>
      </c>
    </row>
    <row r="122" customFormat="false" ht="15" hidden="false" customHeight="true" outlineLevel="0" collapsed="false">
      <c r="A122" s="8" t="n">
        <v>2018</v>
      </c>
      <c r="B122" s="8" t="s">
        <v>103</v>
      </c>
      <c r="C122" s="8" t="s">
        <v>99</v>
      </c>
      <c r="D122" s="8" t="n">
        <v>1370</v>
      </c>
      <c r="E122" s="8" t="n">
        <v>2143</v>
      </c>
      <c r="F122" s="8" t="n">
        <v>121</v>
      </c>
      <c r="G122" s="8" t="n">
        <f aca="false">D122+E122+F122</f>
        <v>3634</v>
      </c>
      <c r="H122" s="9" t="n">
        <f aca="false">D122/G122</f>
        <v>0.376995046780407</v>
      </c>
      <c r="I122" s="8" t="n">
        <v>1646</v>
      </c>
      <c r="J122" s="8" t="n">
        <v>1889</v>
      </c>
      <c r="K122" s="8" t="n">
        <f aca="false">I122+J122</f>
        <v>3535</v>
      </c>
      <c r="L122" s="9" t="n">
        <f aca="false">IF(K122=0,"",I122/K122)</f>
        <v>0.465629420084866</v>
      </c>
      <c r="M122" s="8" t="n">
        <f aca="false">IF(OR(A122=2020,A122=2024),1,0)</f>
        <v>0</v>
      </c>
    </row>
    <row r="123" customFormat="false" ht="15" hidden="false" customHeight="true" outlineLevel="0" collapsed="false">
      <c r="A123" s="8" t="n">
        <v>2020</v>
      </c>
      <c r="B123" s="8" t="s">
        <v>103</v>
      </c>
      <c r="C123" s="8" t="s">
        <v>99</v>
      </c>
      <c r="D123" s="8" t="n">
        <v>1978</v>
      </c>
      <c r="E123" s="8" t="n">
        <v>3385</v>
      </c>
      <c r="F123" s="8" t="n">
        <v>0</v>
      </c>
      <c r="G123" s="8" t="n">
        <f aca="false">D123+E123+F123</f>
        <v>5363</v>
      </c>
      <c r="H123" s="9" t="n">
        <f aca="false">D123/G123</f>
        <v>0.368823419727764</v>
      </c>
      <c r="I123" s="8" t="n">
        <v>0</v>
      </c>
      <c r="J123" s="8" t="n">
        <v>0</v>
      </c>
      <c r="K123" s="8" t="n">
        <f aca="false">I123+J123</f>
        <v>0</v>
      </c>
      <c r="L123" s="9" t="str">
        <f aca="false">IF(K123=0,"",I123/K123)</f>
        <v/>
      </c>
      <c r="M123" s="8" t="n">
        <f aca="false">IF(OR(A123=2020,A123=2024),1,0)</f>
        <v>1</v>
      </c>
    </row>
    <row r="124" customFormat="false" ht="15" hidden="false" customHeight="true" outlineLevel="0" collapsed="false">
      <c r="A124" s="8" t="n">
        <v>2022</v>
      </c>
      <c r="B124" s="8" t="s">
        <v>103</v>
      </c>
      <c r="C124" s="8" t="s">
        <v>99</v>
      </c>
      <c r="D124" s="8" t="n">
        <v>1737</v>
      </c>
      <c r="E124" s="8" t="n">
        <v>2662</v>
      </c>
      <c r="F124" s="8" t="n">
        <v>0</v>
      </c>
      <c r="G124" s="8" t="n">
        <f aca="false">D124+E124+F124</f>
        <v>4399</v>
      </c>
      <c r="H124" s="9" t="n">
        <f aca="false">D124/G124</f>
        <v>0.394862468742896</v>
      </c>
      <c r="I124" s="8" t="n">
        <v>1976</v>
      </c>
      <c r="J124" s="8" t="n">
        <v>2342</v>
      </c>
      <c r="K124" s="8" t="n">
        <f aca="false">I124+J124</f>
        <v>4318</v>
      </c>
      <c r="L124" s="9" t="n">
        <f aca="false">IF(K124=0,"",I124/K124)</f>
        <v>0.457619268179713</v>
      </c>
      <c r="M124" s="8" t="n">
        <f aca="false">IF(OR(A124=2020,A124=2024),1,0)</f>
        <v>0</v>
      </c>
    </row>
    <row r="125" customFormat="false" ht="15" hidden="false" customHeight="true" outlineLevel="0" collapsed="false">
      <c r="A125" s="8" t="n">
        <v>2024</v>
      </c>
      <c r="B125" s="8" t="s">
        <v>103</v>
      </c>
      <c r="C125" s="8" t="s">
        <v>99</v>
      </c>
      <c r="D125" s="8" t="n">
        <v>2169</v>
      </c>
      <c r="E125" s="8" t="n">
        <v>3459</v>
      </c>
      <c r="F125" s="8" t="n">
        <v>0</v>
      </c>
      <c r="G125" s="8" t="n">
        <f aca="false">D125+E125+F125</f>
        <v>5628</v>
      </c>
      <c r="H125" s="9" t="n">
        <f aca="false">D125/G125</f>
        <v>0.385394456289979</v>
      </c>
      <c r="I125" s="8" t="n">
        <v>0</v>
      </c>
      <c r="J125" s="8" t="n">
        <v>0</v>
      </c>
      <c r="K125" s="8" t="n">
        <f aca="false">I125+J125</f>
        <v>0</v>
      </c>
      <c r="L125" s="9" t="str">
        <f aca="false">IF(K125=0,"",I125/K125)</f>
        <v/>
      </c>
      <c r="M125" s="8" t="n">
        <f aca="false">IF(OR(A125=2020,A125=2024),1,0)</f>
        <v>1</v>
      </c>
    </row>
    <row r="126" customFormat="false" ht="15" hidden="false" customHeight="true" outlineLevel="0" collapsed="false">
      <c r="A126" s="8" t="n">
        <v>2018</v>
      </c>
      <c r="B126" s="8" t="s">
        <v>104</v>
      </c>
      <c r="C126" s="8" t="s">
        <v>99</v>
      </c>
      <c r="D126" s="8" t="n">
        <v>30</v>
      </c>
      <c r="E126" s="8" t="n">
        <v>36</v>
      </c>
      <c r="F126" s="8" t="n">
        <v>3</v>
      </c>
      <c r="G126" s="8" t="n">
        <f aca="false">D126+E126+F126</f>
        <v>69</v>
      </c>
      <c r="H126" s="9" t="n">
        <f aca="false">D126/G126</f>
        <v>0.434782608695652</v>
      </c>
      <c r="I126" s="8" t="n">
        <v>28</v>
      </c>
      <c r="J126" s="8" t="n">
        <v>34</v>
      </c>
      <c r="K126" s="8" t="n">
        <f aca="false">I126+J126</f>
        <v>62</v>
      </c>
      <c r="L126" s="9" t="n">
        <f aca="false">IF(K126=0,"",I126/K126)</f>
        <v>0.451612903225806</v>
      </c>
      <c r="M126" s="8" t="n">
        <f aca="false">IF(OR(A126=2020,A126=2024),1,0)</f>
        <v>0</v>
      </c>
    </row>
    <row r="127" customFormat="false" ht="15" hidden="false" customHeight="true" outlineLevel="0" collapsed="false">
      <c r="A127" s="8" t="n">
        <v>2020</v>
      </c>
      <c r="B127" s="8" t="s">
        <v>104</v>
      </c>
      <c r="C127" s="8" t="s">
        <v>99</v>
      </c>
      <c r="D127" s="8" t="n">
        <v>39</v>
      </c>
      <c r="E127" s="8" t="n">
        <v>79</v>
      </c>
      <c r="F127" s="8" t="n">
        <v>0</v>
      </c>
      <c r="G127" s="8" t="n">
        <f aca="false">D127+E127+F127</f>
        <v>118</v>
      </c>
      <c r="H127" s="9" t="n">
        <f aca="false">D127/G127</f>
        <v>0.330508474576271</v>
      </c>
      <c r="I127" s="8" t="n">
        <v>0</v>
      </c>
      <c r="J127" s="8" t="n">
        <v>0</v>
      </c>
      <c r="K127" s="8" t="n">
        <f aca="false">I127+J127</f>
        <v>0</v>
      </c>
      <c r="L127" s="9" t="str">
        <f aca="false">IF(K127=0,"",I127/K127)</f>
        <v/>
      </c>
      <c r="M127" s="8" t="n">
        <f aca="false">IF(OR(A127=2020,A127=2024),1,0)</f>
        <v>1</v>
      </c>
    </row>
    <row r="128" customFormat="false" ht="15" hidden="false" customHeight="true" outlineLevel="0" collapsed="false">
      <c r="A128" s="8" t="n">
        <v>2022</v>
      </c>
      <c r="B128" s="8" t="s">
        <v>104</v>
      </c>
      <c r="C128" s="8" t="s">
        <v>99</v>
      </c>
      <c r="D128" s="8" t="n">
        <v>31</v>
      </c>
      <c r="E128" s="8" t="n">
        <v>55</v>
      </c>
      <c r="F128" s="8" t="n">
        <v>0</v>
      </c>
      <c r="G128" s="8" t="n">
        <f aca="false">D128+E128+F128</f>
        <v>86</v>
      </c>
      <c r="H128" s="9" t="n">
        <f aca="false">D128/G128</f>
        <v>0.36046511627907</v>
      </c>
      <c r="I128" s="8" t="n">
        <v>34</v>
      </c>
      <c r="J128" s="8" t="n">
        <v>45</v>
      </c>
      <c r="K128" s="8" t="n">
        <f aca="false">I128+J128</f>
        <v>79</v>
      </c>
      <c r="L128" s="9" t="n">
        <f aca="false">IF(K128=0,"",I128/K128)</f>
        <v>0.430379746835443</v>
      </c>
      <c r="M128" s="8" t="n">
        <f aca="false">IF(OR(A128=2020,A128=2024),1,0)</f>
        <v>0</v>
      </c>
    </row>
    <row r="129" customFormat="false" ht="15" hidden="false" customHeight="true" outlineLevel="0" collapsed="false">
      <c r="A129" s="8" t="n">
        <v>2024</v>
      </c>
      <c r="B129" s="8" t="s">
        <v>104</v>
      </c>
      <c r="C129" s="8" t="s">
        <v>99</v>
      </c>
      <c r="D129" s="8" t="n">
        <v>40</v>
      </c>
      <c r="E129" s="8" t="n">
        <v>83</v>
      </c>
      <c r="F129" s="8" t="n">
        <v>0</v>
      </c>
      <c r="G129" s="8" t="n">
        <f aca="false">D129+E129+F129</f>
        <v>123</v>
      </c>
      <c r="H129" s="9" t="n">
        <f aca="false">D129/G129</f>
        <v>0.32520325203252</v>
      </c>
      <c r="I129" s="8" t="n">
        <v>0</v>
      </c>
      <c r="J129" s="8" t="n">
        <v>0</v>
      </c>
      <c r="K129" s="8" t="n">
        <f aca="false">I129+J129</f>
        <v>0</v>
      </c>
      <c r="L129" s="9" t="str">
        <f aca="false">IF(K129=0,"",I129/K129)</f>
        <v/>
      </c>
      <c r="M129" s="8" t="n">
        <f aca="false">IF(OR(A129=2020,A129=2024),1,0)</f>
        <v>1</v>
      </c>
    </row>
    <row r="130" customFormat="false" ht="15" hidden="false" customHeight="true" outlineLevel="0" collapsed="false">
      <c r="A130" s="8" t="n">
        <v>2018</v>
      </c>
      <c r="B130" s="8" t="s">
        <v>105</v>
      </c>
      <c r="C130" s="8" t="s">
        <v>99</v>
      </c>
      <c r="D130" s="8" t="n">
        <v>840</v>
      </c>
      <c r="E130" s="8" t="n">
        <v>1151</v>
      </c>
      <c r="F130" s="8" t="n">
        <v>89</v>
      </c>
      <c r="G130" s="8" t="n">
        <f aca="false">D130+E130+F130</f>
        <v>2080</v>
      </c>
      <c r="H130" s="9" t="n">
        <f aca="false">D130/G130</f>
        <v>0.403846153846154</v>
      </c>
      <c r="I130" s="8" t="n">
        <v>986</v>
      </c>
      <c r="J130" s="8" t="n">
        <v>1059</v>
      </c>
      <c r="K130" s="8" t="n">
        <f aca="false">I130+J130</f>
        <v>2045</v>
      </c>
      <c r="L130" s="9" t="n">
        <f aca="false">IF(K130=0,"",I130/K130)</f>
        <v>0.482151589242054</v>
      </c>
      <c r="M130" s="8" t="n">
        <f aca="false">IF(OR(A130=2020,A130=2024),1,0)</f>
        <v>0</v>
      </c>
    </row>
    <row r="131" customFormat="false" ht="15" hidden="false" customHeight="true" outlineLevel="0" collapsed="false">
      <c r="A131" s="8" t="n">
        <v>2020</v>
      </c>
      <c r="B131" s="8" t="s">
        <v>105</v>
      </c>
      <c r="C131" s="8" t="s">
        <v>99</v>
      </c>
      <c r="D131" s="8" t="n">
        <v>1215</v>
      </c>
      <c r="E131" s="8" t="n">
        <v>1784</v>
      </c>
      <c r="F131" s="8" t="n">
        <v>0</v>
      </c>
      <c r="G131" s="8" t="n">
        <f aca="false">D131+E131+F131</f>
        <v>2999</v>
      </c>
      <c r="H131" s="9" t="n">
        <f aca="false">D131/G131</f>
        <v>0.405135045015005</v>
      </c>
      <c r="I131" s="8" t="n">
        <v>0</v>
      </c>
      <c r="J131" s="8" t="n">
        <v>0</v>
      </c>
      <c r="K131" s="8" t="n">
        <f aca="false">I131+J131</f>
        <v>0</v>
      </c>
      <c r="L131" s="9" t="str">
        <f aca="false">IF(K131=0,"",I131/K131)</f>
        <v/>
      </c>
      <c r="M131" s="8" t="n">
        <f aca="false">IF(OR(A131=2020,A131=2024),1,0)</f>
        <v>1</v>
      </c>
    </row>
    <row r="132" customFormat="false" ht="15" hidden="false" customHeight="true" outlineLevel="0" collapsed="false">
      <c r="A132" s="8" t="n">
        <v>2022</v>
      </c>
      <c r="B132" s="8" t="s">
        <v>105</v>
      </c>
      <c r="C132" s="8" t="s">
        <v>99</v>
      </c>
      <c r="D132" s="8" t="n">
        <v>1109</v>
      </c>
      <c r="E132" s="8" t="n">
        <v>1408</v>
      </c>
      <c r="F132" s="8" t="n">
        <v>0</v>
      </c>
      <c r="G132" s="8" t="n">
        <f aca="false">D132+E132+F132</f>
        <v>2517</v>
      </c>
      <c r="H132" s="9" t="n">
        <f aca="false">D132/G132</f>
        <v>0.440603893524037</v>
      </c>
      <c r="I132" s="8" t="n">
        <v>1232</v>
      </c>
      <c r="J132" s="8" t="n">
        <v>1248</v>
      </c>
      <c r="K132" s="8" t="n">
        <f aca="false">I132+J132</f>
        <v>2480</v>
      </c>
      <c r="L132" s="9" t="n">
        <f aca="false">IF(K132=0,"",I132/K132)</f>
        <v>0.496774193548387</v>
      </c>
      <c r="M132" s="8" t="n">
        <f aca="false">IF(OR(A132=2020,A132=2024),1,0)</f>
        <v>0</v>
      </c>
    </row>
    <row r="133" customFormat="false" ht="15" hidden="false" customHeight="true" outlineLevel="0" collapsed="false">
      <c r="A133" s="8" t="n">
        <v>2024</v>
      </c>
      <c r="B133" s="8" t="s">
        <v>105</v>
      </c>
      <c r="C133" s="8" t="s">
        <v>99</v>
      </c>
      <c r="D133" s="8" t="n">
        <v>1484</v>
      </c>
      <c r="E133" s="8" t="n">
        <v>1959</v>
      </c>
      <c r="F133" s="8" t="n">
        <v>0</v>
      </c>
      <c r="G133" s="8" t="n">
        <f aca="false">D133+E133+F133</f>
        <v>3443</v>
      </c>
      <c r="H133" s="9" t="n">
        <f aca="false">D133/G133</f>
        <v>0.431019459773453</v>
      </c>
      <c r="I133" s="8" t="n">
        <v>0</v>
      </c>
      <c r="J133" s="8" t="n">
        <v>0</v>
      </c>
      <c r="K133" s="8" t="n">
        <f aca="false">I133+J133</f>
        <v>0</v>
      </c>
      <c r="L133" s="9" t="str">
        <f aca="false">IF(K133=0,"",I133/K133)</f>
        <v/>
      </c>
      <c r="M133" s="8" t="n">
        <f aca="false">IF(OR(A133=2020,A133=2024),1,0)</f>
        <v>1</v>
      </c>
    </row>
    <row r="134" customFormat="false" ht="15" hidden="false" customHeight="true" outlineLevel="0" collapsed="false">
      <c r="A134" s="8" t="n">
        <v>2018</v>
      </c>
      <c r="B134" s="8" t="s">
        <v>106</v>
      </c>
      <c r="C134" s="8" t="s">
        <v>99</v>
      </c>
      <c r="D134" s="8" t="n">
        <v>130</v>
      </c>
      <c r="E134" s="8" t="n">
        <v>203</v>
      </c>
      <c r="F134" s="8" t="n">
        <v>15</v>
      </c>
      <c r="G134" s="8" t="n">
        <f aca="false">D134+E134+F134</f>
        <v>348</v>
      </c>
      <c r="H134" s="9" t="n">
        <f aca="false">D134/G134</f>
        <v>0.373563218390805</v>
      </c>
      <c r="I134" s="8" t="n">
        <v>162</v>
      </c>
      <c r="J134" s="8" t="n">
        <v>181</v>
      </c>
      <c r="K134" s="8" t="n">
        <f aca="false">I134+J134</f>
        <v>343</v>
      </c>
      <c r="L134" s="9" t="n">
        <f aca="false">IF(K134=0,"",I134/K134)</f>
        <v>0.472303206997085</v>
      </c>
      <c r="M134" s="8" t="n">
        <f aca="false">IF(OR(A134=2020,A134=2024),1,0)</f>
        <v>0</v>
      </c>
    </row>
    <row r="135" customFormat="false" ht="15" hidden="false" customHeight="true" outlineLevel="0" collapsed="false">
      <c r="A135" s="8" t="n">
        <v>2020</v>
      </c>
      <c r="B135" s="8" t="s">
        <v>106</v>
      </c>
      <c r="C135" s="8" t="s">
        <v>99</v>
      </c>
      <c r="D135" s="8" t="n">
        <v>166</v>
      </c>
      <c r="E135" s="8" t="n">
        <v>332</v>
      </c>
      <c r="F135" s="8" t="n">
        <v>0</v>
      </c>
      <c r="G135" s="8" t="n">
        <f aca="false">D135+E135+F135</f>
        <v>498</v>
      </c>
      <c r="H135" s="9" t="n">
        <f aca="false">D135/G135</f>
        <v>0.333333333333333</v>
      </c>
      <c r="I135" s="8" t="n">
        <v>0</v>
      </c>
      <c r="J135" s="8" t="n">
        <v>0</v>
      </c>
      <c r="K135" s="8" t="n">
        <f aca="false">I135+J135</f>
        <v>0</v>
      </c>
      <c r="L135" s="9" t="str">
        <f aca="false">IF(K135=0,"",I135/K135)</f>
        <v/>
      </c>
      <c r="M135" s="8" t="n">
        <f aca="false">IF(OR(A135=2020,A135=2024),1,0)</f>
        <v>1</v>
      </c>
    </row>
    <row r="136" customFormat="false" ht="15" hidden="false" customHeight="true" outlineLevel="0" collapsed="false">
      <c r="A136" s="8" t="n">
        <v>2022</v>
      </c>
      <c r="B136" s="8" t="s">
        <v>106</v>
      </c>
      <c r="C136" s="8" t="s">
        <v>99</v>
      </c>
      <c r="D136" s="8" t="n">
        <v>137</v>
      </c>
      <c r="E136" s="8" t="n">
        <v>214</v>
      </c>
      <c r="F136" s="8" t="n">
        <v>0</v>
      </c>
      <c r="G136" s="8" t="n">
        <f aca="false">D136+E136+F136</f>
        <v>351</v>
      </c>
      <c r="H136" s="9" t="n">
        <f aca="false">D136/G136</f>
        <v>0.39031339031339</v>
      </c>
      <c r="I136" s="8" t="n">
        <v>155</v>
      </c>
      <c r="J136" s="8" t="n">
        <v>186</v>
      </c>
      <c r="K136" s="8" t="n">
        <f aca="false">I136+J136</f>
        <v>341</v>
      </c>
      <c r="L136" s="9" t="n">
        <f aca="false">IF(K136=0,"",I136/K136)</f>
        <v>0.454545454545455</v>
      </c>
      <c r="M136" s="8" t="n">
        <f aca="false">IF(OR(A136=2020,A136=2024),1,0)</f>
        <v>0</v>
      </c>
    </row>
    <row r="137" customFormat="false" ht="15" hidden="false" customHeight="true" outlineLevel="0" collapsed="false">
      <c r="A137" s="8" t="n">
        <v>2024</v>
      </c>
      <c r="B137" s="8" t="s">
        <v>106</v>
      </c>
      <c r="C137" s="8" t="s">
        <v>99</v>
      </c>
      <c r="D137" s="8" t="n">
        <v>217</v>
      </c>
      <c r="E137" s="8" t="n">
        <v>309</v>
      </c>
      <c r="F137" s="8" t="n">
        <v>0</v>
      </c>
      <c r="G137" s="8" t="n">
        <f aca="false">D137+E137+F137</f>
        <v>526</v>
      </c>
      <c r="H137" s="9" t="n">
        <f aca="false">D137/G137</f>
        <v>0.41254752851711</v>
      </c>
      <c r="I137" s="8" t="n">
        <v>0</v>
      </c>
      <c r="J137" s="8" t="n">
        <v>0</v>
      </c>
      <c r="K137" s="8" t="n">
        <f aca="false">I137+J137</f>
        <v>0</v>
      </c>
      <c r="L137" s="9" t="str">
        <f aca="false">IF(K137=0,"",I137/K137)</f>
        <v/>
      </c>
      <c r="M137" s="8" t="n">
        <f aca="false">IF(OR(A137=2020,A137=2024),1,0)</f>
        <v>1</v>
      </c>
    </row>
    <row r="138" customFormat="false" ht="15" hidden="false" customHeight="true" outlineLevel="0" collapsed="false">
      <c r="A138" s="8" t="n">
        <v>2018</v>
      </c>
      <c r="B138" s="8" t="s">
        <v>107</v>
      </c>
      <c r="C138" s="8" t="s">
        <v>99</v>
      </c>
      <c r="D138" s="8" t="n">
        <v>5059</v>
      </c>
      <c r="E138" s="8" t="n">
        <v>1583</v>
      </c>
      <c r="F138" s="8" t="n">
        <v>195</v>
      </c>
      <c r="G138" s="8" t="n">
        <f aca="false">D138+E138+F138</f>
        <v>6837</v>
      </c>
      <c r="H138" s="9" t="n">
        <f aca="false">D138/G138</f>
        <v>0.739944420067281</v>
      </c>
      <c r="I138" s="8" t="n">
        <v>5250</v>
      </c>
      <c r="J138" s="8" t="n">
        <v>1462</v>
      </c>
      <c r="K138" s="8" t="n">
        <f aca="false">I138+J138</f>
        <v>6712</v>
      </c>
      <c r="L138" s="9" t="n">
        <f aca="false">IF(K138=0,"",I138/K138)</f>
        <v>0.782181168057211</v>
      </c>
      <c r="M138" s="8" t="n">
        <f aca="false">IF(OR(A138=2020,A138=2024),1,0)</f>
        <v>0</v>
      </c>
    </row>
    <row r="139" customFormat="false" ht="15" hidden="false" customHeight="true" outlineLevel="0" collapsed="false">
      <c r="A139" s="8" t="n">
        <v>2020</v>
      </c>
      <c r="B139" s="8" t="s">
        <v>107</v>
      </c>
      <c r="C139" s="8" t="s">
        <v>99</v>
      </c>
      <c r="D139" s="8" t="n">
        <v>7032</v>
      </c>
      <c r="E139" s="8" t="n">
        <v>2953</v>
      </c>
      <c r="F139" s="8" t="n">
        <v>0</v>
      </c>
      <c r="G139" s="8" t="n">
        <f aca="false">D139+E139+F139</f>
        <v>9985</v>
      </c>
      <c r="H139" s="9" t="n">
        <f aca="false">D139/G139</f>
        <v>0.704256384576865</v>
      </c>
      <c r="I139" s="8" t="n">
        <v>0</v>
      </c>
      <c r="J139" s="8" t="n">
        <v>0</v>
      </c>
      <c r="K139" s="8" t="n">
        <f aca="false">I139+J139</f>
        <v>0</v>
      </c>
      <c r="L139" s="9" t="str">
        <f aca="false">IF(K139=0,"",I139/K139)</f>
        <v/>
      </c>
      <c r="M139" s="8" t="n">
        <f aca="false">IF(OR(A139=2020,A139=2024),1,0)</f>
        <v>1</v>
      </c>
    </row>
    <row r="140" customFormat="false" ht="15" hidden="false" customHeight="true" outlineLevel="0" collapsed="false">
      <c r="A140" s="8" t="n">
        <v>2022</v>
      </c>
      <c r="B140" s="8" t="s">
        <v>107</v>
      </c>
      <c r="C140" s="8" t="s">
        <v>99</v>
      </c>
      <c r="D140" s="8" t="n">
        <v>5210</v>
      </c>
      <c r="E140" s="8" t="n">
        <v>1883</v>
      </c>
      <c r="F140" s="8" t="n">
        <v>0</v>
      </c>
      <c r="G140" s="8" t="n">
        <f aca="false">D140+E140+F140</f>
        <v>7093</v>
      </c>
      <c r="H140" s="9" t="n">
        <f aca="false">D140/G140</f>
        <v>0.734526998449175</v>
      </c>
      <c r="I140" s="8" t="n">
        <v>5337</v>
      </c>
      <c r="J140" s="8" t="n">
        <v>1636</v>
      </c>
      <c r="K140" s="8" t="n">
        <f aca="false">I140+J140</f>
        <v>6973</v>
      </c>
      <c r="L140" s="9" t="n">
        <f aca="false">IF(K140=0,"",I140/K140)</f>
        <v>0.765380754338161</v>
      </c>
      <c r="M140" s="8" t="n">
        <f aca="false">IF(OR(A140=2020,A140=2024),1,0)</f>
        <v>0</v>
      </c>
    </row>
    <row r="141" customFormat="false" ht="15" hidden="false" customHeight="true" outlineLevel="0" collapsed="false">
      <c r="A141" s="8" t="n">
        <v>2024</v>
      </c>
      <c r="B141" s="8" t="s">
        <v>107</v>
      </c>
      <c r="C141" s="8" t="s">
        <v>99</v>
      </c>
      <c r="D141" s="8" t="n">
        <v>7604</v>
      </c>
      <c r="E141" s="8" t="n">
        <v>3303</v>
      </c>
      <c r="F141" s="8" t="n">
        <v>0</v>
      </c>
      <c r="G141" s="8" t="n">
        <f aca="false">D141+E141+F141</f>
        <v>10907</v>
      </c>
      <c r="H141" s="9" t="n">
        <f aca="false">D141/G141</f>
        <v>0.697166957000092</v>
      </c>
      <c r="I141" s="8" t="n">
        <v>0</v>
      </c>
      <c r="J141" s="8" t="n">
        <v>0</v>
      </c>
      <c r="K141" s="8" t="n">
        <f aca="false">I141+J141</f>
        <v>0</v>
      </c>
      <c r="L141" s="9" t="str">
        <f aca="false">IF(K141=0,"",I141/K141)</f>
        <v/>
      </c>
      <c r="M141" s="8" t="n">
        <f aca="false">IF(OR(A141=2020,A141=2024),1,0)</f>
        <v>1</v>
      </c>
    </row>
    <row r="142" customFormat="false" ht="15" hidden="false" customHeight="true" outlineLevel="0" collapsed="false">
      <c r="A142" s="8" t="n">
        <v>2018</v>
      </c>
      <c r="B142" s="8" t="s">
        <v>108</v>
      </c>
      <c r="C142" s="8" t="s">
        <v>99</v>
      </c>
      <c r="D142" s="8" t="n">
        <v>3565</v>
      </c>
      <c r="E142" s="8" t="n">
        <v>3017</v>
      </c>
      <c r="F142" s="8" t="n">
        <v>153</v>
      </c>
      <c r="G142" s="8" t="n">
        <f aca="false">D142+E142+F142</f>
        <v>6735</v>
      </c>
      <c r="H142" s="9" t="n">
        <f aca="false">D142/G142</f>
        <v>0.529324424647365</v>
      </c>
      <c r="I142" s="8" t="n">
        <v>3886</v>
      </c>
      <c r="J142" s="8" t="n">
        <v>2779</v>
      </c>
      <c r="K142" s="8" t="n">
        <f aca="false">I142+J142</f>
        <v>6665</v>
      </c>
      <c r="L142" s="9" t="n">
        <f aca="false">IF(K142=0,"",I142/K142)</f>
        <v>0.58304576144036</v>
      </c>
      <c r="M142" s="8" t="n">
        <f aca="false">IF(OR(A142=2020,A142=2024),1,0)</f>
        <v>0</v>
      </c>
    </row>
    <row r="143" customFormat="false" ht="15" hidden="false" customHeight="true" outlineLevel="0" collapsed="false">
      <c r="A143" s="8" t="n">
        <v>2020</v>
      </c>
      <c r="B143" s="8" t="s">
        <v>108</v>
      </c>
      <c r="C143" s="8" t="s">
        <v>99</v>
      </c>
      <c r="D143" s="8" t="n">
        <v>5038</v>
      </c>
      <c r="E143" s="8" t="n">
        <v>4815</v>
      </c>
      <c r="F143" s="8" t="n">
        <v>0</v>
      </c>
      <c r="G143" s="8" t="n">
        <f aca="false">D143+E143+F143</f>
        <v>9853</v>
      </c>
      <c r="H143" s="9" t="n">
        <f aca="false">D143/G143</f>
        <v>0.511316350350147</v>
      </c>
      <c r="I143" s="8" t="n">
        <v>0</v>
      </c>
      <c r="J143" s="8" t="n">
        <v>0</v>
      </c>
      <c r="K143" s="8" t="n">
        <f aca="false">I143+J143</f>
        <v>0</v>
      </c>
      <c r="L143" s="9" t="str">
        <f aca="false">IF(K143=0,"",I143/K143)</f>
        <v/>
      </c>
      <c r="M143" s="8" t="n">
        <f aca="false">IF(OR(A143=2020,A143=2024),1,0)</f>
        <v>1</v>
      </c>
    </row>
    <row r="144" customFormat="false" ht="15" hidden="false" customHeight="true" outlineLevel="0" collapsed="false">
      <c r="A144" s="8" t="n">
        <v>2022</v>
      </c>
      <c r="B144" s="8" t="s">
        <v>108</v>
      </c>
      <c r="C144" s="8" t="s">
        <v>99</v>
      </c>
      <c r="D144" s="8" t="n">
        <v>4158</v>
      </c>
      <c r="E144" s="8" t="n">
        <v>3782</v>
      </c>
      <c r="F144" s="8" t="n">
        <v>0</v>
      </c>
      <c r="G144" s="8" t="n">
        <f aca="false">D144+E144+F144</f>
        <v>7940</v>
      </c>
      <c r="H144" s="9" t="n">
        <f aca="false">D144/G144</f>
        <v>0.52367758186398</v>
      </c>
      <c r="I144" s="8" t="n">
        <v>4530</v>
      </c>
      <c r="J144" s="8" t="n">
        <v>3300</v>
      </c>
      <c r="K144" s="8" t="n">
        <f aca="false">I144+J144</f>
        <v>7830</v>
      </c>
      <c r="L144" s="9" t="n">
        <f aca="false">IF(K144=0,"",I144/K144)</f>
        <v>0.578544061302682</v>
      </c>
      <c r="M144" s="8" t="n">
        <f aca="false">IF(OR(A144=2020,A144=2024),1,0)</f>
        <v>0</v>
      </c>
    </row>
    <row r="145" customFormat="false" ht="15" hidden="false" customHeight="true" outlineLevel="0" collapsed="false">
      <c r="A145" s="8" t="n">
        <v>2024</v>
      </c>
      <c r="B145" s="8" t="s">
        <v>108</v>
      </c>
      <c r="C145" s="8" t="s">
        <v>99</v>
      </c>
      <c r="D145" s="8" t="n">
        <v>5358</v>
      </c>
      <c r="E145" s="8" t="n">
        <v>5027</v>
      </c>
      <c r="F145" s="8" t="n">
        <v>0</v>
      </c>
      <c r="G145" s="8" t="n">
        <f aca="false">D145+E145+F145</f>
        <v>10385</v>
      </c>
      <c r="H145" s="9" t="n">
        <f aca="false">D145/G145</f>
        <v>0.515936446798267</v>
      </c>
      <c r="I145" s="8" t="n">
        <v>0</v>
      </c>
      <c r="J145" s="8" t="n">
        <v>0</v>
      </c>
      <c r="K145" s="8" t="n">
        <f aca="false">I145+J145</f>
        <v>0</v>
      </c>
      <c r="L145" s="9" t="str">
        <f aca="false">IF(K145=0,"",I145/K145)</f>
        <v/>
      </c>
      <c r="M145" s="8" t="n">
        <f aca="false">IF(OR(A145=2020,A145=2024),1,0)</f>
        <v>1</v>
      </c>
    </row>
    <row r="146" customFormat="false" ht="15" hidden="false" customHeight="true" outlineLevel="0" collapsed="false">
      <c r="A146" s="8" t="n">
        <v>2018</v>
      </c>
      <c r="B146" s="8" t="s">
        <v>109</v>
      </c>
      <c r="C146" s="8" t="s">
        <v>99</v>
      </c>
      <c r="D146" s="8" t="n">
        <v>497</v>
      </c>
      <c r="E146" s="8" t="n">
        <v>253</v>
      </c>
      <c r="F146" s="8" t="n">
        <v>27</v>
      </c>
      <c r="G146" s="8" t="n">
        <f aca="false">D146+E146+F146</f>
        <v>777</v>
      </c>
      <c r="H146" s="9" t="n">
        <f aca="false">D146/G146</f>
        <v>0.63963963963964</v>
      </c>
      <c r="I146" s="8" t="n">
        <v>528</v>
      </c>
      <c r="J146" s="8" t="n">
        <v>231</v>
      </c>
      <c r="K146" s="8" t="n">
        <f aca="false">I146+J146</f>
        <v>759</v>
      </c>
      <c r="L146" s="9" t="n">
        <f aca="false">IF(K146=0,"",I146/K146)</f>
        <v>0.695652173913044</v>
      </c>
      <c r="M146" s="8" t="n">
        <f aca="false">IF(OR(A146=2020,A146=2024),1,0)</f>
        <v>0</v>
      </c>
    </row>
    <row r="147" customFormat="false" ht="15" hidden="false" customHeight="true" outlineLevel="0" collapsed="false">
      <c r="A147" s="8" t="n">
        <v>2020</v>
      </c>
      <c r="B147" s="8" t="s">
        <v>109</v>
      </c>
      <c r="C147" s="8" t="s">
        <v>99</v>
      </c>
      <c r="D147" s="8" t="n">
        <v>768</v>
      </c>
      <c r="E147" s="8" t="n">
        <v>460</v>
      </c>
      <c r="F147" s="8" t="n">
        <v>0</v>
      </c>
      <c r="G147" s="8" t="n">
        <f aca="false">D147+E147+F147</f>
        <v>1228</v>
      </c>
      <c r="H147" s="9" t="n">
        <f aca="false">D147/G147</f>
        <v>0.625407166123778</v>
      </c>
      <c r="I147" s="8" t="n">
        <v>0</v>
      </c>
      <c r="J147" s="8" t="n">
        <v>0</v>
      </c>
      <c r="K147" s="8" t="n">
        <f aca="false">I147+J147</f>
        <v>0</v>
      </c>
      <c r="L147" s="9" t="str">
        <f aca="false">IF(K147=0,"",I147/K147)</f>
        <v/>
      </c>
      <c r="M147" s="8" t="n">
        <f aca="false">IF(OR(A147=2020,A147=2024),1,0)</f>
        <v>1</v>
      </c>
    </row>
    <row r="148" customFormat="false" ht="15" hidden="false" customHeight="true" outlineLevel="0" collapsed="false">
      <c r="A148" s="8" t="n">
        <v>2022</v>
      </c>
      <c r="B148" s="8" t="s">
        <v>109</v>
      </c>
      <c r="C148" s="8" t="s">
        <v>99</v>
      </c>
      <c r="D148" s="8" t="n">
        <v>480</v>
      </c>
      <c r="E148" s="8" t="n">
        <v>330</v>
      </c>
      <c r="F148" s="8" t="n">
        <v>0</v>
      </c>
      <c r="G148" s="8" t="n">
        <f aca="false">D148+E148+F148</f>
        <v>810</v>
      </c>
      <c r="H148" s="9" t="n">
        <f aca="false">D148/G148</f>
        <v>0.592592592592593</v>
      </c>
      <c r="I148" s="8" t="n">
        <v>512</v>
      </c>
      <c r="J148" s="8" t="n">
        <v>285</v>
      </c>
      <c r="K148" s="8" t="n">
        <f aca="false">I148+J148</f>
        <v>797</v>
      </c>
      <c r="L148" s="9" t="n">
        <f aca="false">IF(K148=0,"",I148/K148)</f>
        <v>0.642409033877039</v>
      </c>
      <c r="M148" s="8" t="n">
        <f aca="false">IF(OR(A148=2020,A148=2024),1,0)</f>
        <v>0</v>
      </c>
    </row>
    <row r="149" customFormat="false" ht="15" hidden="false" customHeight="true" outlineLevel="0" collapsed="false">
      <c r="A149" s="8" t="n">
        <v>2024</v>
      </c>
      <c r="B149" s="8" t="s">
        <v>109</v>
      </c>
      <c r="C149" s="8" t="s">
        <v>99</v>
      </c>
      <c r="D149" s="8" t="n">
        <v>714</v>
      </c>
      <c r="E149" s="8" t="n">
        <v>484</v>
      </c>
      <c r="F149" s="8" t="n">
        <v>0</v>
      </c>
      <c r="G149" s="8" t="n">
        <f aca="false">D149+E149+F149</f>
        <v>1198</v>
      </c>
      <c r="H149" s="9" t="n">
        <f aca="false">D149/G149</f>
        <v>0.595993322203673</v>
      </c>
      <c r="I149" s="8" t="n">
        <v>0</v>
      </c>
      <c r="J149" s="8" t="n">
        <v>0</v>
      </c>
      <c r="K149" s="8" t="n">
        <f aca="false">I149+J149</f>
        <v>0</v>
      </c>
      <c r="L149" s="9" t="str">
        <f aca="false">IF(K149=0,"",I149/K149)</f>
        <v/>
      </c>
      <c r="M149" s="8" t="n">
        <f aca="false">IF(OR(A149=2020,A149=2024),1,0)</f>
        <v>1</v>
      </c>
    </row>
    <row r="150" customFormat="false" ht="15" hidden="false" customHeight="true" outlineLevel="0" collapsed="false">
      <c r="A150" s="8" t="n">
        <v>2018</v>
      </c>
      <c r="B150" s="8" t="s">
        <v>110</v>
      </c>
      <c r="C150" s="8" t="s">
        <v>99</v>
      </c>
      <c r="D150" s="8" t="n">
        <v>72</v>
      </c>
      <c r="E150" s="8" t="n">
        <v>39</v>
      </c>
      <c r="F150" s="8" t="n">
        <v>4</v>
      </c>
      <c r="G150" s="8" t="n">
        <f aca="false">D150+E150+F150</f>
        <v>115</v>
      </c>
      <c r="H150" s="9" t="n">
        <f aca="false">D150/G150</f>
        <v>0.626086956521739</v>
      </c>
      <c r="I150" s="8" t="n">
        <v>80</v>
      </c>
      <c r="J150" s="8" t="n">
        <v>35</v>
      </c>
      <c r="K150" s="8" t="n">
        <f aca="false">I150+J150</f>
        <v>115</v>
      </c>
      <c r="L150" s="9" t="n">
        <f aca="false">IF(K150=0,"",I150/K150)</f>
        <v>0.695652173913044</v>
      </c>
      <c r="M150" s="8" t="n">
        <f aca="false">IF(OR(A150=2020,A150=2024),1,0)</f>
        <v>0</v>
      </c>
    </row>
    <row r="151" customFormat="false" ht="15" hidden="false" customHeight="true" outlineLevel="0" collapsed="false">
      <c r="A151" s="8" t="n">
        <v>2020</v>
      </c>
      <c r="B151" s="8" t="s">
        <v>110</v>
      </c>
      <c r="C151" s="8" t="s">
        <v>99</v>
      </c>
      <c r="D151" s="8" t="n">
        <v>101</v>
      </c>
      <c r="E151" s="8" t="n">
        <v>100</v>
      </c>
      <c r="F151" s="8" t="n">
        <v>0</v>
      </c>
      <c r="G151" s="8" t="n">
        <f aca="false">D151+E151+F151</f>
        <v>201</v>
      </c>
      <c r="H151" s="9" t="n">
        <f aca="false">D151/G151</f>
        <v>0.502487562189055</v>
      </c>
      <c r="I151" s="8" t="n">
        <v>0</v>
      </c>
      <c r="J151" s="8" t="n">
        <v>0</v>
      </c>
      <c r="K151" s="8" t="n">
        <f aca="false">I151+J151</f>
        <v>0</v>
      </c>
      <c r="L151" s="9" t="str">
        <f aca="false">IF(K151=0,"",I151/K151)</f>
        <v/>
      </c>
      <c r="M151" s="8" t="n">
        <f aca="false">IF(OR(A151=2020,A151=2024),1,0)</f>
        <v>1</v>
      </c>
    </row>
    <row r="152" customFormat="false" ht="15" hidden="false" customHeight="true" outlineLevel="0" collapsed="false">
      <c r="A152" s="8" t="n">
        <v>2022</v>
      </c>
      <c r="B152" s="8" t="s">
        <v>110</v>
      </c>
      <c r="C152" s="8" t="s">
        <v>99</v>
      </c>
      <c r="D152" s="8" t="n">
        <v>72</v>
      </c>
      <c r="E152" s="8" t="n">
        <v>69</v>
      </c>
      <c r="F152" s="8" t="n">
        <v>0</v>
      </c>
      <c r="G152" s="8" t="n">
        <f aca="false">D152+E152+F152</f>
        <v>141</v>
      </c>
      <c r="H152" s="9" t="n">
        <f aca="false">D152/G152</f>
        <v>0.51063829787234</v>
      </c>
      <c r="I152" s="8" t="n">
        <v>76</v>
      </c>
      <c r="J152" s="8" t="n">
        <v>60</v>
      </c>
      <c r="K152" s="8" t="n">
        <f aca="false">I152+J152</f>
        <v>136</v>
      </c>
      <c r="L152" s="9" t="n">
        <f aca="false">IF(K152=0,"",I152/K152)</f>
        <v>0.558823529411765</v>
      </c>
      <c r="M152" s="8" t="n">
        <f aca="false">IF(OR(A152=2020,A152=2024),1,0)</f>
        <v>0</v>
      </c>
    </row>
    <row r="153" customFormat="false" ht="15" hidden="false" customHeight="true" outlineLevel="0" collapsed="false">
      <c r="A153" s="8" t="n">
        <v>2024</v>
      </c>
      <c r="B153" s="8" t="s">
        <v>110</v>
      </c>
      <c r="C153" s="8" t="s">
        <v>99</v>
      </c>
      <c r="D153" s="8" t="n">
        <v>109</v>
      </c>
      <c r="E153" s="8" t="n">
        <v>97</v>
      </c>
      <c r="F153" s="8" t="n">
        <v>0</v>
      </c>
      <c r="G153" s="8" t="n">
        <f aca="false">D153+E153+F153</f>
        <v>206</v>
      </c>
      <c r="H153" s="9" t="n">
        <f aca="false">D153/G153</f>
        <v>0.529126213592233</v>
      </c>
      <c r="I153" s="8" t="n">
        <v>0</v>
      </c>
      <c r="J153" s="8" t="n">
        <v>0</v>
      </c>
      <c r="K153" s="8" t="n">
        <f aca="false">I153+J153</f>
        <v>0</v>
      </c>
      <c r="L153" s="9" t="str">
        <f aca="false">IF(K153=0,"",I153/K153)</f>
        <v/>
      </c>
      <c r="M153" s="8" t="n">
        <f aca="false">IF(OR(A153=2020,A153=2024),1,0)</f>
        <v>1</v>
      </c>
    </row>
    <row r="154" customFormat="false" ht="15" hidden="false" customHeight="true" outlineLevel="0" collapsed="false">
      <c r="A154" s="8" t="n">
        <v>2018</v>
      </c>
      <c r="B154" s="8" t="s">
        <v>81</v>
      </c>
      <c r="C154" s="8" t="s">
        <v>99</v>
      </c>
      <c r="D154" s="8" t="n">
        <v>3075</v>
      </c>
      <c r="E154" s="8" t="n">
        <v>2610</v>
      </c>
      <c r="F154" s="8" t="n">
        <v>214</v>
      </c>
      <c r="G154" s="8" t="n">
        <f aca="false">D154+E154+F154</f>
        <v>5899</v>
      </c>
      <c r="H154" s="9" t="n">
        <f aca="false">D154/G154</f>
        <v>0.521274792337684</v>
      </c>
      <c r="I154" s="8" t="n">
        <v>3436</v>
      </c>
      <c r="J154" s="8" t="n">
        <v>2393</v>
      </c>
      <c r="K154" s="8" t="n">
        <f aca="false">I154+J154</f>
        <v>5829</v>
      </c>
      <c r="L154" s="9" t="n">
        <f aca="false">IF(K154=0,"",I154/K154)</f>
        <v>0.589466460799451</v>
      </c>
      <c r="M154" s="8" t="n">
        <f aca="false">IF(OR(A154=2020,A154=2024),1,0)</f>
        <v>0</v>
      </c>
    </row>
    <row r="155" customFormat="false" ht="15" hidden="false" customHeight="true" outlineLevel="0" collapsed="false">
      <c r="A155" s="8" t="n">
        <v>2020</v>
      </c>
      <c r="B155" s="8" t="s">
        <v>81</v>
      </c>
      <c r="C155" s="8" t="s">
        <v>99</v>
      </c>
      <c r="D155" s="8" t="n">
        <v>4234</v>
      </c>
      <c r="E155" s="8" t="n">
        <v>3699</v>
      </c>
      <c r="F155" s="8" t="n">
        <v>0</v>
      </c>
      <c r="G155" s="8" t="n">
        <f aca="false">D155+E155+F155</f>
        <v>7933</v>
      </c>
      <c r="H155" s="9" t="n">
        <f aca="false">D155/G155</f>
        <v>0.533719904197655</v>
      </c>
      <c r="I155" s="8" t="n">
        <v>0</v>
      </c>
      <c r="J155" s="8" t="n">
        <v>0</v>
      </c>
      <c r="K155" s="8" t="n">
        <f aca="false">I155+J155</f>
        <v>0</v>
      </c>
      <c r="L155" s="9" t="str">
        <f aca="false">IF(K155=0,"",I155/K155)</f>
        <v/>
      </c>
      <c r="M155" s="8" t="n">
        <f aca="false">IF(OR(A155=2020,A155=2024),1,0)</f>
        <v>1</v>
      </c>
    </row>
    <row r="156" customFormat="false" ht="15" hidden="false" customHeight="true" outlineLevel="0" collapsed="false">
      <c r="A156" s="8" t="n">
        <v>2022</v>
      </c>
      <c r="B156" s="8" t="s">
        <v>81</v>
      </c>
      <c r="C156" s="8" t="s">
        <v>99</v>
      </c>
      <c r="D156" s="8" t="n">
        <v>3570</v>
      </c>
      <c r="E156" s="8" t="n">
        <v>2883</v>
      </c>
      <c r="F156" s="8" t="n">
        <v>0</v>
      </c>
      <c r="G156" s="8" t="n">
        <f aca="false">D156+E156+F156</f>
        <v>6453</v>
      </c>
      <c r="H156" s="9" t="n">
        <f aca="false">D156/G156</f>
        <v>0.553231055323106</v>
      </c>
      <c r="I156" s="8" t="n">
        <v>3903</v>
      </c>
      <c r="J156" s="8" t="n">
        <v>2442</v>
      </c>
      <c r="K156" s="8" t="n">
        <f aca="false">I156+J156</f>
        <v>6345</v>
      </c>
      <c r="L156" s="9" t="n">
        <f aca="false">IF(K156=0,"",I156/K156)</f>
        <v>0.615130023640662</v>
      </c>
      <c r="M156" s="8" t="n">
        <f aca="false">IF(OR(A156=2020,A156=2024),1,0)</f>
        <v>0</v>
      </c>
    </row>
    <row r="157" customFormat="false" ht="15" hidden="false" customHeight="true" outlineLevel="0" collapsed="false">
      <c r="A157" s="8" t="n">
        <v>2024</v>
      </c>
      <c r="B157" s="8" t="s">
        <v>81</v>
      </c>
      <c r="C157" s="8" t="s">
        <v>99</v>
      </c>
      <c r="D157" s="8" t="n">
        <v>4341</v>
      </c>
      <c r="E157" s="8" t="n">
        <v>3620</v>
      </c>
      <c r="F157" s="8" t="n">
        <v>0</v>
      </c>
      <c r="G157" s="8" t="n">
        <f aca="false">D157+E157+F157</f>
        <v>7961</v>
      </c>
      <c r="H157" s="9" t="n">
        <f aca="false">D157/G157</f>
        <v>0.545283255872378</v>
      </c>
      <c r="I157" s="8" t="n">
        <v>0</v>
      </c>
      <c r="J157" s="8" t="n">
        <v>0</v>
      </c>
      <c r="K157" s="8" t="n">
        <f aca="false">I157+J157</f>
        <v>0</v>
      </c>
      <c r="L157" s="9" t="str">
        <f aca="false">IF(K157=0,"",I157/K157)</f>
        <v/>
      </c>
      <c r="M157" s="8" t="n">
        <f aca="false">IF(OR(A157=2020,A157=2024),1,0)</f>
        <v>1</v>
      </c>
    </row>
    <row r="158" customFormat="false" ht="15" hidden="false" customHeight="true" outlineLevel="0" collapsed="false">
      <c r="A158" s="8" t="n">
        <v>2018</v>
      </c>
      <c r="B158" s="8" t="s">
        <v>111</v>
      </c>
      <c r="C158" s="8" t="s">
        <v>99</v>
      </c>
      <c r="D158" s="8" t="n">
        <v>1246</v>
      </c>
      <c r="E158" s="8" t="n">
        <v>966</v>
      </c>
      <c r="F158" s="8" t="n">
        <v>80</v>
      </c>
      <c r="G158" s="8" t="n">
        <f aca="false">D158+E158+F158</f>
        <v>2292</v>
      </c>
      <c r="H158" s="9" t="n">
        <f aca="false">D158/G158</f>
        <v>0.543630017452007</v>
      </c>
      <c r="I158" s="8" t="n">
        <v>1342</v>
      </c>
      <c r="J158" s="8" t="n">
        <v>907</v>
      </c>
      <c r="K158" s="8" t="n">
        <f aca="false">I158+J158</f>
        <v>2249</v>
      </c>
      <c r="L158" s="9" t="n">
        <f aca="false">IF(K158=0,"",I158/K158)</f>
        <v>0.59670964873277</v>
      </c>
      <c r="M158" s="8" t="n">
        <f aca="false">IF(OR(A158=2020,A158=2024),1,0)</f>
        <v>0</v>
      </c>
    </row>
    <row r="159" customFormat="false" ht="15" hidden="false" customHeight="true" outlineLevel="0" collapsed="false">
      <c r="A159" s="8" t="n">
        <v>2020</v>
      </c>
      <c r="B159" s="8" t="s">
        <v>111</v>
      </c>
      <c r="C159" s="8" t="s">
        <v>99</v>
      </c>
      <c r="D159" s="8" t="n">
        <v>1646</v>
      </c>
      <c r="E159" s="8" t="n">
        <v>1608</v>
      </c>
      <c r="F159" s="8" t="n">
        <v>0</v>
      </c>
      <c r="G159" s="8" t="n">
        <f aca="false">D159+E159+F159</f>
        <v>3254</v>
      </c>
      <c r="H159" s="9" t="n">
        <f aca="false">D159/G159</f>
        <v>0.505838967424708</v>
      </c>
      <c r="I159" s="8" t="n">
        <v>0</v>
      </c>
      <c r="J159" s="8" t="n">
        <v>0</v>
      </c>
      <c r="K159" s="8" t="n">
        <f aca="false">I159+J159</f>
        <v>0</v>
      </c>
      <c r="L159" s="9" t="str">
        <f aca="false">IF(K159=0,"",I159/K159)</f>
        <v/>
      </c>
      <c r="M159" s="8" t="n">
        <f aca="false">IF(OR(A159=2020,A159=2024),1,0)</f>
        <v>1</v>
      </c>
    </row>
    <row r="160" customFormat="false" ht="15" hidden="false" customHeight="true" outlineLevel="0" collapsed="false">
      <c r="A160" s="8" t="n">
        <v>2022</v>
      </c>
      <c r="B160" s="8" t="s">
        <v>111</v>
      </c>
      <c r="C160" s="8" t="s">
        <v>99</v>
      </c>
      <c r="D160" s="8" t="n">
        <v>1372</v>
      </c>
      <c r="E160" s="8" t="n">
        <v>1201</v>
      </c>
      <c r="F160" s="8" t="n">
        <v>0</v>
      </c>
      <c r="G160" s="8" t="n">
        <f aca="false">D160+E160+F160</f>
        <v>2573</v>
      </c>
      <c r="H160" s="9" t="n">
        <f aca="false">D160/G160</f>
        <v>0.53322969296541</v>
      </c>
      <c r="I160" s="8" t="n">
        <v>1488</v>
      </c>
      <c r="J160" s="8" t="n">
        <v>1045</v>
      </c>
      <c r="K160" s="8" t="n">
        <f aca="false">I160+J160</f>
        <v>2533</v>
      </c>
      <c r="L160" s="9" t="n">
        <f aca="false">IF(K160=0,"",I160/K160)</f>
        <v>0.58744571654165</v>
      </c>
      <c r="M160" s="8" t="n">
        <f aca="false">IF(OR(A160=2020,A160=2024),1,0)</f>
        <v>0</v>
      </c>
    </row>
    <row r="161" customFormat="false" ht="15" hidden="false" customHeight="true" outlineLevel="0" collapsed="false">
      <c r="A161" s="8" t="n">
        <v>2024</v>
      </c>
      <c r="B161" s="8" t="s">
        <v>111</v>
      </c>
      <c r="C161" s="8" t="s">
        <v>99</v>
      </c>
      <c r="D161" s="8" t="n">
        <v>1726</v>
      </c>
      <c r="E161" s="8" t="n">
        <v>1685</v>
      </c>
      <c r="F161" s="8" t="n">
        <v>0</v>
      </c>
      <c r="G161" s="8" t="n">
        <f aca="false">D161+E161+F161</f>
        <v>3411</v>
      </c>
      <c r="H161" s="9" t="n">
        <f aca="false">D161/G161</f>
        <v>0.506009967751393</v>
      </c>
      <c r="I161" s="8" t="n">
        <v>0</v>
      </c>
      <c r="J161" s="8" t="n">
        <v>0</v>
      </c>
      <c r="K161" s="8" t="n">
        <f aca="false">I161+J161</f>
        <v>0</v>
      </c>
      <c r="L161" s="9" t="str">
        <f aca="false">IF(K161=0,"",I161/K161)</f>
        <v/>
      </c>
      <c r="M161" s="8" t="n">
        <f aca="false">IF(OR(A161=2020,A161=2024),1,0)</f>
        <v>1</v>
      </c>
    </row>
    <row r="162" customFormat="false" ht="15" hidden="false" customHeight="true" outlineLevel="0" collapsed="false">
      <c r="A162" s="8" t="n">
        <v>2018</v>
      </c>
      <c r="B162" s="8" t="s">
        <v>73</v>
      </c>
      <c r="C162" s="8" t="s">
        <v>99</v>
      </c>
      <c r="D162" s="8" t="n">
        <v>1543</v>
      </c>
      <c r="E162" s="8" t="n">
        <v>2708</v>
      </c>
      <c r="F162" s="8" t="n">
        <v>127</v>
      </c>
      <c r="G162" s="8" t="n">
        <f aca="false">D162+E162+F162</f>
        <v>4378</v>
      </c>
      <c r="H162" s="9" t="n">
        <f aca="false">D162/G162</f>
        <v>0.352444038373687</v>
      </c>
      <c r="I162" s="8" t="n">
        <v>1842</v>
      </c>
      <c r="J162" s="8" t="n">
        <v>2472</v>
      </c>
      <c r="K162" s="8" t="n">
        <f aca="false">I162+J162</f>
        <v>4314</v>
      </c>
      <c r="L162" s="9" t="n">
        <f aca="false">IF(K162=0,"",I162/K162)</f>
        <v>0.426981919332406</v>
      </c>
      <c r="M162" s="8" t="n">
        <f aca="false">IF(OR(A162=2020,A162=2024),1,0)</f>
        <v>0</v>
      </c>
    </row>
    <row r="163" customFormat="false" ht="15" hidden="false" customHeight="true" outlineLevel="0" collapsed="false">
      <c r="A163" s="8" t="n">
        <v>2020</v>
      </c>
      <c r="B163" s="8" t="s">
        <v>73</v>
      </c>
      <c r="C163" s="8" t="s">
        <v>99</v>
      </c>
      <c r="D163" s="8" t="n">
        <v>2137</v>
      </c>
      <c r="E163" s="8" t="n">
        <v>4258</v>
      </c>
      <c r="F163" s="8" t="n">
        <v>0</v>
      </c>
      <c r="G163" s="8" t="n">
        <f aca="false">D163+E163+F163</f>
        <v>6395</v>
      </c>
      <c r="H163" s="9" t="n">
        <f aca="false">D163/G163</f>
        <v>0.334167318217357</v>
      </c>
      <c r="I163" s="8" t="n">
        <v>0</v>
      </c>
      <c r="J163" s="8" t="n">
        <v>0</v>
      </c>
      <c r="K163" s="8" t="n">
        <f aca="false">I163+J163</f>
        <v>0</v>
      </c>
      <c r="L163" s="9" t="str">
        <f aca="false">IF(K163=0,"",I163/K163)</f>
        <v/>
      </c>
      <c r="M163" s="8" t="n">
        <f aca="false">IF(OR(A163=2020,A163=2024),1,0)</f>
        <v>1</v>
      </c>
    </row>
    <row r="164" customFormat="false" ht="15" hidden="false" customHeight="true" outlineLevel="0" collapsed="false">
      <c r="A164" s="8" t="n">
        <v>2022</v>
      </c>
      <c r="B164" s="8" t="s">
        <v>73</v>
      </c>
      <c r="C164" s="8" t="s">
        <v>99</v>
      </c>
      <c r="D164" s="8" t="n">
        <v>1803</v>
      </c>
      <c r="E164" s="8" t="n">
        <v>3303</v>
      </c>
      <c r="F164" s="8" t="n">
        <v>0</v>
      </c>
      <c r="G164" s="8" t="n">
        <f aca="false">D164+E164+F164</f>
        <v>5106</v>
      </c>
      <c r="H164" s="9" t="n">
        <f aca="false">D164/G164</f>
        <v>0.353113983548766</v>
      </c>
      <c r="I164" s="8" t="n">
        <v>2014</v>
      </c>
      <c r="J164" s="8" t="n">
        <v>3012</v>
      </c>
      <c r="K164" s="8" t="n">
        <f aca="false">I164+J164</f>
        <v>5026</v>
      </c>
      <c r="L164" s="9" t="n">
        <f aca="false">IF(K164=0,"",I164/K164)</f>
        <v>0.400716275368086</v>
      </c>
      <c r="M164" s="8" t="n">
        <f aca="false">IF(OR(A164=2020,A164=2024),1,0)</f>
        <v>0</v>
      </c>
    </row>
    <row r="165" customFormat="false" ht="15" hidden="false" customHeight="true" outlineLevel="0" collapsed="false">
      <c r="A165" s="8" t="n">
        <v>2024</v>
      </c>
      <c r="B165" s="8" t="s">
        <v>73</v>
      </c>
      <c r="C165" s="8" t="s">
        <v>99</v>
      </c>
      <c r="D165" s="8" t="n">
        <v>2244</v>
      </c>
      <c r="E165" s="8" t="n">
        <v>4439</v>
      </c>
      <c r="F165" s="8" t="n">
        <v>0</v>
      </c>
      <c r="G165" s="8" t="n">
        <f aca="false">D165+E165+F165</f>
        <v>6683</v>
      </c>
      <c r="H165" s="9" t="n">
        <f aca="false">D165/G165</f>
        <v>0.335777345503516</v>
      </c>
      <c r="I165" s="8" t="n">
        <v>0</v>
      </c>
      <c r="J165" s="8" t="n">
        <v>0</v>
      </c>
      <c r="K165" s="8" t="n">
        <f aca="false">I165+J165</f>
        <v>0</v>
      </c>
      <c r="L165" s="9" t="str">
        <f aca="false">IF(K165=0,"",I165/K165)</f>
        <v/>
      </c>
      <c r="M165" s="8" t="n">
        <f aca="false">IF(OR(A165=2020,A165=2024),1,0)</f>
        <v>1</v>
      </c>
    </row>
    <row r="166" customFormat="false" ht="15" hidden="false" customHeight="true" outlineLevel="0" collapsed="false">
      <c r="A166" s="8" t="n">
        <v>2018</v>
      </c>
      <c r="B166" s="8" t="s">
        <v>112</v>
      </c>
      <c r="C166" s="8" t="s">
        <v>99</v>
      </c>
      <c r="D166" s="8" t="n">
        <v>474</v>
      </c>
      <c r="E166" s="8" t="n">
        <v>678</v>
      </c>
      <c r="F166" s="8" t="n">
        <v>28</v>
      </c>
      <c r="G166" s="8" t="n">
        <f aca="false">D166+E166+F166</f>
        <v>1180</v>
      </c>
      <c r="H166" s="9" t="n">
        <f aca="false">D166/G166</f>
        <v>0.401694915254237</v>
      </c>
      <c r="I166" s="8" t="n">
        <v>516</v>
      </c>
      <c r="J166" s="8" t="n">
        <v>653</v>
      </c>
      <c r="K166" s="8" t="n">
        <f aca="false">I166+J166</f>
        <v>1169</v>
      </c>
      <c r="L166" s="9" t="n">
        <f aca="false">IF(K166=0,"",I166/K166)</f>
        <v>0.441402908468777</v>
      </c>
      <c r="M166" s="8" t="n">
        <f aca="false">IF(OR(A166=2020,A166=2024),1,0)</f>
        <v>0</v>
      </c>
    </row>
    <row r="167" customFormat="false" ht="15" hidden="false" customHeight="true" outlineLevel="0" collapsed="false">
      <c r="A167" s="8" t="n">
        <v>2020</v>
      </c>
      <c r="B167" s="8" t="s">
        <v>112</v>
      </c>
      <c r="C167" s="8" t="s">
        <v>99</v>
      </c>
      <c r="D167" s="8" t="n">
        <v>580</v>
      </c>
      <c r="E167" s="8" t="n">
        <v>1189</v>
      </c>
      <c r="F167" s="8" t="n">
        <v>0</v>
      </c>
      <c r="G167" s="8" t="n">
        <f aca="false">D167+E167+F167</f>
        <v>1769</v>
      </c>
      <c r="H167" s="9" t="n">
        <f aca="false">D167/G167</f>
        <v>0.327868852459016</v>
      </c>
      <c r="I167" s="8" t="n">
        <v>0</v>
      </c>
      <c r="J167" s="8" t="n">
        <v>0</v>
      </c>
      <c r="K167" s="8" t="n">
        <f aca="false">I167+J167</f>
        <v>0</v>
      </c>
      <c r="L167" s="9" t="str">
        <f aca="false">IF(K167=0,"",I167/K167)</f>
        <v/>
      </c>
      <c r="M167" s="8" t="n">
        <f aca="false">IF(OR(A167=2020,A167=2024),1,0)</f>
        <v>1</v>
      </c>
    </row>
    <row r="168" customFormat="false" ht="15" hidden="false" customHeight="true" outlineLevel="0" collapsed="false">
      <c r="A168" s="8" t="n">
        <v>2022</v>
      </c>
      <c r="B168" s="8" t="s">
        <v>112</v>
      </c>
      <c r="C168" s="8" t="s">
        <v>99</v>
      </c>
      <c r="D168" s="8" t="n">
        <v>511</v>
      </c>
      <c r="E168" s="8" t="n">
        <v>889</v>
      </c>
      <c r="F168" s="8" t="n">
        <v>0</v>
      </c>
      <c r="G168" s="8" t="n">
        <f aca="false">D168+E168+F168</f>
        <v>1400</v>
      </c>
      <c r="H168" s="9" t="n">
        <f aca="false">D168/G168</f>
        <v>0.365</v>
      </c>
      <c r="I168" s="8" t="n">
        <v>576</v>
      </c>
      <c r="J168" s="8" t="n">
        <v>806</v>
      </c>
      <c r="K168" s="8" t="n">
        <f aca="false">I168+J168</f>
        <v>1382</v>
      </c>
      <c r="L168" s="9" t="n">
        <f aca="false">IF(K168=0,"",I168/K168)</f>
        <v>0.416787264833575</v>
      </c>
      <c r="M168" s="8" t="n">
        <f aca="false">IF(OR(A168=2020,A168=2024),1,0)</f>
        <v>0</v>
      </c>
    </row>
    <row r="169" customFormat="false" ht="15" hidden="false" customHeight="true" outlineLevel="0" collapsed="false">
      <c r="A169" s="8" t="n">
        <v>2024</v>
      </c>
      <c r="B169" s="8" t="s">
        <v>112</v>
      </c>
      <c r="C169" s="8" t="s">
        <v>99</v>
      </c>
      <c r="D169" s="8" t="n">
        <v>625</v>
      </c>
      <c r="E169" s="8" t="n">
        <v>1214</v>
      </c>
      <c r="F169" s="8" t="n">
        <v>0</v>
      </c>
      <c r="G169" s="8" t="n">
        <f aca="false">D169+E169+F169</f>
        <v>1839</v>
      </c>
      <c r="H169" s="9" t="n">
        <f aca="false">D169/G169</f>
        <v>0.339858618814573</v>
      </c>
      <c r="I169" s="8" t="n">
        <v>0</v>
      </c>
      <c r="J169" s="8" t="n">
        <v>0</v>
      </c>
      <c r="K169" s="8" t="n">
        <f aca="false">I169+J169</f>
        <v>0</v>
      </c>
      <c r="L169" s="9" t="str">
        <f aca="false">IF(K169=0,"",I169/K169)</f>
        <v/>
      </c>
      <c r="M169" s="8" t="n">
        <f aca="false">IF(OR(A169=2020,A169=2024),1,0)</f>
        <v>1</v>
      </c>
    </row>
    <row r="170" customFormat="false" ht="15" hidden="false" customHeight="true" outlineLevel="0" collapsed="false">
      <c r="A170" s="8" t="n">
        <v>2018</v>
      </c>
      <c r="B170" s="8" t="s">
        <v>113</v>
      </c>
      <c r="C170" s="8" t="s">
        <v>99</v>
      </c>
      <c r="D170" s="8" t="n">
        <v>1320</v>
      </c>
      <c r="E170" s="8" t="n">
        <v>1650</v>
      </c>
      <c r="F170" s="8" t="n">
        <v>98</v>
      </c>
      <c r="G170" s="8" t="n">
        <f aca="false">D170+E170+F170</f>
        <v>3068</v>
      </c>
      <c r="H170" s="9" t="n">
        <f aca="false">D170/G170</f>
        <v>0.430247718383312</v>
      </c>
      <c r="I170" s="8" t="n">
        <v>1526</v>
      </c>
      <c r="J170" s="8" t="n">
        <v>1514</v>
      </c>
      <c r="K170" s="8" t="n">
        <f aca="false">I170+J170</f>
        <v>3040</v>
      </c>
      <c r="L170" s="9" t="n">
        <f aca="false">IF(K170=0,"",I170/K170)</f>
        <v>0.501973684210526</v>
      </c>
      <c r="M170" s="8" t="n">
        <f aca="false">IF(OR(A170=2020,A170=2024),1,0)</f>
        <v>0</v>
      </c>
    </row>
    <row r="171" customFormat="false" ht="15" hidden="false" customHeight="true" outlineLevel="0" collapsed="false">
      <c r="A171" s="8" t="n">
        <v>2020</v>
      </c>
      <c r="B171" s="8" t="s">
        <v>113</v>
      </c>
      <c r="C171" s="8" t="s">
        <v>99</v>
      </c>
      <c r="D171" s="8" t="n">
        <v>1879</v>
      </c>
      <c r="E171" s="8" t="n">
        <v>2565</v>
      </c>
      <c r="F171" s="8" t="n">
        <v>0</v>
      </c>
      <c r="G171" s="8" t="n">
        <f aca="false">D171+E171+F171</f>
        <v>4444</v>
      </c>
      <c r="H171" s="9" t="n">
        <f aca="false">D171/G171</f>
        <v>0.422817281728173</v>
      </c>
      <c r="I171" s="8" t="n">
        <v>0</v>
      </c>
      <c r="J171" s="8" t="n">
        <v>0</v>
      </c>
      <c r="K171" s="8" t="n">
        <f aca="false">I171+J171</f>
        <v>0</v>
      </c>
      <c r="L171" s="9" t="str">
        <f aca="false">IF(K171=0,"",I171/K171)</f>
        <v/>
      </c>
      <c r="M171" s="8" t="n">
        <f aca="false">IF(OR(A171=2020,A171=2024),1,0)</f>
        <v>1</v>
      </c>
    </row>
    <row r="172" customFormat="false" ht="15" hidden="false" customHeight="true" outlineLevel="0" collapsed="false">
      <c r="A172" s="8" t="n">
        <v>2022</v>
      </c>
      <c r="B172" s="8" t="s">
        <v>113</v>
      </c>
      <c r="C172" s="8" t="s">
        <v>99</v>
      </c>
      <c r="D172" s="8" t="n">
        <v>1632</v>
      </c>
      <c r="E172" s="8" t="n">
        <v>2067</v>
      </c>
      <c r="F172" s="8" t="n">
        <v>0</v>
      </c>
      <c r="G172" s="8" t="n">
        <f aca="false">D172+E172+F172</f>
        <v>3699</v>
      </c>
      <c r="H172" s="9" t="n">
        <f aca="false">D172/G172</f>
        <v>0.441200324412003</v>
      </c>
      <c r="I172" s="8" t="n">
        <v>1839</v>
      </c>
      <c r="J172" s="8" t="n">
        <v>1799</v>
      </c>
      <c r="K172" s="8" t="n">
        <f aca="false">I172+J172</f>
        <v>3638</v>
      </c>
      <c r="L172" s="9" t="n">
        <f aca="false">IF(K172=0,"",I172/K172)</f>
        <v>0.505497526113249</v>
      </c>
      <c r="M172" s="8" t="n">
        <f aca="false">IF(OR(A172=2020,A172=2024),1,0)</f>
        <v>0</v>
      </c>
    </row>
    <row r="173" customFormat="false" ht="15" hidden="false" customHeight="true" outlineLevel="0" collapsed="false">
      <c r="A173" s="8" t="n">
        <v>2024</v>
      </c>
      <c r="B173" s="8" t="s">
        <v>113</v>
      </c>
      <c r="C173" s="8" t="s">
        <v>99</v>
      </c>
      <c r="D173" s="8" t="n">
        <v>1596</v>
      </c>
      <c r="E173" s="8" t="n">
        <v>1664</v>
      </c>
      <c r="F173" s="8" t="n">
        <v>0</v>
      </c>
      <c r="G173" s="8" t="n">
        <f aca="false">D173+E173+F173</f>
        <v>3260</v>
      </c>
      <c r="H173" s="9" t="n">
        <f aca="false">D173/G173</f>
        <v>0.489570552147239</v>
      </c>
      <c r="I173" s="8" t="n">
        <v>0</v>
      </c>
      <c r="J173" s="8" t="n">
        <v>0</v>
      </c>
      <c r="K173" s="8" t="n">
        <f aca="false">I173+J173</f>
        <v>0</v>
      </c>
      <c r="L173" s="9" t="str">
        <f aca="false">IF(K173=0,"",I173/K173)</f>
        <v/>
      </c>
      <c r="M173" s="8" t="n">
        <f aca="false">IF(OR(A173=2020,A173=2024),1,0)</f>
        <v>1</v>
      </c>
    </row>
    <row r="174" customFormat="false" ht="15" hidden="false" customHeight="true" outlineLevel="0" collapsed="false">
      <c r="A174" s="8" t="n">
        <v>2018</v>
      </c>
      <c r="B174" s="8" t="s">
        <v>114</v>
      </c>
      <c r="C174" s="8" t="s">
        <v>99</v>
      </c>
      <c r="D174" s="8" t="n">
        <v>2540</v>
      </c>
      <c r="E174" s="8" t="n">
        <v>2624</v>
      </c>
      <c r="F174" s="8" t="n">
        <v>146</v>
      </c>
      <c r="G174" s="8" t="n">
        <f aca="false">D174+E174+F174</f>
        <v>5310</v>
      </c>
      <c r="H174" s="9" t="n">
        <f aca="false">D174/G174</f>
        <v>0.47834274952919</v>
      </c>
      <c r="I174" s="8" t="n">
        <v>2842</v>
      </c>
      <c r="J174" s="8" t="n">
        <v>2415</v>
      </c>
      <c r="K174" s="8" t="n">
        <f aca="false">I174+J174</f>
        <v>5257</v>
      </c>
      <c r="L174" s="9" t="n">
        <f aca="false">IF(K174=0,"",I174/K174)</f>
        <v>0.540612516644474</v>
      </c>
      <c r="M174" s="8" t="n">
        <f aca="false">IF(OR(A174=2020,A174=2024),1,0)</f>
        <v>0</v>
      </c>
    </row>
    <row r="175" customFormat="false" ht="15" hidden="false" customHeight="true" outlineLevel="0" collapsed="false">
      <c r="A175" s="8" t="n">
        <v>2020</v>
      </c>
      <c r="B175" s="8" t="s">
        <v>114</v>
      </c>
      <c r="C175" s="8" t="s">
        <v>99</v>
      </c>
      <c r="D175" s="8" t="n">
        <v>3370</v>
      </c>
      <c r="E175" s="8" t="n">
        <v>3831</v>
      </c>
      <c r="F175" s="8" t="n">
        <v>0</v>
      </c>
      <c r="G175" s="8" t="n">
        <f aca="false">D175+E175+F175</f>
        <v>7201</v>
      </c>
      <c r="H175" s="9" t="n">
        <f aca="false">D175/G175</f>
        <v>0.467990556867102</v>
      </c>
      <c r="I175" s="8" t="n">
        <v>0</v>
      </c>
      <c r="J175" s="8" t="n">
        <v>0</v>
      </c>
      <c r="K175" s="8" t="n">
        <f aca="false">I175+J175</f>
        <v>0</v>
      </c>
      <c r="L175" s="9" t="str">
        <f aca="false">IF(K175=0,"",I175/K175)</f>
        <v/>
      </c>
      <c r="M175" s="8" t="n">
        <f aca="false">IF(OR(A175=2020,A175=2024),1,0)</f>
        <v>1</v>
      </c>
    </row>
    <row r="176" customFormat="false" ht="15" hidden="false" customHeight="true" outlineLevel="0" collapsed="false">
      <c r="A176" s="8" t="n">
        <v>2022</v>
      </c>
      <c r="B176" s="8" t="s">
        <v>114</v>
      </c>
      <c r="C176" s="8" t="s">
        <v>99</v>
      </c>
      <c r="D176" s="8" t="n">
        <v>2919</v>
      </c>
      <c r="E176" s="8" t="n">
        <v>3008</v>
      </c>
      <c r="F176" s="8" t="n">
        <v>0</v>
      </c>
      <c r="G176" s="8" t="n">
        <f aca="false">D176+E176+F176</f>
        <v>5927</v>
      </c>
      <c r="H176" s="9" t="n">
        <f aca="false">D176/G176</f>
        <v>0.492491985827569</v>
      </c>
      <c r="I176" s="8" t="n">
        <v>3246</v>
      </c>
      <c r="J176" s="8" t="n">
        <v>2593</v>
      </c>
      <c r="K176" s="8" t="n">
        <f aca="false">I176+J176</f>
        <v>5839</v>
      </c>
      <c r="L176" s="9" t="n">
        <f aca="false">IF(K176=0,"",I176/K176)</f>
        <v>0.555917109094023</v>
      </c>
      <c r="M176" s="8" t="n">
        <f aca="false">IF(OR(A176=2020,A176=2024),1,0)</f>
        <v>0</v>
      </c>
    </row>
    <row r="177" customFormat="false" ht="15" hidden="false" customHeight="true" outlineLevel="0" collapsed="false">
      <c r="A177" s="8" t="n">
        <v>2024</v>
      </c>
      <c r="B177" s="8" t="s">
        <v>114</v>
      </c>
      <c r="C177" s="8" t="s">
        <v>99</v>
      </c>
      <c r="D177" s="8" t="n">
        <v>3457</v>
      </c>
      <c r="E177" s="8" t="n">
        <v>3805</v>
      </c>
      <c r="F177" s="8" t="n">
        <v>0</v>
      </c>
      <c r="G177" s="8" t="n">
        <f aca="false">D177+E177+F177</f>
        <v>7262</v>
      </c>
      <c r="H177" s="9" t="n">
        <f aca="false">D177/G177</f>
        <v>0.476039658496282</v>
      </c>
      <c r="I177" s="8" t="n">
        <v>0</v>
      </c>
      <c r="J177" s="8" t="n">
        <v>0</v>
      </c>
      <c r="K177" s="8" t="n">
        <f aca="false">I177+J177</f>
        <v>0</v>
      </c>
      <c r="L177" s="9" t="str">
        <f aca="false">IF(K177=0,"",I177/K177)</f>
        <v/>
      </c>
      <c r="M177" s="8" t="n">
        <f aca="false">IF(OR(A177=2020,A177=2024),1,0)</f>
        <v>1</v>
      </c>
    </row>
    <row r="178" customFormat="false" ht="15" hidden="false" customHeight="true" outlineLevel="0" collapsed="false">
      <c r="A178" s="8" t="n">
        <v>2018</v>
      </c>
      <c r="B178" s="8" t="s">
        <v>115</v>
      </c>
      <c r="C178" s="8" t="s">
        <v>99</v>
      </c>
      <c r="D178" s="8" t="n">
        <v>1404</v>
      </c>
      <c r="E178" s="8" t="n">
        <v>2512</v>
      </c>
      <c r="F178" s="8" t="n">
        <v>129</v>
      </c>
      <c r="G178" s="8" t="n">
        <f aca="false">D178+E178+F178</f>
        <v>4045</v>
      </c>
      <c r="H178" s="9" t="n">
        <f aca="false">D178/G178</f>
        <v>0.347095179233622</v>
      </c>
      <c r="I178" s="8" t="n">
        <v>1694</v>
      </c>
      <c r="J178" s="8" t="n">
        <v>2283</v>
      </c>
      <c r="K178" s="8" t="n">
        <f aca="false">I178+J178</f>
        <v>3977</v>
      </c>
      <c r="L178" s="9" t="n">
        <f aca="false">IF(K178=0,"",I178/K178)</f>
        <v>0.425949207945688</v>
      </c>
      <c r="M178" s="8" t="n">
        <f aca="false">IF(OR(A178=2020,A178=2024),1,0)</f>
        <v>0</v>
      </c>
    </row>
    <row r="179" customFormat="false" ht="15" hidden="false" customHeight="true" outlineLevel="0" collapsed="false">
      <c r="A179" s="8" t="n">
        <v>2020</v>
      </c>
      <c r="B179" s="8" t="s">
        <v>115</v>
      </c>
      <c r="C179" s="8" t="s">
        <v>99</v>
      </c>
      <c r="D179" s="8" t="n">
        <v>1920</v>
      </c>
      <c r="E179" s="8" t="n">
        <v>3865</v>
      </c>
      <c r="F179" s="8" t="n">
        <v>0</v>
      </c>
      <c r="G179" s="8" t="n">
        <f aca="false">D179+E179+F179</f>
        <v>5785</v>
      </c>
      <c r="H179" s="9" t="n">
        <f aca="false">D179/G179</f>
        <v>0.331892826274849</v>
      </c>
      <c r="I179" s="8" t="n">
        <v>0</v>
      </c>
      <c r="J179" s="8" t="n">
        <v>0</v>
      </c>
      <c r="K179" s="8" t="n">
        <f aca="false">I179+J179</f>
        <v>0</v>
      </c>
      <c r="L179" s="9" t="str">
        <f aca="false">IF(K179=0,"",I179/K179)</f>
        <v/>
      </c>
      <c r="M179" s="8" t="n">
        <f aca="false">IF(OR(A179=2020,A179=2024),1,0)</f>
        <v>1</v>
      </c>
    </row>
    <row r="180" customFormat="false" ht="15" hidden="false" customHeight="true" outlineLevel="0" collapsed="false">
      <c r="A180" s="8" t="n">
        <v>2022</v>
      </c>
      <c r="B180" s="8" t="s">
        <v>115</v>
      </c>
      <c r="C180" s="8" t="s">
        <v>99</v>
      </c>
      <c r="D180" s="8" t="n">
        <v>1661</v>
      </c>
      <c r="E180" s="8" t="n">
        <v>3091</v>
      </c>
      <c r="F180" s="8" t="n">
        <v>0</v>
      </c>
      <c r="G180" s="8" t="n">
        <f aca="false">D180+E180+F180</f>
        <v>4752</v>
      </c>
      <c r="H180" s="9" t="n">
        <f aca="false">D180/G180</f>
        <v>0.349537037037037</v>
      </c>
      <c r="I180" s="8" t="n">
        <v>1888</v>
      </c>
      <c r="J180" s="8" t="n">
        <v>2797</v>
      </c>
      <c r="K180" s="8" t="n">
        <f aca="false">I180+J180</f>
        <v>4685</v>
      </c>
      <c r="L180" s="9" t="n">
        <f aca="false">IF(K180=0,"",I180/K180)</f>
        <v>0.40298826040555</v>
      </c>
      <c r="M180" s="8" t="n">
        <f aca="false">IF(OR(A180=2020,A180=2024),1,0)</f>
        <v>0</v>
      </c>
    </row>
    <row r="181" customFormat="false" ht="15" hidden="false" customHeight="true" outlineLevel="0" collapsed="false">
      <c r="A181" s="8" t="n">
        <v>2024</v>
      </c>
      <c r="B181" s="8" t="s">
        <v>115</v>
      </c>
      <c r="C181" s="8" t="s">
        <v>99</v>
      </c>
      <c r="D181" s="8" t="n">
        <v>2006</v>
      </c>
      <c r="E181" s="8" t="n">
        <v>4057</v>
      </c>
      <c r="F181" s="8" t="n">
        <v>0</v>
      </c>
      <c r="G181" s="8" t="n">
        <f aca="false">D181+E181+F181</f>
        <v>6063</v>
      </c>
      <c r="H181" s="9" t="n">
        <f aca="false">D181/G181</f>
        <v>0.330859310572324</v>
      </c>
      <c r="I181" s="8" t="n">
        <v>0</v>
      </c>
      <c r="J181" s="8" t="n">
        <v>0</v>
      </c>
      <c r="K181" s="8" t="n">
        <f aca="false">I181+J181</f>
        <v>0</v>
      </c>
      <c r="L181" s="9" t="str">
        <f aca="false">IF(K181=0,"",I181/K181)</f>
        <v/>
      </c>
      <c r="M181" s="8" t="n">
        <f aca="false">IF(OR(A181=2020,A181=2024),1,0)</f>
        <v>1</v>
      </c>
    </row>
    <row r="182" customFormat="false" ht="15" hidden="false" customHeight="true" outlineLevel="0" collapsed="false">
      <c r="A182" s="8" t="n">
        <v>2018</v>
      </c>
      <c r="B182" s="8" t="s">
        <v>116</v>
      </c>
      <c r="C182" s="8" t="s">
        <v>99</v>
      </c>
      <c r="D182" s="8" t="n">
        <v>1128</v>
      </c>
      <c r="E182" s="8" t="n">
        <v>998</v>
      </c>
      <c r="F182" s="8" t="n">
        <v>76</v>
      </c>
      <c r="G182" s="8" t="n">
        <f aca="false">D182+E182+F182</f>
        <v>2202</v>
      </c>
      <c r="H182" s="9" t="n">
        <f aca="false">D182/G182</f>
        <v>0.512261580381471</v>
      </c>
      <c r="I182" s="8" t="n">
        <v>1275</v>
      </c>
      <c r="J182" s="8" t="n">
        <v>905</v>
      </c>
      <c r="K182" s="8" t="n">
        <f aca="false">I182+J182</f>
        <v>2180</v>
      </c>
      <c r="L182" s="9" t="n">
        <f aca="false">IF(K182=0,"",I182/K182)</f>
        <v>0.584862385321101</v>
      </c>
      <c r="M182" s="8" t="n">
        <f aca="false">IF(OR(A182=2020,A182=2024),1,0)</f>
        <v>0</v>
      </c>
    </row>
    <row r="183" customFormat="false" ht="15" hidden="false" customHeight="true" outlineLevel="0" collapsed="false">
      <c r="A183" s="8" t="n">
        <v>2020</v>
      </c>
      <c r="B183" s="8" t="s">
        <v>116</v>
      </c>
      <c r="C183" s="8" t="s">
        <v>99</v>
      </c>
      <c r="D183" s="8" t="n">
        <v>1490</v>
      </c>
      <c r="E183" s="8" t="n">
        <v>1627</v>
      </c>
      <c r="F183" s="8" t="n">
        <v>0</v>
      </c>
      <c r="G183" s="8" t="n">
        <f aca="false">D183+E183+F183</f>
        <v>3117</v>
      </c>
      <c r="H183" s="9" t="n">
        <f aca="false">D183/G183</f>
        <v>0.478023740776388</v>
      </c>
      <c r="I183" s="8" t="n">
        <v>0</v>
      </c>
      <c r="J183" s="8" t="n">
        <v>0</v>
      </c>
      <c r="K183" s="8" t="n">
        <f aca="false">I183+J183</f>
        <v>0</v>
      </c>
      <c r="L183" s="9" t="str">
        <f aca="false">IF(K183=0,"",I183/K183)</f>
        <v/>
      </c>
      <c r="M183" s="8" t="n">
        <f aca="false">IF(OR(A183=2020,A183=2024),1,0)</f>
        <v>1</v>
      </c>
    </row>
    <row r="184" customFormat="false" ht="15" hidden="false" customHeight="true" outlineLevel="0" collapsed="false">
      <c r="A184" s="8" t="n">
        <v>2022</v>
      </c>
      <c r="B184" s="8" t="s">
        <v>116</v>
      </c>
      <c r="C184" s="8" t="s">
        <v>99</v>
      </c>
      <c r="D184" s="8" t="n">
        <v>1272</v>
      </c>
      <c r="E184" s="8" t="n">
        <v>1188</v>
      </c>
      <c r="F184" s="8" t="n">
        <v>0</v>
      </c>
      <c r="G184" s="8" t="n">
        <f aca="false">D184+E184+F184</f>
        <v>2460</v>
      </c>
      <c r="H184" s="9" t="n">
        <f aca="false">D184/G184</f>
        <v>0.517073170731707</v>
      </c>
      <c r="I184" s="8" t="n">
        <v>1393</v>
      </c>
      <c r="J184" s="8" t="n">
        <v>1014</v>
      </c>
      <c r="K184" s="8" t="n">
        <f aca="false">I184+J184</f>
        <v>2407</v>
      </c>
      <c r="L184" s="9" t="n">
        <f aca="false">IF(K184=0,"",I184/K184)</f>
        <v>0.578728707935189</v>
      </c>
      <c r="M184" s="8" t="n">
        <f aca="false">IF(OR(A184=2020,A184=2024),1,0)</f>
        <v>0</v>
      </c>
    </row>
    <row r="185" customFormat="false" ht="15" hidden="false" customHeight="true" outlineLevel="0" collapsed="false">
      <c r="A185" s="8" t="n">
        <v>2024</v>
      </c>
      <c r="B185" s="8" t="s">
        <v>116</v>
      </c>
      <c r="C185" s="8" t="s">
        <v>99</v>
      </c>
      <c r="D185" s="8" t="n">
        <v>2047</v>
      </c>
      <c r="E185" s="8" t="n">
        <v>2499</v>
      </c>
      <c r="F185" s="8" t="n">
        <v>0</v>
      </c>
      <c r="G185" s="8" t="n">
        <f aca="false">D185+E185+F185</f>
        <v>4546</v>
      </c>
      <c r="H185" s="9" t="n">
        <f aca="false">D185/G185</f>
        <v>0.450285965684118</v>
      </c>
      <c r="I185" s="8" t="n">
        <v>0</v>
      </c>
      <c r="J185" s="8" t="n">
        <v>0</v>
      </c>
      <c r="K185" s="8" t="n">
        <f aca="false">I185+J185</f>
        <v>0</v>
      </c>
      <c r="L185" s="9" t="str">
        <f aca="false">IF(K185=0,"",I185/K185)</f>
        <v/>
      </c>
      <c r="M185" s="8" t="n">
        <f aca="false">IF(OR(A185=2020,A185=2024),1,0)</f>
        <v>1</v>
      </c>
    </row>
    <row r="186" customFormat="false" ht="15" hidden="false" customHeight="true" outlineLevel="0" collapsed="false">
      <c r="A186" s="8" t="n">
        <v>2018</v>
      </c>
      <c r="B186" s="8" t="s">
        <v>117</v>
      </c>
      <c r="C186" s="8" t="s">
        <v>99</v>
      </c>
      <c r="D186" s="8" t="n">
        <v>536</v>
      </c>
      <c r="E186" s="8" t="n">
        <v>521</v>
      </c>
      <c r="F186" s="8" t="n">
        <v>45</v>
      </c>
      <c r="G186" s="8" t="n">
        <f aca="false">D186+E186+F186</f>
        <v>1102</v>
      </c>
      <c r="H186" s="9" t="n">
        <f aca="false">D186/G186</f>
        <v>0.486388384754991</v>
      </c>
      <c r="I186" s="8" t="n">
        <v>603</v>
      </c>
      <c r="J186" s="8" t="n">
        <v>468</v>
      </c>
      <c r="K186" s="8" t="n">
        <f aca="false">I186+J186</f>
        <v>1071</v>
      </c>
      <c r="L186" s="9" t="n">
        <f aca="false">IF(K186=0,"",I186/K186)</f>
        <v>0.563025210084034</v>
      </c>
      <c r="M186" s="8" t="n">
        <f aca="false">IF(OR(A186=2020,A186=2024),1,0)</f>
        <v>0</v>
      </c>
    </row>
    <row r="187" customFormat="false" ht="15" hidden="false" customHeight="true" outlineLevel="0" collapsed="false">
      <c r="A187" s="8" t="n">
        <v>2020</v>
      </c>
      <c r="B187" s="8" t="s">
        <v>117</v>
      </c>
      <c r="C187" s="8" t="s">
        <v>99</v>
      </c>
      <c r="D187" s="8" t="n">
        <v>731</v>
      </c>
      <c r="E187" s="8" t="n">
        <v>843</v>
      </c>
      <c r="F187" s="8" t="n">
        <v>0</v>
      </c>
      <c r="G187" s="8" t="n">
        <f aca="false">D187+E187+F187</f>
        <v>1574</v>
      </c>
      <c r="H187" s="9" t="n">
        <f aca="false">D187/G187</f>
        <v>0.464421855146125</v>
      </c>
      <c r="I187" s="8" t="n">
        <v>0</v>
      </c>
      <c r="J187" s="8" t="n">
        <v>0</v>
      </c>
      <c r="K187" s="8" t="n">
        <f aca="false">I187+J187</f>
        <v>0</v>
      </c>
      <c r="L187" s="9" t="str">
        <f aca="false">IF(K187=0,"",I187/K187)</f>
        <v/>
      </c>
      <c r="M187" s="8" t="n">
        <f aca="false">IF(OR(A187=2020,A187=2024),1,0)</f>
        <v>1</v>
      </c>
    </row>
    <row r="188" customFormat="false" ht="15" hidden="false" customHeight="true" outlineLevel="0" collapsed="false">
      <c r="A188" s="8" t="n">
        <v>2022</v>
      </c>
      <c r="B188" s="8" t="s">
        <v>117</v>
      </c>
      <c r="C188" s="8" t="s">
        <v>99</v>
      </c>
      <c r="D188" s="8" t="n">
        <v>644</v>
      </c>
      <c r="E188" s="8" t="n">
        <v>634</v>
      </c>
      <c r="F188" s="8" t="n">
        <v>0</v>
      </c>
      <c r="G188" s="8" t="n">
        <f aca="false">D188+E188+F188</f>
        <v>1278</v>
      </c>
      <c r="H188" s="9" t="n">
        <f aca="false">D188/G188</f>
        <v>0.503912363067293</v>
      </c>
      <c r="I188" s="8" t="n">
        <v>701</v>
      </c>
      <c r="J188" s="8" t="n">
        <v>550</v>
      </c>
      <c r="K188" s="8" t="n">
        <f aca="false">I188+J188</f>
        <v>1251</v>
      </c>
      <c r="L188" s="9" t="n">
        <f aca="false">IF(K188=0,"",I188/K188)</f>
        <v>0.5603517186251</v>
      </c>
      <c r="M188" s="8" t="n">
        <f aca="false">IF(OR(A188=2020,A188=2024),1,0)</f>
        <v>0</v>
      </c>
    </row>
    <row r="189" customFormat="false" ht="15" hidden="false" customHeight="true" outlineLevel="0" collapsed="false">
      <c r="A189" s="8" t="n">
        <v>2024</v>
      </c>
      <c r="B189" s="8" t="s">
        <v>117</v>
      </c>
      <c r="C189" s="8" t="s">
        <v>99</v>
      </c>
      <c r="D189" s="8" t="n">
        <v>847</v>
      </c>
      <c r="E189" s="8" t="n">
        <v>889</v>
      </c>
      <c r="F189" s="8" t="n">
        <v>0</v>
      </c>
      <c r="G189" s="8" t="n">
        <f aca="false">D189+E189+F189</f>
        <v>1736</v>
      </c>
      <c r="H189" s="9" t="n">
        <f aca="false">D189/G189</f>
        <v>0.487903225806452</v>
      </c>
      <c r="I189" s="8" t="n">
        <v>0</v>
      </c>
      <c r="J189" s="8" t="n">
        <v>0</v>
      </c>
      <c r="K189" s="8" t="n">
        <f aca="false">I189+J189</f>
        <v>0</v>
      </c>
      <c r="L189" s="9" t="str">
        <f aca="false">IF(K189=0,"",I189/K189)</f>
        <v/>
      </c>
      <c r="M189" s="8" t="n">
        <f aca="false">IF(OR(A189=2020,A189=2024),1,0)</f>
        <v>1</v>
      </c>
    </row>
    <row r="190" customFormat="false" ht="15" hidden="false" customHeight="true" outlineLevel="0" collapsed="false">
      <c r="A190" s="8" t="n">
        <v>2018</v>
      </c>
      <c r="B190" s="8" t="s">
        <v>99</v>
      </c>
      <c r="C190" s="8" t="s">
        <v>99</v>
      </c>
      <c r="D190" s="8" t="n">
        <v>1650</v>
      </c>
      <c r="E190" s="8" t="n">
        <v>1634</v>
      </c>
      <c r="F190" s="8" t="n">
        <v>129</v>
      </c>
      <c r="G190" s="8" t="n">
        <f aca="false">D190+E190+F190</f>
        <v>3413</v>
      </c>
      <c r="H190" s="9" t="n">
        <f aca="false">D190/G190</f>
        <v>0.483445648989159</v>
      </c>
      <c r="I190" s="8" t="n">
        <v>1867</v>
      </c>
      <c r="J190" s="8" t="n">
        <v>1502</v>
      </c>
      <c r="K190" s="8" t="n">
        <f aca="false">I190+J190</f>
        <v>3369</v>
      </c>
      <c r="L190" s="9" t="n">
        <f aca="false">IF(K190=0,"",I190/K190)</f>
        <v>0.554170376966459</v>
      </c>
      <c r="M190" s="8" t="n">
        <f aca="false">IF(OR(A190=2020,A190=2024),1,0)</f>
        <v>0</v>
      </c>
    </row>
    <row r="191" customFormat="false" ht="15" hidden="false" customHeight="true" outlineLevel="0" collapsed="false">
      <c r="A191" s="8" t="n">
        <v>2020</v>
      </c>
      <c r="B191" s="8" t="s">
        <v>99</v>
      </c>
      <c r="C191" s="8" t="s">
        <v>99</v>
      </c>
      <c r="D191" s="8" t="n">
        <v>2355</v>
      </c>
      <c r="E191" s="8" t="n">
        <v>2934</v>
      </c>
      <c r="F191" s="8" t="n">
        <v>0</v>
      </c>
      <c r="G191" s="8" t="n">
        <f aca="false">D191+E191+F191</f>
        <v>5289</v>
      </c>
      <c r="H191" s="9" t="n">
        <f aca="false">D191/G191</f>
        <v>0.445263754963131</v>
      </c>
      <c r="I191" s="8" t="n">
        <v>0</v>
      </c>
      <c r="J191" s="8" t="n">
        <v>0</v>
      </c>
      <c r="K191" s="8" t="n">
        <f aca="false">I191+J191</f>
        <v>0</v>
      </c>
      <c r="L191" s="9" t="str">
        <f aca="false">IF(K191=0,"",I191/K191)</f>
        <v/>
      </c>
      <c r="M191" s="8" t="n">
        <f aca="false">IF(OR(A191=2020,A191=2024),1,0)</f>
        <v>1</v>
      </c>
    </row>
    <row r="192" customFormat="false" ht="15" hidden="false" customHeight="true" outlineLevel="0" collapsed="false">
      <c r="A192" s="8" t="n">
        <v>2022</v>
      </c>
      <c r="B192" s="8" t="s">
        <v>99</v>
      </c>
      <c r="C192" s="8" t="s">
        <v>99</v>
      </c>
      <c r="D192" s="8" t="n">
        <v>1957</v>
      </c>
      <c r="E192" s="8" t="n">
        <v>1970</v>
      </c>
      <c r="F192" s="8" t="n">
        <v>0</v>
      </c>
      <c r="G192" s="8" t="n">
        <f aca="false">D192+E192+F192</f>
        <v>3927</v>
      </c>
      <c r="H192" s="9" t="n">
        <f aca="false">D192/G192</f>
        <v>0.49834479246244</v>
      </c>
      <c r="I192" s="8" t="n">
        <v>2116</v>
      </c>
      <c r="J192" s="8" t="n">
        <v>1748</v>
      </c>
      <c r="K192" s="8" t="n">
        <f aca="false">I192+J192</f>
        <v>3864</v>
      </c>
      <c r="L192" s="9" t="n">
        <f aca="false">IF(K192=0,"",I192/K192)</f>
        <v>0.547619047619048</v>
      </c>
      <c r="M192" s="8" t="n">
        <f aca="false">IF(OR(A192=2020,A192=2024),1,0)</f>
        <v>0</v>
      </c>
    </row>
    <row r="193" customFormat="false" ht="15" hidden="false" customHeight="true" outlineLevel="0" collapsed="false">
      <c r="A193" s="8" t="n">
        <v>2024</v>
      </c>
      <c r="B193" s="8" t="s">
        <v>99</v>
      </c>
      <c r="C193" s="8" t="s">
        <v>99</v>
      </c>
      <c r="D193" s="8" t="n">
        <v>2573</v>
      </c>
      <c r="E193" s="8" t="n">
        <v>3023</v>
      </c>
      <c r="F193" s="8" t="n">
        <v>0</v>
      </c>
      <c r="G193" s="8" t="n">
        <f aca="false">D193+E193+F193</f>
        <v>5596</v>
      </c>
      <c r="H193" s="9" t="n">
        <f aca="false">D193/G193</f>
        <v>0.459792709077913</v>
      </c>
      <c r="I193" s="8" t="n">
        <v>0</v>
      </c>
      <c r="J193" s="8" t="n">
        <v>0</v>
      </c>
      <c r="K193" s="8" t="n">
        <f aca="false">I193+J193</f>
        <v>0</v>
      </c>
      <c r="L193" s="9" t="str">
        <f aca="false">IF(K193=0,"",I193/K193)</f>
        <v/>
      </c>
      <c r="M193" s="8" t="n">
        <f aca="false">IF(OR(A193=2020,A193=2024),1,0)</f>
        <v>1</v>
      </c>
    </row>
    <row r="194" customFormat="false" ht="15" hidden="false" customHeight="true" outlineLevel="0" collapsed="false">
      <c r="A194" s="8" t="n">
        <v>2018</v>
      </c>
      <c r="B194" s="8" t="s">
        <v>118</v>
      </c>
      <c r="C194" s="8" t="s">
        <v>99</v>
      </c>
      <c r="D194" s="8" t="n">
        <v>4804</v>
      </c>
      <c r="E194" s="8" t="n">
        <v>4095</v>
      </c>
      <c r="F194" s="8" t="n">
        <v>197</v>
      </c>
      <c r="G194" s="8" t="n">
        <f aca="false">D194+E194+F194</f>
        <v>9096</v>
      </c>
      <c r="H194" s="9" t="n">
        <f aca="false">D194/G194</f>
        <v>0.528144239226033</v>
      </c>
      <c r="I194" s="8" t="n">
        <v>5296</v>
      </c>
      <c r="J194" s="8" t="n">
        <v>3750</v>
      </c>
      <c r="K194" s="8" t="n">
        <f aca="false">I194+J194</f>
        <v>9046</v>
      </c>
      <c r="L194" s="9" t="n">
        <f aca="false">IF(K194=0,"",I194/K194)</f>
        <v>0.585452133539686</v>
      </c>
      <c r="M194" s="8" t="n">
        <f aca="false">IF(OR(A194=2020,A194=2024),1,0)</f>
        <v>0</v>
      </c>
    </row>
    <row r="195" customFormat="false" ht="15" hidden="false" customHeight="true" outlineLevel="0" collapsed="false">
      <c r="A195" s="8" t="n">
        <v>2020</v>
      </c>
      <c r="B195" s="8" t="s">
        <v>118</v>
      </c>
      <c r="C195" s="8" t="s">
        <v>99</v>
      </c>
      <c r="D195" s="8" t="n">
        <v>6698</v>
      </c>
      <c r="E195" s="8" t="n">
        <v>6630</v>
      </c>
      <c r="F195" s="8" t="n">
        <v>0</v>
      </c>
      <c r="G195" s="8" t="n">
        <f aca="false">D195+E195+F195</f>
        <v>13328</v>
      </c>
      <c r="H195" s="9" t="n">
        <f aca="false">D195/G195</f>
        <v>0.502551020408163</v>
      </c>
      <c r="I195" s="8" t="n">
        <v>0</v>
      </c>
      <c r="J195" s="8" t="n">
        <v>0</v>
      </c>
      <c r="K195" s="8" t="n">
        <f aca="false">I195+J195</f>
        <v>0</v>
      </c>
      <c r="L195" s="9" t="str">
        <f aca="false">IF(K195=0,"",I195/K195)</f>
        <v/>
      </c>
      <c r="M195" s="8" t="n">
        <f aca="false">IF(OR(A195=2020,A195=2024),1,0)</f>
        <v>1</v>
      </c>
    </row>
    <row r="196" customFormat="false" ht="15" hidden="false" customHeight="true" outlineLevel="0" collapsed="false">
      <c r="A196" s="8" t="n">
        <v>2022</v>
      </c>
      <c r="B196" s="8" t="s">
        <v>118</v>
      </c>
      <c r="C196" s="8" t="s">
        <v>99</v>
      </c>
      <c r="D196" s="8" t="n">
        <v>5403</v>
      </c>
      <c r="E196" s="8" t="n">
        <v>4910</v>
      </c>
      <c r="F196" s="8" t="n">
        <v>0</v>
      </c>
      <c r="G196" s="8" t="n">
        <f aca="false">D196+E196+F196</f>
        <v>10313</v>
      </c>
      <c r="H196" s="9" t="n">
        <f aca="false">D196/G196</f>
        <v>0.523901871424416</v>
      </c>
      <c r="I196" s="8" t="n">
        <v>5873</v>
      </c>
      <c r="J196" s="8" t="n">
        <v>4290</v>
      </c>
      <c r="K196" s="8" t="n">
        <f aca="false">I196+J196</f>
        <v>10163</v>
      </c>
      <c r="L196" s="9" t="n">
        <f aca="false">IF(K196=0,"",I196/K196)</f>
        <v>0.577880547082554</v>
      </c>
      <c r="M196" s="8" t="n">
        <f aca="false">IF(OR(A196=2020,A196=2024),1,0)</f>
        <v>0</v>
      </c>
    </row>
    <row r="197" customFormat="false" ht="15" hidden="false" customHeight="true" outlineLevel="0" collapsed="false">
      <c r="A197" s="8" t="n">
        <v>2024</v>
      </c>
      <c r="B197" s="8" t="s">
        <v>118</v>
      </c>
      <c r="C197" s="8" t="s">
        <v>99</v>
      </c>
      <c r="D197" s="8" t="n">
        <v>6974</v>
      </c>
      <c r="E197" s="8" t="n">
        <v>6736</v>
      </c>
      <c r="F197" s="8" t="n">
        <v>0</v>
      </c>
      <c r="G197" s="8" t="n">
        <f aca="false">D197+E197+F197</f>
        <v>13710</v>
      </c>
      <c r="H197" s="9" t="n">
        <f aca="false">D197/G197</f>
        <v>0.508679795769511</v>
      </c>
      <c r="I197" s="8" t="n">
        <v>0</v>
      </c>
      <c r="J197" s="8" t="n">
        <v>0</v>
      </c>
      <c r="K197" s="8" t="n">
        <f aca="false">I197+J197</f>
        <v>0</v>
      </c>
      <c r="L197" s="9" t="str">
        <f aca="false">IF(K197=0,"",I197/K197)</f>
        <v/>
      </c>
      <c r="M197" s="8" t="n">
        <f aca="false">IF(OR(A197=2020,A197=2024),1,0)</f>
        <v>1</v>
      </c>
    </row>
    <row r="198" customFormat="false" ht="15" hidden="false" customHeight="true" outlineLevel="0" collapsed="false">
      <c r="A198" s="8" t="n">
        <v>2018</v>
      </c>
      <c r="B198" s="8" t="s">
        <v>119</v>
      </c>
      <c r="C198" s="8" t="s">
        <v>99</v>
      </c>
      <c r="D198" s="8" t="n">
        <v>484</v>
      </c>
      <c r="E198" s="8" t="n">
        <v>685</v>
      </c>
      <c r="F198" s="8" t="n">
        <v>49</v>
      </c>
      <c r="G198" s="8" t="n">
        <f aca="false">D198+E198+F198</f>
        <v>1218</v>
      </c>
      <c r="H198" s="9" t="n">
        <f aca="false">D198/G198</f>
        <v>0.397372742200328</v>
      </c>
      <c r="I198" s="8" t="n">
        <v>605</v>
      </c>
      <c r="J198" s="8" t="n">
        <v>594</v>
      </c>
      <c r="K198" s="8" t="n">
        <f aca="false">I198+J198</f>
        <v>1199</v>
      </c>
      <c r="L198" s="9" t="n">
        <f aca="false">IF(K198=0,"",I198/K198)</f>
        <v>0.504587155963303</v>
      </c>
      <c r="M198" s="8" t="n">
        <f aca="false">IF(OR(A198=2020,A198=2024),1,0)</f>
        <v>0</v>
      </c>
    </row>
    <row r="199" customFormat="false" ht="15" hidden="false" customHeight="true" outlineLevel="0" collapsed="false">
      <c r="A199" s="8" t="n">
        <v>2020</v>
      </c>
      <c r="B199" s="8" t="s">
        <v>119</v>
      </c>
      <c r="C199" s="8" t="s">
        <v>99</v>
      </c>
      <c r="D199" s="8" t="n">
        <v>678</v>
      </c>
      <c r="E199" s="8" t="n">
        <v>1089</v>
      </c>
      <c r="F199" s="8" t="n">
        <v>0</v>
      </c>
      <c r="G199" s="8" t="n">
        <f aca="false">D199+E199+F199</f>
        <v>1767</v>
      </c>
      <c r="H199" s="9" t="n">
        <f aca="false">D199/G199</f>
        <v>0.383701188455009</v>
      </c>
      <c r="I199" s="8" t="n">
        <v>0</v>
      </c>
      <c r="J199" s="8" t="n">
        <v>0</v>
      </c>
      <c r="K199" s="8" t="n">
        <f aca="false">I199+J199</f>
        <v>0</v>
      </c>
      <c r="L199" s="9" t="str">
        <f aca="false">IF(K199=0,"",I199/K199)</f>
        <v/>
      </c>
      <c r="M199" s="8" t="n">
        <f aca="false">IF(OR(A199=2020,A199=2024),1,0)</f>
        <v>1</v>
      </c>
    </row>
    <row r="200" customFormat="false" ht="15" hidden="false" customHeight="true" outlineLevel="0" collapsed="false">
      <c r="A200" s="8" t="n">
        <v>2022</v>
      </c>
      <c r="B200" s="8" t="s">
        <v>119</v>
      </c>
      <c r="C200" s="8" t="s">
        <v>99</v>
      </c>
      <c r="D200" s="8" t="n">
        <v>511</v>
      </c>
      <c r="E200" s="8" t="n">
        <v>778</v>
      </c>
      <c r="F200" s="8" t="n">
        <v>0</v>
      </c>
      <c r="G200" s="8" t="n">
        <f aca="false">D200+E200+F200</f>
        <v>1289</v>
      </c>
      <c r="H200" s="9" t="n">
        <f aca="false">D200/G200</f>
        <v>0.396431342125679</v>
      </c>
      <c r="I200" s="8" t="n">
        <v>579</v>
      </c>
      <c r="J200" s="8" t="n">
        <v>683</v>
      </c>
      <c r="K200" s="8" t="n">
        <f aca="false">I200+J200</f>
        <v>1262</v>
      </c>
      <c r="L200" s="9" t="n">
        <f aca="false">IF(K200=0,"",I200/K200)</f>
        <v>0.458795562599049</v>
      </c>
      <c r="M200" s="8" t="n">
        <f aca="false">IF(OR(A200=2020,A200=2024),1,0)</f>
        <v>0</v>
      </c>
    </row>
    <row r="201" customFormat="false" ht="15" hidden="false" customHeight="true" outlineLevel="0" collapsed="false">
      <c r="A201" s="8" t="n">
        <v>2024</v>
      </c>
      <c r="B201" s="8" t="s">
        <v>119</v>
      </c>
      <c r="C201" s="8" t="s">
        <v>99</v>
      </c>
      <c r="D201" s="8" t="n">
        <v>703</v>
      </c>
      <c r="E201" s="8" t="n">
        <v>1180</v>
      </c>
      <c r="F201" s="8" t="n">
        <v>0</v>
      </c>
      <c r="G201" s="8" t="n">
        <f aca="false">D201+E201+F201</f>
        <v>1883</v>
      </c>
      <c r="H201" s="9" t="n">
        <f aca="false">D201/G201</f>
        <v>0.373340414232608</v>
      </c>
      <c r="I201" s="8" t="n">
        <v>0</v>
      </c>
      <c r="J201" s="8" t="n">
        <v>0</v>
      </c>
      <c r="K201" s="8" t="n">
        <f aca="false">I201+J201</f>
        <v>0</v>
      </c>
      <c r="L201" s="9" t="str">
        <f aca="false">IF(K201=0,"",I201/K201)</f>
        <v/>
      </c>
      <c r="M201" s="8" t="n">
        <f aca="false">IF(OR(A201=2020,A201=2024),1,0)</f>
        <v>1</v>
      </c>
    </row>
    <row r="202" customFormat="false" ht="15" hidden="false" customHeight="true" outlineLevel="0" collapsed="false">
      <c r="A202" s="8" t="n">
        <v>2018</v>
      </c>
      <c r="B202" s="8" t="s">
        <v>120</v>
      </c>
      <c r="C202" s="8" t="s">
        <v>99</v>
      </c>
      <c r="D202" s="8" t="n">
        <v>1016</v>
      </c>
      <c r="E202" s="8" t="n">
        <v>1531</v>
      </c>
      <c r="F202" s="8" t="n">
        <v>91</v>
      </c>
      <c r="G202" s="8" t="n">
        <f aca="false">D202+E202+F202</f>
        <v>2638</v>
      </c>
      <c r="H202" s="9" t="n">
        <f aca="false">D202/G202</f>
        <v>0.385140257771039</v>
      </c>
      <c r="I202" s="8" t="n">
        <v>1176</v>
      </c>
      <c r="J202" s="8" t="n">
        <v>1444</v>
      </c>
      <c r="K202" s="8" t="n">
        <f aca="false">I202+J202</f>
        <v>2620</v>
      </c>
      <c r="L202" s="9" t="n">
        <f aca="false">IF(K202=0,"",I202/K202)</f>
        <v>0.448854961832061</v>
      </c>
      <c r="M202" s="8" t="n">
        <f aca="false">IF(OR(A202=2020,A202=2024),1,0)</f>
        <v>0</v>
      </c>
    </row>
    <row r="203" customFormat="false" ht="15" hidden="false" customHeight="true" outlineLevel="0" collapsed="false">
      <c r="A203" s="8" t="n">
        <v>2020</v>
      </c>
      <c r="B203" s="8" t="s">
        <v>120</v>
      </c>
      <c r="C203" s="8" t="s">
        <v>99</v>
      </c>
      <c r="D203" s="8" t="n">
        <v>1368</v>
      </c>
      <c r="E203" s="8" t="n">
        <v>2520</v>
      </c>
      <c r="F203" s="8" t="n">
        <v>0</v>
      </c>
      <c r="G203" s="8" t="n">
        <f aca="false">D203+E203+F203</f>
        <v>3888</v>
      </c>
      <c r="H203" s="9" t="n">
        <f aca="false">D203/G203</f>
        <v>0.351851851851852</v>
      </c>
      <c r="I203" s="8" t="n">
        <v>0</v>
      </c>
      <c r="J203" s="8" t="n">
        <v>0</v>
      </c>
      <c r="K203" s="8" t="n">
        <f aca="false">I203+J203</f>
        <v>0</v>
      </c>
      <c r="L203" s="9" t="str">
        <f aca="false">IF(K203=0,"",I203/K203)</f>
        <v/>
      </c>
      <c r="M203" s="8" t="n">
        <f aca="false">IF(OR(A203=2020,A203=2024),1,0)</f>
        <v>1</v>
      </c>
    </row>
    <row r="204" customFormat="false" ht="15" hidden="false" customHeight="true" outlineLevel="0" collapsed="false">
      <c r="A204" s="8" t="n">
        <v>2022</v>
      </c>
      <c r="B204" s="8" t="s">
        <v>120</v>
      </c>
      <c r="C204" s="8" t="s">
        <v>99</v>
      </c>
      <c r="D204" s="8" t="n">
        <v>1076</v>
      </c>
      <c r="E204" s="8" t="n">
        <v>1998</v>
      </c>
      <c r="F204" s="8" t="n">
        <v>0</v>
      </c>
      <c r="G204" s="8" t="n">
        <f aca="false">D204+E204+F204</f>
        <v>3074</v>
      </c>
      <c r="H204" s="9" t="n">
        <f aca="false">D204/G204</f>
        <v>0.350032530904359</v>
      </c>
      <c r="I204" s="8" t="n">
        <v>1227</v>
      </c>
      <c r="J204" s="8" t="n">
        <v>1787</v>
      </c>
      <c r="K204" s="8" t="n">
        <f aca="false">I204+J204</f>
        <v>3014</v>
      </c>
      <c r="L204" s="9" t="n">
        <f aca="false">IF(K204=0,"",I204/K204)</f>
        <v>0.407100199071002</v>
      </c>
      <c r="M204" s="8" t="n">
        <f aca="false">IF(OR(A204=2020,A204=2024),1,0)</f>
        <v>0</v>
      </c>
    </row>
    <row r="205" customFormat="false" ht="15" hidden="false" customHeight="true" outlineLevel="0" collapsed="false">
      <c r="A205" s="8" t="n">
        <v>2024</v>
      </c>
      <c r="B205" s="8" t="s">
        <v>120</v>
      </c>
      <c r="C205" s="8" t="s">
        <v>99</v>
      </c>
      <c r="D205" s="8" t="n">
        <v>1361</v>
      </c>
      <c r="E205" s="8" t="n">
        <v>2561</v>
      </c>
      <c r="F205" s="8" t="n">
        <v>0</v>
      </c>
      <c r="G205" s="8" t="n">
        <f aca="false">D205+E205+F205</f>
        <v>3922</v>
      </c>
      <c r="H205" s="9" t="n">
        <f aca="false">D205/G205</f>
        <v>0.347016828148904</v>
      </c>
      <c r="I205" s="8" t="n">
        <v>0</v>
      </c>
      <c r="J205" s="8" t="n">
        <v>0</v>
      </c>
      <c r="K205" s="8" t="n">
        <f aca="false">I205+J205</f>
        <v>0</v>
      </c>
      <c r="L205" s="9" t="str">
        <f aca="false">IF(K205=0,"",I205/K205)</f>
        <v/>
      </c>
      <c r="M205" s="8" t="n">
        <f aca="false">IF(OR(A205=2020,A205=2024),1,0)</f>
        <v>1</v>
      </c>
    </row>
    <row r="206" customFormat="false" ht="15" hidden="false" customHeight="true" outlineLevel="0" collapsed="false">
      <c r="A206" s="8" t="n">
        <v>2018</v>
      </c>
      <c r="B206" s="8" t="s">
        <v>121</v>
      </c>
      <c r="C206" s="8" t="s">
        <v>99</v>
      </c>
      <c r="D206" s="8" t="n">
        <v>62</v>
      </c>
      <c r="E206" s="8" t="n">
        <v>104</v>
      </c>
      <c r="F206" s="8" t="n">
        <v>3</v>
      </c>
      <c r="G206" s="8" t="n">
        <f aca="false">D206+E206+F206</f>
        <v>169</v>
      </c>
      <c r="H206" s="9" t="n">
        <f aca="false">D206/G206</f>
        <v>0.366863905325444</v>
      </c>
      <c r="I206" s="8" t="n">
        <v>70</v>
      </c>
      <c r="J206" s="8" t="n">
        <v>102</v>
      </c>
      <c r="K206" s="8" t="n">
        <f aca="false">I206+J206</f>
        <v>172</v>
      </c>
      <c r="L206" s="9" t="n">
        <f aca="false">IF(K206=0,"",I206/K206)</f>
        <v>0.406976744186047</v>
      </c>
      <c r="M206" s="8" t="n">
        <f aca="false">IF(OR(A206=2020,A206=2024),1,0)</f>
        <v>0</v>
      </c>
    </row>
    <row r="207" customFormat="false" ht="15" hidden="false" customHeight="true" outlineLevel="0" collapsed="false">
      <c r="A207" s="8" t="n">
        <v>2020</v>
      </c>
      <c r="B207" s="8" t="s">
        <v>121</v>
      </c>
      <c r="C207" s="8" t="s">
        <v>99</v>
      </c>
      <c r="D207" s="8" t="n">
        <v>82</v>
      </c>
      <c r="E207" s="8" t="n">
        <v>171</v>
      </c>
      <c r="F207" s="8" t="n">
        <v>0</v>
      </c>
      <c r="G207" s="8" t="n">
        <f aca="false">D207+E207+F207</f>
        <v>253</v>
      </c>
      <c r="H207" s="9" t="n">
        <f aca="false">D207/G207</f>
        <v>0.324110671936759</v>
      </c>
      <c r="I207" s="8" t="n">
        <v>0</v>
      </c>
      <c r="J207" s="8" t="n">
        <v>0</v>
      </c>
      <c r="K207" s="8" t="n">
        <f aca="false">I207+J207</f>
        <v>0</v>
      </c>
      <c r="L207" s="9" t="str">
        <f aca="false">IF(K207=0,"",I207/K207)</f>
        <v/>
      </c>
      <c r="M207" s="8" t="n">
        <f aca="false">IF(OR(A207=2020,A207=2024),1,0)</f>
        <v>1</v>
      </c>
    </row>
    <row r="208" customFormat="false" ht="15" hidden="false" customHeight="true" outlineLevel="0" collapsed="false">
      <c r="A208" s="8" t="n">
        <v>2022</v>
      </c>
      <c r="B208" s="8" t="s">
        <v>121</v>
      </c>
      <c r="C208" s="8" t="s">
        <v>99</v>
      </c>
      <c r="D208" s="8" t="n">
        <v>65</v>
      </c>
      <c r="E208" s="8" t="n">
        <v>129</v>
      </c>
      <c r="F208" s="8" t="n">
        <v>0</v>
      </c>
      <c r="G208" s="8" t="n">
        <f aca="false">D208+E208+F208</f>
        <v>194</v>
      </c>
      <c r="H208" s="9" t="n">
        <f aca="false">D208/G208</f>
        <v>0.335051546391753</v>
      </c>
      <c r="I208" s="8" t="n">
        <v>73</v>
      </c>
      <c r="J208" s="8" t="n">
        <v>118</v>
      </c>
      <c r="K208" s="8" t="n">
        <f aca="false">I208+J208</f>
        <v>191</v>
      </c>
      <c r="L208" s="9" t="n">
        <f aca="false">IF(K208=0,"",I208/K208)</f>
        <v>0.382198952879581</v>
      </c>
      <c r="M208" s="8" t="n">
        <f aca="false">IF(OR(A208=2020,A208=2024),1,0)</f>
        <v>0</v>
      </c>
    </row>
    <row r="209" customFormat="false" ht="15" hidden="false" customHeight="true" outlineLevel="0" collapsed="false">
      <c r="A209" s="8" t="n">
        <v>2024</v>
      </c>
      <c r="B209" s="8" t="s">
        <v>121</v>
      </c>
      <c r="C209" s="8" t="s">
        <v>99</v>
      </c>
      <c r="D209" s="8" t="n">
        <v>92</v>
      </c>
      <c r="E209" s="8" t="n">
        <v>167</v>
      </c>
      <c r="F209" s="8" t="n">
        <v>0</v>
      </c>
      <c r="G209" s="8" t="n">
        <f aca="false">D209+E209+F209</f>
        <v>259</v>
      </c>
      <c r="H209" s="9" t="n">
        <f aca="false">D209/G209</f>
        <v>0.355212355212355</v>
      </c>
      <c r="I209" s="8" t="n">
        <v>0</v>
      </c>
      <c r="J209" s="8" t="n">
        <v>0</v>
      </c>
      <c r="K209" s="8" t="n">
        <f aca="false">I209+J209</f>
        <v>0</v>
      </c>
      <c r="L209" s="9" t="str">
        <f aca="false">IF(K209=0,"",I209/K209)</f>
        <v/>
      </c>
      <c r="M209" s="8" t="n">
        <f aca="false">IF(OR(A209=2020,A209=2024),1,0)</f>
        <v>1</v>
      </c>
    </row>
    <row r="210" customFormat="false" ht="15" hidden="false" customHeight="true" outlineLevel="0" collapsed="false">
      <c r="A210" s="8" t="n">
        <v>2018</v>
      </c>
      <c r="B210" s="8" t="s">
        <v>122</v>
      </c>
      <c r="C210" s="8" t="s">
        <v>99</v>
      </c>
      <c r="D210" s="8" t="n">
        <v>243</v>
      </c>
      <c r="E210" s="8" t="n">
        <v>335</v>
      </c>
      <c r="F210" s="8" t="n">
        <v>13</v>
      </c>
      <c r="G210" s="8" t="n">
        <f aca="false">D210+E210+F210</f>
        <v>591</v>
      </c>
      <c r="H210" s="9" t="n">
        <f aca="false">D210/G210</f>
        <v>0.411167512690355</v>
      </c>
      <c r="I210" s="8" t="n">
        <v>284</v>
      </c>
      <c r="J210" s="8" t="n">
        <v>299</v>
      </c>
      <c r="K210" s="8" t="n">
        <f aca="false">I210+J210</f>
        <v>583</v>
      </c>
      <c r="L210" s="9" t="n">
        <f aca="false">IF(K210=0,"",I210/K210)</f>
        <v>0.487135506003431</v>
      </c>
      <c r="M210" s="8" t="n">
        <f aca="false">IF(OR(A210=2020,A210=2024),1,0)</f>
        <v>0</v>
      </c>
    </row>
    <row r="211" customFormat="false" ht="15" hidden="false" customHeight="true" outlineLevel="0" collapsed="false">
      <c r="A211" s="8" t="n">
        <v>2020</v>
      </c>
      <c r="B211" s="8" t="s">
        <v>122</v>
      </c>
      <c r="C211" s="8" t="s">
        <v>99</v>
      </c>
      <c r="D211" s="8" t="n">
        <v>331</v>
      </c>
      <c r="E211" s="8" t="n">
        <v>571</v>
      </c>
      <c r="F211" s="8" t="n">
        <v>0</v>
      </c>
      <c r="G211" s="8" t="n">
        <f aca="false">D211+E211+F211</f>
        <v>902</v>
      </c>
      <c r="H211" s="9" t="n">
        <f aca="false">D211/G211</f>
        <v>0.366962305986696</v>
      </c>
      <c r="I211" s="8" t="n">
        <v>0</v>
      </c>
      <c r="J211" s="8" t="n">
        <v>0</v>
      </c>
      <c r="K211" s="8" t="n">
        <f aca="false">I211+J211</f>
        <v>0</v>
      </c>
      <c r="L211" s="9" t="str">
        <f aca="false">IF(K211=0,"",I211/K211)</f>
        <v/>
      </c>
      <c r="M211" s="8" t="n">
        <f aca="false">IF(OR(A211=2020,A211=2024),1,0)</f>
        <v>1</v>
      </c>
    </row>
    <row r="212" customFormat="false" ht="15" hidden="false" customHeight="true" outlineLevel="0" collapsed="false">
      <c r="A212" s="8" t="n">
        <v>2022</v>
      </c>
      <c r="B212" s="8" t="s">
        <v>122</v>
      </c>
      <c r="C212" s="8" t="s">
        <v>99</v>
      </c>
      <c r="D212" s="8" t="n">
        <v>258</v>
      </c>
      <c r="E212" s="8" t="n">
        <v>418</v>
      </c>
      <c r="F212" s="8" t="n">
        <v>0</v>
      </c>
      <c r="G212" s="8" t="n">
        <f aca="false">D212+E212+F212</f>
        <v>676</v>
      </c>
      <c r="H212" s="9" t="n">
        <f aca="false">D212/G212</f>
        <v>0.381656804733728</v>
      </c>
      <c r="I212" s="8" t="n">
        <v>291</v>
      </c>
      <c r="J212" s="8" t="n">
        <v>367</v>
      </c>
      <c r="K212" s="8" t="n">
        <f aca="false">I212+J212</f>
        <v>658</v>
      </c>
      <c r="L212" s="9" t="n">
        <f aca="false">IF(K212=0,"",I212/K212)</f>
        <v>0.442249240121581</v>
      </c>
      <c r="M212" s="8" t="n">
        <f aca="false">IF(OR(A212=2020,A212=2024),1,0)</f>
        <v>0</v>
      </c>
    </row>
    <row r="213" customFormat="false" ht="15" hidden="false" customHeight="true" outlineLevel="0" collapsed="false">
      <c r="A213" s="8" t="n">
        <v>2024</v>
      </c>
      <c r="B213" s="8" t="s">
        <v>122</v>
      </c>
      <c r="C213" s="8" t="s">
        <v>99</v>
      </c>
      <c r="D213" s="8" t="n">
        <v>335</v>
      </c>
      <c r="E213" s="8" t="n">
        <v>581</v>
      </c>
      <c r="F213" s="8" t="n">
        <v>0</v>
      </c>
      <c r="G213" s="8" t="n">
        <f aca="false">D213+E213+F213</f>
        <v>916</v>
      </c>
      <c r="H213" s="9" t="n">
        <f aca="false">D213/G213</f>
        <v>0.365720524017467</v>
      </c>
      <c r="I213" s="8" t="n">
        <v>0</v>
      </c>
      <c r="J213" s="8" t="n">
        <v>0</v>
      </c>
      <c r="K213" s="8" t="n">
        <f aca="false">I213+J213</f>
        <v>0</v>
      </c>
      <c r="L213" s="9" t="str">
        <f aca="false">IF(K213=0,"",I213/K213)</f>
        <v/>
      </c>
      <c r="M213" s="8" t="n">
        <f aca="false">IF(OR(A213=2020,A213=2024),1,0)</f>
        <v>1</v>
      </c>
    </row>
    <row r="214" customFormat="false" ht="15" hidden="false" customHeight="true" outlineLevel="0" collapsed="false">
      <c r="A214" s="8" t="n">
        <v>2018</v>
      </c>
      <c r="B214" s="8" t="s">
        <v>123</v>
      </c>
      <c r="C214" s="8" t="s">
        <v>99</v>
      </c>
      <c r="D214" s="8" t="n">
        <v>142</v>
      </c>
      <c r="E214" s="8" t="n">
        <v>172</v>
      </c>
      <c r="F214" s="8" t="n">
        <v>13</v>
      </c>
      <c r="G214" s="8" t="n">
        <f aca="false">D214+E214+F214</f>
        <v>327</v>
      </c>
      <c r="H214" s="9" t="n">
        <f aca="false">D214/G214</f>
        <v>0.434250764525994</v>
      </c>
      <c r="I214" s="8" t="n">
        <v>171</v>
      </c>
      <c r="J214" s="8" t="n">
        <v>149</v>
      </c>
      <c r="K214" s="8" t="n">
        <f aca="false">I214+J214</f>
        <v>320</v>
      </c>
      <c r="L214" s="9" t="n">
        <f aca="false">IF(K214=0,"",I214/K214)</f>
        <v>0.534375</v>
      </c>
      <c r="M214" s="8" t="n">
        <f aca="false">IF(OR(A214=2020,A214=2024),1,0)</f>
        <v>0</v>
      </c>
    </row>
    <row r="215" customFormat="false" ht="15" hidden="false" customHeight="true" outlineLevel="0" collapsed="false">
      <c r="A215" s="8" t="n">
        <v>2020</v>
      </c>
      <c r="B215" s="8" t="s">
        <v>123</v>
      </c>
      <c r="C215" s="8" t="s">
        <v>99</v>
      </c>
      <c r="D215" s="8" t="n">
        <v>212</v>
      </c>
      <c r="E215" s="8" t="n">
        <v>308</v>
      </c>
      <c r="F215" s="8" t="n">
        <v>0</v>
      </c>
      <c r="G215" s="8" t="n">
        <f aca="false">D215+E215+F215</f>
        <v>520</v>
      </c>
      <c r="H215" s="9" t="n">
        <f aca="false">D215/G215</f>
        <v>0.407692307692308</v>
      </c>
      <c r="I215" s="8" t="n">
        <v>0</v>
      </c>
      <c r="J215" s="8" t="n">
        <v>0</v>
      </c>
      <c r="K215" s="8" t="n">
        <f aca="false">I215+J215</f>
        <v>0</v>
      </c>
      <c r="L215" s="9" t="str">
        <f aca="false">IF(K215=0,"",I215/K215)</f>
        <v/>
      </c>
      <c r="M215" s="8" t="n">
        <f aca="false">IF(OR(A215=2020,A215=2024),1,0)</f>
        <v>1</v>
      </c>
    </row>
    <row r="216" customFormat="false" ht="15" hidden="false" customHeight="true" outlineLevel="0" collapsed="false">
      <c r="A216" s="8" t="n">
        <v>2022</v>
      </c>
      <c r="B216" s="8" t="s">
        <v>123</v>
      </c>
      <c r="C216" s="8" t="s">
        <v>99</v>
      </c>
      <c r="D216" s="8" t="n">
        <v>160</v>
      </c>
      <c r="E216" s="8" t="n">
        <v>227</v>
      </c>
      <c r="F216" s="8" t="n">
        <v>0</v>
      </c>
      <c r="G216" s="8" t="n">
        <f aca="false">D216+E216+F216</f>
        <v>387</v>
      </c>
      <c r="H216" s="9" t="n">
        <f aca="false">D216/G216</f>
        <v>0.41343669250646</v>
      </c>
      <c r="I216" s="8" t="n">
        <v>181</v>
      </c>
      <c r="J216" s="8" t="n">
        <v>200</v>
      </c>
      <c r="K216" s="8" t="n">
        <f aca="false">I216+J216</f>
        <v>381</v>
      </c>
      <c r="L216" s="9" t="n">
        <f aca="false">IF(K216=0,"",I216/K216)</f>
        <v>0.4750656167979</v>
      </c>
      <c r="M216" s="8" t="n">
        <f aca="false">IF(OR(A216=2020,A216=2024),1,0)</f>
        <v>0</v>
      </c>
    </row>
    <row r="217" customFormat="false" ht="15" hidden="false" customHeight="true" outlineLevel="0" collapsed="false">
      <c r="A217" s="8" t="n">
        <v>2024</v>
      </c>
      <c r="B217" s="8" t="s">
        <v>123</v>
      </c>
      <c r="C217" s="8" t="s">
        <v>99</v>
      </c>
      <c r="D217" s="8" t="n">
        <v>210</v>
      </c>
      <c r="E217" s="8" t="n">
        <v>309</v>
      </c>
      <c r="F217" s="8" t="n">
        <v>0</v>
      </c>
      <c r="G217" s="8" t="n">
        <f aca="false">D217+E217+F217</f>
        <v>519</v>
      </c>
      <c r="H217" s="9" t="n">
        <f aca="false">D217/G217</f>
        <v>0.404624277456647</v>
      </c>
      <c r="I217" s="8" t="n">
        <v>0</v>
      </c>
      <c r="J217" s="8" t="n">
        <v>0</v>
      </c>
      <c r="K217" s="8" t="n">
        <f aca="false">I217+J217</f>
        <v>0</v>
      </c>
      <c r="L217" s="9" t="str">
        <f aca="false">IF(K217=0,"",I217/K217)</f>
        <v/>
      </c>
      <c r="M217" s="8" t="n">
        <f aca="false">IF(OR(A217=2020,A217=2024),1,0)</f>
        <v>1</v>
      </c>
    </row>
    <row r="218" customFormat="false" ht="15" hidden="false" customHeight="true" outlineLevel="0" collapsed="false">
      <c r="A218" s="8" t="n">
        <v>2018</v>
      </c>
      <c r="B218" s="8" t="s">
        <v>124</v>
      </c>
      <c r="C218" s="8" t="s">
        <v>99</v>
      </c>
      <c r="D218" s="8" t="n">
        <v>192</v>
      </c>
      <c r="E218" s="8" t="n">
        <v>253</v>
      </c>
      <c r="F218" s="8" t="n">
        <v>11</v>
      </c>
      <c r="G218" s="8" t="n">
        <f aca="false">D218+E218+F218</f>
        <v>456</v>
      </c>
      <c r="H218" s="9" t="n">
        <f aca="false">D218/G218</f>
        <v>0.421052631578947</v>
      </c>
      <c r="I218" s="8" t="n">
        <v>233</v>
      </c>
      <c r="J218" s="8" t="n">
        <v>221</v>
      </c>
      <c r="K218" s="8" t="n">
        <f aca="false">I218+J218</f>
        <v>454</v>
      </c>
      <c r="L218" s="9" t="n">
        <f aca="false">IF(K218=0,"",I218/K218)</f>
        <v>0.513215859030837</v>
      </c>
      <c r="M218" s="8" t="n">
        <f aca="false">IF(OR(A218=2020,A218=2024),1,0)</f>
        <v>0</v>
      </c>
    </row>
    <row r="219" customFormat="false" ht="15" hidden="false" customHeight="true" outlineLevel="0" collapsed="false">
      <c r="A219" s="8" t="n">
        <v>2020</v>
      </c>
      <c r="B219" s="8" t="s">
        <v>124</v>
      </c>
      <c r="C219" s="8" t="s">
        <v>99</v>
      </c>
      <c r="D219" s="8" t="n">
        <v>272</v>
      </c>
      <c r="E219" s="8" t="n">
        <v>400</v>
      </c>
      <c r="F219" s="8" t="n">
        <v>0</v>
      </c>
      <c r="G219" s="8" t="n">
        <f aca="false">D219+E219+F219</f>
        <v>672</v>
      </c>
      <c r="H219" s="9" t="n">
        <f aca="false">D219/G219</f>
        <v>0.404761904761905</v>
      </c>
      <c r="I219" s="8" t="n">
        <v>0</v>
      </c>
      <c r="J219" s="8" t="n">
        <v>0</v>
      </c>
      <c r="K219" s="8" t="n">
        <f aca="false">I219+J219</f>
        <v>0</v>
      </c>
      <c r="L219" s="9" t="str">
        <f aca="false">IF(K219=0,"",I219/K219)</f>
        <v/>
      </c>
      <c r="M219" s="8" t="n">
        <f aca="false">IF(OR(A219=2020,A219=2024),1,0)</f>
        <v>1</v>
      </c>
    </row>
    <row r="220" customFormat="false" ht="15" hidden="false" customHeight="true" outlineLevel="0" collapsed="false">
      <c r="A220" s="8" t="n">
        <v>2022</v>
      </c>
      <c r="B220" s="8" t="s">
        <v>124</v>
      </c>
      <c r="C220" s="8" t="s">
        <v>99</v>
      </c>
      <c r="D220" s="8" t="n">
        <v>243</v>
      </c>
      <c r="E220" s="8" t="n">
        <v>318</v>
      </c>
      <c r="F220" s="8" t="n">
        <v>0</v>
      </c>
      <c r="G220" s="8" t="n">
        <f aca="false">D220+E220+F220</f>
        <v>561</v>
      </c>
      <c r="H220" s="9" t="n">
        <f aca="false">D220/G220</f>
        <v>0.433155080213904</v>
      </c>
      <c r="I220" s="8" t="n">
        <v>279</v>
      </c>
      <c r="J220" s="8" t="n">
        <v>275</v>
      </c>
      <c r="K220" s="8" t="n">
        <f aca="false">I220+J220</f>
        <v>554</v>
      </c>
      <c r="L220" s="9" t="n">
        <f aca="false">IF(K220=0,"",I220/K220)</f>
        <v>0.503610108303249</v>
      </c>
      <c r="M220" s="8" t="n">
        <f aca="false">IF(OR(A220=2020,A220=2024),1,0)</f>
        <v>0</v>
      </c>
    </row>
    <row r="221" customFormat="false" ht="15" hidden="false" customHeight="true" outlineLevel="0" collapsed="false">
      <c r="A221" s="8" t="n">
        <v>2024</v>
      </c>
      <c r="B221" s="8" t="s">
        <v>124</v>
      </c>
      <c r="C221" s="8" t="s">
        <v>99</v>
      </c>
      <c r="D221" s="8" t="n">
        <v>331</v>
      </c>
      <c r="E221" s="8" t="n">
        <v>458</v>
      </c>
      <c r="F221" s="8" t="n">
        <v>0</v>
      </c>
      <c r="G221" s="8" t="n">
        <f aca="false">D221+E221+F221</f>
        <v>789</v>
      </c>
      <c r="H221" s="9" t="n">
        <f aca="false">D221/G221</f>
        <v>0.419518377693283</v>
      </c>
      <c r="I221" s="8" t="n">
        <v>0</v>
      </c>
      <c r="J221" s="8" t="n">
        <v>0</v>
      </c>
      <c r="K221" s="8" t="n">
        <f aca="false">I221+J221</f>
        <v>0</v>
      </c>
      <c r="L221" s="9" t="str">
        <f aca="false">IF(K221=0,"",I221/K221)</f>
        <v/>
      </c>
      <c r="M221" s="8" t="n">
        <f aca="false">IF(OR(A221=2020,A221=2024),1,0)</f>
        <v>1</v>
      </c>
    </row>
    <row r="222" customFormat="false" ht="15" hidden="false" customHeight="true" outlineLevel="0" collapsed="false">
      <c r="A222" s="8" t="n">
        <v>2018</v>
      </c>
      <c r="B222" s="8" t="s">
        <v>125</v>
      </c>
      <c r="C222" s="8" t="s">
        <v>99</v>
      </c>
      <c r="D222" s="8" t="n">
        <v>967</v>
      </c>
      <c r="E222" s="8" t="n">
        <v>1709</v>
      </c>
      <c r="F222" s="8" t="n">
        <v>41</v>
      </c>
      <c r="G222" s="8" t="n">
        <f aca="false">D222+E222+F222</f>
        <v>2717</v>
      </c>
      <c r="H222" s="9" t="n">
        <f aca="false">D222/G222</f>
        <v>0.355907250644093</v>
      </c>
      <c r="I222" s="8" t="n">
        <v>1077</v>
      </c>
      <c r="J222" s="8" t="n">
        <v>1628</v>
      </c>
      <c r="K222" s="8" t="n">
        <f aca="false">I222+J222</f>
        <v>2705</v>
      </c>
      <c r="L222" s="9" t="n">
        <f aca="false">IF(K222=0,"",I222/K222)</f>
        <v>0.39815157116451</v>
      </c>
      <c r="M222" s="8" t="n">
        <f aca="false">IF(OR(A222=2020,A222=2024),1,0)</f>
        <v>0</v>
      </c>
    </row>
    <row r="223" customFormat="false" ht="15" hidden="false" customHeight="true" outlineLevel="0" collapsed="false">
      <c r="A223" s="8" t="n">
        <v>2020</v>
      </c>
      <c r="B223" s="8" t="s">
        <v>125</v>
      </c>
      <c r="C223" s="8" t="s">
        <v>99</v>
      </c>
      <c r="D223" s="8" t="n">
        <v>1207</v>
      </c>
      <c r="E223" s="8" t="n">
        <v>2604</v>
      </c>
      <c r="F223" s="8" t="n">
        <v>0</v>
      </c>
      <c r="G223" s="8" t="n">
        <f aca="false">D223+E223+F223</f>
        <v>3811</v>
      </c>
      <c r="H223" s="9" t="n">
        <f aca="false">D223/G223</f>
        <v>0.316714773025453</v>
      </c>
      <c r="I223" s="8" t="n">
        <v>0</v>
      </c>
      <c r="J223" s="8" t="n">
        <v>0</v>
      </c>
      <c r="K223" s="8" t="n">
        <f aca="false">I223+J223</f>
        <v>0</v>
      </c>
      <c r="L223" s="9" t="str">
        <f aca="false">IF(K223=0,"",I223/K223)</f>
        <v/>
      </c>
      <c r="M223" s="8" t="n">
        <f aca="false">IF(OR(A223=2020,A223=2024),1,0)</f>
        <v>1</v>
      </c>
    </row>
    <row r="224" customFormat="false" ht="15" hidden="false" customHeight="true" outlineLevel="0" collapsed="false">
      <c r="A224" s="8" t="n">
        <v>2022</v>
      </c>
      <c r="B224" s="8" t="s">
        <v>125</v>
      </c>
      <c r="C224" s="8" t="s">
        <v>99</v>
      </c>
      <c r="D224" s="8" t="n">
        <v>1030</v>
      </c>
      <c r="E224" s="8" t="n">
        <v>2095</v>
      </c>
      <c r="F224" s="8" t="n">
        <v>0</v>
      </c>
      <c r="G224" s="8" t="n">
        <f aca="false">D224+E224+F224</f>
        <v>3125</v>
      </c>
      <c r="H224" s="9" t="n">
        <f aca="false">D224/G224</f>
        <v>0.3296</v>
      </c>
      <c r="I224" s="8" t="n">
        <v>1162</v>
      </c>
      <c r="J224" s="8" t="n">
        <v>1912</v>
      </c>
      <c r="K224" s="8" t="n">
        <f aca="false">I224+J224</f>
        <v>3074</v>
      </c>
      <c r="L224" s="9" t="n">
        <f aca="false">IF(K224=0,"",I224/K224)</f>
        <v>0.378009108653221</v>
      </c>
      <c r="M224" s="8" t="n">
        <f aca="false">IF(OR(A224=2020,A224=2024),1,0)</f>
        <v>0</v>
      </c>
    </row>
    <row r="225" customFormat="false" ht="15" hidden="false" customHeight="true" outlineLevel="0" collapsed="false">
      <c r="A225" s="8" t="n">
        <v>2024</v>
      </c>
      <c r="B225" s="8" t="s">
        <v>125</v>
      </c>
      <c r="C225" s="8" t="s">
        <v>99</v>
      </c>
      <c r="D225" s="8" t="n">
        <v>1242</v>
      </c>
      <c r="E225" s="8" t="n">
        <v>2716</v>
      </c>
      <c r="F225" s="8" t="n">
        <v>0</v>
      </c>
      <c r="G225" s="8" t="n">
        <f aca="false">D225+E225+F225</f>
        <v>3958</v>
      </c>
      <c r="H225" s="9" t="n">
        <f aca="false">D225/G225</f>
        <v>0.313794845881759</v>
      </c>
      <c r="I225" s="8" t="n">
        <v>0</v>
      </c>
      <c r="J225" s="8" t="n">
        <v>0</v>
      </c>
      <c r="K225" s="8" t="n">
        <f aca="false">I225+J225</f>
        <v>0</v>
      </c>
      <c r="L225" s="9" t="str">
        <f aca="false">IF(K225=0,"",I225/K225)</f>
        <v/>
      </c>
      <c r="M225" s="8" t="n">
        <f aca="false">IF(OR(A225=2020,A225=2024),1,0)</f>
        <v>1</v>
      </c>
    </row>
    <row r="226" customFormat="false" ht="15" hidden="false" customHeight="true" outlineLevel="0" collapsed="false">
      <c r="A226" s="8" t="n">
        <v>2018</v>
      </c>
      <c r="B226" s="8" t="s">
        <v>126</v>
      </c>
      <c r="C226" s="8" t="s">
        <v>99</v>
      </c>
      <c r="D226" s="8" t="n">
        <v>1261</v>
      </c>
      <c r="E226" s="8" t="n">
        <v>1262</v>
      </c>
      <c r="F226" s="8" t="n">
        <v>78</v>
      </c>
      <c r="G226" s="8" t="n">
        <f aca="false">D226+E226+F226</f>
        <v>2601</v>
      </c>
      <c r="H226" s="9" t="n">
        <f aca="false">D226/G226</f>
        <v>0.48481353325644</v>
      </c>
      <c r="I226" s="8" t="n">
        <v>1455</v>
      </c>
      <c r="J226" s="8" t="n">
        <v>1132</v>
      </c>
      <c r="K226" s="8" t="n">
        <f aca="false">I226+J226</f>
        <v>2587</v>
      </c>
      <c r="L226" s="9" t="n">
        <f aca="false">IF(K226=0,"",I226/K226)</f>
        <v>0.562427522226517</v>
      </c>
      <c r="M226" s="8" t="n">
        <f aca="false">IF(OR(A226=2020,A226=2024),1,0)</f>
        <v>0</v>
      </c>
    </row>
    <row r="227" customFormat="false" ht="15" hidden="false" customHeight="true" outlineLevel="0" collapsed="false">
      <c r="A227" s="8" t="n">
        <v>2020</v>
      </c>
      <c r="B227" s="8" t="s">
        <v>126</v>
      </c>
      <c r="C227" s="8" t="s">
        <v>99</v>
      </c>
      <c r="D227" s="8" t="n">
        <v>1838</v>
      </c>
      <c r="E227" s="8" t="n">
        <v>2112</v>
      </c>
      <c r="F227" s="8" t="n">
        <v>0</v>
      </c>
      <c r="G227" s="8" t="n">
        <f aca="false">D227+E227+F227</f>
        <v>3950</v>
      </c>
      <c r="H227" s="9" t="n">
        <f aca="false">D227/G227</f>
        <v>0.465316455696203</v>
      </c>
      <c r="I227" s="8" t="n">
        <v>0</v>
      </c>
      <c r="J227" s="8" t="n">
        <v>0</v>
      </c>
      <c r="K227" s="8" t="n">
        <f aca="false">I227+J227</f>
        <v>0</v>
      </c>
      <c r="L227" s="9" t="str">
        <f aca="false">IF(K227=0,"",I227/K227)</f>
        <v/>
      </c>
      <c r="M227" s="8" t="n">
        <f aca="false">IF(OR(A227=2020,A227=2024),1,0)</f>
        <v>1</v>
      </c>
    </row>
    <row r="228" customFormat="false" ht="15" hidden="false" customHeight="true" outlineLevel="0" collapsed="false">
      <c r="A228" s="8" t="n">
        <v>2022</v>
      </c>
      <c r="B228" s="8" t="s">
        <v>126</v>
      </c>
      <c r="C228" s="8" t="s">
        <v>99</v>
      </c>
      <c r="D228" s="8" t="n">
        <v>1575</v>
      </c>
      <c r="E228" s="8" t="n">
        <v>1588</v>
      </c>
      <c r="F228" s="8" t="n">
        <v>0</v>
      </c>
      <c r="G228" s="8" t="n">
        <f aca="false">D228+E228+F228</f>
        <v>3163</v>
      </c>
      <c r="H228" s="9" t="n">
        <f aca="false">D228/G228</f>
        <v>0.497944988934556</v>
      </c>
      <c r="I228" s="8" t="n">
        <v>1742</v>
      </c>
      <c r="J228" s="8" t="n">
        <v>1355</v>
      </c>
      <c r="K228" s="8" t="n">
        <f aca="false">I228+J228</f>
        <v>3097</v>
      </c>
      <c r="L228" s="9" t="n">
        <f aca="false">IF(K228=0,"",I228/K228)</f>
        <v>0.562479819179852</v>
      </c>
      <c r="M228" s="8" t="n">
        <f aca="false">IF(OR(A228=2020,A228=2024),1,0)</f>
        <v>0</v>
      </c>
    </row>
    <row r="229" customFormat="false" ht="15" hidden="false" customHeight="true" outlineLevel="0" collapsed="false">
      <c r="A229" s="8" t="n">
        <v>2024</v>
      </c>
      <c r="B229" s="8" t="s">
        <v>126</v>
      </c>
      <c r="C229" s="8" t="s">
        <v>99</v>
      </c>
      <c r="D229" s="8" t="n">
        <v>1964</v>
      </c>
      <c r="E229" s="8" t="n">
        <v>2147</v>
      </c>
      <c r="F229" s="8" t="n">
        <v>0</v>
      </c>
      <c r="G229" s="8" t="n">
        <f aca="false">D229+E229+F229</f>
        <v>4111</v>
      </c>
      <c r="H229" s="9" t="n">
        <f aca="false">D229/G229</f>
        <v>0.477742641693019</v>
      </c>
      <c r="I229" s="8" t="n">
        <v>0</v>
      </c>
      <c r="J229" s="8" t="n">
        <v>0</v>
      </c>
      <c r="K229" s="8" t="n">
        <f aca="false">I229+J229</f>
        <v>0</v>
      </c>
      <c r="L229" s="9" t="str">
        <f aca="false">IF(K229=0,"",I229/K229)</f>
        <v/>
      </c>
      <c r="M229" s="8" t="n">
        <f aca="false">IF(OR(A229=2020,A229=2024),1,0)</f>
        <v>1</v>
      </c>
    </row>
    <row r="230" customFormat="false" ht="15" hidden="false" customHeight="true" outlineLevel="0" collapsed="false">
      <c r="A230" s="8" t="n">
        <v>2018</v>
      </c>
      <c r="B230" s="8" t="s">
        <v>127</v>
      </c>
      <c r="C230" s="8" t="s">
        <v>99</v>
      </c>
      <c r="D230" s="8" t="n">
        <v>250</v>
      </c>
      <c r="E230" s="8" t="n">
        <v>344</v>
      </c>
      <c r="F230" s="8" t="n">
        <v>24</v>
      </c>
      <c r="G230" s="8" t="n">
        <f aca="false">D230+E230+F230</f>
        <v>618</v>
      </c>
      <c r="H230" s="9" t="n">
        <f aca="false">D230/G230</f>
        <v>0.40453074433657</v>
      </c>
      <c r="I230" s="8" t="n">
        <v>300</v>
      </c>
      <c r="J230" s="8" t="n">
        <v>300</v>
      </c>
      <c r="K230" s="8" t="n">
        <f aca="false">I230+J230</f>
        <v>600</v>
      </c>
      <c r="L230" s="9" t="n">
        <f aca="false">IF(K230=0,"",I230/K230)</f>
        <v>0.5</v>
      </c>
      <c r="M230" s="8" t="n">
        <f aca="false">IF(OR(A230=2020,A230=2024),1,0)</f>
        <v>0</v>
      </c>
    </row>
    <row r="231" customFormat="false" ht="15" hidden="false" customHeight="true" outlineLevel="0" collapsed="false">
      <c r="A231" s="8" t="n">
        <v>2020</v>
      </c>
      <c r="B231" s="8" t="s">
        <v>127</v>
      </c>
      <c r="C231" s="8" t="s">
        <v>99</v>
      </c>
      <c r="D231" s="8" t="n">
        <v>379</v>
      </c>
      <c r="E231" s="8" t="n">
        <v>605</v>
      </c>
      <c r="F231" s="8" t="n">
        <v>0</v>
      </c>
      <c r="G231" s="8" t="n">
        <f aca="false">D231+E231+F231</f>
        <v>984</v>
      </c>
      <c r="H231" s="9" t="n">
        <f aca="false">D231/G231</f>
        <v>0.385162601626016</v>
      </c>
      <c r="I231" s="8" t="n">
        <v>0</v>
      </c>
      <c r="J231" s="8" t="n">
        <v>0</v>
      </c>
      <c r="K231" s="8" t="n">
        <f aca="false">I231+J231</f>
        <v>0</v>
      </c>
      <c r="L231" s="9" t="str">
        <f aca="false">IF(K231=0,"",I231/K231)</f>
        <v/>
      </c>
      <c r="M231" s="8" t="n">
        <f aca="false">IF(OR(A231=2020,A231=2024),1,0)</f>
        <v>1</v>
      </c>
    </row>
    <row r="232" customFormat="false" ht="15" hidden="false" customHeight="true" outlineLevel="0" collapsed="false">
      <c r="A232" s="8" t="n">
        <v>2022</v>
      </c>
      <c r="B232" s="8" t="s">
        <v>127</v>
      </c>
      <c r="C232" s="8" t="s">
        <v>99</v>
      </c>
      <c r="D232" s="8" t="n">
        <v>305</v>
      </c>
      <c r="E232" s="8" t="n">
        <v>419</v>
      </c>
      <c r="F232" s="8" t="n">
        <v>0</v>
      </c>
      <c r="G232" s="8" t="n">
        <f aca="false">D232+E232+F232</f>
        <v>724</v>
      </c>
      <c r="H232" s="9" t="n">
        <f aca="false">D232/G232</f>
        <v>0.421270718232044</v>
      </c>
      <c r="I232" s="8" t="n">
        <v>350</v>
      </c>
      <c r="J232" s="8" t="n">
        <v>349</v>
      </c>
      <c r="K232" s="8" t="n">
        <f aca="false">I232+J232</f>
        <v>699</v>
      </c>
      <c r="L232" s="9" t="n">
        <f aca="false">IF(K232=0,"",I232/K232)</f>
        <v>0.50071530758226</v>
      </c>
      <c r="M232" s="8" t="n">
        <f aca="false">IF(OR(A232=2020,A232=2024),1,0)</f>
        <v>0</v>
      </c>
    </row>
    <row r="233" customFormat="false" ht="15" hidden="false" customHeight="true" outlineLevel="0" collapsed="false">
      <c r="A233" s="8" t="n">
        <v>2024</v>
      </c>
      <c r="B233" s="8" t="s">
        <v>127</v>
      </c>
      <c r="C233" s="8" t="s">
        <v>99</v>
      </c>
      <c r="D233" s="8" t="n">
        <v>416</v>
      </c>
      <c r="E233" s="8" t="n">
        <v>658</v>
      </c>
      <c r="F233" s="8" t="n">
        <v>0</v>
      </c>
      <c r="G233" s="8" t="n">
        <f aca="false">D233+E233+F233</f>
        <v>1074</v>
      </c>
      <c r="H233" s="9" t="n">
        <f aca="false">D233/G233</f>
        <v>0.387337057728119</v>
      </c>
      <c r="I233" s="8" t="n">
        <v>0</v>
      </c>
      <c r="J233" s="8" t="n">
        <v>0</v>
      </c>
      <c r="K233" s="8" t="n">
        <f aca="false">I233+J233</f>
        <v>0</v>
      </c>
      <c r="L233" s="9" t="str">
        <f aca="false">IF(K233=0,"",I233/K233)</f>
        <v/>
      </c>
      <c r="M233" s="8" t="n">
        <f aca="false">IF(OR(A233=2020,A233=2024),1,0)</f>
        <v>1</v>
      </c>
    </row>
    <row r="234" customFormat="false" ht="15" hidden="false" customHeight="true" outlineLevel="0" collapsed="false">
      <c r="A234" s="8" t="n">
        <v>2018</v>
      </c>
      <c r="B234" s="8" t="s">
        <v>95</v>
      </c>
      <c r="C234" s="8" t="s">
        <v>99</v>
      </c>
      <c r="D234" s="8" t="n">
        <v>724</v>
      </c>
      <c r="E234" s="8" t="n">
        <v>1138</v>
      </c>
      <c r="F234" s="8" t="n">
        <v>52</v>
      </c>
      <c r="G234" s="8" t="n">
        <f aca="false">D234+E234+F234</f>
        <v>1914</v>
      </c>
      <c r="H234" s="9" t="n">
        <f aca="false">D234/G234</f>
        <v>0.378265412748171</v>
      </c>
      <c r="I234" s="8" t="n">
        <v>842</v>
      </c>
      <c r="J234" s="8" t="n">
        <v>1070</v>
      </c>
      <c r="K234" s="8" t="n">
        <f aca="false">I234+J234</f>
        <v>1912</v>
      </c>
      <c r="L234" s="9" t="n">
        <f aca="false">IF(K234=0,"",I234/K234)</f>
        <v>0.440376569037657</v>
      </c>
      <c r="M234" s="8" t="n">
        <f aca="false">IF(OR(A234=2020,A234=2024),1,0)</f>
        <v>0</v>
      </c>
    </row>
    <row r="235" customFormat="false" ht="15" hidden="false" customHeight="true" outlineLevel="0" collapsed="false">
      <c r="A235" s="8" t="n">
        <v>2020</v>
      </c>
      <c r="B235" s="8" t="s">
        <v>95</v>
      </c>
      <c r="C235" s="8" t="s">
        <v>99</v>
      </c>
      <c r="D235" s="8" t="n">
        <v>1032</v>
      </c>
      <c r="E235" s="8" t="n">
        <v>1971</v>
      </c>
      <c r="F235" s="8" t="n">
        <v>0</v>
      </c>
      <c r="G235" s="8" t="n">
        <f aca="false">D235+E235+F235</f>
        <v>3003</v>
      </c>
      <c r="H235" s="9" t="n">
        <f aca="false">D235/G235</f>
        <v>0.343656343656344</v>
      </c>
      <c r="I235" s="8" t="n">
        <v>0</v>
      </c>
      <c r="J235" s="8" t="n">
        <v>0</v>
      </c>
      <c r="K235" s="8" t="n">
        <f aca="false">I235+J235</f>
        <v>0</v>
      </c>
      <c r="L235" s="9" t="str">
        <f aca="false">IF(K235=0,"",I235/K235)</f>
        <v/>
      </c>
      <c r="M235" s="8" t="n">
        <f aca="false">IF(OR(A235=2020,A235=2024),1,0)</f>
        <v>1</v>
      </c>
    </row>
    <row r="236" customFormat="false" ht="15" hidden="false" customHeight="true" outlineLevel="0" collapsed="false">
      <c r="A236" s="8" t="n">
        <v>2022</v>
      </c>
      <c r="B236" s="8" t="s">
        <v>95</v>
      </c>
      <c r="C236" s="8" t="s">
        <v>99</v>
      </c>
      <c r="D236" s="8" t="n">
        <v>840</v>
      </c>
      <c r="E236" s="8" t="n">
        <v>1533</v>
      </c>
      <c r="F236" s="8" t="n">
        <v>0</v>
      </c>
      <c r="G236" s="8" t="n">
        <f aca="false">D236+E236+F236</f>
        <v>2373</v>
      </c>
      <c r="H236" s="9" t="n">
        <f aca="false">D236/G236</f>
        <v>0.353982300884956</v>
      </c>
      <c r="I236" s="8" t="n">
        <v>967</v>
      </c>
      <c r="J236" s="8" t="n">
        <v>1367</v>
      </c>
      <c r="K236" s="8" t="n">
        <f aca="false">I236+J236</f>
        <v>2334</v>
      </c>
      <c r="L236" s="9" t="n">
        <f aca="false">IF(K236=0,"",I236/K236)</f>
        <v>0.414310197086547</v>
      </c>
      <c r="M236" s="8" t="n">
        <f aca="false">IF(OR(A236=2020,A236=2024),1,0)</f>
        <v>0</v>
      </c>
    </row>
    <row r="237" customFormat="false" ht="15" hidden="false" customHeight="true" outlineLevel="0" collapsed="false">
      <c r="A237" s="8" t="n">
        <v>2024</v>
      </c>
      <c r="B237" s="8" t="s">
        <v>95</v>
      </c>
      <c r="C237" s="8" t="s">
        <v>99</v>
      </c>
      <c r="D237" s="8" t="n">
        <v>1041</v>
      </c>
      <c r="E237" s="8" t="n">
        <v>2088</v>
      </c>
      <c r="F237" s="8" t="n">
        <v>0</v>
      </c>
      <c r="G237" s="8" t="n">
        <f aca="false">D237+E237+F237</f>
        <v>3129</v>
      </c>
      <c r="H237" s="9" t="n">
        <f aca="false">D237/G237</f>
        <v>0.332694151486098</v>
      </c>
      <c r="I237" s="8" t="n">
        <v>0</v>
      </c>
      <c r="J237" s="8" t="n">
        <v>0</v>
      </c>
      <c r="K237" s="8" t="n">
        <f aca="false">I237+J237</f>
        <v>0</v>
      </c>
      <c r="L237" s="9" t="str">
        <f aca="false">IF(K237=0,"",I237/K237)</f>
        <v/>
      </c>
      <c r="M237" s="8" t="n">
        <f aca="false">IF(OR(A237=2020,A237=2024),1,0)</f>
        <v>1</v>
      </c>
    </row>
    <row r="238" customFormat="false" ht="15" hidden="false" customHeight="true" outlineLevel="0" collapsed="false">
      <c r="A238" s="8" t="n">
        <v>2018</v>
      </c>
      <c r="B238" s="8" t="s">
        <v>128</v>
      </c>
      <c r="C238" s="8" t="s">
        <v>99</v>
      </c>
      <c r="D238" s="8" t="n">
        <v>190</v>
      </c>
      <c r="E238" s="8" t="n">
        <v>165</v>
      </c>
      <c r="F238" s="8" t="n">
        <v>15</v>
      </c>
      <c r="G238" s="8" t="n">
        <f aca="false">D238+E238+F238</f>
        <v>370</v>
      </c>
      <c r="H238" s="9" t="n">
        <f aca="false">D238/G238</f>
        <v>0.513513513513514</v>
      </c>
      <c r="I238" s="8" t="n">
        <v>217</v>
      </c>
      <c r="J238" s="8" t="n">
        <v>152</v>
      </c>
      <c r="K238" s="8" t="n">
        <f aca="false">I238+J238</f>
        <v>369</v>
      </c>
      <c r="L238" s="9" t="n">
        <f aca="false">IF(K238=0,"",I238/K238)</f>
        <v>0.588075880758808</v>
      </c>
      <c r="M238" s="8" t="n">
        <f aca="false">IF(OR(A238=2020,A238=2024),1,0)</f>
        <v>0</v>
      </c>
    </row>
    <row r="239" customFormat="false" ht="15" hidden="false" customHeight="true" outlineLevel="0" collapsed="false">
      <c r="A239" s="8" t="n">
        <v>2020</v>
      </c>
      <c r="B239" s="8" t="s">
        <v>128</v>
      </c>
      <c r="C239" s="8" t="s">
        <v>99</v>
      </c>
      <c r="D239" s="8" t="n">
        <v>249</v>
      </c>
      <c r="E239" s="8" t="n">
        <v>326</v>
      </c>
      <c r="F239" s="8" t="n">
        <v>0</v>
      </c>
      <c r="G239" s="8" t="n">
        <f aca="false">D239+E239+F239</f>
        <v>575</v>
      </c>
      <c r="H239" s="9" t="n">
        <f aca="false">D239/G239</f>
        <v>0.43304347826087</v>
      </c>
      <c r="I239" s="8" t="n">
        <v>0</v>
      </c>
      <c r="J239" s="8" t="n">
        <v>0</v>
      </c>
      <c r="K239" s="8" t="n">
        <f aca="false">I239+J239</f>
        <v>0</v>
      </c>
      <c r="L239" s="9" t="str">
        <f aca="false">IF(K239=0,"",I239/K239)</f>
        <v/>
      </c>
      <c r="M239" s="8" t="n">
        <f aca="false">IF(OR(A239=2020,A239=2024),1,0)</f>
        <v>1</v>
      </c>
    </row>
    <row r="240" customFormat="false" ht="15" hidden="false" customHeight="true" outlineLevel="0" collapsed="false">
      <c r="A240" s="8" t="n">
        <v>2022</v>
      </c>
      <c r="B240" s="8" t="s">
        <v>128</v>
      </c>
      <c r="C240" s="8" t="s">
        <v>99</v>
      </c>
      <c r="D240" s="8" t="n">
        <v>199</v>
      </c>
      <c r="E240" s="8" t="n">
        <v>215</v>
      </c>
      <c r="F240" s="8" t="n">
        <v>0</v>
      </c>
      <c r="G240" s="8" t="n">
        <f aca="false">D240+E240+F240</f>
        <v>414</v>
      </c>
      <c r="H240" s="9" t="n">
        <f aca="false">D240/G240</f>
        <v>0.480676328502416</v>
      </c>
      <c r="I240" s="8" t="n">
        <v>206</v>
      </c>
      <c r="J240" s="8" t="n">
        <v>195</v>
      </c>
      <c r="K240" s="8" t="n">
        <f aca="false">I240+J240</f>
        <v>401</v>
      </c>
      <c r="L240" s="9" t="n">
        <f aca="false">IF(K240=0,"",I240/K240)</f>
        <v>0.513715710723192</v>
      </c>
      <c r="M240" s="8" t="n">
        <f aca="false">IF(OR(A240=2020,A240=2024),1,0)</f>
        <v>0</v>
      </c>
    </row>
    <row r="241" customFormat="false" ht="15" hidden="false" customHeight="true" outlineLevel="0" collapsed="false">
      <c r="A241" s="8" t="n">
        <v>2024</v>
      </c>
      <c r="B241" s="8" t="s">
        <v>128</v>
      </c>
      <c r="C241" s="8" t="s">
        <v>99</v>
      </c>
      <c r="D241" s="8" t="n">
        <v>281</v>
      </c>
      <c r="E241" s="8" t="n">
        <v>310</v>
      </c>
      <c r="F241" s="8" t="n">
        <v>0</v>
      </c>
      <c r="G241" s="8" t="n">
        <f aca="false">D241+E241+F241</f>
        <v>591</v>
      </c>
      <c r="H241" s="9" t="n">
        <f aca="false">D241/G241</f>
        <v>0.475465313028765</v>
      </c>
      <c r="I241" s="8" t="n">
        <v>0</v>
      </c>
      <c r="J241" s="8" t="n">
        <v>0</v>
      </c>
      <c r="K241" s="8" t="n">
        <f aca="false">I241+J241</f>
        <v>0</v>
      </c>
      <c r="L241" s="9" t="str">
        <f aca="false">IF(K241=0,"",I241/K241)</f>
        <v/>
      </c>
      <c r="M241" s="8" t="n">
        <f aca="false">IF(OR(A241=2020,A241=2024),1,0)</f>
        <v>1</v>
      </c>
    </row>
    <row r="242" customFormat="false" ht="15" hidden="false" customHeight="true" outlineLevel="0" collapsed="false">
      <c r="A242" s="8" t="n">
        <v>2018</v>
      </c>
      <c r="B242" s="8" t="s">
        <v>129</v>
      </c>
      <c r="C242" s="8" t="s">
        <v>99</v>
      </c>
      <c r="D242" s="8" t="n">
        <v>1296</v>
      </c>
      <c r="E242" s="8" t="n">
        <v>1534</v>
      </c>
      <c r="F242" s="8" t="n">
        <v>87</v>
      </c>
      <c r="G242" s="8" t="n">
        <f aca="false">D242+E242+F242</f>
        <v>2917</v>
      </c>
      <c r="H242" s="9" t="n">
        <f aca="false">D242/G242</f>
        <v>0.444292080905039</v>
      </c>
      <c r="I242" s="8" t="n">
        <v>1432</v>
      </c>
      <c r="J242" s="8" t="n">
        <v>1463</v>
      </c>
      <c r="K242" s="8" t="n">
        <f aca="false">I242+J242</f>
        <v>2895</v>
      </c>
      <c r="L242" s="9" t="n">
        <f aca="false">IF(K242=0,"",I242/K242)</f>
        <v>0.494645941278066</v>
      </c>
      <c r="M242" s="8" t="n">
        <f aca="false">IF(OR(A242=2020,A242=2024),1,0)</f>
        <v>0</v>
      </c>
    </row>
    <row r="243" customFormat="false" ht="15" hidden="false" customHeight="true" outlineLevel="0" collapsed="false">
      <c r="A243" s="8" t="n">
        <v>2020</v>
      </c>
      <c r="B243" s="8" t="s">
        <v>129</v>
      </c>
      <c r="C243" s="8" t="s">
        <v>99</v>
      </c>
      <c r="D243" s="8" t="n">
        <v>1767</v>
      </c>
      <c r="E243" s="8" t="n">
        <v>2379</v>
      </c>
      <c r="F243" s="8" t="n">
        <v>0</v>
      </c>
      <c r="G243" s="8" t="n">
        <f aca="false">D243+E243+F243</f>
        <v>4146</v>
      </c>
      <c r="H243" s="9" t="n">
        <f aca="false">D243/G243</f>
        <v>0.426193921852388</v>
      </c>
      <c r="I243" s="8" t="n">
        <v>0</v>
      </c>
      <c r="J243" s="8" t="n">
        <v>0</v>
      </c>
      <c r="K243" s="8" t="n">
        <f aca="false">I243+J243</f>
        <v>0</v>
      </c>
      <c r="L243" s="9" t="str">
        <f aca="false">IF(K243=0,"",I243/K243)</f>
        <v/>
      </c>
      <c r="M243" s="8" t="n">
        <f aca="false">IF(OR(A243=2020,A243=2024),1,0)</f>
        <v>1</v>
      </c>
    </row>
    <row r="244" customFormat="false" ht="15" hidden="false" customHeight="true" outlineLevel="0" collapsed="false">
      <c r="A244" s="8" t="n">
        <v>2022</v>
      </c>
      <c r="B244" s="8" t="s">
        <v>129</v>
      </c>
      <c r="C244" s="8" t="s">
        <v>99</v>
      </c>
      <c r="D244" s="8" t="n">
        <v>1456</v>
      </c>
      <c r="E244" s="8" t="n">
        <v>1860</v>
      </c>
      <c r="F244" s="8" t="n">
        <v>0</v>
      </c>
      <c r="G244" s="8" t="n">
        <f aca="false">D244+E244+F244</f>
        <v>3316</v>
      </c>
      <c r="H244" s="9" t="n">
        <f aca="false">D244/G244</f>
        <v>0.439083232810615</v>
      </c>
      <c r="I244" s="8" t="n">
        <v>1610</v>
      </c>
      <c r="J244" s="8" t="n">
        <v>1650</v>
      </c>
      <c r="K244" s="8" t="n">
        <f aca="false">I244+J244</f>
        <v>3260</v>
      </c>
      <c r="L244" s="9" t="n">
        <f aca="false">IF(K244=0,"",I244/K244)</f>
        <v>0.493865030674847</v>
      </c>
      <c r="M244" s="8" t="n">
        <f aca="false">IF(OR(A244=2020,A244=2024),1,0)</f>
        <v>0</v>
      </c>
    </row>
    <row r="245" customFormat="false" ht="15" hidden="false" customHeight="true" outlineLevel="0" collapsed="false">
      <c r="A245" s="8" t="n">
        <v>2024</v>
      </c>
      <c r="B245" s="8" t="s">
        <v>129</v>
      </c>
      <c r="C245" s="8" t="s">
        <v>99</v>
      </c>
      <c r="D245" s="8" t="n">
        <v>1847</v>
      </c>
      <c r="E245" s="8" t="n">
        <v>2401</v>
      </c>
      <c r="F245" s="8" t="n">
        <v>0</v>
      </c>
      <c r="G245" s="8" t="n">
        <f aca="false">D245+E245+F245</f>
        <v>4248</v>
      </c>
      <c r="H245" s="9" t="n">
        <f aca="false">D245/G245</f>
        <v>0.434792843691149</v>
      </c>
      <c r="I245" s="8" t="n">
        <v>0</v>
      </c>
      <c r="J245" s="8" t="n">
        <v>0</v>
      </c>
      <c r="K245" s="8" t="n">
        <f aca="false">I245+J245</f>
        <v>0</v>
      </c>
      <c r="L245" s="9" t="str">
        <f aca="false">IF(K245=0,"",I245/K245)</f>
        <v/>
      </c>
      <c r="M245" s="8" t="n">
        <f aca="false">IF(OR(A245=2020,A245=2024),1,0)</f>
        <v>1</v>
      </c>
    </row>
    <row r="246" customFormat="false" ht="15" hidden="false" customHeight="true" outlineLevel="0" collapsed="false">
      <c r="A246" s="8" t="n">
        <v>2018</v>
      </c>
      <c r="B246" s="8" t="s">
        <v>130</v>
      </c>
      <c r="C246" s="8" t="s">
        <v>99</v>
      </c>
      <c r="D246" s="8" t="n">
        <v>1247</v>
      </c>
      <c r="E246" s="8" t="n">
        <v>810</v>
      </c>
      <c r="F246" s="8" t="n">
        <v>64</v>
      </c>
      <c r="G246" s="8" t="n">
        <f aca="false">D246+E246+F246</f>
        <v>2121</v>
      </c>
      <c r="H246" s="9" t="n">
        <f aca="false">D246/G246</f>
        <v>0.587930221593588</v>
      </c>
      <c r="I246" s="8" t="n">
        <v>1350</v>
      </c>
      <c r="J246" s="8" t="n">
        <v>751</v>
      </c>
      <c r="K246" s="8" t="n">
        <f aca="false">I246+J246</f>
        <v>2101</v>
      </c>
      <c r="L246" s="9" t="n">
        <f aca="false">IF(K246=0,"",I246/K246)</f>
        <v>0.642551166111376</v>
      </c>
      <c r="M246" s="8" t="n">
        <f aca="false">IF(OR(A246=2020,A246=2024),1,0)</f>
        <v>0</v>
      </c>
    </row>
    <row r="247" customFormat="false" ht="15" hidden="false" customHeight="true" outlineLevel="0" collapsed="false">
      <c r="A247" s="8" t="n">
        <v>2020</v>
      </c>
      <c r="B247" s="8" t="s">
        <v>130</v>
      </c>
      <c r="C247" s="8" t="s">
        <v>99</v>
      </c>
      <c r="D247" s="8" t="n">
        <v>1878</v>
      </c>
      <c r="E247" s="8" t="n">
        <v>1518</v>
      </c>
      <c r="F247" s="8" t="n">
        <v>0</v>
      </c>
      <c r="G247" s="8" t="n">
        <f aca="false">D247+E247+F247</f>
        <v>3396</v>
      </c>
      <c r="H247" s="9" t="n">
        <f aca="false">D247/G247</f>
        <v>0.553003533568905</v>
      </c>
      <c r="I247" s="8" t="n">
        <v>0</v>
      </c>
      <c r="J247" s="8" t="n">
        <v>0</v>
      </c>
      <c r="K247" s="8" t="n">
        <f aca="false">I247+J247</f>
        <v>0</v>
      </c>
      <c r="L247" s="9" t="str">
        <f aca="false">IF(K247=0,"",I247/K247)</f>
        <v/>
      </c>
      <c r="M247" s="8" t="n">
        <f aca="false">IF(OR(A247=2020,A247=2024),1,0)</f>
        <v>1</v>
      </c>
    </row>
    <row r="248" customFormat="false" ht="15" hidden="false" customHeight="true" outlineLevel="0" collapsed="false">
      <c r="A248" s="8" t="n">
        <v>2022</v>
      </c>
      <c r="B248" s="8" t="s">
        <v>130</v>
      </c>
      <c r="C248" s="8" t="s">
        <v>99</v>
      </c>
      <c r="D248" s="8" t="n">
        <v>1340</v>
      </c>
      <c r="E248" s="8" t="n">
        <v>953</v>
      </c>
      <c r="F248" s="8" t="n">
        <v>0</v>
      </c>
      <c r="G248" s="8" t="n">
        <f aca="false">D248+E248+F248</f>
        <v>2293</v>
      </c>
      <c r="H248" s="9" t="n">
        <f aca="false">D248/G248</f>
        <v>0.584387265590929</v>
      </c>
      <c r="I248" s="8" t="n">
        <v>1438</v>
      </c>
      <c r="J248" s="8" t="n">
        <v>813</v>
      </c>
      <c r="K248" s="8" t="n">
        <f aca="false">I248+J248</f>
        <v>2251</v>
      </c>
      <c r="L248" s="9" t="n">
        <f aca="false">IF(K248=0,"",I248/K248)</f>
        <v>0.638827187916482</v>
      </c>
      <c r="M248" s="8" t="n">
        <f aca="false">IF(OR(A248=2020,A248=2024),1,0)</f>
        <v>0</v>
      </c>
    </row>
    <row r="249" customFormat="false" ht="15" hidden="false" customHeight="true" outlineLevel="0" collapsed="false">
      <c r="A249" s="8" t="n">
        <v>2024</v>
      </c>
      <c r="B249" s="8" t="s">
        <v>130</v>
      </c>
      <c r="C249" s="8" t="s">
        <v>99</v>
      </c>
      <c r="D249" s="8" t="n">
        <v>1897</v>
      </c>
      <c r="E249" s="8" t="n">
        <v>1538</v>
      </c>
      <c r="F249" s="8" t="n">
        <v>0</v>
      </c>
      <c r="G249" s="8" t="n">
        <f aca="false">D249+E249+F249</f>
        <v>3435</v>
      </c>
      <c r="H249" s="9" t="n">
        <f aca="false">D249/G249</f>
        <v>0.552256186317322</v>
      </c>
      <c r="I249" s="8" t="n">
        <v>0</v>
      </c>
      <c r="J249" s="8" t="n">
        <v>0</v>
      </c>
      <c r="K249" s="8" t="n">
        <f aca="false">I249+J249</f>
        <v>0</v>
      </c>
      <c r="L249" s="9" t="str">
        <f aca="false">IF(K249=0,"",I249/K249)</f>
        <v/>
      </c>
      <c r="M249" s="8" t="n">
        <f aca="false">IF(OR(A249=2020,A249=2024),1,0)</f>
        <v>1</v>
      </c>
    </row>
    <row r="250" customFormat="false" ht="15" hidden="false" customHeight="true" outlineLevel="0" collapsed="false">
      <c r="A250" s="8" t="n">
        <v>2018</v>
      </c>
      <c r="B250" s="8" t="s">
        <v>131</v>
      </c>
      <c r="C250" s="8" t="s">
        <v>99</v>
      </c>
      <c r="D250" s="8" t="n">
        <v>362</v>
      </c>
      <c r="E250" s="8" t="n">
        <v>437</v>
      </c>
      <c r="F250" s="8" t="n">
        <v>30</v>
      </c>
      <c r="G250" s="8" t="n">
        <f aca="false">D250+E250+F250</f>
        <v>829</v>
      </c>
      <c r="H250" s="9" t="n">
        <f aca="false">D250/G250</f>
        <v>0.436670687575392</v>
      </c>
      <c r="I250" s="8" t="n">
        <v>424</v>
      </c>
      <c r="J250" s="8" t="n">
        <v>401</v>
      </c>
      <c r="K250" s="8" t="n">
        <f aca="false">I250+J250</f>
        <v>825</v>
      </c>
      <c r="L250" s="9" t="n">
        <f aca="false">IF(K250=0,"",I250/K250)</f>
        <v>0.513939393939394</v>
      </c>
      <c r="M250" s="8" t="n">
        <f aca="false">IF(OR(A250=2020,A250=2024),1,0)</f>
        <v>0</v>
      </c>
    </row>
    <row r="251" customFormat="false" ht="15" hidden="false" customHeight="true" outlineLevel="0" collapsed="false">
      <c r="A251" s="8" t="n">
        <v>2020</v>
      </c>
      <c r="B251" s="8" t="s">
        <v>131</v>
      </c>
      <c r="C251" s="8" t="s">
        <v>99</v>
      </c>
      <c r="D251" s="8" t="n">
        <v>508</v>
      </c>
      <c r="E251" s="8" t="n">
        <v>791</v>
      </c>
      <c r="F251" s="8" t="n">
        <v>0</v>
      </c>
      <c r="G251" s="8" t="n">
        <f aca="false">D251+E251+F251</f>
        <v>1299</v>
      </c>
      <c r="H251" s="9" t="n">
        <f aca="false">D251/G251</f>
        <v>0.391070053887606</v>
      </c>
      <c r="I251" s="8" t="n">
        <v>0</v>
      </c>
      <c r="J251" s="8" t="n">
        <v>0</v>
      </c>
      <c r="K251" s="8" t="n">
        <f aca="false">I251+J251</f>
        <v>0</v>
      </c>
      <c r="L251" s="9" t="str">
        <f aca="false">IF(K251=0,"",I251/K251)</f>
        <v/>
      </c>
      <c r="M251" s="8" t="n">
        <f aca="false">IF(OR(A251=2020,A251=2024),1,0)</f>
        <v>1</v>
      </c>
    </row>
    <row r="252" customFormat="false" ht="15" hidden="false" customHeight="true" outlineLevel="0" collapsed="false">
      <c r="A252" s="8" t="n">
        <v>2022</v>
      </c>
      <c r="B252" s="8" t="s">
        <v>131</v>
      </c>
      <c r="C252" s="8" t="s">
        <v>99</v>
      </c>
      <c r="D252" s="8" t="n">
        <v>494</v>
      </c>
      <c r="E252" s="8" t="n">
        <v>601</v>
      </c>
      <c r="F252" s="8" t="n">
        <v>0</v>
      </c>
      <c r="G252" s="8" t="n">
        <f aca="false">D252+E252+F252</f>
        <v>1095</v>
      </c>
      <c r="H252" s="9" t="n">
        <f aca="false">D252/G252</f>
        <v>0.451141552511416</v>
      </c>
      <c r="I252" s="8" t="n">
        <v>557</v>
      </c>
      <c r="J252" s="8" t="n">
        <v>527</v>
      </c>
      <c r="K252" s="8" t="n">
        <f aca="false">I252+J252</f>
        <v>1084</v>
      </c>
      <c r="L252" s="9" t="n">
        <f aca="false">IF(K252=0,"",I252/K252)</f>
        <v>0.513837638376384</v>
      </c>
      <c r="M252" s="8" t="n">
        <f aca="false">IF(OR(A252=2020,A252=2024),1,0)</f>
        <v>0</v>
      </c>
    </row>
    <row r="253" customFormat="false" ht="15" hidden="false" customHeight="true" outlineLevel="0" collapsed="false">
      <c r="A253" s="8" t="n">
        <v>2024</v>
      </c>
      <c r="B253" s="8" t="s">
        <v>131</v>
      </c>
      <c r="C253" s="8" t="s">
        <v>99</v>
      </c>
      <c r="D253" s="8" t="n">
        <v>634</v>
      </c>
      <c r="E253" s="8" t="n">
        <v>856</v>
      </c>
      <c r="F253" s="8" t="n">
        <v>0</v>
      </c>
      <c r="G253" s="8" t="n">
        <f aca="false">D253+E253+F253</f>
        <v>1490</v>
      </c>
      <c r="H253" s="9" t="n">
        <f aca="false">D253/G253</f>
        <v>0.425503355704698</v>
      </c>
      <c r="I253" s="8" t="n">
        <v>0</v>
      </c>
      <c r="J253" s="8" t="n">
        <v>0</v>
      </c>
      <c r="K253" s="8" t="n">
        <f aca="false">I253+J253</f>
        <v>0</v>
      </c>
      <c r="L253" s="9" t="str">
        <f aca="false">IF(K253=0,"",I253/K253)</f>
        <v/>
      </c>
      <c r="M253" s="8" t="n">
        <f aca="false">IF(OR(A253=2020,A253=2024),1,0)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14"/>
    <col collapsed="false" customWidth="true" hidden="false" outlineLevel="0" max="8" min="4" style="1" width="11"/>
  </cols>
  <sheetData>
    <row r="1" customFormat="false" ht="39.75" hidden="false" customHeight="true" outlineLevel="0" collapsed="false">
      <c r="A1" s="10" t="s">
        <v>132</v>
      </c>
      <c r="B1" s="10"/>
      <c r="C1" s="10"/>
      <c r="D1" s="10"/>
      <c r="E1" s="10"/>
      <c r="F1" s="10"/>
      <c r="G1" s="10"/>
      <c r="H1" s="10"/>
    </row>
    <row r="3" customFormat="false" ht="15" hidden="false" customHeight="true" outlineLevel="0" collapsed="false">
      <c r="A3" s="7" t="s">
        <v>59</v>
      </c>
      <c r="B3" s="7" t="s">
        <v>60</v>
      </c>
      <c r="C3" s="7" t="s">
        <v>61</v>
      </c>
      <c r="D3" s="7" t="s">
        <v>133</v>
      </c>
      <c r="E3" s="7" t="s">
        <v>134</v>
      </c>
      <c r="F3" s="7" t="s">
        <v>135</v>
      </c>
      <c r="G3" s="7" t="s">
        <v>136</v>
      </c>
      <c r="H3" s="7" t="s">
        <v>137</v>
      </c>
    </row>
    <row r="4" customFormat="false" ht="15" hidden="false" customHeight="true" outlineLevel="0" collapsed="false">
      <c r="A4" s="8" t="n">
        <v>2018</v>
      </c>
      <c r="B4" s="8" t="s">
        <v>138</v>
      </c>
      <c r="C4" s="8" t="s">
        <v>139</v>
      </c>
      <c r="D4" s="8" t="n">
        <v>0.0544</v>
      </c>
      <c r="E4" s="8" t="n">
        <v>157</v>
      </c>
      <c r="F4" s="8" t="n">
        <v>133</v>
      </c>
      <c r="G4" s="8" t="n">
        <f aca="false">E4+F4</f>
        <v>290</v>
      </c>
      <c r="H4" s="9" t="n">
        <f aca="false">E4/G4</f>
        <v>0.541379310344828</v>
      </c>
    </row>
    <row r="5" customFormat="false" ht="15" hidden="false" customHeight="true" outlineLevel="0" collapsed="false">
      <c r="A5" s="8" t="n">
        <v>2020</v>
      </c>
      <c r="B5" s="8" t="s">
        <v>138</v>
      </c>
      <c r="C5" s="8" t="s">
        <v>139</v>
      </c>
      <c r="D5" s="8" t="n">
        <v>0.0544</v>
      </c>
      <c r="E5" s="8" t="n">
        <v>206</v>
      </c>
      <c r="F5" s="8" t="n">
        <v>192</v>
      </c>
      <c r="G5" s="8" t="n">
        <f aca="false">E5+F5</f>
        <v>398</v>
      </c>
      <c r="H5" s="9" t="n">
        <f aca="false">E5/G5</f>
        <v>0.517587939698493</v>
      </c>
    </row>
    <row r="6" customFormat="false" ht="15" hidden="false" customHeight="true" outlineLevel="0" collapsed="false">
      <c r="A6" s="8" t="n">
        <v>2022</v>
      </c>
      <c r="B6" s="8" t="s">
        <v>138</v>
      </c>
      <c r="C6" s="8" t="s">
        <v>139</v>
      </c>
      <c r="D6" s="8" t="n">
        <v>0.0544</v>
      </c>
      <c r="E6" s="8" t="n">
        <v>181</v>
      </c>
      <c r="F6" s="8" t="n">
        <v>155</v>
      </c>
      <c r="G6" s="8" t="n">
        <f aca="false">E6+F6</f>
        <v>336</v>
      </c>
      <c r="H6" s="9" t="n">
        <f aca="false">E6/G6</f>
        <v>0.538690476190476</v>
      </c>
    </row>
    <row r="7" customFormat="false" ht="15" hidden="false" customHeight="true" outlineLevel="0" collapsed="false">
      <c r="A7" s="8" t="n">
        <v>2024</v>
      </c>
      <c r="B7" s="8" t="s">
        <v>138</v>
      </c>
      <c r="C7" s="8" t="s">
        <v>139</v>
      </c>
      <c r="D7" s="8" t="n">
        <v>0.0544</v>
      </c>
      <c r="E7" s="8" t="n">
        <v>235</v>
      </c>
      <c r="F7" s="8" t="n">
        <v>220</v>
      </c>
      <c r="G7" s="8" t="n">
        <f aca="false">E7+F7</f>
        <v>455</v>
      </c>
      <c r="H7" s="9" t="n">
        <f aca="false">E7/G7</f>
        <v>0.516483516483517</v>
      </c>
    </row>
    <row r="8" customFormat="false" ht="15" hidden="false" customHeight="true" outlineLevel="0" collapsed="false">
      <c r="A8" s="8" t="n">
        <v>2018</v>
      </c>
      <c r="B8" s="8" t="s">
        <v>140</v>
      </c>
      <c r="C8" s="8" t="s">
        <v>139</v>
      </c>
      <c r="D8" s="8" t="n">
        <v>-0.2367</v>
      </c>
      <c r="E8" s="8" t="n">
        <v>84</v>
      </c>
      <c r="F8" s="8" t="n">
        <v>131</v>
      </c>
      <c r="G8" s="8" t="n">
        <f aca="false">E8+F8</f>
        <v>215</v>
      </c>
      <c r="H8" s="9" t="n">
        <f aca="false">E8/G8</f>
        <v>0.390697674418605</v>
      </c>
    </row>
    <row r="9" customFormat="false" ht="15" hidden="false" customHeight="true" outlineLevel="0" collapsed="false">
      <c r="A9" s="8" t="n">
        <v>2020</v>
      </c>
      <c r="B9" s="8" t="s">
        <v>140</v>
      </c>
      <c r="C9" s="8" t="s">
        <v>139</v>
      </c>
      <c r="D9" s="8" t="n">
        <v>-0.2367</v>
      </c>
      <c r="E9" s="8" t="n">
        <v>116</v>
      </c>
      <c r="F9" s="8" t="n">
        <v>203</v>
      </c>
      <c r="G9" s="8" t="n">
        <f aca="false">E9+F9</f>
        <v>319</v>
      </c>
      <c r="H9" s="9" t="n">
        <f aca="false">E9/G9</f>
        <v>0.363636363636364</v>
      </c>
    </row>
    <row r="10" customFormat="false" ht="15" hidden="false" customHeight="true" outlineLevel="0" collapsed="false">
      <c r="A10" s="8" t="n">
        <v>2022</v>
      </c>
      <c r="B10" s="8" t="s">
        <v>140</v>
      </c>
      <c r="C10" s="8" t="s">
        <v>139</v>
      </c>
      <c r="D10" s="8" t="n">
        <v>-0.2367</v>
      </c>
      <c r="E10" s="8" t="n">
        <v>109</v>
      </c>
      <c r="F10" s="8" t="n">
        <v>168</v>
      </c>
      <c r="G10" s="8" t="n">
        <f aca="false">E10+F10</f>
        <v>277</v>
      </c>
      <c r="H10" s="9" t="n">
        <f aca="false">E10/G10</f>
        <v>0.393501805054152</v>
      </c>
    </row>
    <row r="11" customFormat="false" ht="15" hidden="false" customHeight="true" outlineLevel="0" collapsed="false">
      <c r="A11" s="8" t="n">
        <v>2024</v>
      </c>
      <c r="B11" s="8" t="s">
        <v>140</v>
      </c>
      <c r="C11" s="8" t="s">
        <v>139</v>
      </c>
      <c r="D11" s="8" t="n">
        <v>-0.2367</v>
      </c>
      <c r="E11" s="8" t="n">
        <v>152</v>
      </c>
      <c r="F11" s="8" t="n">
        <v>255</v>
      </c>
      <c r="G11" s="8" t="n">
        <f aca="false">E11+F11</f>
        <v>407</v>
      </c>
      <c r="H11" s="9" t="n">
        <f aca="false">E11/G11</f>
        <v>0.373464373464373</v>
      </c>
    </row>
    <row r="12" customFormat="false" ht="15" hidden="false" customHeight="true" outlineLevel="0" collapsed="false">
      <c r="A12" s="8" t="n">
        <v>2018</v>
      </c>
      <c r="B12" s="8" t="s">
        <v>141</v>
      </c>
      <c r="C12" s="8" t="s">
        <v>139</v>
      </c>
      <c r="D12" s="8" t="n">
        <v>-0.2708</v>
      </c>
      <c r="E12" s="8" t="n">
        <v>90</v>
      </c>
      <c r="F12" s="8" t="n">
        <v>152</v>
      </c>
      <c r="G12" s="8" t="n">
        <f aca="false">E12+F12</f>
        <v>242</v>
      </c>
      <c r="H12" s="9" t="n">
        <f aca="false">E12/G12</f>
        <v>0.371900826446281</v>
      </c>
    </row>
    <row r="13" customFormat="false" ht="15" hidden="false" customHeight="true" outlineLevel="0" collapsed="false">
      <c r="A13" s="8" t="n">
        <v>2020</v>
      </c>
      <c r="B13" s="8" t="s">
        <v>141</v>
      </c>
      <c r="C13" s="8" t="s">
        <v>139</v>
      </c>
      <c r="D13" s="8" t="n">
        <v>-0.2708</v>
      </c>
      <c r="E13" s="8" t="n">
        <v>122</v>
      </c>
      <c r="F13" s="8" t="n">
        <v>231</v>
      </c>
      <c r="G13" s="8" t="n">
        <f aca="false">E13+F13</f>
        <v>353</v>
      </c>
      <c r="H13" s="9" t="n">
        <f aca="false">E13/G13</f>
        <v>0.345609065155807</v>
      </c>
    </row>
    <row r="14" customFormat="false" ht="15" hidden="false" customHeight="true" outlineLevel="0" collapsed="false">
      <c r="A14" s="8" t="n">
        <v>2022</v>
      </c>
      <c r="B14" s="8" t="s">
        <v>141</v>
      </c>
      <c r="C14" s="8" t="s">
        <v>139</v>
      </c>
      <c r="D14" s="8" t="n">
        <v>-0.2708</v>
      </c>
      <c r="E14" s="8" t="n">
        <v>120</v>
      </c>
      <c r="F14" s="8" t="n">
        <v>200</v>
      </c>
      <c r="G14" s="8" t="n">
        <f aca="false">E14+F14</f>
        <v>320</v>
      </c>
      <c r="H14" s="9" t="n">
        <f aca="false">E14/G14</f>
        <v>0.375</v>
      </c>
    </row>
    <row r="15" customFormat="false" ht="15" hidden="false" customHeight="true" outlineLevel="0" collapsed="false">
      <c r="A15" s="8" t="n">
        <v>2024</v>
      </c>
      <c r="B15" s="8" t="s">
        <v>141</v>
      </c>
      <c r="C15" s="8" t="s">
        <v>139</v>
      </c>
      <c r="D15" s="8" t="n">
        <v>-0.2708</v>
      </c>
      <c r="E15" s="8" t="n">
        <v>158</v>
      </c>
      <c r="F15" s="8" t="n">
        <v>285</v>
      </c>
      <c r="G15" s="8" t="n">
        <f aca="false">E15+F15</f>
        <v>443</v>
      </c>
      <c r="H15" s="9" t="n">
        <f aca="false">E15/G15</f>
        <v>0.35665914221219</v>
      </c>
    </row>
    <row r="16" customFormat="false" ht="15" hidden="false" customHeight="true" outlineLevel="0" collapsed="false">
      <c r="A16" s="8" t="n">
        <v>2018</v>
      </c>
      <c r="B16" s="8" t="s">
        <v>142</v>
      </c>
      <c r="C16" s="8" t="s">
        <v>139</v>
      </c>
      <c r="D16" s="8" t="n">
        <v>-0.3559</v>
      </c>
      <c r="E16" s="8" t="n">
        <v>301</v>
      </c>
      <c r="F16" s="8" t="n">
        <v>616</v>
      </c>
      <c r="G16" s="8" t="n">
        <f aca="false">E16+F16</f>
        <v>917</v>
      </c>
      <c r="H16" s="9" t="n">
        <f aca="false">E16/G16</f>
        <v>0.32824427480916</v>
      </c>
    </row>
    <row r="17" customFormat="false" ht="15" hidden="false" customHeight="true" outlineLevel="0" collapsed="false">
      <c r="A17" s="8" t="n">
        <v>2020</v>
      </c>
      <c r="B17" s="8" t="s">
        <v>142</v>
      </c>
      <c r="C17" s="8" t="s">
        <v>139</v>
      </c>
      <c r="D17" s="8" t="n">
        <v>-0.3559</v>
      </c>
      <c r="E17" s="8" t="n">
        <v>415</v>
      </c>
      <c r="F17" s="8" t="n">
        <v>969</v>
      </c>
      <c r="G17" s="8" t="n">
        <f aca="false">E17+F17</f>
        <v>1384</v>
      </c>
      <c r="H17" s="9" t="n">
        <f aca="false">E17/G17</f>
        <v>0.29985549132948</v>
      </c>
    </row>
    <row r="18" customFormat="false" ht="15" hidden="false" customHeight="true" outlineLevel="0" collapsed="false">
      <c r="A18" s="8" t="n">
        <v>2022</v>
      </c>
      <c r="B18" s="8" t="s">
        <v>142</v>
      </c>
      <c r="C18" s="8" t="s">
        <v>139</v>
      </c>
      <c r="D18" s="8" t="n">
        <v>-0.3559</v>
      </c>
      <c r="E18" s="8" t="n">
        <v>402</v>
      </c>
      <c r="F18" s="8" t="n">
        <v>802</v>
      </c>
      <c r="G18" s="8" t="n">
        <f aca="false">E18+F18</f>
        <v>1204</v>
      </c>
      <c r="H18" s="9" t="n">
        <f aca="false">E18/G18</f>
        <v>0.333887043189369</v>
      </c>
    </row>
    <row r="19" customFormat="false" ht="15" hidden="false" customHeight="true" outlineLevel="0" collapsed="false">
      <c r="A19" s="8" t="n">
        <v>2024</v>
      </c>
      <c r="B19" s="8" t="s">
        <v>142</v>
      </c>
      <c r="C19" s="8" t="s">
        <v>139</v>
      </c>
      <c r="D19" s="8" t="n">
        <v>-0.3559</v>
      </c>
      <c r="E19" s="8" t="n">
        <v>518</v>
      </c>
      <c r="F19" s="8" t="n">
        <v>1128</v>
      </c>
      <c r="G19" s="8" t="n">
        <f aca="false">E19+F19</f>
        <v>1646</v>
      </c>
      <c r="H19" s="9" t="n">
        <f aca="false">E19/G19</f>
        <v>0.314702308626974</v>
      </c>
    </row>
    <row r="20" customFormat="false" ht="15" hidden="false" customHeight="true" outlineLevel="0" collapsed="false">
      <c r="A20" s="8" t="n">
        <v>2018</v>
      </c>
      <c r="B20" s="8" t="s">
        <v>143</v>
      </c>
      <c r="C20" s="8" t="s">
        <v>139</v>
      </c>
      <c r="D20" s="8" t="n">
        <v>-0.1758</v>
      </c>
      <c r="E20" s="8" t="n">
        <v>27</v>
      </c>
      <c r="F20" s="8" t="n">
        <v>38</v>
      </c>
      <c r="G20" s="8" t="n">
        <f aca="false">E20+F20</f>
        <v>65</v>
      </c>
      <c r="H20" s="9" t="n">
        <f aca="false">E20/G20</f>
        <v>0.415384615384615</v>
      </c>
    </row>
    <row r="21" customFormat="false" ht="15" hidden="false" customHeight="true" outlineLevel="0" collapsed="false">
      <c r="A21" s="8" t="n">
        <v>2020</v>
      </c>
      <c r="B21" s="8" t="s">
        <v>143</v>
      </c>
      <c r="C21" s="8" t="s">
        <v>139</v>
      </c>
      <c r="D21" s="8" t="n">
        <v>-0.1758</v>
      </c>
      <c r="E21" s="8" t="n">
        <v>41</v>
      </c>
      <c r="F21" s="8" t="n">
        <v>64</v>
      </c>
      <c r="G21" s="8" t="n">
        <f aca="false">E21+F21</f>
        <v>105</v>
      </c>
      <c r="H21" s="9" t="n">
        <f aca="false">E21/G21</f>
        <v>0.390476190476191</v>
      </c>
    </row>
    <row r="22" customFormat="false" ht="15" hidden="false" customHeight="true" outlineLevel="0" collapsed="false">
      <c r="A22" s="8" t="n">
        <v>2022</v>
      </c>
      <c r="B22" s="8" t="s">
        <v>143</v>
      </c>
      <c r="C22" s="8" t="s">
        <v>139</v>
      </c>
      <c r="D22" s="8" t="n">
        <v>-0.1758</v>
      </c>
      <c r="E22" s="8" t="n">
        <v>36</v>
      </c>
      <c r="F22" s="8" t="n">
        <v>48</v>
      </c>
      <c r="G22" s="8" t="n">
        <f aca="false">E22+F22</f>
        <v>84</v>
      </c>
      <c r="H22" s="9" t="n">
        <f aca="false">E22/G22</f>
        <v>0.428571428571429</v>
      </c>
    </row>
    <row r="23" customFormat="false" ht="15" hidden="false" customHeight="true" outlineLevel="0" collapsed="false">
      <c r="A23" s="8" t="n">
        <v>2024</v>
      </c>
      <c r="B23" s="8" t="s">
        <v>143</v>
      </c>
      <c r="C23" s="8" t="s">
        <v>139</v>
      </c>
      <c r="D23" s="8" t="n">
        <v>-0.1758</v>
      </c>
      <c r="E23" s="8" t="n">
        <v>48</v>
      </c>
      <c r="F23" s="8" t="n">
        <v>70</v>
      </c>
      <c r="G23" s="8" t="n">
        <f aca="false">E23+F23</f>
        <v>118</v>
      </c>
      <c r="H23" s="9" t="n">
        <f aca="false">E23/G23</f>
        <v>0.406779661016949</v>
      </c>
    </row>
    <row r="24" customFormat="false" ht="15" hidden="false" customHeight="true" outlineLevel="0" collapsed="false">
      <c r="A24" s="8" t="n">
        <v>2018</v>
      </c>
      <c r="B24" s="8" t="s">
        <v>144</v>
      </c>
      <c r="C24" s="8" t="s">
        <v>139</v>
      </c>
      <c r="D24" s="8" t="n">
        <v>-0.3415</v>
      </c>
      <c r="E24" s="8" t="n">
        <v>450</v>
      </c>
      <c r="F24" s="8" t="n">
        <v>888</v>
      </c>
      <c r="G24" s="8" t="n">
        <f aca="false">E24+F24</f>
        <v>1338</v>
      </c>
      <c r="H24" s="9" t="n">
        <f aca="false">E24/G24</f>
        <v>0.336322869955157</v>
      </c>
    </row>
    <row r="25" customFormat="false" ht="15" hidden="false" customHeight="true" outlineLevel="0" collapsed="false">
      <c r="A25" s="8" t="n">
        <v>2020</v>
      </c>
      <c r="B25" s="8" t="s">
        <v>144</v>
      </c>
      <c r="C25" s="8" t="s">
        <v>139</v>
      </c>
      <c r="D25" s="8" t="n">
        <v>-0.3415</v>
      </c>
      <c r="E25" s="8" t="n">
        <v>631</v>
      </c>
      <c r="F25" s="8" t="n">
        <v>1422</v>
      </c>
      <c r="G25" s="8" t="n">
        <f aca="false">E25+F25</f>
        <v>2053</v>
      </c>
      <c r="H25" s="9" t="n">
        <f aca="false">E25/G25</f>
        <v>0.307355090112031</v>
      </c>
    </row>
    <row r="26" customFormat="false" ht="15" hidden="false" customHeight="true" outlineLevel="0" collapsed="false">
      <c r="A26" s="8" t="n">
        <v>2022</v>
      </c>
      <c r="B26" s="8" t="s">
        <v>144</v>
      </c>
      <c r="C26" s="8" t="s">
        <v>139</v>
      </c>
      <c r="D26" s="8" t="n">
        <v>-0.3415</v>
      </c>
      <c r="E26" s="8" t="n">
        <v>606</v>
      </c>
      <c r="F26" s="8" t="n">
        <v>1173</v>
      </c>
      <c r="G26" s="8" t="n">
        <f aca="false">E26+F26</f>
        <v>1779</v>
      </c>
      <c r="H26" s="9" t="n">
        <f aca="false">E26/G26</f>
        <v>0.340640809443508</v>
      </c>
    </row>
    <row r="27" customFormat="false" ht="15" hidden="false" customHeight="true" outlineLevel="0" collapsed="false">
      <c r="A27" s="8" t="n">
        <v>2024</v>
      </c>
      <c r="B27" s="8" t="s">
        <v>144</v>
      </c>
      <c r="C27" s="8" t="s">
        <v>139</v>
      </c>
      <c r="D27" s="8" t="n">
        <v>-0.3415</v>
      </c>
      <c r="E27" s="8" t="n">
        <v>797</v>
      </c>
      <c r="F27" s="8" t="n">
        <v>1680</v>
      </c>
      <c r="G27" s="8" t="n">
        <f aca="false">E27+F27</f>
        <v>2477</v>
      </c>
      <c r="H27" s="9" t="n">
        <f aca="false">E27/G27</f>
        <v>0.321760193782802</v>
      </c>
    </row>
    <row r="28" customFormat="false" ht="15" hidden="false" customHeight="true" outlineLevel="0" collapsed="false">
      <c r="A28" s="8" t="n">
        <v>2018</v>
      </c>
      <c r="B28" s="8" t="s">
        <v>145</v>
      </c>
      <c r="C28" s="8" t="s">
        <v>139</v>
      </c>
      <c r="D28" s="8" t="n">
        <v>-0.0499</v>
      </c>
      <c r="E28" s="8" t="n">
        <v>724</v>
      </c>
      <c r="F28" s="8" t="n">
        <v>763</v>
      </c>
      <c r="G28" s="8" t="n">
        <f aca="false">E28+F28</f>
        <v>1487</v>
      </c>
      <c r="H28" s="9" t="n">
        <f aca="false">E28/G28</f>
        <v>0.486886348352387</v>
      </c>
    </row>
    <row r="29" customFormat="false" ht="15" hidden="false" customHeight="true" outlineLevel="0" collapsed="false">
      <c r="A29" s="8" t="n">
        <v>2020</v>
      </c>
      <c r="B29" s="8" t="s">
        <v>145</v>
      </c>
      <c r="C29" s="8" t="s">
        <v>139</v>
      </c>
      <c r="D29" s="8" t="n">
        <v>-0.0499</v>
      </c>
      <c r="E29" s="8" t="n">
        <v>984</v>
      </c>
      <c r="F29" s="8" t="n">
        <v>1149</v>
      </c>
      <c r="G29" s="8" t="n">
        <f aca="false">E29+F29</f>
        <v>2133</v>
      </c>
      <c r="H29" s="9" t="n">
        <f aca="false">E29/G29</f>
        <v>0.461322081575246</v>
      </c>
    </row>
    <row r="30" customFormat="false" ht="15" hidden="false" customHeight="true" outlineLevel="0" collapsed="false">
      <c r="A30" s="8" t="n">
        <v>2022</v>
      </c>
      <c r="B30" s="8" t="s">
        <v>145</v>
      </c>
      <c r="C30" s="8" t="s">
        <v>139</v>
      </c>
      <c r="D30" s="8" t="n">
        <v>-0.0499</v>
      </c>
      <c r="E30" s="8" t="n">
        <v>929</v>
      </c>
      <c r="F30" s="8" t="n">
        <v>982</v>
      </c>
      <c r="G30" s="8" t="n">
        <f aca="false">E30+F30</f>
        <v>1911</v>
      </c>
      <c r="H30" s="9" t="n">
        <f aca="false">E30/G30</f>
        <v>0.486132914704343</v>
      </c>
    </row>
    <row r="31" customFormat="false" ht="15" hidden="false" customHeight="true" outlineLevel="0" collapsed="false">
      <c r="A31" s="8" t="n">
        <v>2024</v>
      </c>
      <c r="B31" s="8" t="s">
        <v>145</v>
      </c>
      <c r="C31" s="8" t="s">
        <v>139</v>
      </c>
      <c r="D31" s="8" t="n">
        <v>-0.0499</v>
      </c>
      <c r="E31" s="8" t="n">
        <v>1176</v>
      </c>
      <c r="F31" s="8" t="n">
        <v>1355</v>
      </c>
      <c r="G31" s="8" t="n">
        <f aca="false">E31+F31</f>
        <v>2531</v>
      </c>
      <c r="H31" s="9" t="n">
        <f aca="false">E31/G31</f>
        <v>0.464638482813117</v>
      </c>
    </row>
    <row r="32" customFormat="false" ht="15" hidden="false" customHeight="true" outlineLevel="0" collapsed="false">
      <c r="A32" s="8" t="n">
        <v>2018</v>
      </c>
      <c r="B32" s="8" t="s">
        <v>146</v>
      </c>
      <c r="C32" s="8" t="s">
        <v>139</v>
      </c>
      <c r="D32" s="8" t="n">
        <v>-0.2766</v>
      </c>
      <c r="E32" s="8" t="n">
        <v>174</v>
      </c>
      <c r="F32" s="8" t="n">
        <v>297</v>
      </c>
      <c r="G32" s="8" t="n">
        <f aca="false">E32+F32</f>
        <v>471</v>
      </c>
      <c r="H32" s="9" t="n">
        <f aca="false">E32/G32</f>
        <v>0.369426751592357</v>
      </c>
    </row>
    <row r="33" customFormat="false" ht="15" hidden="false" customHeight="true" outlineLevel="0" collapsed="false">
      <c r="A33" s="8" t="n">
        <v>2020</v>
      </c>
      <c r="B33" s="8" t="s">
        <v>146</v>
      </c>
      <c r="C33" s="8" t="s">
        <v>139</v>
      </c>
      <c r="D33" s="8" t="n">
        <v>-0.2766</v>
      </c>
      <c r="E33" s="8" t="n">
        <v>261</v>
      </c>
      <c r="F33" s="8" t="n">
        <v>503</v>
      </c>
      <c r="G33" s="8" t="n">
        <f aca="false">E33+F33</f>
        <v>764</v>
      </c>
      <c r="H33" s="9" t="n">
        <f aca="false">E33/G33</f>
        <v>0.341623036649215</v>
      </c>
    </row>
    <row r="34" customFormat="false" ht="15" hidden="false" customHeight="true" outlineLevel="0" collapsed="false">
      <c r="A34" s="8" t="n">
        <v>2022</v>
      </c>
      <c r="B34" s="8" t="s">
        <v>146</v>
      </c>
      <c r="C34" s="8" t="s">
        <v>139</v>
      </c>
      <c r="D34" s="8" t="n">
        <v>-0.2766</v>
      </c>
      <c r="E34" s="8" t="n">
        <v>264</v>
      </c>
      <c r="F34" s="8" t="n">
        <v>443</v>
      </c>
      <c r="G34" s="8" t="n">
        <f aca="false">E34+F34</f>
        <v>707</v>
      </c>
      <c r="H34" s="9" t="n">
        <f aca="false">E34/G34</f>
        <v>0.373408769448373</v>
      </c>
    </row>
    <row r="35" customFormat="false" ht="15" hidden="false" customHeight="true" outlineLevel="0" collapsed="false">
      <c r="A35" s="8" t="n">
        <v>2024</v>
      </c>
      <c r="B35" s="8" t="s">
        <v>146</v>
      </c>
      <c r="C35" s="8" t="s">
        <v>139</v>
      </c>
      <c r="D35" s="8" t="n">
        <v>-0.2766</v>
      </c>
      <c r="E35" s="8" t="n">
        <v>354</v>
      </c>
      <c r="F35" s="8" t="n">
        <v>647</v>
      </c>
      <c r="G35" s="8" t="n">
        <f aca="false">E35+F35</f>
        <v>1001</v>
      </c>
      <c r="H35" s="9" t="n">
        <f aca="false">E35/G35</f>
        <v>0.353646353646354</v>
      </c>
    </row>
    <row r="36" customFormat="false" ht="15" hidden="false" customHeight="true" outlineLevel="0" collapsed="false">
      <c r="A36" s="8" t="n">
        <v>2018</v>
      </c>
      <c r="B36" s="8" t="s">
        <v>147</v>
      </c>
      <c r="C36" s="8" t="s">
        <v>139</v>
      </c>
      <c r="D36" s="8" t="n">
        <v>-0.0367</v>
      </c>
      <c r="E36" s="8" t="n">
        <v>334</v>
      </c>
      <c r="F36" s="8" t="n">
        <v>342</v>
      </c>
      <c r="G36" s="8" t="n">
        <f aca="false">E36+F36</f>
        <v>676</v>
      </c>
      <c r="H36" s="9" t="n">
        <f aca="false">E36/G36</f>
        <v>0.494082840236686</v>
      </c>
    </row>
    <row r="37" customFormat="false" ht="15" hidden="false" customHeight="true" outlineLevel="0" collapsed="false">
      <c r="A37" s="8" t="n">
        <v>2020</v>
      </c>
      <c r="B37" s="8" t="s">
        <v>147</v>
      </c>
      <c r="C37" s="8" t="s">
        <v>139</v>
      </c>
      <c r="D37" s="8" t="n">
        <v>-0.0367</v>
      </c>
      <c r="E37" s="8" t="n">
        <v>528</v>
      </c>
      <c r="F37" s="8" t="n">
        <v>599</v>
      </c>
      <c r="G37" s="8" t="n">
        <f aca="false">E37+F37</f>
        <v>1127</v>
      </c>
      <c r="H37" s="9" t="n">
        <f aca="false">E37/G37</f>
        <v>0.468500443655723</v>
      </c>
    </row>
    <row r="38" customFormat="false" ht="15" hidden="false" customHeight="true" outlineLevel="0" collapsed="false">
      <c r="A38" s="8" t="n">
        <v>2022</v>
      </c>
      <c r="B38" s="8" t="s">
        <v>147</v>
      </c>
      <c r="C38" s="8" t="s">
        <v>139</v>
      </c>
      <c r="D38" s="8" t="n">
        <v>-0.0367</v>
      </c>
      <c r="E38" s="8" t="n">
        <v>445</v>
      </c>
      <c r="F38" s="8" t="n">
        <v>457</v>
      </c>
      <c r="G38" s="8" t="n">
        <f aca="false">E38+F38</f>
        <v>902</v>
      </c>
      <c r="H38" s="9" t="n">
        <f aca="false">E38/G38</f>
        <v>0.493348115299335</v>
      </c>
    </row>
    <row r="39" customFormat="false" ht="15" hidden="false" customHeight="true" outlineLevel="0" collapsed="false">
      <c r="A39" s="8" t="n">
        <v>2024</v>
      </c>
      <c r="B39" s="8" t="s">
        <v>147</v>
      </c>
      <c r="C39" s="8" t="s">
        <v>139</v>
      </c>
      <c r="D39" s="8" t="n">
        <v>-0.0367</v>
      </c>
      <c r="E39" s="8" t="n">
        <v>648</v>
      </c>
      <c r="F39" s="8" t="n">
        <v>727</v>
      </c>
      <c r="G39" s="8" t="n">
        <f aca="false">E39+F39</f>
        <v>1375</v>
      </c>
      <c r="H39" s="9" t="n">
        <f aca="false">E39/G39</f>
        <v>0.471272727272727</v>
      </c>
    </row>
    <row r="40" customFormat="false" ht="15" hidden="false" customHeight="true" outlineLevel="0" collapsed="false">
      <c r="A40" s="8" t="n">
        <v>2018</v>
      </c>
      <c r="B40" s="8" t="s">
        <v>148</v>
      </c>
      <c r="C40" s="8" t="s">
        <v>139</v>
      </c>
      <c r="D40" s="8" t="n">
        <v>-0.388</v>
      </c>
      <c r="E40" s="8" t="n">
        <v>21</v>
      </c>
      <c r="F40" s="8" t="n">
        <v>46</v>
      </c>
      <c r="G40" s="8" t="n">
        <f aca="false">E40+F40</f>
        <v>67</v>
      </c>
      <c r="H40" s="9" t="n">
        <f aca="false">E40/G40</f>
        <v>0.313432835820896</v>
      </c>
    </row>
    <row r="41" customFormat="false" ht="15" hidden="false" customHeight="true" outlineLevel="0" collapsed="false">
      <c r="A41" s="8" t="n">
        <v>2020</v>
      </c>
      <c r="B41" s="8" t="s">
        <v>148</v>
      </c>
      <c r="C41" s="8" t="s">
        <v>139</v>
      </c>
      <c r="D41" s="8" t="n">
        <v>-0.388</v>
      </c>
      <c r="E41" s="8" t="n">
        <v>32</v>
      </c>
      <c r="F41" s="8" t="n">
        <v>82</v>
      </c>
      <c r="G41" s="8" t="n">
        <f aca="false">E41+F41</f>
        <v>114</v>
      </c>
      <c r="H41" s="9" t="n">
        <f aca="false">E41/G41</f>
        <v>0.280701754385965</v>
      </c>
    </row>
    <row r="42" customFormat="false" ht="15" hidden="false" customHeight="true" outlineLevel="0" collapsed="false">
      <c r="A42" s="8" t="n">
        <v>2022</v>
      </c>
      <c r="B42" s="8" t="s">
        <v>148</v>
      </c>
      <c r="C42" s="8" t="s">
        <v>139</v>
      </c>
      <c r="D42" s="8" t="n">
        <v>-0.388</v>
      </c>
      <c r="E42" s="8" t="n">
        <v>32</v>
      </c>
      <c r="F42" s="8" t="n">
        <v>70</v>
      </c>
      <c r="G42" s="8" t="n">
        <f aca="false">E42+F42</f>
        <v>102</v>
      </c>
      <c r="H42" s="9" t="n">
        <f aca="false">E42/G42</f>
        <v>0.313725490196078</v>
      </c>
    </row>
    <row r="43" customFormat="false" ht="15" hidden="false" customHeight="true" outlineLevel="0" collapsed="false">
      <c r="A43" s="8" t="n">
        <v>2024</v>
      </c>
      <c r="B43" s="8" t="s">
        <v>148</v>
      </c>
      <c r="C43" s="8" t="s">
        <v>139</v>
      </c>
      <c r="D43" s="8" t="n">
        <v>-0.388</v>
      </c>
      <c r="E43" s="8" t="n">
        <v>44</v>
      </c>
      <c r="F43" s="8" t="n">
        <v>103</v>
      </c>
      <c r="G43" s="8" t="n">
        <f aca="false">E43+F43</f>
        <v>147</v>
      </c>
      <c r="H43" s="9" t="n">
        <f aca="false">E43/G43</f>
        <v>0.299319727891156</v>
      </c>
    </row>
    <row r="44" customFormat="false" ht="15" hidden="false" customHeight="true" outlineLevel="0" collapsed="false">
      <c r="A44" s="8" t="n">
        <v>2018</v>
      </c>
      <c r="B44" s="8" t="s">
        <v>149</v>
      </c>
      <c r="C44" s="8" t="s">
        <v>139</v>
      </c>
      <c r="D44" s="8" t="n">
        <v>-0.5436</v>
      </c>
      <c r="E44" s="8" t="n">
        <v>41</v>
      </c>
      <c r="F44" s="8" t="n">
        <v>138</v>
      </c>
      <c r="G44" s="8" t="n">
        <f aca="false">E44+F44</f>
        <v>179</v>
      </c>
      <c r="H44" s="9" t="n">
        <f aca="false">E44/G44</f>
        <v>0.229050279329609</v>
      </c>
    </row>
    <row r="45" customFormat="false" ht="15" hidden="false" customHeight="true" outlineLevel="0" collapsed="false">
      <c r="A45" s="8" t="n">
        <v>2020</v>
      </c>
      <c r="B45" s="8" t="s">
        <v>149</v>
      </c>
      <c r="C45" s="8" t="s">
        <v>139</v>
      </c>
      <c r="D45" s="8" t="n">
        <v>-0.5436</v>
      </c>
      <c r="E45" s="8" t="n">
        <v>50</v>
      </c>
      <c r="F45" s="8" t="n">
        <v>200</v>
      </c>
      <c r="G45" s="8" t="n">
        <f aca="false">E45+F45</f>
        <v>250</v>
      </c>
      <c r="H45" s="9" t="n">
        <f aca="false">E45/G45</f>
        <v>0.2</v>
      </c>
    </row>
    <row r="46" customFormat="false" ht="15" hidden="false" customHeight="true" outlineLevel="0" collapsed="false">
      <c r="A46" s="8" t="n">
        <v>2022</v>
      </c>
      <c r="B46" s="8" t="s">
        <v>149</v>
      </c>
      <c r="C46" s="8" t="s">
        <v>139</v>
      </c>
      <c r="D46" s="8" t="n">
        <v>-0.5436</v>
      </c>
      <c r="E46" s="8" t="n">
        <v>54</v>
      </c>
      <c r="F46" s="8" t="n">
        <v>171</v>
      </c>
      <c r="G46" s="8" t="n">
        <f aca="false">E46+F46</f>
        <v>225</v>
      </c>
      <c r="H46" s="9" t="n">
        <f aca="false">E46/G46</f>
        <v>0.24</v>
      </c>
    </row>
    <row r="47" customFormat="false" ht="15" hidden="false" customHeight="true" outlineLevel="0" collapsed="false">
      <c r="A47" s="8" t="n">
        <v>2024</v>
      </c>
      <c r="B47" s="8" t="s">
        <v>149</v>
      </c>
      <c r="C47" s="8" t="s">
        <v>139</v>
      </c>
      <c r="D47" s="8" t="n">
        <v>-0.5436</v>
      </c>
      <c r="E47" s="8" t="n">
        <v>61</v>
      </c>
      <c r="F47" s="8" t="n">
        <v>214</v>
      </c>
      <c r="G47" s="8" t="n">
        <f aca="false">E47+F47</f>
        <v>275</v>
      </c>
      <c r="H47" s="9" t="n">
        <f aca="false">E47/G47</f>
        <v>0.221818181818182</v>
      </c>
    </row>
    <row r="48" customFormat="false" ht="15" hidden="false" customHeight="true" outlineLevel="0" collapsed="false">
      <c r="A48" s="8" t="n">
        <v>2018</v>
      </c>
      <c r="B48" s="8" t="s">
        <v>150</v>
      </c>
      <c r="C48" s="8" t="s">
        <v>139</v>
      </c>
      <c r="D48" s="8" t="n">
        <v>-0.1529</v>
      </c>
      <c r="E48" s="8" t="n">
        <v>504</v>
      </c>
      <c r="F48" s="8" t="n">
        <v>659</v>
      </c>
      <c r="G48" s="8" t="n">
        <f aca="false">E48+F48</f>
        <v>1163</v>
      </c>
      <c r="H48" s="9" t="n">
        <f aca="false">E48/G48</f>
        <v>0.433361994840929</v>
      </c>
    </row>
    <row r="49" customFormat="false" ht="15" hidden="false" customHeight="true" outlineLevel="0" collapsed="false">
      <c r="A49" s="8" t="n">
        <v>2020</v>
      </c>
      <c r="B49" s="8" t="s">
        <v>150</v>
      </c>
      <c r="C49" s="8" t="s">
        <v>139</v>
      </c>
      <c r="D49" s="8" t="n">
        <v>-0.1529</v>
      </c>
      <c r="E49" s="8" t="n">
        <v>771</v>
      </c>
      <c r="F49" s="8" t="n">
        <v>1123</v>
      </c>
      <c r="G49" s="8" t="n">
        <f aca="false">E49+F49</f>
        <v>1894</v>
      </c>
      <c r="H49" s="9" t="n">
        <f aca="false">E49/G49</f>
        <v>0.407074973600845</v>
      </c>
    </row>
    <row r="50" customFormat="false" ht="15" hidden="false" customHeight="true" outlineLevel="0" collapsed="false">
      <c r="A50" s="8" t="n">
        <v>2022</v>
      </c>
      <c r="B50" s="8" t="s">
        <v>150</v>
      </c>
      <c r="C50" s="8" t="s">
        <v>139</v>
      </c>
      <c r="D50" s="8" t="n">
        <v>-0.1529</v>
      </c>
      <c r="E50" s="8" t="n">
        <v>659</v>
      </c>
      <c r="F50" s="8" t="n">
        <v>856</v>
      </c>
      <c r="G50" s="8" t="n">
        <f aca="false">E50+F50</f>
        <v>1515</v>
      </c>
      <c r="H50" s="9" t="n">
        <f aca="false">E50/G50</f>
        <v>0.434983498349835</v>
      </c>
    </row>
    <row r="51" customFormat="false" ht="15" hidden="false" customHeight="true" outlineLevel="0" collapsed="false">
      <c r="A51" s="8" t="n">
        <v>2024</v>
      </c>
      <c r="B51" s="8" t="s">
        <v>150</v>
      </c>
      <c r="C51" s="8" t="s">
        <v>139</v>
      </c>
      <c r="D51" s="8" t="n">
        <v>-0.1529</v>
      </c>
      <c r="E51" s="8" t="n">
        <v>960</v>
      </c>
      <c r="F51" s="8" t="n">
        <v>1359</v>
      </c>
      <c r="G51" s="8" t="n">
        <f aca="false">E51+F51</f>
        <v>2319</v>
      </c>
      <c r="H51" s="9" t="n">
        <f aca="false">E51/G51</f>
        <v>0.413971539456662</v>
      </c>
    </row>
    <row r="52" customFormat="false" ht="15" hidden="false" customHeight="true" outlineLevel="0" collapsed="false">
      <c r="A52" s="8" t="n">
        <v>2018</v>
      </c>
      <c r="B52" s="8" t="s">
        <v>151</v>
      </c>
      <c r="C52" s="8" t="s">
        <v>139</v>
      </c>
      <c r="D52" s="8" t="n">
        <v>-0.3117</v>
      </c>
      <c r="E52" s="8" t="n">
        <v>320</v>
      </c>
      <c r="F52" s="8" t="n">
        <v>591</v>
      </c>
      <c r="G52" s="8" t="n">
        <f aca="false">E52+F52</f>
        <v>911</v>
      </c>
      <c r="H52" s="9" t="n">
        <f aca="false">E52/G52</f>
        <v>0.351262349066959</v>
      </c>
    </row>
    <row r="53" customFormat="false" ht="15" hidden="false" customHeight="true" outlineLevel="0" collapsed="false">
      <c r="A53" s="8" t="n">
        <v>2020</v>
      </c>
      <c r="B53" s="8" t="s">
        <v>151</v>
      </c>
      <c r="C53" s="8" t="s">
        <v>139</v>
      </c>
      <c r="D53" s="8" t="n">
        <v>-0.3117</v>
      </c>
      <c r="E53" s="8" t="n">
        <v>458</v>
      </c>
      <c r="F53" s="8" t="n">
        <v>960</v>
      </c>
      <c r="G53" s="8" t="n">
        <f aca="false">E53+F53</f>
        <v>1418</v>
      </c>
      <c r="H53" s="9" t="n">
        <f aca="false">E53/G53</f>
        <v>0.322990126939351</v>
      </c>
    </row>
    <row r="54" customFormat="false" ht="15" hidden="false" customHeight="true" outlineLevel="0" collapsed="false">
      <c r="A54" s="8" t="n">
        <v>2022</v>
      </c>
      <c r="B54" s="8" t="s">
        <v>151</v>
      </c>
      <c r="C54" s="8" t="s">
        <v>139</v>
      </c>
      <c r="D54" s="8" t="n">
        <v>-0.3117</v>
      </c>
      <c r="E54" s="8" t="n">
        <v>440</v>
      </c>
      <c r="F54" s="8" t="n">
        <v>796</v>
      </c>
      <c r="G54" s="8" t="n">
        <f aca="false">E54+F54</f>
        <v>1236</v>
      </c>
      <c r="H54" s="9" t="n">
        <f aca="false">E54/G54</f>
        <v>0.355987055016181</v>
      </c>
    </row>
    <row r="55" customFormat="false" ht="15" hidden="false" customHeight="true" outlineLevel="0" collapsed="false">
      <c r="A55" s="8" t="n">
        <v>2024</v>
      </c>
      <c r="B55" s="8" t="s">
        <v>151</v>
      </c>
      <c r="C55" s="8" t="s">
        <v>139</v>
      </c>
      <c r="D55" s="8" t="n">
        <v>-0.3117</v>
      </c>
      <c r="E55" s="8" t="n">
        <v>561</v>
      </c>
      <c r="F55" s="8" t="n">
        <v>1108</v>
      </c>
      <c r="G55" s="8" t="n">
        <f aca="false">E55+F55</f>
        <v>1669</v>
      </c>
      <c r="H55" s="9" t="n">
        <f aca="false">E55/G55</f>
        <v>0.336129418813661</v>
      </c>
    </row>
    <row r="56" customFormat="false" ht="15" hidden="false" customHeight="true" outlineLevel="0" collapsed="false">
      <c r="A56" s="8" t="n">
        <v>2018</v>
      </c>
      <c r="B56" s="8" t="s">
        <v>152</v>
      </c>
      <c r="C56" s="8" t="s">
        <v>139</v>
      </c>
      <c r="D56" s="8" t="n">
        <v>-0.3487</v>
      </c>
      <c r="E56" s="8" t="n">
        <v>419</v>
      </c>
      <c r="F56" s="8" t="n">
        <v>841</v>
      </c>
      <c r="G56" s="8" t="n">
        <f aca="false">E56+F56</f>
        <v>1260</v>
      </c>
      <c r="H56" s="9" t="n">
        <f aca="false">E56/G56</f>
        <v>0.332539682539683</v>
      </c>
    </row>
    <row r="57" customFormat="false" ht="15" hidden="false" customHeight="true" outlineLevel="0" collapsed="false">
      <c r="A57" s="8" t="n">
        <v>2020</v>
      </c>
      <c r="B57" s="8" t="s">
        <v>152</v>
      </c>
      <c r="C57" s="8" t="s">
        <v>139</v>
      </c>
      <c r="D57" s="8" t="n">
        <v>-0.3487</v>
      </c>
      <c r="E57" s="8" t="n">
        <v>574</v>
      </c>
      <c r="F57" s="8" t="n">
        <v>1318</v>
      </c>
      <c r="G57" s="8" t="n">
        <f aca="false">E57+F57</f>
        <v>1892</v>
      </c>
      <c r="H57" s="9" t="n">
        <f aca="false">E57/G57</f>
        <v>0.30338266384778</v>
      </c>
    </row>
    <row r="58" customFormat="false" ht="15" hidden="false" customHeight="true" outlineLevel="0" collapsed="false">
      <c r="A58" s="8" t="n">
        <v>2022</v>
      </c>
      <c r="B58" s="8" t="s">
        <v>152</v>
      </c>
      <c r="C58" s="8" t="s">
        <v>139</v>
      </c>
      <c r="D58" s="8" t="n">
        <v>-0.3487</v>
      </c>
      <c r="E58" s="8" t="n">
        <v>557</v>
      </c>
      <c r="F58" s="8" t="n">
        <v>1095</v>
      </c>
      <c r="G58" s="8" t="n">
        <f aca="false">E58+F58</f>
        <v>1652</v>
      </c>
      <c r="H58" s="9" t="n">
        <f aca="false">E58/G58</f>
        <v>0.337167070217918</v>
      </c>
    </row>
    <row r="59" customFormat="false" ht="15" hidden="false" customHeight="true" outlineLevel="0" collapsed="false">
      <c r="A59" s="8" t="n">
        <v>2024</v>
      </c>
      <c r="B59" s="8" t="s">
        <v>152</v>
      </c>
      <c r="C59" s="8" t="s">
        <v>139</v>
      </c>
      <c r="D59" s="8" t="n">
        <v>-0.3487</v>
      </c>
      <c r="E59" s="8" t="n">
        <v>735</v>
      </c>
      <c r="F59" s="8" t="n">
        <v>1575</v>
      </c>
      <c r="G59" s="8" t="n">
        <f aca="false">E59+F59</f>
        <v>2310</v>
      </c>
      <c r="H59" s="9" t="n">
        <f aca="false">E59/G59</f>
        <v>0.318181818181818</v>
      </c>
    </row>
    <row r="60" customFormat="false" ht="15" hidden="false" customHeight="true" outlineLevel="0" collapsed="false">
      <c r="A60" s="8" t="n">
        <v>2018</v>
      </c>
      <c r="B60" s="8" t="s">
        <v>153</v>
      </c>
      <c r="C60" s="8" t="s">
        <v>139</v>
      </c>
      <c r="D60" s="8" t="n">
        <v>-0.0922</v>
      </c>
      <c r="E60" s="8" t="n">
        <v>374</v>
      </c>
      <c r="F60" s="8" t="n">
        <v>430</v>
      </c>
      <c r="G60" s="8" t="n">
        <f aca="false">E60+F60</f>
        <v>804</v>
      </c>
      <c r="H60" s="9" t="n">
        <f aca="false">E60/G60</f>
        <v>0.465174129353234</v>
      </c>
    </row>
    <row r="61" customFormat="false" ht="15" hidden="false" customHeight="true" outlineLevel="0" collapsed="false">
      <c r="A61" s="8" t="n">
        <v>2020</v>
      </c>
      <c r="B61" s="8" t="s">
        <v>153</v>
      </c>
      <c r="C61" s="8" t="s">
        <v>139</v>
      </c>
      <c r="D61" s="8" t="n">
        <v>-0.0922</v>
      </c>
      <c r="E61" s="8" t="n">
        <v>539</v>
      </c>
      <c r="F61" s="8" t="n">
        <v>689</v>
      </c>
      <c r="G61" s="8" t="n">
        <f aca="false">E61+F61</f>
        <v>1228</v>
      </c>
      <c r="H61" s="9" t="n">
        <f aca="false">E61/G61</f>
        <v>0.438925081433225</v>
      </c>
    </row>
    <row r="62" customFormat="false" ht="15" hidden="false" customHeight="true" outlineLevel="0" collapsed="false">
      <c r="A62" s="8" t="n">
        <v>2022</v>
      </c>
      <c r="B62" s="8" t="s">
        <v>153</v>
      </c>
      <c r="C62" s="8" t="s">
        <v>139</v>
      </c>
      <c r="D62" s="8" t="n">
        <v>-0.0922</v>
      </c>
      <c r="E62" s="8" t="n">
        <v>497</v>
      </c>
      <c r="F62" s="8" t="n">
        <v>571</v>
      </c>
      <c r="G62" s="8" t="n">
        <f aca="false">E62+F62</f>
        <v>1068</v>
      </c>
      <c r="H62" s="9" t="n">
        <f aca="false">E62/G62</f>
        <v>0.465355805243446</v>
      </c>
    </row>
    <row r="63" customFormat="false" ht="15" hidden="false" customHeight="true" outlineLevel="0" collapsed="false">
      <c r="A63" s="8" t="n">
        <v>2024</v>
      </c>
      <c r="B63" s="8" t="s">
        <v>153</v>
      </c>
      <c r="C63" s="8" t="s">
        <v>139</v>
      </c>
      <c r="D63" s="8" t="n">
        <v>-0.0922</v>
      </c>
      <c r="E63" s="8" t="n">
        <v>669</v>
      </c>
      <c r="F63" s="8" t="n">
        <v>838</v>
      </c>
      <c r="G63" s="8" t="n">
        <f aca="false">E63+F63</f>
        <v>1507</v>
      </c>
      <c r="H63" s="9" t="n">
        <f aca="false">E63/G63</f>
        <v>0.443928334439283</v>
      </c>
    </row>
    <row r="64" customFormat="false" ht="15" hidden="false" customHeight="true" outlineLevel="0" collapsed="false">
      <c r="A64" s="8" t="n">
        <v>2018</v>
      </c>
      <c r="B64" s="8" t="s">
        <v>154</v>
      </c>
      <c r="C64" s="8" t="s">
        <v>139</v>
      </c>
      <c r="D64" s="8" t="n">
        <v>-0.5241</v>
      </c>
      <c r="E64" s="8" t="n">
        <v>103</v>
      </c>
      <c r="F64" s="8" t="n">
        <v>325</v>
      </c>
      <c r="G64" s="8" t="n">
        <f aca="false">E64+F64</f>
        <v>428</v>
      </c>
      <c r="H64" s="9" t="n">
        <f aca="false">E64/G64</f>
        <v>0.240654205607477</v>
      </c>
    </row>
    <row r="65" customFormat="false" ht="15" hidden="false" customHeight="true" outlineLevel="0" collapsed="false">
      <c r="A65" s="8" t="n">
        <v>2020</v>
      </c>
      <c r="B65" s="8" t="s">
        <v>154</v>
      </c>
      <c r="C65" s="8" t="s">
        <v>139</v>
      </c>
      <c r="D65" s="8" t="n">
        <v>-0.5241</v>
      </c>
      <c r="E65" s="8" t="n">
        <v>122</v>
      </c>
      <c r="F65" s="8" t="n">
        <v>458</v>
      </c>
      <c r="G65" s="8" t="n">
        <f aca="false">E65+F65</f>
        <v>580</v>
      </c>
      <c r="H65" s="9" t="n">
        <f aca="false">E65/G65</f>
        <v>0.210344827586207</v>
      </c>
    </row>
    <row r="66" customFormat="false" ht="15" hidden="false" customHeight="true" outlineLevel="0" collapsed="false">
      <c r="A66" s="8" t="n">
        <v>2022</v>
      </c>
      <c r="B66" s="8" t="s">
        <v>154</v>
      </c>
      <c r="C66" s="8" t="s">
        <v>139</v>
      </c>
      <c r="D66" s="8" t="n">
        <v>-0.5241</v>
      </c>
      <c r="E66" s="8" t="n">
        <v>127</v>
      </c>
      <c r="F66" s="8" t="n">
        <v>382</v>
      </c>
      <c r="G66" s="8" t="n">
        <f aca="false">E66+F66</f>
        <v>509</v>
      </c>
      <c r="H66" s="9" t="n">
        <f aca="false">E66/G66</f>
        <v>0.24950884086444</v>
      </c>
    </row>
    <row r="67" customFormat="false" ht="15" hidden="false" customHeight="true" outlineLevel="0" collapsed="false">
      <c r="A67" s="8" t="n">
        <v>2024</v>
      </c>
      <c r="B67" s="8" t="s">
        <v>154</v>
      </c>
      <c r="C67" s="8" t="s">
        <v>139</v>
      </c>
      <c r="D67" s="8" t="n">
        <v>-0.5241</v>
      </c>
      <c r="E67" s="8" t="n">
        <v>145</v>
      </c>
      <c r="F67" s="8" t="n">
        <v>481</v>
      </c>
      <c r="G67" s="8" t="n">
        <f aca="false">E67+F67</f>
        <v>626</v>
      </c>
      <c r="H67" s="9" t="n">
        <f aca="false">E67/G67</f>
        <v>0.231629392971246</v>
      </c>
    </row>
    <row r="68" customFormat="false" ht="15" hidden="false" customHeight="true" outlineLevel="0" collapsed="false">
      <c r="A68" s="8" t="n">
        <v>2018</v>
      </c>
      <c r="B68" s="8" t="s">
        <v>155</v>
      </c>
      <c r="C68" s="8" t="s">
        <v>139</v>
      </c>
      <c r="D68" s="8" t="n">
        <v>-0.1615</v>
      </c>
      <c r="E68" s="8" t="n">
        <v>541</v>
      </c>
      <c r="F68" s="8" t="n">
        <v>719</v>
      </c>
      <c r="G68" s="8" t="n">
        <f aca="false">E68+F68</f>
        <v>1260</v>
      </c>
      <c r="H68" s="9" t="n">
        <f aca="false">E68/G68</f>
        <v>0.429365079365079</v>
      </c>
    </row>
    <row r="69" customFormat="false" ht="15" hidden="false" customHeight="true" outlineLevel="0" collapsed="false">
      <c r="A69" s="8" t="n">
        <v>2020</v>
      </c>
      <c r="B69" s="8" t="s">
        <v>155</v>
      </c>
      <c r="C69" s="8" t="s">
        <v>139</v>
      </c>
      <c r="D69" s="8" t="n">
        <v>-0.1615</v>
      </c>
      <c r="E69" s="8" t="n">
        <v>844</v>
      </c>
      <c r="F69" s="8" t="n">
        <v>1253</v>
      </c>
      <c r="G69" s="8" t="n">
        <f aca="false">E69+F69</f>
        <v>2097</v>
      </c>
      <c r="H69" s="9" t="n">
        <f aca="false">E69/G69</f>
        <v>0.402479732951836</v>
      </c>
    </row>
    <row r="70" customFormat="false" ht="15" hidden="false" customHeight="true" outlineLevel="0" collapsed="false">
      <c r="A70" s="8" t="n">
        <v>2022</v>
      </c>
      <c r="B70" s="8" t="s">
        <v>155</v>
      </c>
      <c r="C70" s="8" t="s">
        <v>139</v>
      </c>
      <c r="D70" s="8" t="n">
        <v>-0.1615</v>
      </c>
      <c r="E70" s="8" t="n">
        <v>735</v>
      </c>
      <c r="F70" s="8" t="n">
        <v>971</v>
      </c>
      <c r="G70" s="8" t="n">
        <f aca="false">E70+F70</f>
        <v>1706</v>
      </c>
      <c r="H70" s="9" t="n">
        <f aca="false">E70/G70</f>
        <v>0.430832356389215</v>
      </c>
    </row>
    <row r="71" customFormat="false" ht="15" hidden="false" customHeight="true" outlineLevel="0" collapsed="false">
      <c r="A71" s="8" t="n">
        <v>2024</v>
      </c>
      <c r="B71" s="8" t="s">
        <v>155</v>
      </c>
      <c r="C71" s="8" t="s">
        <v>139</v>
      </c>
      <c r="D71" s="8" t="n">
        <v>-0.1615</v>
      </c>
      <c r="E71" s="8" t="n">
        <v>1058</v>
      </c>
      <c r="F71" s="8" t="n">
        <v>1523</v>
      </c>
      <c r="G71" s="8" t="n">
        <f aca="false">E71+F71</f>
        <v>2581</v>
      </c>
      <c r="H71" s="9" t="n">
        <f aca="false">E71/G71</f>
        <v>0.409918636187524</v>
      </c>
    </row>
    <row r="72" customFormat="false" ht="15" hidden="false" customHeight="true" outlineLevel="0" collapsed="false">
      <c r="A72" s="8" t="n">
        <v>2018</v>
      </c>
      <c r="B72" s="8" t="s">
        <v>156</v>
      </c>
      <c r="C72" s="8" t="s">
        <v>139</v>
      </c>
      <c r="D72" s="8" t="n">
        <v>-0.2345</v>
      </c>
      <c r="E72" s="8" t="n">
        <v>51</v>
      </c>
      <c r="F72" s="8" t="n">
        <v>79</v>
      </c>
      <c r="G72" s="8" t="n">
        <f aca="false">E72+F72</f>
        <v>130</v>
      </c>
      <c r="H72" s="9" t="n">
        <f aca="false">E72/G72</f>
        <v>0.392307692307692</v>
      </c>
    </row>
    <row r="73" customFormat="false" ht="15" hidden="false" customHeight="true" outlineLevel="0" collapsed="false">
      <c r="A73" s="8" t="n">
        <v>2020</v>
      </c>
      <c r="B73" s="8" t="s">
        <v>156</v>
      </c>
      <c r="C73" s="8" t="s">
        <v>139</v>
      </c>
      <c r="D73" s="8" t="n">
        <v>-0.2345</v>
      </c>
      <c r="E73" s="8" t="n">
        <v>72</v>
      </c>
      <c r="F73" s="8" t="n">
        <v>125</v>
      </c>
      <c r="G73" s="8" t="n">
        <f aca="false">E73+F73</f>
        <v>197</v>
      </c>
      <c r="H73" s="9" t="n">
        <f aca="false">E73/G73</f>
        <v>0.365482233502538</v>
      </c>
    </row>
    <row r="74" customFormat="false" ht="15" hidden="false" customHeight="true" outlineLevel="0" collapsed="false">
      <c r="A74" s="8" t="n">
        <v>2022</v>
      </c>
      <c r="B74" s="8" t="s">
        <v>156</v>
      </c>
      <c r="C74" s="8" t="s">
        <v>139</v>
      </c>
      <c r="D74" s="8" t="n">
        <v>-0.2345</v>
      </c>
      <c r="E74" s="8" t="n">
        <v>69</v>
      </c>
      <c r="F74" s="8" t="n">
        <v>105</v>
      </c>
      <c r="G74" s="8" t="n">
        <f aca="false">E74+F74</f>
        <v>174</v>
      </c>
      <c r="H74" s="9" t="n">
        <f aca="false">E74/G74</f>
        <v>0.396551724137931</v>
      </c>
    </row>
    <row r="75" customFormat="false" ht="15" hidden="false" customHeight="true" outlineLevel="0" collapsed="false">
      <c r="A75" s="8" t="n">
        <v>2024</v>
      </c>
      <c r="B75" s="8" t="s">
        <v>156</v>
      </c>
      <c r="C75" s="8" t="s">
        <v>139</v>
      </c>
      <c r="D75" s="8" t="n">
        <v>-0.2345</v>
      </c>
      <c r="E75" s="8" t="n">
        <v>85</v>
      </c>
      <c r="F75" s="8" t="n">
        <v>141</v>
      </c>
      <c r="G75" s="8" t="n">
        <f aca="false">E75+F75</f>
        <v>226</v>
      </c>
      <c r="H75" s="9" t="n">
        <f aca="false">E75/G75</f>
        <v>0.376106194690265</v>
      </c>
    </row>
    <row r="76" customFormat="false" ht="15" hidden="false" customHeight="true" outlineLevel="0" collapsed="false">
      <c r="A76" s="8" t="n">
        <v>2018</v>
      </c>
      <c r="B76" s="8" t="s">
        <v>157</v>
      </c>
      <c r="C76" s="8" t="s">
        <v>139</v>
      </c>
      <c r="D76" s="8" t="n">
        <v>-0.1988</v>
      </c>
      <c r="E76" s="8" t="n">
        <v>1073</v>
      </c>
      <c r="F76" s="8" t="n">
        <v>1547</v>
      </c>
      <c r="G76" s="8" t="n">
        <f aca="false">E76+F76</f>
        <v>2620</v>
      </c>
      <c r="H76" s="9" t="n">
        <f aca="false">E76/G76</f>
        <v>0.409541984732824</v>
      </c>
    </row>
    <row r="77" customFormat="false" ht="15" hidden="false" customHeight="true" outlineLevel="0" collapsed="false">
      <c r="A77" s="8" t="n">
        <v>2020</v>
      </c>
      <c r="B77" s="8" t="s">
        <v>157</v>
      </c>
      <c r="C77" s="8" t="s">
        <v>139</v>
      </c>
      <c r="D77" s="8" t="n">
        <v>-0.1988</v>
      </c>
      <c r="E77" s="8" t="n">
        <v>1665</v>
      </c>
      <c r="F77" s="8" t="n">
        <v>2684</v>
      </c>
      <c r="G77" s="8" t="n">
        <f aca="false">E77+F77</f>
        <v>4349</v>
      </c>
      <c r="H77" s="9" t="n">
        <f aca="false">E77/G77</f>
        <v>0.382846631409519</v>
      </c>
    </row>
    <row r="78" customFormat="false" ht="15" hidden="false" customHeight="true" outlineLevel="0" collapsed="false">
      <c r="A78" s="8" t="n">
        <v>2022</v>
      </c>
      <c r="B78" s="8" t="s">
        <v>157</v>
      </c>
      <c r="C78" s="8" t="s">
        <v>139</v>
      </c>
      <c r="D78" s="8" t="n">
        <v>-0.1988</v>
      </c>
      <c r="E78" s="8" t="n">
        <v>1602</v>
      </c>
      <c r="F78" s="8" t="n">
        <v>2286</v>
      </c>
      <c r="G78" s="8" t="n">
        <f aca="false">E78+F78</f>
        <v>3888</v>
      </c>
      <c r="H78" s="9" t="n">
        <f aca="false">E78/G78</f>
        <v>0.412037037037037</v>
      </c>
    </row>
    <row r="79" customFormat="false" ht="15" hidden="false" customHeight="true" outlineLevel="0" collapsed="false">
      <c r="A79" s="8" t="n">
        <v>2024</v>
      </c>
      <c r="B79" s="8" t="s">
        <v>157</v>
      </c>
      <c r="C79" s="8" t="s">
        <v>139</v>
      </c>
      <c r="D79" s="8" t="n">
        <v>-0.1988</v>
      </c>
      <c r="E79" s="8" t="n">
        <v>2201</v>
      </c>
      <c r="F79" s="8" t="n">
        <v>3420</v>
      </c>
      <c r="G79" s="8" t="n">
        <f aca="false">E79+F79</f>
        <v>5621</v>
      </c>
      <c r="H79" s="9" t="n">
        <f aca="false">E79/G79</f>
        <v>0.391567336772816</v>
      </c>
    </row>
    <row r="80" customFormat="false" ht="15" hidden="false" customHeight="true" outlineLevel="0" collapsed="false">
      <c r="A80" s="8" t="n">
        <v>2018</v>
      </c>
      <c r="B80" s="8" t="s">
        <v>158</v>
      </c>
      <c r="C80" s="8" t="s">
        <v>139</v>
      </c>
      <c r="D80" s="8" t="n">
        <v>-0.0164</v>
      </c>
      <c r="E80" s="8" t="n">
        <v>448</v>
      </c>
      <c r="F80" s="8" t="n">
        <v>441</v>
      </c>
      <c r="G80" s="8" t="n">
        <f aca="false">E80+F80</f>
        <v>889</v>
      </c>
      <c r="H80" s="9" t="n">
        <f aca="false">E80/G80</f>
        <v>0.503937007874016</v>
      </c>
    </row>
    <row r="81" customFormat="false" ht="15" hidden="false" customHeight="true" outlineLevel="0" collapsed="false">
      <c r="A81" s="8" t="n">
        <v>2020</v>
      </c>
      <c r="B81" s="8" t="s">
        <v>158</v>
      </c>
      <c r="C81" s="8" t="s">
        <v>139</v>
      </c>
      <c r="D81" s="8" t="n">
        <v>-0.0164</v>
      </c>
      <c r="E81" s="8" t="n">
        <v>622</v>
      </c>
      <c r="F81" s="8" t="n">
        <v>675</v>
      </c>
      <c r="G81" s="8" t="n">
        <f aca="false">E81+F81</f>
        <v>1297</v>
      </c>
      <c r="H81" s="9" t="n">
        <f aca="false">E81/G81</f>
        <v>0.479568234387047</v>
      </c>
    </row>
    <row r="82" customFormat="false" ht="15" hidden="false" customHeight="true" outlineLevel="0" collapsed="false">
      <c r="A82" s="8" t="n">
        <v>2022</v>
      </c>
      <c r="B82" s="8" t="s">
        <v>158</v>
      </c>
      <c r="C82" s="8" t="s">
        <v>139</v>
      </c>
      <c r="D82" s="8" t="n">
        <v>-0.0164</v>
      </c>
      <c r="E82" s="8" t="n">
        <v>570</v>
      </c>
      <c r="F82" s="8" t="n">
        <v>563</v>
      </c>
      <c r="G82" s="8" t="n">
        <f aca="false">E82+F82</f>
        <v>1133</v>
      </c>
      <c r="H82" s="9" t="n">
        <f aca="false">E82/G82</f>
        <v>0.503089143865843</v>
      </c>
    </row>
    <row r="83" customFormat="false" ht="15" hidden="false" customHeight="true" outlineLevel="0" collapsed="false">
      <c r="A83" s="8" t="n">
        <v>2024</v>
      </c>
      <c r="B83" s="8" t="s">
        <v>158</v>
      </c>
      <c r="C83" s="8" t="s">
        <v>139</v>
      </c>
      <c r="D83" s="8" t="n">
        <v>-0.0164</v>
      </c>
      <c r="E83" s="8" t="n">
        <v>734</v>
      </c>
      <c r="F83" s="8" t="n">
        <v>793</v>
      </c>
      <c r="G83" s="8" t="n">
        <f aca="false">E83+F83</f>
        <v>1527</v>
      </c>
      <c r="H83" s="9" t="n">
        <f aca="false">E83/G83</f>
        <v>0.48068107400131</v>
      </c>
    </row>
    <row r="84" customFormat="false" ht="15" hidden="false" customHeight="true" outlineLevel="0" collapsed="false">
      <c r="A84" s="8" t="n">
        <v>2018</v>
      </c>
      <c r="B84" s="8" t="s">
        <v>159</v>
      </c>
      <c r="C84" s="8" t="s">
        <v>139</v>
      </c>
      <c r="D84" s="8" t="n">
        <v>-0.3354</v>
      </c>
      <c r="E84" s="8" t="n">
        <v>494</v>
      </c>
      <c r="F84" s="8" t="n">
        <v>961</v>
      </c>
      <c r="G84" s="8" t="n">
        <f aca="false">E84+F84</f>
        <v>1455</v>
      </c>
      <c r="H84" s="9" t="n">
        <f aca="false">E84/G84</f>
        <v>0.339518900343643</v>
      </c>
    </row>
    <row r="85" customFormat="false" ht="15" hidden="false" customHeight="true" outlineLevel="0" collapsed="false">
      <c r="A85" s="8" t="n">
        <v>2020</v>
      </c>
      <c r="B85" s="8" t="s">
        <v>159</v>
      </c>
      <c r="C85" s="8" t="s">
        <v>139</v>
      </c>
      <c r="D85" s="8" t="n">
        <v>-0.3354</v>
      </c>
      <c r="E85" s="8" t="n">
        <v>702</v>
      </c>
      <c r="F85" s="8" t="n">
        <v>1558</v>
      </c>
      <c r="G85" s="8" t="n">
        <f aca="false">E85+F85</f>
        <v>2260</v>
      </c>
      <c r="H85" s="9" t="n">
        <f aca="false">E85/G85</f>
        <v>0.310619469026549</v>
      </c>
    </row>
    <row r="86" customFormat="false" ht="15" hidden="false" customHeight="true" outlineLevel="0" collapsed="false">
      <c r="A86" s="8" t="n">
        <v>2022</v>
      </c>
      <c r="B86" s="8" t="s">
        <v>159</v>
      </c>
      <c r="C86" s="8" t="s">
        <v>139</v>
      </c>
      <c r="D86" s="8" t="n">
        <v>-0.3354</v>
      </c>
      <c r="E86" s="8" t="n">
        <v>683</v>
      </c>
      <c r="F86" s="8" t="n">
        <v>1302</v>
      </c>
      <c r="G86" s="8" t="n">
        <f aca="false">E86+F86</f>
        <v>1985</v>
      </c>
      <c r="H86" s="9" t="n">
        <f aca="false">E86/G86</f>
        <v>0.344080604534005</v>
      </c>
    </row>
    <row r="87" customFormat="false" ht="15" hidden="false" customHeight="true" outlineLevel="0" collapsed="false">
      <c r="A87" s="8" t="n">
        <v>2024</v>
      </c>
      <c r="B87" s="8" t="s">
        <v>159</v>
      </c>
      <c r="C87" s="8" t="s">
        <v>139</v>
      </c>
      <c r="D87" s="8" t="n">
        <v>-0.3354</v>
      </c>
      <c r="E87" s="8" t="n">
        <v>869</v>
      </c>
      <c r="F87" s="8" t="n">
        <v>1807</v>
      </c>
      <c r="G87" s="8" t="n">
        <f aca="false">E87+F87</f>
        <v>2676</v>
      </c>
      <c r="H87" s="9" t="n">
        <f aca="false">E87/G87</f>
        <v>0.32473841554559</v>
      </c>
    </row>
    <row r="88" customFormat="false" ht="15" hidden="false" customHeight="true" outlineLevel="0" collapsed="false">
      <c r="A88" s="8" t="n">
        <v>2018</v>
      </c>
      <c r="B88" s="8" t="s">
        <v>160</v>
      </c>
      <c r="C88" s="8" t="s">
        <v>139</v>
      </c>
      <c r="D88" s="8" t="n">
        <v>-0.2992</v>
      </c>
      <c r="E88" s="8" t="n">
        <v>232</v>
      </c>
      <c r="F88" s="8" t="n">
        <v>415</v>
      </c>
      <c r="G88" s="8" t="n">
        <f aca="false">E88+F88</f>
        <v>647</v>
      </c>
      <c r="H88" s="9" t="n">
        <f aca="false">E88/G88</f>
        <v>0.358578052550232</v>
      </c>
    </row>
    <row r="89" customFormat="false" ht="15" hidden="false" customHeight="true" outlineLevel="0" collapsed="false">
      <c r="A89" s="8" t="n">
        <v>2020</v>
      </c>
      <c r="B89" s="8" t="s">
        <v>160</v>
      </c>
      <c r="C89" s="8" t="s">
        <v>139</v>
      </c>
      <c r="D89" s="8" t="n">
        <v>-0.2992</v>
      </c>
      <c r="E89" s="8" t="n">
        <v>325</v>
      </c>
      <c r="F89" s="8" t="n">
        <v>661</v>
      </c>
      <c r="G89" s="8" t="n">
        <f aca="false">E89+F89</f>
        <v>986</v>
      </c>
      <c r="H89" s="9" t="n">
        <f aca="false">E89/G89</f>
        <v>0.329614604462475</v>
      </c>
    </row>
    <row r="90" customFormat="false" ht="15" hidden="false" customHeight="true" outlineLevel="0" collapsed="false">
      <c r="A90" s="8" t="n">
        <v>2022</v>
      </c>
      <c r="B90" s="8" t="s">
        <v>160</v>
      </c>
      <c r="C90" s="8" t="s">
        <v>139</v>
      </c>
      <c r="D90" s="8" t="n">
        <v>-0.2992</v>
      </c>
      <c r="E90" s="8" t="n">
        <v>296</v>
      </c>
      <c r="F90" s="8" t="n">
        <v>522</v>
      </c>
      <c r="G90" s="8" t="n">
        <f aca="false">E90+F90</f>
        <v>818</v>
      </c>
      <c r="H90" s="9" t="n">
        <f aca="false">E90/G90</f>
        <v>0.361858190709046</v>
      </c>
    </row>
    <row r="91" customFormat="false" ht="15" hidden="false" customHeight="true" outlineLevel="0" collapsed="false">
      <c r="A91" s="8" t="n">
        <v>2024</v>
      </c>
      <c r="B91" s="8" t="s">
        <v>160</v>
      </c>
      <c r="C91" s="8" t="s">
        <v>139</v>
      </c>
      <c r="D91" s="8" t="n">
        <v>-0.2992</v>
      </c>
      <c r="E91" s="8" t="n">
        <v>403</v>
      </c>
      <c r="F91" s="8" t="n">
        <v>775</v>
      </c>
      <c r="G91" s="8" t="n">
        <f aca="false">E91+F91</f>
        <v>1178</v>
      </c>
      <c r="H91" s="9" t="n">
        <f aca="false">E91/G91</f>
        <v>0.342105263157895</v>
      </c>
    </row>
    <row r="92" customFormat="false" ht="15" hidden="false" customHeight="true" outlineLevel="0" collapsed="false">
      <c r="A92" s="8" t="n">
        <v>2018</v>
      </c>
      <c r="B92" s="8" t="s">
        <v>161</v>
      </c>
      <c r="C92" s="8" t="s">
        <v>139</v>
      </c>
      <c r="D92" s="8" t="n">
        <v>-0.177</v>
      </c>
      <c r="E92" s="8" t="n">
        <v>29</v>
      </c>
      <c r="F92" s="8" t="n">
        <v>41</v>
      </c>
      <c r="G92" s="8" t="n">
        <f aca="false">E92+F92</f>
        <v>70</v>
      </c>
      <c r="H92" s="9" t="n">
        <f aca="false">E92/G92</f>
        <v>0.414285714285714</v>
      </c>
    </row>
    <row r="93" customFormat="false" ht="15" hidden="false" customHeight="true" outlineLevel="0" collapsed="false">
      <c r="A93" s="8" t="n">
        <v>2020</v>
      </c>
      <c r="B93" s="8" t="s">
        <v>161</v>
      </c>
      <c r="C93" s="8" t="s">
        <v>139</v>
      </c>
      <c r="D93" s="8" t="n">
        <v>-0.177</v>
      </c>
      <c r="E93" s="8" t="n">
        <v>47</v>
      </c>
      <c r="F93" s="8" t="n">
        <v>71</v>
      </c>
      <c r="G93" s="8" t="n">
        <f aca="false">E93+F93</f>
        <v>118</v>
      </c>
      <c r="H93" s="9" t="n">
        <f aca="false">E93/G93</f>
        <v>0.398305084745763</v>
      </c>
    </row>
    <row r="94" customFormat="false" ht="15" hidden="false" customHeight="true" outlineLevel="0" collapsed="false">
      <c r="A94" s="8" t="n">
        <v>2022</v>
      </c>
      <c r="B94" s="8" t="s">
        <v>161</v>
      </c>
      <c r="C94" s="8" t="s">
        <v>139</v>
      </c>
      <c r="D94" s="8" t="n">
        <v>-0.177</v>
      </c>
      <c r="E94" s="8" t="n">
        <v>42</v>
      </c>
      <c r="F94" s="8" t="n">
        <v>57</v>
      </c>
      <c r="G94" s="8" t="n">
        <f aca="false">E94+F94</f>
        <v>99</v>
      </c>
      <c r="H94" s="9" t="n">
        <f aca="false">E94/G94</f>
        <v>0.424242424242424</v>
      </c>
    </row>
    <row r="95" customFormat="false" ht="15" hidden="false" customHeight="true" outlineLevel="0" collapsed="false">
      <c r="A95" s="8" t="n">
        <v>2024</v>
      </c>
      <c r="B95" s="8" t="s">
        <v>161</v>
      </c>
      <c r="C95" s="8" t="s">
        <v>139</v>
      </c>
      <c r="D95" s="8" t="n">
        <v>-0.177</v>
      </c>
      <c r="E95" s="8" t="n">
        <v>64</v>
      </c>
      <c r="F95" s="8" t="n">
        <v>95</v>
      </c>
      <c r="G95" s="8" t="n">
        <f aca="false">E95+F95</f>
        <v>159</v>
      </c>
      <c r="H95" s="9" t="n">
        <f aca="false">E95/G95</f>
        <v>0.40251572327044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2"/>
    <col collapsed="false" customWidth="true" hidden="false" outlineLevel="0" max="3" min="3" style="1" width="28"/>
    <col collapsed="false" customWidth="true" hidden="false" outlineLevel="0" max="4" min="4" style="1" width="16"/>
    <col collapsed="false" customWidth="true" hidden="false" outlineLevel="0" max="6" min="5" style="1" width="20"/>
  </cols>
  <sheetData>
    <row r="1" customFormat="false" ht="15.75" hidden="false" customHeight="true" outlineLevel="0" collapsed="false">
      <c r="A1" s="11" t="s">
        <v>162</v>
      </c>
      <c r="B1" s="11"/>
      <c r="C1" s="11"/>
      <c r="D1" s="11"/>
      <c r="E1" s="11"/>
      <c r="F1" s="11"/>
    </row>
    <row r="2" customFormat="false" ht="54.75" hidden="false" customHeight="true" outlineLevel="0" collapsed="false">
      <c r="A2" s="10" t="s">
        <v>163</v>
      </c>
      <c r="B2" s="10"/>
      <c r="C2" s="10"/>
      <c r="D2" s="10"/>
      <c r="E2" s="10"/>
      <c r="F2" s="10"/>
    </row>
    <row r="4" customFormat="false" ht="15" hidden="false" customHeight="true" outlineLevel="0" collapsed="false">
      <c r="A4" s="7" t="s">
        <v>59</v>
      </c>
      <c r="B4" s="7" t="s">
        <v>164</v>
      </c>
      <c r="C4" s="7" t="s">
        <v>165</v>
      </c>
      <c r="D4" s="7" t="s">
        <v>166</v>
      </c>
      <c r="E4" s="7" t="s">
        <v>167</v>
      </c>
      <c r="F4" s="7" t="s">
        <v>168</v>
      </c>
    </row>
    <row r="5" customFormat="false" ht="15" hidden="false" customHeight="true" outlineLevel="0" collapsed="false">
      <c r="A5" s="8" t="n">
        <v>2018</v>
      </c>
      <c r="B5" s="8" t="s">
        <v>169</v>
      </c>
      <c r="C5" s="12" t="n">
        <f aca="false">SUMIF('House Vote Data (Actual)'!A2:A253,A5,'House Vote Data (Actual)'!D2:D253)+SUMIF('House Vote Data (Actual)'!A2:A253,A5,'House Vote Data (Actual)'!E2:E253)+SUMIF('House Vote Data (Actual)'!A2:A253,A5,'House Vote Data (Actual)'!F2:F253)+SUMIF('Carbon County Estimates'!A4:A95,A5,'Carbon County Estimates'!E4:E95)+SUMIF('Carbon County Estimates'!A4:A95,A5,'Carbon County Estimates'!F4:F95)</f>
        <v>260862</v>
      </c>
      <c r="D5" s="12" t="n">
        <v>263261</v>
      </c>
      <c r="E5" s="13" t="n">
        <f aca="false">D5-C5</f>
        <v>2399</v>
      </c>
      <c r="F5" s="14" t="n">
        <f aca="false">(SUMIF('House Vote Data (Actual)'!A2:A253,A5,'House Vote Data (Actual)'!D2:D253)+SUMIF('Carbon County Estimates'!A4:A95,A5,'Carbon County Estimates'!E4:E95))/C5</f>
        <v>0.522820495127692</v>
      </c>
    </row>
    <row r="6" customFormat="false" ht="15" hidden="false" customHeight="true" outlineLevel="0" collapsed="false">
      <c r="A6" s="8" t="n">
        <v>2020</v>
      </c>
      <c r="B6" s="8" t="s">
        <v>170</v>
      </c>
      <c r="C6" s="12" t="n">
        <f aca="false">SUMIF('House Vote Data (Actual)'!A2:A253,A6,'House Vote Data (Actual)'!D2:D253)+SUMIF('House Vote Data (Actual)'!A2:A253,A6,'House Vote Data (Actual)'!E2:E253)+SUMIF('House Vote Data (Actual)'!A2:A253,A6,'House Vote Data (Actual)'!F2:F253)+SUMIF('Carbon County Estimates'!A4:A95,A6,'Carbon County Estimates'!E4:E95)+SUMIF('Carbon County Estimates'!A4:A95,A6,'Carbon County Estimates'!F4:F95)</f>
        <v>376092</v>
      </c>
      <c r="D6" s="12" t="n">
        <v>376882</v>
      </c>
      <c r="E6" s="13" t="n">
        <f aca="false">D6-C6</f>
        <v>790</v>
      </c>
      <c r="F6" s="14" t="n">
        <f aca="false">(SUMIF('House Vote Data (Actual)'!A2:A253,A6,'House Vote Data (Actual)'!D2:D253)+SUMIF('Carbon County Estimates'!A4:A95,A6,'Carbon County Estimates'!E4:E95))/C6</f>
        <v>0.50536039054274</v>
      </c>
    </row>
    <row r="7" customFormat="false" ht="15" hidden="false" customHeight="true" outlineLevel="0" collapsed="false">
      <c r="A7" s="8" t="n">
        <v>2022</v>
      </c>
      <c r="B7" s="8" t="s">
        <v>171</v>
      </c>
      <c r="C7" s="12" t="n">
        <f aca="false">SUMIF('House Vote Data (Actual)'!A2:A253,A7,'House Vote Data (Actual)'!D2:D253)+SUMIF('House Vote Data (Actual)'!A2:A253,A7,'House Vote Data (Actual)'!E2:E253)+SUMIF('House Vote Data (Actual)'!A2:A253,A7,'House Vote Data (Actual)'!F2:F253)+SUMIF('Carbon County Estimates'!A4:A95,A7,'Carbon County Estimates'!E4:E95)+SUMIF('Carbon County Estimates'!A4:A95,A7,'Carbon County Estimates'!F4:F95)</f>
        <v>289186</v>
      </c>
      <c r="D7" s="12" t="n">
        <v>296891</v>
      </c>
      <c r="E7" s="13" t="n">
        <f aca="false">D7-C7</f>
        <v>7705</v>
      </c>
      <c r="F7" s="14" t="n">
        <f aca="false">(SUMIF('House Vote Data (Actual)'!A2:A253,A7,'House Vote Data (Actual)'!D2:D253)+SUMIF('Carbon County Estimates'!A4:A95,A7,'Carbon County Estimates'!E4:E95))/C7</f>
        <v>0.518240855366442</v>
      </c>
    </row>
    <row r="8" customFormat="false" ht="15" hidden="false" customHeight="true" outlineLevel="0" collapsed="false">
      <c r="A8" s="8" t="n">
        <v>2024</v>
      </c>
      <c r="B8" s="8" t="s">
        <v>172</v>
      </c>
      <c r="C8" s="12" t="n">
        <f aca="false">SUMIF('House Vote Data (Actual)'!A2:A253,A8,'House Vote Data (Actual)'!D2:D253)+SUMIF('House Vote Data (Actual)'!A2:A253,A8,'House Vote Data (Actual)'!E2:E253)+SUMIF('House Vote Data (Actual)'!A2:A253,A8,'House Vote Data (Actual)'!F2:F253)+SUMIF('Carbon County Estimates'!A4:A95,A8,'Carbon County Estimates'!E4:E95)+SUMIF('Carbon County Estimates'!A4:A95,A8,'Carbon County Estimates'!F4:F95)</f>
        <v>394740</v>
      </c>
      <c r="D8" s="12" t="n">
        <v>403314</v>
      </c>
      <c r="E8" s="13" t="n">
        <f aca="false">D8-C8</f>
        <v>8574</v>
      </c>
      <c r="F8" s="14" t="n">
        <f aca="false">(SUMIF('House Vote Data (Actual)'!A2:A253,A8,'House Vote Data (Actual)'!D2:D253)+SUMIF('Carbon County Estimates'!A4:A95,A8,'Carbon County Estimates'!E4:E95))/C8</f>
        <v>0.502307848203881</v>
      </c>
    </row>
    <row r="10" customFormat="false" ht="45" hidden="false" customHeight="true" outlineLevel="0" collapsed="false">
      <c r="A10" s="15" t="s">
        <v>173</v>
      </c>
      <c r="B10" s="15"/>
      <c r="C10" s="15"/>
      <c r="D10" s="15"/>
      <c r="E10" s="15"/>
      <c r="F10" s="15"/>
    </row>
  </sheetData>
  <mergeCells count="3">
    <mergeCell ref="A1:F1"/>
    <mergeCell ref="A2:F2"/>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14"/>
    <col collapsed="false" customWidth="true" hidden="false" outlineLevel="0" max="8" min="4" style="1" width="11"/>
  </cols>
  <sheetData>
    <row r="1" customFormat="false" ht="30" hidden="false" customHeight="true" outlineLevel="0" collapsed="false">
      <c r="A1" s="10" t="s">
        <v>174</v>
      </c>
      <c r="B1" s="10"/>
      <c r="C1" s="10"/>
      <c r="D1" s="10"/>
      <c r="E1" s="10"/>
      <c r="F1" s="10"/>
      <c r="G1" s="10"/>
      <c r="H1" s="10"/>
      <c r="I1" s="10"/>
    </row>
    <row r="3" customFormat="false" ht="15" hidden="false" customHeight="true" outlineLevel="0" collapsed="false">
      <c r="A3" s="7" t="s">
        <v>59</v>
      </c>
      <c r="B3" s="7" t="s">
        <v>60</v>
      </c>
      <c r="C3" s="7" t="s">
        <v>61</v>
      </c>
      <c r="D3" s="7" t="s">
        <v>175</v>
      </c>
      <c r="E3" s="7" t="s">
        <v>62</v>
      </c>
      <c r="F3" s="7" t="s">
        <v>63</v>
      </c>
      <c r="G3" s="7" t="s">
        <v>65</v>
      </c>
      <c r="H3" s="7" t="s">
        <v>66</v>
      </c>
    </row>
    <row r="4" customFormat="false" ht="15" hidden="false" customHeight="true" outlineLevel="0" collapsed="false">
      <c r="A4" s="8" t="n">
        <v>2018</v>
      </c>
      <c r="B4" s="8" t="s">
        <v>72</v>
      </c>
      <c r="C4" s="8" t="s">
        <v>73</v>
      </c>
      <c r="D4" s="8" t="s">
        <v>176</v>
      </c>
      <c r="E4" s="8" t="n">
        <f aca="false">'House Vote Data (Actual)'!D2</f>
        <v>454</v>
      </c>
      <c r="F4" s="8" t="n">
        <f aca="false">'House Vote Data (Actual)'!E2</f>
        <v>406</v>
      </c>
      <c r="G4" s="8" t="n">
        <f aca="false">'House Vote Data (Actual)'!G2</f>
        <v>896</v>
      </c>
      <c r="H4" s="9" t="n">
        <f aca="false">E4/G4</f>
        <v>0.506696428571429</v>
      </c>
    </row>
    <row r="5" customFormat="false" ht="15" hidden="false" customHeight="true" outlineLevel="0" collapsed="false">
      <c r="A5" s="8" t="n">
        <v>2020</v>
      </c>
      <c r="B5" s="8" t="s">
        <v>72</v>
      </c>
      <c r="C5" s="8" t="s">
        <v>73</v>
      </c>
      <c r="D5" s="8" t="s">
        <v>176</v>
      </c>
      <c r="E5" s="8" t="n">
        <f aca="false">'House Vote Data (Actual)'!D3</f>
        <v>644</v>
      </c>
      <c r="F5" s="8" t="n">
        <f aca="false">'House Vote Data (Actual)'!E3</f>
        <v>735</v>
      </c>
      <c r="G5" s="8" t="n">
        <f aca="false">'House Vote Data (Actual)'!G3</f>
        <v>1379</v>
      </c>
      <c r="H5" s="9" t="n">
        <f aca="false">E5/G5</f>
        <v>0.467005076142132</v>
      </c>
    </row>
    <row r="6" customFormat="false" ht="15" hidden="false" customHeight="true" outlineLevel="0" collapsed="false">
      <c r="A6" s="8" t="n">
        <v>2022</v>
      </c>
      <c r="B6" s="8" t="s">
        <v>72</v>
      </c>
      <c r="C6" s="8" t="s">
        <v>73</v>
      </c>
      <c r="D6" s="8" t="s">
        <v>176</v>
      </c>
      <c r="E6" s="8" t="n">
        <f aca="false">'House Vote Data (Actual)'!D4</f>
        <v>494</v>
      </c>
      <c r="F6" s="8" t="n">
        <f aca="false">'House Vote Data (Actual)'!E4</f>
        <v>519</v>
      </c>
      <c r="G6" s="8" t="n">
        <f aca="false">'House Vote Data (Actual)'!G4</f>
        <v>1013</v>
      </c>
      <c r="H6" s="9" t="n">
        <f aca="false">E6/G6</f>
        <v>0.487660414610069</v>
      </c>
    </row>
    <row r="7" customFormat="false" ht="15" hidden="false" customHeight="true" outlineLevel="0" collapsed="false">
      <c r="A7" s="8" t="n">
        <v>2024</v>
      </c>
      <c r="B7" s="8" t="s">
        <v>72</v>
      </c>
      <c r="C7" s="8" t="s">
        <v>73</v>
      </c>
      <c r="D7" s="8" t="s">
        <v>176</v>
      </c>
      <c r="E7" s="8" t="n">
        <f aca="false">'House Vote Data (Actual)'!D5</f>
        <v>601</v>
      </c>
      <c r="F7" s="8" t="n">
        <f aca="false">'House Vote Data (Actual)'!E5</f>
        <v>766</v>
      </c>
      <c r="G7" s="8" t="n">
        <f aca="false">'House Vote Data (Actual)'!G5</f>
        <v>1367</v>
      </c>
      <c r="H7" s="9" t="n">
        <f aca="false">E7/G7</f>
        <v>0.439648866130212</v>
      </c>
    </row>
    <row r="8" customFormat="false" ht="15" hidden="false" customHeight="true" outlineLevel="0" collapsed="false">
      <c r="A8" s="8" t="n">
        <v>2018</v>
      </c>
      <c r="B8" s="8" t="s">
        <v>74</v>
      </c>
      <c r="C8" s="8" t="s">
        <v>73</v>
      </c>
      <c r="D8" s="8" t="s">
        <v>176</v>
      </c>
      <c r="E8" s="8" t="n">
        <f aca="false">'House Vote Data (Actual)'!D6</f>
        <v>19919</v>
      </c>
      <c r="F8" s="8" t="n">
        <f aca="false">'House Vote Data (Actual)'!E6</f>
        <v>7341</v>
      </c>
      <c r="G8" s="8" t="n">
        <f aca="false">'House Vote Data (Actual)'!G6</f>
        <v>28033</v>
      </c>
      <c r="H8" s="9" t="n">
        <f aca="false">E8/G8</f>
        <v>0.710555416830164</v>
      </c>
    </row>
    <row r="9" customFormat="false" ht="15" hidden="false" customHeight="true" outlineLevel="0" collapsed="false">
      <c r="A9" s="8" t="n">
        <v>2020</v>
      </c>
      <c r="B9" s="8" t="s">
        <v>74</v>
      </c>
      <c r="C9" s="8" t="s">
        <v>73</v>
      </c>
      <c r="D9" s="8" t="s">
        <v>176</v>
      </c>
      <c r="E9" s="8" t="n">
        <f aca="false">'House Vote Data (Actual)'!D7</f>
        <v>27952</v>
      </c>
      <c r="F9" s="8" t="n">
        <f aca="false">'House Vote Data (Actual)'!E7</f>
        <v>12938</v>
      </c>
      <c r="G9" s="8" t="n">
        <f aca="false">'House Vote Data (Actual)'!G7</f>
        <v>40890</v>
      </c>
      <c r="H9" s="9" t="n">
        <f aca="false">E9/G9</f>
        <v>0.6835901198337</v>
      </c>
    </row>
    <row r="10" customFormat="false" ht="15" hidden="false" customHeight="true" outlineLevel="0" collapsed="false">
      <c r="A10" s="8" t="n">
        <v>2022</v>
      </c>
      <c r="B10" s="8" t="s">
        <v>74</v>
      </c>
      <c r="C10" s="8" t="s">
        <v>73</v>
      </c>
      <c r="D10" s="8" t="s">
        <v>176</v>
      </c>
      <c r="E10" s="8" t="n">
        <f aca="false">'House Vote Data (Actual)'!D8</f>
        <v>16965</v>
      </c>
      <c r="F10" s="8" t="n">
        <f aca="false">'House Vote Data (Actual)'!E8</f>
        <v>7936</v>
      </c>
      <c r="G10" s="8" t="n">
        <f aca="false">'House Vote Data (Actual)'!G8</f>
        <v>24901</v>
      </c>
      <c r="H10" s="9" t="n">
        <f aca="false">E10/G10</f>
        <v>0.681297939841773</v>
      </c>
    </row>
    <row r="11" customFormat="false" ht="15" hidden="false" customHeight="true" outlineLevel="0" collapsed="false">
      <c r="A11" s="8" t="n">
        <v>2024</v>
      </c>
      <c r="B11" s="8" t="s">
        <v>74</v>
      </c>
      <c r="C11" s="8" t="s">
        <v>73</v>
      </c>
      <c r="D11" s="8" t="s">
        <v>176</v>
      </c>
      <c r="E11" s="8" t="n">
        <f aca="false">'House Vote Data (Actual)'!D9</f>
        <v>26568</v>
      </c>
      <c r="F11" s="8" t="n">
        <f aca="false">'House Vote Data (Actual)'!E9</f>
        <v>14583</v>
      </c>
      <c r="G11" s="8" t="n">
        <f aca="false">'House Vote Data (Actual)'!G9</f>
        <v>41151</v>
      </c>
      <c r="H11" s="9" t="n">
        <f aca="false">E11/G11</f>
        <v>0.645622220602172</v>
      </c>
    </row>
    <row r="12" customFormat="false" ht="15" hidden="false" customHeight="true" outlineLevel="0" collapsed="false">
      <c r="A12" s="8" t="n">
        <v>2018</v>
      </c>
      <c r="B12" s="8" t="s">
        <v>75</v>
      </c>
      <c r="C12" s="8" t="s">
        <v>73</v>
      </c>
      <c r="D12" s="8" t="s">
        <v>176</v>
      </c>
      <c r="E12" s="8" t="n">
        <f aca="false">'House Vote Data (Actual)'!D10</f>
        <v>4700</v>
      </c>
      <c r="F12" s="8" t="n">
        <f aca="false">'House Vote Data (Actual)'!E10</f>
        <v>2300</v>
      </c>
      <c r="G12" s="8" t="n">
        <f aca="false">'House Vote Data (Actual)'!G10</f>
        <v>7378</v>
      </c>
      <c r="H12" s="9" t="n">
        <f aca="false">E12/G12</f>
        <v>0.637029005150447</v>
      </c>
    </row>
    <row r="13" customFormat="false" ht="15" hidden="false" customHeight="true" outlineLevel="0" collapsed="false">
      <c r="A13" s="8" t="n">
        <v>2020</v>
      </c>
      <c r="B13" s="8" t="s">
        <v>75</v>
      </c>
      <c r="C13" s="8" t="s">
        <v>73</v>
      </c>
      <c r="D13" s="8" t="s">
        <v>176</v>
      </c>
      <c r="E13" s="8" t="n">
        <f aca="false">'House Vote Data (Actual)'!D11</f>
        <v>6475</v>
      </c>
      <c r="F13" s="8" t="n">
        <f aca="false">'House Vote Data (Actual)'!E11</f>
        <v>3784</v>
      </c>
      <c r="G13" s="8" t="n">
        <f aca="false">'House Vote Data (Actual)'!G11</f>
        <v>10259</v>
      </c>
      <c r="H13" s="9" t="n">
        <f aca="false">E13/G13</f>
        <v>0.631153133833707</v>
      </c>
    </row>
    <row r="14" customFormat="false" ht="15" hidden="false" customHeight="true" outlineLevel="0" collapsed="false">
      <c r="A14" s="8" t="n">
        <v>2022</v>
      </c>
      <c r="B14" s="8" t="s">
        <v>75</v>
      </c>
      <c r="C14" s="8" t="s">
        <v>73</v>
      </c>
      <c r="D14" s="8" t="s">
        <v>176</v>
      </c>
      <c r="E14" s="8" t="n">
        <f aca="false">'House Vote Data (Actual)'!D12</f>
        <v>5186</v>
      </c>
      <c r="F14" s="8" t="n">
        <f aca="false">'House Vote Data (Actual)'!E12</f>
        <v>2705</v>
      </c>
      <c r="G14" s="8" t="n">
        <f aca="false">'House Vote Data (Actual)'!G12</f>
        <v>7891</v>
      </c>
      <c r="H14" s="9" t="n">
        <f aca="false">E14/G14</f>
        <v>0.657204410087441</v>
      </c>
    </row>
    <row r="15" customFormat="false" ht="15" hidden="false" customHeight="true" outlineLevel="0" collapsed="false">
      <c r="A15" s="8" t="n">
        <v>2024</v>
      </c>
      <c r="B15" s="8" t="s">
        <v>75</v>
      </c>
      <c r="C15" s="8" t="s">
        <v>73</v>
      </c>
      <c r="D15" s="8" t="s">
        <v>176</v>
      </c>
      <c r="E15" s="8" t="n">
        <f aca="false">'House Vote Data (Actual)'!D13</f>
        <v>6612</v>
      </c>
      <c r="F15" s="8" t="n">
        <f aca="false">'House Vote Data (Actual)'!E13</f>
        <v>3834</v>
      </c>
      <c r="G15" s="8" t="n">
        <f aca="false">'House Vote Data (Actual)'!G13</f>
        <v>10446</v>
      </c>
      <c r="H15" s="9" t="n">
        <f aca="false">E15/G15</f>
        <v>0.632969557725445</v>
      </c>
    </row>
    <row r="16" customFormat="false" ht="15" hidden="false" customHeight="true" outlineLevel="0" collapsed="false">
      <c r="A16" s="8" t="n">
        <v>2018</v>
      </c>
      <c r="B16" s="8" t="s">
        <v>76</v>
      </c>
      <c r="C16" s="8" t="s">
        <v>73</v>
      </c>
      <c r="D16" s="8" t="s">
        <v>176</v>
      </c>
      <c r="E16" s="8" t="n">
        <f aca="false">'House Vote Data (Actual)'!D14</f>
        <v>1137</v>
      </c>
      <c r="F16" s="8" t="n">
        <f aca="false">'House Vote Data (Actual)'!E14</f>
        <v>821</v>
      </c>
      <c r="G16" s="8" t="n">
        <f aca="false">'House Vote Data (Actual)'!G14</f>
        <v>2060</v>
      </c>
      <c r="H16" s="9" t="n">
        <f aca="false">E16/G16</f>
        <v>0.551941747572816</v>
      </c>
    </row>
    <row r="17" customFormat="false" ht="15" hidden="false" customHeight="true" outlineLevel="0" collapsed="false">
      <c r="A17" s="8" t="n">
        <v>2020</v>
      </c>
      <c r="B17" s="8" t="s">
        <v>76</v>
      </c>
      <c r="C17" s="8" t="s">
        <v>73</v>
      </c>
      <c r="D17" s="8" t="s">
        <v>176</v>
      </c>
      <c r="E17" s="8" t="n">
        <f aca="false">'House Vote Data (Actual)'!D15</f>
        <v>1582</v>
      </c>
      <c r="F17" s="8" t="n">
        <f aca="false">'House Vote Data (Actual)'!E15</f>
        <v>1496</v>
      </c>
      <c r="G17" s="8" t="n">
        <f aca="false">'House Vote Data (Actual)'!G15</f>
        <v>3078</v>
      </c>
      <c r="H17" s="9" t="n">
        <f aca="false">E17/G17</f>
        <v>0.513970110461339</v>
      </c>
    </row>
    <row r="18" customFormat="false" ht="15" hidden="false" customHeight="true" outlineLevel="0" collapsed="false">
      <c r="A18" s="8" t="n">
        <v>2022</v>
      </c>
      <c r="B18" s="8" t="s">
        <v>76</v>
      </c>
      <c r="C18" s="8" t="s">
        <v>73</v>
      </c>
      <c r="D18" s="8" t="s">
        <v>176</v>
      </c>
      <c r="E18" s="8" t="n">
        <f aca="false">'House Vote Data (Actual)'!D16</f>
        <v>1135</v>
      </c>
      <c r="F18" s="8" t="n">
        <f aca="false">'House Vote Data (Actual)'!E16</f>
        <v>975</v>
      </c>
      <c r="G18" s="8" t="n">
        <f aca="false">'House Vote Data (Actual)'!G16</f>
        <v>2110</v>
      </c>
      <c r="H18" s="9" t="n">
        <f aca="false">E18/G18</f>
        <v>0.537914691943128</v>
      </c>
    </row>
    <row r="19" customFormat="false" ht="15" hidden="false" customHeight="true" outlineLevel="0" collapsed="false">
      <c r="A19" s="8" t="n">
        <v>2024</v>
      </c>
      <c r="B19" s="8" t="s">
        <v>76</v>
      </c>
      <c r="C19" s="8" t="s">
        <v>73</v>
      </c>
      <c r="D19" s="8" t="s">
        <v>176</v>
      </c>
      <c r="E19" s="8" t="n">
        <f aca="false">'House Vote Data (Actual)'!D17</f>
        <v>1560</v>
      </c>
      <c r="F19" s="8" t="n">
        <f aca="false">'House Vote Data (Actual)'!E17</f>
        <v>1491</v>
      </c>
      <c r="G19" s="8" t="n">
        <f aca="false">'House Vote Data (Actual)'!G17</f>
        <v>3051</v>
      </c>
      <c r="H19" s="9" t="n">
        <f aca="false">E19/G19</f>
        <v>0.511307767944936</v>
      </c>
    </row>
    <row r="20" customFormat="false" ht="15" hidden="false" customHeight="true" outlineLevel="0" collapsed="false">
      <c r="A20" s="8" t="n">
        <v>2018</v>
      </c>
      <c r="B20" s="8" t="s">
        <v>77</v>
      </c>
      <c r="C20" s="8" t="s">
        <v>73</v>
      </c>
      <c r="D20" s="8" t="s">
        <v>176</v>
      </c>
      <c r="E20" s="8" t="n">
        <f aca="false">'House Vote Data (Actual)'!D18</f>
        <v>513</v>
      </c>
      <c r="F20" s="8" t="n">
        <f aca="false">'House Vote Data (Actual)'!E18</f>
        <v>446</v>
      </c>
      <c r="G20" s="8" t="n">
        <f aca="false">'House Vote Data (Actual)'!G18</f>
        <v>1005</v>
      </c>
      <c r="H20" s="9" t="n">
        <f aca="false">E20/G20</f>
        <v>0.51044776119403</v>
      </c>
    </row>
    <row r="21" customFormat="false" ht="15" hidden="false" customHeight="true" outlineLevel="0" collapsed="false">
      <c r="A21" s="8" t="n">
        <v>2020</v>
      </c>
      <c r="B21" s="8" t="s">
        <v>77</v>
      </c>
      <c r="C21" s="8" t="s">
        <v>73</v>
      </c>
      <c r="D21" s="8" t="s">
        <v>176</v>
      </c>
      <c r="E21" s="8" t="n">
        <f aca="false">'House Vote Data (Actual)'!D19</f>
        <v>704</v>
      </c>
      <c r="F21" s="8" t="n">
        <f aca="false">'House Vote Data (Actual)'!E19</f>
        <v>791</v>
      </c>
      <c r="G21" s="8" t="n">
        <f aca="false">'House Vote Data (Actual)'!G19</f>
        <v>1495</v>
      </c>
      <c r="H21" s="9" t="n">
        <f aca="false">E21/G21</f>
        <v>0.470903010033445</v>
      </c>
    </row>
    <row r="22" customFormat="false" ht="15" hidden="false" customHeight="true" outlineLevel="0" collapsed="false">
      <c r="A22" s="8" t="n">
        <v>2022</v>
      </c>
      <c r="B22" s="8" t="s">
        <v>77</v>
      </c>
      <c r="C22" s="8" t="s">
        <v>73</v>
      </c>
      <c r="D22" s="8" t="s">
        <v>176</v>
      </c>
      <c r="E22" s="8" t="n">
        <f aca="false">'House Vote Data (Actual)'!D20</f>
        <v>621</v>
      </c>
      <c r="F22" s="8" t="n">
        <f aca="false">'House Vote Data (Actual)'!E20</f>
        <v>598</v>
      </c>
      <c r="G22" s="8" t="n">
        <f aca="false">'House Vote Data (Actual)'!G20</f>
        <v>1219</v>
      </c>
      <c r="H22" s="9" t="n">
        <f aca="false">E22/G22</f>
        <v>0.509433962264151</v>
      </c>
    </row>
    <row r="23" customFormat="false" ht="15" hidden="false" customHeight="true" outlineLevel="0" collapsed="false">
      <c r="A23" s="8" t="n">
        <v>2024</v>
      </c>
      <c r="B23" s="8" t="s">
        <v>77</v>
      </c>
      <c r="C23" s="8" t="s">
        <v>73</v>
      </c>
      <c r="D23" s="8" t="s">
        <v>176</v>
      </c>
      <c r="E23" s="8" t="n">
        <f aca="false">'House Vote Data (Actual)'!D21</f>
        <v>735</v>
      </c>
      <c r="F23" s="8" t="n">
        <f aca="false">'House Vote Data (Actual)'!E21</f>
        <v>804</v>
      </c>
      <c r="G23" s="8" t="n">
        <f aca="false">'House Vote Data (Actual)'!G21</f>
        <v>1539</v>
      </c>
      <c r="H23" s="9" t="n">
        <f aca="false">E23/G23</f>
        <v>0.477582846003899</v>
      </c>
    </row>
    <row r="24" customFormat="false" ht="15" hidden="false" customHeight="true" outlineLevel="0" collapsed="false">
      <c r="A24" s="8" t="n">
        <v>2018</v>
      </c>
      <c r="B24" s="8" t="s">
        <v>78</v>
      </c>
      <c r="C24" s="8" t="s">
        <v>73</v>
      </c>
      <c r="D24" s="8" t="s">
        <v>176</v>
      </c>
      <c r="E24" s="8" t="n">
        <f aca="false">'House Vote Data (Actual)'!D22</f>
        <v>660</v>
      </c>
      <c r="F24" s="8" t="n">
        <f aca="false">'House Vote Data (Actual)'!E22</f>
        <v>515</v>
      </c>
      <c r="G24" s="8" t="n">
        <f aca="false">'House Vote Data (Actual)'!G22</f>
        <v>1229</v>
      </c>
      <c r="H24" s="9" t="n">
        <f aca="false">E24/G24</f>
        <v>0.537021969080553</v>
      </c>
    </row>
    <row r="25" customFormat="false" ht="15" hidden="false" customHeight="true" outlineLevel="0" collapsed="false">
      <c r="A25" s="8" t="n">
        <v>2020</v>
      </c>
      <c r="B25" s="8" t="s">
        <v>78</v>
      </c>
      <c r="C25" s="8" t="s">
        <v>73</v>
      </c>
      <c r="D25" s="8" t="s">
        <v>176</v>
      </c>
      <c r="E25" s="8" t="n">
        <f aca="false">'House Vote Data (Actual)'!D23</f>
        <v>878</v>
      </c>
      <c r="F25" s="8" t="n">
        <f aca="false">'House Vote Data (Actual)'!E23</f>
        <v>870</v>
      </c>
      <c r="G25" s="8" t="n">
        <f aca="false">'House Vote Data (Actual)'!G23</f>
        <v>1748</v>
      </c>
      <c r="H25" s="9" t="n">
        <f aca="false">E25/G25</f>
        <v>0.502288329519451</v>
      </c>
    </row>
    <row r="26" customFormat="false" ht="15" hidden="false" customHeight="true" outlineLevel="0" collapsed="false">
      <c r="A26" s="8" t="n">
        <v>2022</v>
      </c>
      <c r="B26" s="8" t="s">
        <v>78</v>
      </c>
      <c r="C26" s="8" t="s">
        <v>73</v>
      </c>
      <c r="D26" s="8" t="s">
        <v>176</v>
      </c>
      <c r="E26" s="8" t="n">
        <f aca="false">'House Vote Data (Actual)'!D24</f>
        <v>691</v>
      </c>
      <c r="F26" s="8" t="n">
        <f aca="false">'House Vote Data (Actual)'!E24</f>
        <v>606</v>
      </c>
      <c r="G26" s="8" t="n">
        <f aca="false">'House Vote Data (Actual)'!G24</f>
        <v>1297</v>
      </c>
      <c r="H26" s="9" t="n">
        <f aca="false">E26/G26</f>
        <v>0.532767925983038</v>
      </c>
    </row>
    <row r="27" customFormat="false" ht="15" hidden="false" customHeight="true" outlineLevel="0" collapsed="false">
      <c r="A27" s="8" t="n">
        <v>2024</v>
      </c>
      <c r="B27" s="8" t="s">
        <v>78</v>
      </c>
      <c r="C27" s="8" t="s">
        <v>73</v>
      </c>
      <c r="D27" s="8" t="s">
        <v>176</v>
      </c>
      <c r="E27" s="8" t="n">
        <f aca="false">'House Vote Data (Actual)'!D25</f>
        <v>899</v>
      </c>
      <c r="F27" s="8" t="n">
        <f aca="false">'House Vote Data (Actual)'!E25</f>
        <v>898</v>
      </c>
      <c r="G27" s="8" t="n">
        <f aca="false">'House Vote Data (Actual)'!G25</f>
        <v>1797</v>
      </c>
      <c r="H27" s="9" t="n">
        <f aca="false">E27/G27</f>
        <v>0.500278241513634</v>
      </c>
    </row>
    <row r="28" customFormat="false" ht="15" hidden="false" customHeight="true" outlineLevel="0" collapsed="false">
      <c r="A28" s="8" t="n">
        <v>2018</v>
      </c>
      <c r="B28" s="8" t="s">
        <v>79</v>
      </c>
      <c r="C28" s="8" t="s">
        <v>73</v>
      </c>
      <c r="D28" s="8" t="s">
        <v>176</v>
      </c>
      <c r="E28" s="8" t="n">
        <f aca="false">'House Vote Data (Actual)'!D26</f>
        <v>2434</v>
      </c>
      <c r="F28" s="8" t="n">
        <f aca="false">'House Vote Data (Actual)'!E26</f>
        <v>1955</v>
      </c>
      <c r="G28" s="8" t="n">
        <f aca="false">'House Vote Data (Actual)'!G26</f>
        <v>4570</v>
      </c>
      <c r="H28" s="9" t="n">
        <f aca="false">E28/G28</f>
        <v>0.532603938730853</v>
      </c>
    </row>
    <row r="29" customFormat="false" ht="15" hidden="false" customHeight="true" outlineLevel="0" collapsed="false">
      <c r="A29" s="8" t="n">
        <v>2020</v>
      </c>
      <c r="B29" s="8" t="s">
        <v>79</v>
      </c>
      <c r="C29" s="8" t="s">
        <v>73</v>
      </c>
      <c r="D29" s="8" t="s">
        <v>176</v>
      </c>
      <c r="E29" s="8" t="n">
        <f aca="false">'House Vote Data (Actual)'!D27</f>
        <v>3393</v>
      </c>
      <c r="F29" s="8" t="n">
        <f aca="false">'House Vote Data (Actual)'!E27</f>
        <v>3078</v>
      </c>
      <c r="G29" s="8" t="n">
        <f aca="false">'House Vote Data (Actual)'!G27</f>
        <v>6471</v>
      </c>
      <c r="H29" s="9" t="n">
        <f aca="false">E29/G29</f>
        <v>0.524339360222531</v>
      </c>
    </row>
    <row r="30" customFormat="false" ht="15" hidden="false" customHeight="true" outlineLevel="0" collapsed="false">
      <c r="A30" s="8" t="n">
        <v>2022</v>
      </c>
      <c r="B30" s="8" t="s">
        <v>79</v>
      </c>
      <c r="C30" s="8" t="s">
        <v>73</v>
      </c>
      <c r="D30" s="8" t="s">
        <v>176</v>
      </c>
      <c r="E30" s="8" t="n">
        <f aca="false">'House Vote Data (Actual)'!D28</f>
        <v>2834</v>
      </c>
      <c r="F30" s="8" t="n">
        <f aca="false">'House Vote Data (Actual)'!E28</f>
        <v>2250</v>
      </c>
      <c r="G30" s="8" t="n">
        <f aca="false">'House Vote Data (Actual)'!G28</f>
        <v>5084</v>
      </c>
      <c r="H30" s="9" t="n">
        <f aca="false">E30/G30</f>
        <v>0.557435090479937</v>
      </c>
    </row>
    <row r="31" customFormat="false" ht="15" hidden="false" customHeight="true" outlineLevel="0" collapsed="false">
      <c r="A31" s="8" t="n">
        <v>2024</v>
      </c>
      <c r="B31" s="8" t="s">
        <v>79</v>
      </c>
      <c r="C31" s="8" t="s">
        <v>73</v>
      </c>
      <c r="D31" s="8" t="s">
        <v>176</v>
      </c>
      <c r="E31" s="8" t="n">
        <f aca="false">'House Vote Data (Actual)'!D29</f>
        <v>3663</v>
      </c>
      <c r="F31" s="8" t="n">
        <f aca="false">'House Vote Data (Actual)'!E29</f>
        <v>3236</v>
      </c>
      <c r="G31" s="8" t="n">
        <f aca="false">'House Vote Data (Actual)'!G29</f>
        <v>6899</v>
      </c>
      <c r="H31" s="9" t="n">
        <f aca="false">E31/G31</f>
        <v>0.530946513987535</v>
      </c>
    </row>
    <row r="32" customFormat="false" ht="15" hidden="false" customHeight="true" outlineLevel="0" collapsed="false">
      <c r="A32" s="8" t="n">
        <v>2018</v>
      </c>
      <c r="B32" s="8" t="s">
        <v>80</v>
      </c>
      <c r="C32" s="8" t="s">
        <v>73</v>
      </c>
      <c r="D32" s="8" t="s">
        <v>176</v>
      </c>
      <c r="E32" s="8" t="n">
        <f aca="false">'House Vote Data (Actual)'!D30</f>
        <v>1077</v>
      </c>
      <c r="F32" s="8" t="n">
        <f aca="false">'House Vote Data (Actual)'!E30</f>
        <v>463</v>
      </c>
      <c r="G32" s="8" t="n">
        <f aca="false">'House Vote Data (Actual)'!G30</f>
        <v>1618</v>
      </c>
      <c r="H32" s="9" t="n">
        <f aca="false">E32/G32</f>
        <v>0.665636588380717</v>
      </c>
    </row>
    <row r="33" customFormat="false" ht="15" hidden="false" customHeight="true" outlineLevel="0" collapsed="false">
      <c r="A33" s="8" t="n">
        <v>2020</v>
      </c>
      <c r="B33" s="8" t="s">
        <v>80</v>
      </c>
      <c r="C33" s="8" t="s">
        <v>73</v>
      </c>
      <c r="D33" s="8" t="s">
        <v>176</v>
      </c>
      <c r="E33" s="8" t="n">
        <f aca="false">'House Vote Data (Actual)'!D31</f>
        <v>1481</v>
      </c>
      <c r="F33" s="8" t="n">
        <f aca="false">'House Vote Data (Actual)'!E31</f>
        <v>737</v>
      </c>
      <c r="G33" s="8" t="n">
        <f aca="false">'House Vote Data (Actual)'!G31</f>
        <v>2218</v>
      </c>
      <c r="H33" s="9" t="n">
        <f aca="false">E33/G33</f>
        <v>0.667718665464382</v>
      </c>
    </row>
    <row r="34" customFormat="false" ht="15" hidden="false" customHeight="true" outlineLevel="0" collapsed="false">
      <c r="A34" s="8" t="n">
        <v>2022</v>
      </c>
      <c r="B34" s="8" t="s">
        <v>80</v>
      </c>
      <c r="C34" s="8" t="s">
        <v>73</v>
      </c>
      <c r="D34" s="8" t="s">
        <v>176</v>
      </c>
      <c r="E34" s="8" t="n">
        <f aca="false">'House Vote Data (Actual)'!D32</f>
        <v>1070</v>
      </c>
      <c r="F34" s="8" t="n">
        <f aca="false">'House Vote Data (Actual)'!E32</f>
        <v>479</v>
      </c>
      <c r="G34" s="8" t="n">
        <f aca="false">'House Vote Data (Actual)'!G32</f>
        <v>1549</v>
      </c>
      <c r="H34" s="9" t="n">
        <f aca="false">E34/G34</f>
        <v>0.690768237572628</v>
      </c>
    </row>
    <row r="35" customFormat="false" ht="15" hidden="false" customHeight="true" outlineLevel="0" collapsed="false">
      <c r="A35" s="8" t="n">
        <v>2024</v>
      </c>
      <c r="B35" s="8" t="s">
        <v>80</v>
      </c>
      <c r="C35" s="8" t="s">
        <v>73</v>
      </c>
      <c r="D35" s="8" t="s">
        <v>176</v>
      </c>
      <c r="E35" s="8" t="n">
        <f aca="false">'House Vote Data (Actual)'!D33</f>
        <v>1433</v>
      </c>
      <c r="F35" s="8" t="n">
        <f aca="false">'House Vote Data (Actual)'!E33</f>
        <v>793</v>
      </c>
      <c r="G35" s="8" t="n">
        <f aca="false">'House Vote Data (Actual)'!G33</f>
        <v>2226</v>
      </c>
      <c r="H35" s="9" t="n">
        <f aca="false">E35/G35</f>
        <v>0.643755615453729</v>
      </c>
    </row>
    <row r="36" customFormat="false" ht="15" hidden="false" customHeight="true" outlineLevel="0" collapsed="false">
      <c r="A36" s="8" t="n">
        <v>2018</v>
      </c>
      <c r="B36" s="8" t="s">
        <v>81</v>
      </c>
      <c r="C36" s="8" t="s">
        <v>73</v>
      </c>
      <c r="D36" s="8" t="s">
        <v>176</v>
      </c>
      <c r="E36" s="8" t="n">
        <f aca="false">'House Vote Data (Actual)'!D34</f>
        <v>294</v>
      </c>
      <c r="F36" s="8" t="n">
        <f aca="false">'House Vote Data (Actual)'!E34</f>
        <v>198</v>
      </c>
      <c r="G36" s="8" t="n">
        <f aca="false">'House Vote Data (Actual)'!G34</f>
        <v>503</v>
      </c>
      <c r="H36" s="9" t="n">
        <f aca="false">E36/G36</f>
        <v>0.584493041749503</v>
      </c>
    </row>
    <row r="37" customFormat="false" ht="15" hidden="false" customHeight="true" outlineLevel="0" collapsed="false">
      <c r="A37" s="8" t="n">
        <v>2020</v>
      </c>
      <c r="B37" s="8" t="s">
        <v>81</v>
      </c>
      <c r="C37" s="8" t="s">
        <v>73</v>
      </c>
      <c r="D37" s="8" t="s">
        <v>176</v>
      </c>
      <c r="E37" s="8" t="n">
        <f aca="false">'House Vote Data (Actual)'!D35</f>
        <v>405</v>
      </c>
      <c r="F37" s="8" t="n">
        <f aca="false">'House Vote Data (Actual)'!E35</f>
        <v>304</v>
      </c>
      <c r="G37" s="8" t="n">
        <f aca="false">'House Vote Data (Actual)'!G35</f>
        <v>709</v>
      </c>
      <c r="H37" s="9" t="n">
        <f aca="false">E37/G37</f>
        <v>0.571227080394922</v>
      </c>
    </row>
    <row r="38" customFormat="false" ht="15" hidden="false" customHeight="true" outlineLevel="0" collapsed="false">
      <c r="A38" s="8" t="n">
        <v>2022</v>
      </c>
      <c r="B38" s="8" t="s">
        <v>81</v>
      </c>
      <c r="C38" s="8" t="s">
        <v>73</v>
      </c>
      <c r="D38" s="8" t="s">
        <v>176</v>
      </c>
      <c r="E38" s="8" t="n">
        <f aca="false">'House Vote Data (Actual)'!D36</f>
        <v>262</v>
      </c>
      <c r="F38" s="8" t="n">
        <f aca="false">'House Vote Data (Actual)'!E36</f>
        <v>205</v>
      </c>
      <c r="G38" s="8" t="n">
        <f aca="false">'House Vote Data (Actual)'!G36</f>
        <v>467</v>
      </c>
      <c r="H38" s="9" t="n">
        <f aca="false">E38/G38</f>
        <v>0.561027837259101</v>
      </c>
    </row>
    <row r="39" customFormat="false" ht="15" hidden="false" customHeight="true" outlineLevel="0" collapsed="false">
      <c r="A39" s="8" t="n">
        <v>2024</v>
      </c>
      <c r="B39" s="8" t="s">
        <v>81</v>
      </c>
      <c r="C39" s="8" t="s">
        <v>73</v>
      </c>
      <c r="D39" s="8" t="s">
        <v>176</v>
      </c>
      <c r="E39" s="8" t="n">
        <f aca="false">'House Vote Data (Actual)'!D37</f>
        <v>379</v>
      </c>
      <c r="F39" s="8" t="n">
        <f aca="false">'House Vote Data (Actual)'!E37</f>
        <v>330</v>
      </c>
      <c r="G39" s="8" t="n">
        <f aca="false">'House Vote Data (Actual)'!G37</f>
        <v>709</v>
      </c>
      <c r="H39" s="9" t="n">
        <f aca="false">E39/G39</f>
        <v>0.534555712270804</v>
      </c>
    </row>
    <row r="40" customFormat="false" ht="15" hidden="false" customHeight="true" outlineLevel="0" collapsed="false">
      <c r="A40" s="8" t="n">
        <v>2018</v>
      </c>
      <c r="B40" s="8" t="s">
        <v>82</v>
      </c>
      <c r="C40" s="8" t="s">
        <v>73</v>
      </c>
      <c r="D40" s="8" t="s">
        <v>176</v>
      </c>
      <c r="E40" s="8" t="n">
        <f aca="false">'House Vote Data (Actual)'!D38</f>
        <v>498</v>
      </c>
      <c r="F40" s="8" t="n">
        <f aca="false">'House Vote Data (Actual)'!E38</f>
        <v>876</v>
      </c>
      <c r="G40" s="8" t="n">
        <f aca="false">'House Vote Data (Actual)'!G38</f>
        <v>1426</v>
      </c>
      <c r="H40" s="9" t="n">
        <f aca="false">E40/G40</f>
        <v>0.349228611500701</v>
      </c>
    </row>
    <row r="41" customFormat="false" ht="15" hidden="false" customHeight="true" outlineLevel="0" collapsed="false">
      <c r="A41" s="8" t="n">
        <v>2020</v>
      </c>
      <c r="B41" s="8" t="s">
        <v>82</v>
      </c>
      <c r="C41" s="8" t="s">
        <v>73</v>
      </c>
      <c r="D41" s="8" t="s">
        <v>176</v>
      </c>
      <c r="E41" s="8" t="n">
        <f aca="false">'House Vote Data (Actual)'!D39</f>
        <v>602</v>
      </c>
      <c r="F41" s="8" t="n">
        <f aca="false">'House Vote Data (Actual)'!E39</f>
        <v>1339</v>
      </c>
      <c r="G41" s="8" t="n">
        <f aca="false">'House Vote Data (Actual)'!G39</f>
        <v>1941</v>
      </c>
      <c r="H41" s="9" t="n">
        <f aca="false">E41/G41</f>
        <v>0.310149407521896</v>
      </c>
    </row>
    <row r="42" customFormat="false" ht="15" hidden="false" customHeight="true" outlineLevel="0" collapsed="false">
      <c r="A42" s="8" t="n">
        <v>2022</v>
      </c>
      <c r="B42" s="8" t="s">
        <v>82</v>
      </c>
      <c r="C42" s="8" t="s">
        <v>73</v>
      </c>
      <c r="D42" s="8" t="s">
        <v>176</v>
      </c>
      <c r="E42" s="8" t="n">
        <f aca="false">'House Vote Data (Actual)'!D40</f>
        <v>532</v>
      </c>
      <c r="F42" s="8" t="n">
        <f aca="false">'House Vote Data (Actual)'!E40</f>
        <v>1068</v>
      </c>
      <c r="G42" s="8" t="n">
        <f aca="false">'House Vote Data (Actual)'!G40</f>
        <v>1600</v>
      </c>
      <c r="H42" s="9" t="n">
        <f aca="false">E42/G42</f>
        <v>0.3325</v>
      </c>
    </row>
    <row r="43" customFormat="false" ht="15" hidden="false" customHeight="true" outlineLevel="0" collapsed="false">
      <c r="A43" s="8" t="n">
        <v>2024</v>
      </c>
      <c r="B43" s="8" t="s">
        <v>82</v>
      </c>
      <c r="C43" s="8" t="s">
        <v>73</v>
      </c>
      <c r="D43" s="8" t="s">
        <v>176</v>
      </c>
      <c r="E43" s="8" t="n">
        <f aca="false">'House Vote Data (Actual)'!D41</f>
        <v>654</v>
      </c>
      <c r="F43" s="8" t="n">
        <f aca="false">'House Vote Data (Actual)'!E41</f>
        <v>1439</v>
      </c>
      <c r="G43" s="8" t="n">
        <f aca="false">'House Vote Data (Actual)'!G41</f>
        <v>2093</v>
      </c>
      <c r="H43" s="9" t="n">
        <f aca="false">E43/G43</f>
        <v>0.312470138557095</v>
      </c>
    </row>
    <row r="44" customFormat="false" ht="15" hidden="false" customHeight="true" outlineLevel="0" collapsed="false">
      <c r="A44" s="8" t="n">
        <v>2018</v>
      </c>
      <c r="B44" s="8" t="s">
        <v>83</v>
      </c>
      <c r="C44" s="8" t="s">
        <v>73</v>
      </c>
      <c r="D44" s="8" t="s">
        <v>176</v>
      </c>
      <c r="E44" s="8" t="n">
        <f aca="false">'House Vote Data (Actual)'!D42</f>
        <v>7236</v>
      </c>
      <c r="F44" s="8" t="n">
        <f aca="false">'House Vote Data (Actual)'!E42</f>
        <v>6846</v>
      </c>
      <c r="G44" s="8" t="n">
        <f aca="false">'House Vote Data (Actual)'!G42</f>
        <v>14485</v>
      </c>
      <c r="H44" s="9" t="n">
        <f aca="false">E44/G44</f>
        <v>0.499551259924059</v>
      </c>
    </row>
    <row r="45" customFormat="false" ht="15" hidden="false" customHeight="true" outlineLevel="0" collapsed="false">
      <c r="A45" s="8" t="n">
        <v>2020</v>
      </c>
      <c r="B45" s="8" t="s">
        <v>83</v>
      </c>
      <c r="C45" s="8" t="s">
        <v>73</v>
      </c>
      <c r="D45" s="8" t="s">
        <v>176</v>
      </c>
      <c r="E45" s="8" t="n">
        <f aca="false">'House Vote Data (Actual)'!D43</f>
        <v>9782</v>
      </c>
      <c r="F45" s="8" t="n">
        <f aca="false">'House Vote Data (Actual)'!E43</f>
        <v>10014</v>
      </c>
      <c r="G45" s="8" t="n">
        <f aca="false">'House Vote Data (Actual)'!G43</f>
        <v>19796</v>
      </c>
      <c r="H45" s="9" t="n">
        <f aca="false">E45/G45</f>
        <v>0.494140230349566</v>
      </c>
    </row>
    <row r="46" customFormat="false" ht="15" hidden="false" customHeight="true" outlineLevel="0" collapsed="false">
      <c r="A46" s="8" t="n">
        <v>2022</v>
      </c>
      <c r="B46" s="8" t="s">
        <v>83</v>
      </c>
      <c r="C46" s="8" t="s">
        <v>73</v>
      </c>
      <c r="D46" s="8" t="s">
        <v>176</v>
      </c>
      <c r="E46" s="8" t="n">
        <f aca="false">'House Vote Data (Actual)'!D44</f>
        <v>8358</v>
      </c>
      <c r="F46" s="8" t="n">
        <f aca="false">'House Vote Data (Actual)'!E44</f>
        <v>7595</v>
      </c>
      <c r="G46" s="8" t="n">
        <f aca="false">'House Vote Data (Actual)'!G44</f>
        <v>15953</v>
      </c>
      <c r="H46" s="9" t="n">
        <f aca="false">E46/G46</f>
        <v>0.523913997367266</v>
      </c>
    </row>
    <row r="47" customFormat="false" ht="15" hidden="false" customHeight="true" outlineLevel="0" collapsed="false">
      <c r="A47" s="8" t="n">
        <v>2024</v>
      </c>
      <c r="B47" s="8" t="s">
        <v>83</v>
      </c>
      <c r="C47" s="8" t="s">
        <v>73</v>
      </c>
      <c r="D47" s="8" t="s">
        <v>176</v>
      </c>
      <c r="E47" s="8" t="n">
        <f aca="false">'House Vote Data (Actual)'!D45</f>
        <v>10021</v>
      </c>
      <c r="F47" s="8" t="n">
        <f aca="false">'House Vote Data (Actual)'!E45</f>
        <v>10199</v>
      </c>
      <c r="G47" s="8" t="n">
        <f aca="false">'House Vote Data (Actual)'!G45</f>
        <v>20220</v>
      </c>
      <c r="H47" s="9" t="n">
        <f aca="false">E47/G47</f>
        <v>0.495598417408506</v>
      </c>
    </row>
    <row r="48" customFormat="false" ht="15" hidden="false" customHeight="true" outlineLevel="0" collapsed="false">
      <c r="A48" s="8" t="n">
        <v>2018</v>
      </c>
      <c r="B48" s="8" t="s">
        <v>84</v>
      </c>
      <c r="C48" s="8" t="s">
        <v>73</v>
      </c>
      <c r="D48" s="8" t="s">
        <v>176</v>
      </c>
      <c r="E48" s="8" t="n">
        <f aca="false">'House Vote Data (Actual)'!D46</f>
        <v>738</v>
      </c>
      <c r="F48" s="8" t="n">
        <f aca="false">'House Vote Data (Actual)'!E46</f>
        <v>1114</v>
      </c>
      <c r="G48" s="8" t="n">
        <f aca="false">'House Vote Data (Actual)'!G46</f>
        <v>1900</v>
      </c>
      <c r="H48" s="9" t="n">
        <f aca="false">E48/G48</f>
        <v>0.388421052631579</v>
      </c>
    </row>
    <row r="49" customFormat="false" ht="15" hidden="false" customHeight="true" outlineLevel="0" collapsed="false">
      <c r="A49" s="8" t="n">
        <v>2020</v>
      </c>
      <c r="B49" s="8" t="s">
        <v>84</v>
      </c>
      <c r="C49" s="8" t="s">
        <v>73</v>
      </c>
      <c r="D49" s="8" t="s">
        <v>176</v>
      </c>
      <c r="E49" s="8" t="n">
        <f aca="false">'House Vote Data (Actual)'!D47</f>
        <v>920</v>
      </c>
      <c r="F49" s="8" t="n">
        <f aca="false">'House Vote Data (Actual)'!E47</f>
        <v>1596</v>
      </c>
      <c r="G49" s="8" t="n">
        <f aca="false">'House Vote Data (Actual)'!G47</f>
        <v>2516</v>
      </c>
      <c r="H49" s="9" t="n">
        <f aca="false">E49/G49</f>
        <v>0.365659777424483</v>
      </c>
    </row>
    <row r="50" customFormat="false" ht="15" hidden="false" customHeight="true" outlineLevel="0" collapsed="false">
      <c r="A50" s="8" t="n">
        <v>2022</v>
      </c>
      <c r="B50" s="8" t="s">
        <v>84</v>
      </c>
      <c r="C50" s="8" t="s">
        <v>73</v>
      </c>
      <c r="D50" s="8" t="s">
        <v>176</v>
      </c>
      <c r="E50" s="8" t="n">
        <f aca="false">'House Vote Data (Actual)'!D48</f>
        <v>850</v>
      </c>
      <c r="F50" s="8" t="n">
        <f aca="false">'House Vote Data (Actual)'!E48</f>
        <v>1311</v>
      </c>
      <c r="G50" s="8" t="n">
        <f aca="false">'House Vote Data (Actual)'!G48</f>
        <v>2161</v>
      </c>
      <c r="H50" s="9" t="n">
        <f aca="false">E50/G50</f>
        <v>0.39333641832485</v>
      </c>
    </row>
    <row r="51" customFormat="false" ht="15" hidden="false" customHeight="true" outlineLevel="0" collapsed="false">
      <c r="A51" s="8" t="n">
        <v>2024</v>
      </c>
      <c r="B51" s="8" t="s">
        <v>84</v>
      </c>
      <c r="C51" s="8" t="s">
        <v>73</v>
      </c>
      <c r="D51" s="8" t="s">
        <v>176</v>
      </c>
      <c r="E51" s="8" t="n">
        <f aca="false">'House Vote Data (Actual)'!D49</f>
        <v>985</v>
      </c>
      <c r="F51" s="8" t="n">
        <f aca="false">'House Vote Data (Actual)'!E49</f>
        <v>1586</v>
      </c>
      <c r="G51" s="8" t="n">
        <f aca="false">'House Vote Data (Actual)'!G49</f>
        <v>2571</v>
      </c>
      <c r="H51" s="9" t="n">
        <f aca="false">E51/G51</f>
        <v>0.383119408790354</v>
      </c>
    </row>
    <row r="52" customFormat="false" ht="15" hidden="false" customHeight="true" outlineLevel="0" collapsed="false">
      <c r="A52" s="8" t="n">
        <v>2018</v>
      </c>
      <c r="B52" s="8" t="s">
        <v>85</v>
      </c>
      <c r="C52" s="8" t="s">
        <v>73</v>
      </c>
      <c r="D52" s="8" t="s">
        <v>176</v>
      </c>
      <c r="E52" s="8" t="n">
        <f aca="false">'House Vote Data (Actual)'!D50</f>
        <v>411</v>
      </c>
      <c r="F52" s="8" t="n">
        <f aca="false">'House Vote Data (Actual)'!E50</f>
        <v>680</v>
      </c>
      <c r="G52" s="8" t="n">
        <f aca="false">'House Vote Data (Actual)'!G50</f>
        <v>1129</v>
      </c>
      <c r="H52" s="9" t="n">
        <f aca="false">E52/G52</f>
        <v>0.364038972542073</v>
      </c>
    </row>
    <row r="53" customFormat="false" ht="15" hidden="false" customHeight="true" outlineLevel="0" collapsed="false">
      <c r="A53" s="8" t="n">
        <v>2020</v>
      </c>
      <c r="B53" s="8" t="s">
        <v>85</v>
      </c>
      <c r="C53" s="8" t="s">
        <v>73</v>
      </c>
      <c r="D53" s="8" t="s">
        <v>176</v>
      </c>
      <c r="E53" s="8" t="n">
        <f aca="false">'House Vote Data (Actual)'!D51</f>
        <v>533</v>
      </c>
      <c r="F53" s="8" t="n">
        <f aca="false">'House Vote Data (Actual)'!E51</f>
        <v>955</v>
      </c>
      <c r="G53" s="8" t="n">
        <f aca="false">'House Vote Data (Actual)'!G51</f>
        <v>1488</v>
      </c>
      <c r="H53" s="9" t="n">
        <f aca="false">E53/G53</f>
        <v>0.358198924731183</v>
      </c>
    </row>
    <row r="54" customFormat="false" ht="15" hidden="false" customHeight="true" outlineLevel="0" collapsed="false">
      <c r="A54" s="8" t="n">
        <v>2022</v>
      </c>
      <c r="B54" s="8" t="s">
        <v>85</v>
      </c>
      <c r="C54" s="8" t="s">
        <v>73</v>
      </c>
      <c r="D54" s="8" t="s">
        <v>176</v>
      </c>
      <c r="E54" s="8" t="n">
        <f aca="false">'House Vote Data (Actual)'!D52</f>
        <v>457</v>
      </c>
      <c r="F54" s="8" t="n">
        <f aca="false">'House Vote Data (Actual)'!E52</f>
        <v>760</v>
      </c>
      <c r="G54" s="8" t="n">
        <f aca="false">'House Vote Data (Actual)'!G52</f>
        <v>1217</v>
      </c>
      <c r="H54" s="9" t="n">
        <f aca="false">E54/G54</f>
        <v>0.375513557929334</v>
      </c>
    </row>
    <row r="55" customFormat="false" ht="15" hidden="false" customHeight="true" outlineLevel="0" collapsed="false">
      <c r="A55" s="8" t="n">
        <v>2024</v>
      </c>
      <c r="B55" s="8" t="s">
        <v>85</v>
      </c>
      <c r="C55" s="8" t="s">
        <v>73</v>
      </c>
      <c r="D55" s="8" t="s">
        <v>176</v>
      </c>
      <c r="E55" s="8" t="n">
        <f aca="false">'House Vote Data (Actual)'!D53</f>
        <v>543</v>
      </c>
      <c r="F55" s="8" t="n">
        <f aca="false">'House Vote Data (Actual)'!E53</f>
        <v>990</v>
      </c>
      <c r="G55" s="8" t="n">
        <f aca="false">'House Vote Data (Actual)'!G53</f>
        <v>1533</v>
      </c>
      <c r="H55" s="9" t="n">
        <f aca="false">E55/G55</f>
        <v>0.354207436399217</v>
      </c>
    </row>
    <row r="56" customFormat="false" ht="15" hidden="false" customHeight="true" outlineLevel="0" collapsed="false">
      <c r="A56" s="8" t="n">
        <v>2018</v>
      </c>
      <c r="B56" s="8" t="s">
        <v>86</v>
      </c>
      <c r="C56" s="8" t="s">
        <v>73</v>
      </c>
      <c r="D56" s="8" t="s">
        <v>176</v>
      </c>
      <c r="E56" s="8" t="n">
        <f aca="false">'House Vote Data (Actual)'!D54</f>
        <v>623</v>
      </c>
      <c r="F56" s="8" t="n">
        <f aca="false">'House Vote Data (Actual)'!E54</f>
        <v>1233</v>
      </c>
      <c r="G56" s="8" t="n">
        <f aca="false">'House Vote Data (Actual)'!G54</f>
        <v>1921</v>
      </c>
      <c r="H56" s="9" t="n">
        <f aca="false">E56/G56</f>
        <v>0.324310255075482</v>
      </c>
    </row>
    <row r="57" customFormat="false" ht="15" hidden="false" customHeight="true" outlineLevel="0" collapsed="false">
      <c r="A57" s="8" t="n">
        <v>2020</v>
      </c>
      <c r="B57" s="8" t="s">
        <v>86</v>
      </c>
      <c r="C57" s="8" t="s">
        <v>73</v>
      </c>
      <c r="D57" s="8" t="s">
        <v>176</v>
      </c>
      <c r="E57" s="8" t="n">
        <f aca="false">'House Vote Data (Actual)'!D55</f>
        <v>846</v>
      </c>
      <c r="F57" s="8" t="n">
        <f aca="false">'House Vote Data (Actual)'!E55</f>
        <v>1783</v>
      </c>
      <c r="G57" s="8" t="n">
        <f aca="false">'House Vote Data (Actual)'!G55</f>
        <v>2629</v>
      </c>
      <c r="H57" s="9" t="n">
        <f aca="false">E57/G57</f>
        <v>0.321795359452263</v>
      </c>
    </row>
    <row r="58" customFormat="false" ht="15" hidden="false" customHeight="true" outlineLevel="0" collapsed="false">
      <c r="A58" s="8" t="n">
        <v>2022</v>
      </c>
      <c r="B58" s="8" t="s">
        <v>86</v>
      </c>
      <c r="C58" s="8" t="s">
        <v>73</v>
      </c>
      <c r="D58" s="8" t="s">
        <v>176</v>
      </c>
      <c r="E58" s="8" t="n">
        <f aca="false">'House Vote Data (Actual)'!D56</f>
        <v>719</v>
      </c>
      <c r="F58" s="8" t="n">
        <f aca="false">'House Vote Data (Actual)'!E56</f>
        <v>1434</v>
      </c>
      <c r="G58" s="8" t="n">
        <f aca="false">'House Vote Data (Actual)'!G56</f>
        <v>2153</v>
      </c>
      <c r="H58" s="9" t="n">
        <f aca="false">E58/G58</f>
        <v>0.333952624245239</v>
      </c>
    </row>
    <row r="59" customFormat="false" ht="15" hidden="false" customHeight="true" outlineLevel="0" collapsed="false">
      <c r="A59" s="8" t="n">
        <v>2024</v>
      </c>
      <c r="B59" s="8" t="s">
        <v>86</v>
      </c>
      <c r="C59" s="8" t="s">
        <v>73</v>
      </c>
      <c r="D59" s="8" t="s">
        <v>176</v>
      </c>
      <c r="E59" s="8" t="n">
        <f aca="false">'House Vote Data (Actual)'!D57</f>
        <v>850</v>
      </c>
      <c r="F59" s="8" t="n">
        <f aca="false">'House Vote Data (Actual)'!E57</f>
        <v>1856</v>
      </c>
      <c r="G59" s="8" t="n">
        <f aca="false">'House Vote Data (Actual)'!G57</f>
        <v>2706</v>
      </c>
      <c r="H59" s="9" t="n">
        <f aca="false">E59/G59</f>
        <v>0.314116777531412</v>
      </c>
    </row>
    <row r="60" customFormat="false" ht="15" hidden="false" customHeight="true" outlineLevel="0" collapsed="false">
      <c r="A60" s="8" t="n">
        <v>2018</v>
      </c>
      <c r="B60" s="8" t="s">
        <v>87</v>
      </c>
      <c r="C60" s="8" t="s">
        <v>73</v>
      </c>
      <c r="D60" s="8" t="s">
        <v>176</v>
      </c>
      <c r="E60" s="8" t="n">
        <f aca="false">'House Vote Data (Actual)'!D58</f>
        <v>691</v>
      </c>
      <c r="F60" s="8" t="n">
        <f aca="false">'House Vote Data (Actual)'!E58</f>
        <v>584</v>
      </c>
      <c r="G60" s="8" t="n">
        <f aca="false">'House Vote Data (Actual)'!G58</f>
        <v>1315</v>
      </c>
      <c r="H60" s="9" t="n">
        <f aca="false">E60/G60</f>
        <v>0.525475285171103</v>
      </c>
    </row>
    <row r="61" customFormat="false" ht="15" hidden="false" customHeight="true" outlineLevel="0" collapsed="false">
      <c r="A61" s="8" t="n">
        <v>2020</v>
      </c>
      <c r="B61" s="8" t="s">
        <v>87</v>
      </c>
      <c r="C61" s="8" t="s">
        <v>73</v>
      </c>
      <c r="D61" s="8" t="s">
        <v>176</v>
      </c>
      <c r="E61" s="8" t="n">
        <f aca="false">'House Vote Data (Actual)'!D59</f>
        <v>997</v>
      </c>
      <c r="F61" s="8" t="n">
        <f aca="false">'House Vote Data (Actual)'!E59</f>
        <v>860</v>
      </c>
      <c r="G61" s="8" t="n">
        <f aca="false">'House Vote Data (Actual)'!G59</f>
        <v>1857</v>
      </c>
      <c r="H61" s="9" t="n">
        <f aca="false">E61/G61</f>
        <v>0.536887452880991</v>
      </c>
    </row>
    <row r="62" customFormat="false" ht="15" hidden="false" customHeight="true" outlineLevel="0" collapsed="false">
      <c r="A62" s="8" t="n">
        <v>2022</v>
      </c>
      <c r="B62" s="8" t="s">
        <v>87</v>
      </c>
      <c r="C62" s="8" t="s">
        <v>73</v>
      </c>
      <c r="D62" s="8" t="s">
        <v>176</v>
      </c>
      <c r="E62" s="8" t="n">
        <f aca="false">'House Vote Data (Actual)'!D60</f>
        <v>788</v>
      </c>
      <c r="F62" s="8" t="n">
        <f aca="false">'House Vote Data (Actual)'!E60</f>
        <v>628</v>
      </c>
      <c r="G62" s="8" t="n">
        <f aca="false">'House Vote Data (Actual)'!G60</f>
        <v>1416</v>
      </c>
      <c r="H62" s="9" t="n">
        <f aca="false">E62/G62</f>
        <v>0.556497175141243</v>
      </c>
    </row>
    <row r="63" customFormat="false" ht="15" hidden="false" customHeight="true" outlineLevel="0" collapsed="false">
      <c r="A63" s="8" t="n">
        <v>2024</v>
      </c>
      <c r="B63" s="8" t="s">
        <v>87</v>
      </c>
      <c r="C63" s="8" t="s">
        <v>73</v>
      </c>
      <c r="D63" s="8" t="s">
        <v>176</v>
      </c>
      <c r="E63" s="8" t="n">
        <f aca="false">'House Vote Data (Actual)'!D61</f>
        <v>980</v>
      </c>
      <c r="F63" s="8" t="n">
        <f aca="false">'House Vote Data (Actual)'!E61</f>
        <v>872</v>
      </c>
      <c r="G63" s="8" t="n">
        <f aca="false">'House Vote Data (Actual)'!G61</f>
        <v>1852</v>
      </c>
      <c r="H63" s="9" t="n">
        <f aca="false">E63/G63</f>
        <v>0.529157667386609</v>
      </c>
    </row>
    <row r="64" customFormat="false" ht="15" hidden="false" customHeight="true" outlineLevel="0" collapsed="false">
      <c r="A64" s="8" t="n">
        <v>2018</v>
      </c>
      <c r="B64" s="8" t="s">
        <v>88</v>
      </c>
      <c r="C64" s="8" t="s">
        <v>73</v>
      </c>
      <c r="D64" s="8" t="s">
        <v>176</v>
      </c>
      <c r="E64" s="8" t="n">
        <f aca="false">'House Vote Data (Actual)'!D62</f>
        <v>2780</v>
      </c>
      <c r="F64" s="8" t="n">
        <f aca="false">'House Vote Data (Actual)'!E62</f>
        <v>3849</v>
      </c>
      <c r="G64" s="8" t="n">
        <f aca="false">'House Vote Data (Actual)'!G62</f>
        <v>6877</v>
      </c>
      <c r="H64" s="9" t="n">
        <f aca="false">E64/G64</f>
        <v>0.404246037516359</v>
      </c>
    </row>
    <row r="65" customFormat="false" ht="15" hidden="false" customHeight="true" outlineLevel="0" collapsed="false">
      <c r="A65" s="8" t="n">
        <v>2020</v>
      </c>
      <c r="B65" s="8" t="s">
        <v>88</v>
      </c>
      <c r="C65" s="8" t="s">
        <v>73</v>
      </c>
      <c r="D65" s="8" t="s">
        <v>176</v>
      </c>
      <c r="E65" s="8" t="n">
        <f aca="false">'House Vote Data (Actual)'!D63</f>
        <v>3900</v>
      </c>
      <c r="F65" s="8" t="n">
        <f aca="false">'House Vote Data (Actual)'!E63</f>
        <v>5859</v>
      </c>
      <c r="G65" s="8" t="n">
        <f aca="false">'House Vote Data (Actual)'!G63</f>
        <v>9759</v>
      </c>
      <c r="H65" s="9" t="n">
        <f aca="false">E65/G65</f>
        <v>0.399631109744851</v>
      </c>
    </row>
    <row r="66" customFormat="false" ht="15" hidden="false" customHeight="true" outlineLevel="0" collapsed="false">
      <c r="A66" s="8" t="n">
        <v>2022</v>
      </c>
      <c r="B66" s="8" t="s">
        <v>88</v>
      </c>
      <c r="C66" s="8" t="s">
        <v>73</v>
      </c>
      <c r="D66" s="8" t="s">
        <v>176</v>
      </c>
      <c r="E66" s="8" t="n">
        <f aca="false">'House Vote Data (Actual)'!D64</f>
        <v>3255</v>
      </c>
      <c r="F66" s="8" t="n">
        <f aca="false">'House Vote Data (Actual)'!E64</f>
        <v>4462</v>
      </c>
      <c r="G66" s="8" t="n">
        <f aca="false">'House Vote Data (Actual)'!G64</f>
        <v>7717</v>
      </c>
      <c r="H66" s="9" t="n">
        <f aca="false">E66/G66</f>
        <v>0.421796034728521</v>
      </c>
    </row>
    <row r="67" customFormat="false" ht="15" hidden="false" customHeight="true" outlineLevel="0" collapsed="false">
      <c r="A67" s="8" t="n">
        <v>2024</v>
      </c>
      <c r="B67" s="8" t="s">
        <v>88</v>
      </c>
      <c r="C67" s="8" t="s">
        <v>73</v>
      </c>
      <c r="D67" s="8" t="s">
        <v>176</v>
      </c>
      <c r="E67" s="8" t="n">
        <f aca="false">'House Vote Data (Actual)'!D65</f>
        <v>4022</v>
      </c>
      <c r="F67" s="8" t="n">
        <f aca="false">'House Vote Data (Actual)'!E65</f>
        <v>5915</v>
      </c>
      <c r="G67" s="8" t="n">
        <f aca="false">'House Vote Data (Actual)'!G65</f>
        <v>9937</v>
      </c>
      <c r="H67" s="9" t="n">
        <f aca="false">E67/G67</f>
        <v>0.404749924524504</v>
      </c>
    </row>
    <row r="68" customFormat="false" ht="15" hidden="false" customHeight="true" outlineLevel="0" collapsed="false">
      <c r="A68" s="8" t="n">
        <v>2018</v>
      </c>
      <c r="B68" s="8" t="s">
        <v>89</v>
      </c>
      <c r="C68" s="8" t="s">
        <v>73</v>
      </c>
      <c r="D68" s="8" t="s">
        <v>176</v>
      </c>
      <c r="E68" s="8" t="n">
        <f aca="false">'House Vote Data (Actual)'!D66</f>
        <v>2945</v>
      </c>
      <c r="F68" s="8" t="n">
        <f aca="false">'House Vote Data (Actual)'!E66</f>
        <v>2844</v>
      </c>
      <c r="G68" s="8" t="n">
        <f aca="false">'House Vote Data (Actual)'!G66</f>
        <v>5968</v>
      </c>
      <c r="H68" s="9" t="n">
        <f aca="false">E68/G68</f>
        <v>0.493465147453083</v>
      </c>
    </row>
    <row r="69" customFormat="false" ht="15" hidden="false" customHeight="true" outlineLevel="0" collapsed="false">
      <c r="A69" s="8" t="n">
        <v>2020</v>
      </c>
      <c r="B69" s="8" t="s">
        <v>89</v>
      </c>
      <c r="C69" s="8" t="s">
        <v>73</v>
      </c>
      <c r="D69" s="8" t="s">
        <v>176</v>
      </c>
      <c r="E69" s="8" t="n">
        <f aca="false">'House Vote Data (Actual)'!D67</f>
        <v>4029</v>
      </c>
      <c r="F69" s="8" t="n">
        <f aca="false">'House Vote Data (Actual)'!E67</f>
        <v>4143</v>
      </c>
      <c r="G69" s="8" t="n">
        <f aca="false">'House Vote Data (Actual)'!G67</f>
        <v>8172</v>
      </c>
      <c r="H69" s="9" t="n">
        <f aca="false">E69/G69</f>
        <v>0.49302496328928</v>
      </c>
    </row>
    <row r="70" customFormat="false" ht="15" hidden="false" customHeight="true" outlineLevel="0" collapsed="false">
      <c r="A70" s="8" t="n">
        <v>2022</v>
      </c>
      <c r="B70" s="8" t="s">
        <v>89</v>
      </c>
      <c r="C70" s="8" t="s">
        <v>73</v>
      </c>
      <c r="D70" s="8" t="s">
        <v>176</v>
      </c>
      <c r="E70" s="8" t="n">
        <f aca="false">'House Vote Data (Actual)'!D68</f>
        <v>3239</v>
      </c>
      <c r="F70" s="8" t="n">
        <f aca="false">'House Vote Data (Actual)'!E68</f>
        <v>3129</v>
      </c>
      <c r="G70" s="8" t="n">
        <f aca="false">'House Vote Data (Actual)'!G68</f>
        <v>6368</v>
      </c>
      <c r="H70" s="9" t="n">
        <f aca="false">E70/G70</f>
        <v>0.508636934673367</v>
      </c>
    </row>
    <row r="71" customFormat="false" ht="15" hidden="false" customHeight="true" outlineLevel="0" collapsed="false">
      <c r="A71" s="8" t="n">
        <v>2024</v>
      </c>
      <c r="B71" s="8" t="s">
        <v>89</v>
      </c>
      <c r="C71" s="8" t="s">
        <v>73</v>
      </c>
      <c r="D71" s="8" t="s">
        <v>176</v>
      </c>
      <c r="E71" s="8" t="n">
        <f aca="false">'House Vote Data (Actual)'!D69</f>
        <v>4010</v>
      </c>
      <c r="F71" s="8" t="n">
        <f aca="false">'House Vote Data (Actual)'!E69</f>
        <v>4104</v>
      </c>
      <c r="G71" s="8" t="n">
        <f aca="false">'House Vote Data (Actual)'!G69</f>
        <v>8114</v>
      </c>
      <c r="H71" s="9" t="n">
        <f aca="false">E71/G71</f>
        <v>0.494207542519103</v>
      </c>
    </row>
    <row r="72" customFormat="false" ht="15" hidden="false" customHeight="true" outlineLevel="0" collapsed="false">
      <c r="A72" s="8" t="n">
        <v>2018</v>
      </c>
      <c r="B72" s="8" t="s">
        <v>90</v>
      </c>
      <c r="C72" s="8" t="s">
        <v>73</v>
      </c>
      <c r="D72" s="8" t="s">
        <v>176</v>
      </c>
      <c r="E72" s="8" t="n">
        <f aca="false">'House Vote Data (Actual)'!D70</f>
        <v>537</v>
      </c>
      <c r="F72" s="8" t="n">
        <f aca="false">'House Vote Data (Actual)'!E70</f>
        <v>626</v>
      </c>
      <c r="G72" s="8" t="n">
        <f aca="false">'House Vote Data (Actual)'!G70</f>
        <v>1210</v>
      </c>
      <c r="H72" s="9" t="n">
        <f aca="false">E72/G72</f>
        <v>0.443801652892562</v>
      </c>
    </row>
    <row r="73" customFormat="false" ht="15" hidden="false" customHeight="true" outlineLevel="0" collapsed="false">
      <c r="A73" s="8" t="n">
        <v>2020</v>
      </c>
      <c r="B73" s="8" t="s">
        <v>90</v>
      </c>
      <c r="C73" s="8" t="s">
        <v>73</v>
      </c>
      <c r="D73" s="8" t="s">
        <v>176</v>
      </c>
      <c r="E73" s="8" t="n">
        <f aca="false">'House Vote Data (Actual)'!D71</f>
        <v>748</v>
      </c>
      <c r="F73" s="8" t="n">
        <f aca="false">'House Vote Data (Actual)'!E71</f>
        <v>1149</v>
      </c>
      <c r="G73" s="8" t="n">
        <f aca="false">'House Vote Data (Actual)'!G71</f>
        <v>1897</v>
      </c>
      <c r="H73" s="9" t="n">
        <f aca="false">E73/G73</f>
        <v>0.394306800210859</v>
      </c>
    </row>
    <row r="74" customFormat="false" ht="15" hidden="false" customHeight="true" outlineLevel="0" collapsed="false">
      <c r="A74" s="8" t="n">
        <v>2022</v>
      </c>
      <c r="B74" s="8" t="s">
        <v>90</v>
      </c>
      <c r="C74" s="8" t="s">
        <v>73</v>
      </c>
      <c r="D74" s="8" t="s">
        <v>176</v>
      </c>
      <c r="E74" s="8" t="n">
        <f aca="false">'House Vote Data (Actual)'!D72</f>
        <v>611</v>
      </c>
      <c r="F74" s="8" t="n">
        <f aca="false">'House Vote Data (Actual)'!E72</f>
        <v>740</v>
      </c>
      <c r="G74" s="8" t="n">
        <f aca="false">'House Vote Data (Actual)'!G72</f>
        <v>1351</v>
      </c>
      <c r="H74" s="9" t="n">
        <f aca="false">E74/G74</f>
        <v>0.452257586972613</v>
      </c>
    </row>
    <row r="75" customFormat="false" ht="15" hidden="false" customHeight="true" outlineLevel="0" collapsed="false">
      <c r="A75" s="8" t="n">
        <v>2024</v>
      </c>
      <c r="B75" s="8" t="s">
        <v>90</v>
      </c>
      <c r="C75" s="8" t="s">
        <v>73</v>
      </c>
      <c r="D75" s="8" t="s">
        <v>176</v>
      </c>
      <c r="E75" s="8" t="n">
        <f aca="false">'House Vote Data (Actual)'!D73</f>
        <v>800</v>
      </c>
      <c r="F75" s="8" t="n">
        <f aca="false">'House Vote Data (Actual)'!E73</f>
        <v>1156</v>
      </c>
      <c r="G75" s="8" t="n">
        <f aca="false">'House Vote Data (Actual)'!G73</f>
        <v>1956</v>
      </c>
      <c r="H75" s="9" t="n">
        <f aca="false">E75/G75</f>
        <v>0.408997955010225</v>
      </c>
    </row>
    <row r="76" customFormat="false" ht="15" hidden="false" customHeight="true" outlineLevel="0" collapsed="false">
      <c r="A76" s="8" t="n">
        <v>2018</v>
      </c>
      <c r="B76" s="8" t="s">
        <v>91</v>
      </c>
      <c r="C76" s="8" t="s">
        <v>73</v>
      </c>
      <c r="D76" s="8" t="s">
        <v>176</v>
      </c>
      <c r="E76" s="8" t="n">
        <f aca="false">'House Vote Data (Actual)'!D74</f>
        <v>5009</v>
      </c>
      <c r="F76" s="8" t="n">
        <f aca="false">'House Vote Data (Actual)'!E74</f>
        <v>3839</v>
      </c>
      <c r="G76" s="8" t="n">
        <f aca="false">'House Vote Data (Actual)'!G74</f>
        <v>9109</v>
      </c>
      <c r="H76" s="9" t="n">
        <f aca="false">E76/G76</f>
        <v>0.549895707541992</v>
      </c>
    </row>
    <row r="77" customFormat="false" ht="15" hidden="false" customHeight="true" outlineLevel="0" collapsed="false">
      <c r="A77" s="8" t="n">
        <v>2020</v>
      </c>
      <c r="B77" s="8" t="s">
        <v>91</v>
      </c>
      <c r="C77" s="8" t="s">
        <v>73</v>
      </c>
      <c r="D77" s="8" t="s">
        <v>176</v>
      </c>
      <c r="E77" s="8" t="n">
        <f aca="false">'House Vote Data (Actual)'!D75</f>
        <v>6668</v>
      </c>
      <c r="F77" s="8" t="n">
        <f aca="false">'House Vote Data (Actual)'!E75</f>
        <v>5856</v>
      </c>
      <c r="G77" s="8" t="n">
        <f aca="false">'House Vote Data (Actual)'!G75</f>
        <v>12524</v>
      </c>
      <c r="H77" s="9" t="n">
        <f aca="false">E77/G77</f>
        <v>0.532417757904823</v>
      </c>
    </row>
    <row r="78" customFormat="false" ht="15" hidden="false" customHeight="true" outlineLevel="0" collapsed="false">
      <c r="A78" s="8" t="n">
        <v>2022</v>
      </c>
      <c r="B78" s="8" t="s">
        <v>91</v>
      </c>
      <c r="C78" s="8" t="s">
        <v>73</v>
      </c>
      <c r="D78" s="8" t="s">
        <v>176</v>
      </c>
      <c r="E78" s="8" t="n">
        <f aca="false">'House Vote Data (Actual)'!D76</f>
        <v>5699</v>
      </c>
      <c r="F78" s="8" t="n">
        <f aca="false">'House Vote Data (Actual)'!E76</f>
        <v>4420</v>
      </c>
      <c r="G78" s="8" t="n">
        <f aca="false">'House Vote Data (Actual)'!G76</f>
        <v>10119</v>
      </c>
      <c r="H78" s="9" t="n">
        <f aca="false">E78/G78</f>
        <v>0.563197944460915</v>
      </c>
    </row>
    <row r="79" customFormat="false" ht="15" hidden="false" customHeight="true" outlineLevel="0" collapsed="false">
      <c r="A79" s="8" t="n">
        <v>2024</v>
      </c>
      <c r="B79" s="8" t="s">
        <v>91</v>
      </c>
      <c r="C79" s="8" t="s">
        <v>73</v>
      </c>
      <c r="D79" s="8" t="s">
        <v>176</v>
      </c>
      <c r="E79" s="8" t="n">
        <f aca="false">'House Vote Data (Actual)'!D77</f>
        <v>7019</v>
      </c>
      <c r="F79" s="8" t="n">
        <f aca="false">'House Vote Data (Actual)'!E77</f>
        <v>6110</v>
      </c>
      <c r="G79" s="8" t="n">
        <f aca="false">'House Vote Data (Actual)'!G77</f>
        <v>13129</v>
      </c>
      <c r="H79" s="9" t="n">
        <f aca="false">E79/G79</f>
        <v>0.534618021174499</v>
      </c>
    </row>
    <row r="80" customFormat="false" ht="15" hidden="false" customHeight="true" outlineLevel="0" collapsed="false">
      <c r="A80" s="8" t="n">
        <v>2018</v>
      </c>
      <c r="B80" s="8" t="s">
        <v>92</v>
      </c>
      <c r="C80" s="8" t="s">
        <v>73</v>
      </c>
      <c r="D80" s="8" t="s">
        <v>176</v>
      </c>
      <c r="E80" s="8" t="n">
        <f aca="false">'House Vote Data (Actual)'!D78</f>
        <v>5137</v>
      </c>
      <c r="F80" s="8" t="n">
        <f aca="false">'House Vote Data (Actual)'!E78</f>
        <v>4495</v>
      </c>
      <c r="G80" s="8" t="n">
        <f aca="false">'House Vote Data (Actual)'!G78</f>
        <v>9939</v>
      </c>
      <c r="H80" s="9" t="n">
        <f aca="false">E80/G80</f>
        <v>0.516852802092766</v>
      </c>
    </row>
    <row r="81" customFormat="false" ht="15" hidden="false" customHeight="true" outlineLevel="0" collapsed="false">
      <c r="A81" s="8" t="n">
        <v>2020</v>
      </c>
      <c r="B81" s="8" t="s">
        <v>92</v>
      </c>
      <c r="C81" s="8" t="s">
        <v>73</v>
      </c>
      <c r="D81" s="8" t="s">
        <v>176</v>
      </c>
      <c r="E81" s="8" t="n">
        <f aca="false">'House Vote Data (Actual)'!D79</f>
        <v>7495</v>
      </c>
      <c r="F81" s="8" t="n">
        <f aca="false">'House Vote Data (Actual)'!E79</f>
        <v>7011</v>
      </c>
      <c r="G81" s="8" t="n">
        <f aca="false">'House Vote Data (Actual)'!G79</f>
        <v>14506</v>
      </c>
      <c r="H81" s="9" t="n">
        <f aca="false">E81/G81</f>
        <v>0.516682751964704</v>
      </c>
    </row>
    <row r="82" customFormat="false" ht="15" hidden="false" customHeight="true" outlineLevel="0" collapsed="false">
      <c r="A82" s="8" t="n">
        <v>2022</v>
      </c>
      <c r="B82" s="8" t="s">
        <v>92</v>
      </c>
      <c r="C82" s="8" t="s">
        <v>73</v>
      </c>
      <c r="D82" s="8" t="s">
        <v>176</v>
      </c>
      <c r="E82" s="8" t="n">
        <f aca="false">'House Vote Data (Actual)'!D80</f>
        <v>6009</v>
      </c>
      <c r="F82" s="8" t="n">
        <f aca="false">'House Vote Data (Actual)'!E80</f>
        <v>5257</v>
      </c>
      <c r="G82" s="8" t="n">
        <f aca="false">'House Vote Data (Actual)'!G80</f>
        <v>11266</v>
      </c>
      <c r="H82" s="9" t="n">
        <f aca="false">E82/G82</f>
        <v>0.533374755902716</v>
      </c>
    </row>
    <row r="83" customFormat="false" ht="15" hidden="false" customHeight="true" outlineLevel="0" collapsed="false">
      <c r="A83" s="8" t="n">
        <v>2024</v>
      </c>
      <c r="B83" s="8" t="s">
        <v>92</v>
      </c>
      <c r="C83" s="8" t="s">
        <v>73</v>
      </c>
      <c r="D83" s="8" t="s">
        <v>176</v>
      </c>
      <c r="E83" s="8" t="n">
        <f aca="false">'House Vote Data (Actual)'!D81</f>
        <v>8020</v>
      </c>
      <c r="F83" s="8" t="n">
        <f aca="false">'House Vote Data (Actual)'!E81</f>
        <v>7607</v>
      </c>
      <c r="G83" s="8" t="n">
        <f aca="false">'House Vote Data (Actual)'!G81</f>
        <v>15627</v>
      </c>
      <c r="H83" s="9" t="n">
        <f aca="false">E83/G83</f>
        <v>0.513214308568503</v>
      </c>
    </row>
    <row r="84" customFormat="false" ht="15" hidden="false" customHeight="true" outlineLevel="0" collapsed="false">
      <c r="A84" s="8" t="n">
        <v>2018</v>
      </c>
      <c r="B84" s="8" t="s">
        <v>93</v>
      </c>
      <c r="C84" s="8" t="s">
        <v>73</v>
      </c>
      <c r="D84" s="8" t="s">
        <v>176</v>
      </c>
      <c r="E84" s="8" t="n">
        <f aca="false">'House Vote Data (Actual)'!D82</f>
        <v>1663</v>
      </c>
      <c r="F84" s="8" t="n">
        <f aca="false">'House Vote Data (Actual)'!E82</f>
        <v>1974</v>
      </c>
      <c r="G84" s="8" t="n">
        <f aca="false">'House Vote Data (Actual)'!G82</f>
        <v>3741</v>
      </c>
      <c r="H84" s="9" t="n">
        <f aca="false">E84/G84</f>
        <v>0.444533547179898</v>
      </c>
    </row>
    <row r="85" customFormat="false" ht="15" hidden="false" customHeight="true" outlineLevel="0" collapsed="false">
      <c r="A85" s="8" t="n">
        <v>2020</v>
      </c>
      <c r="B85" s="8" t="s">
        <v>93</v>
      </c>
      <c r="C85" s="8" t="s">
        <v>73</v>
      </c>
      <c r="D85" s="8" t="s">
        <v>176</v>
      </c>
      <c r="E85" s="8" t="n">
        <f aca="false">'House Vote Data (Actual)'!D83</f>
        <v>2222</v>
      </c>
      <c r="F85" s="8" t="n">
        <f aca="false">'House Vote Data (Actual)'!E83</f>
        <v>2955</v>
      </c>
      <c r="G85" s="8" t="n">
        <f aca="false">'House Vote Data (Actual)'!G83</f>
        <v>5177</v>
      </c>
      <c r="H85" s="9" t="n">
        <f aca="false">E85/G85</f>
        <v>0.42920610392119</v>
      </c>
    </row>
    <row r="86" customFormat="false" ht="15" hidden="false" customHeight="true" outlineLevel="0" collapsed="false">
      <c r="A86" s="8" t="n">
        <v>2022</v>
      </c>
      <c r="B86" s="8" t="s">
        <v>93</v>
      </c>
      <c r="C86" s="8" t="s">
        <v>73</v>
      </c>
      <c r="D86" s="8" t="s">
        <v>176</v>
      </c>
      <c r="E86" s="8" t="n">
        <f aca="false">'House Vote Data (Actual)'!D84</f>
        <v>2032</v>
      </c>
      <c r="F86" s="8" t="n">
        <f aca="false">'House Vote Data (Actual)'!E84</f>
        <v>2450</v>
      </c>
      <c r="G86" s="8" t="n">
        <f aca="false">'House Vote Data (Actual)'!G84</f>
        <v>4482</v>
      </c>
      <c r="H86" s="9" t="n">
        <f aca="false">E86/G86</f>
        <v>0.453369031682285</v>
      </c>
    </row>
    <row r="87" customFormat="false" ht="15" hidden="false" customHeight="true" outlineLevel="0" collapsed="false">
      <c r="A87" s="8" t="n">
        <v>2024</v>
      </c>
      <c r="B87" s="8" t="s">
        <v>93</v>
      </c>
      <c r="C87" s="8" t="s">
        <v>73</v>
      </c>
      <c r="D87" s="8" t="s">
        <v>176</v>
      </c>
      <c r="E87" s="8" t="n">
        <f aca="false">'House Vote Data (Actual)'!D85</f>
        <v>2380</v>
      </c>
      <c r="F87" s="8" t="n">
        <f aca="false">'House Vote Data (Actual)'!E85</f>
        <v>3135</v>
      </c>
      <c r="G87" s="8" t="n">
        <f aca="false">'House Vote Data (Actual)'!G85</f>
        <v>5515</v>
      </c>
      <c r="H87" s="9" t="n">
        <f aca="false">E87/G87</f>
        <v>0.43155031731641</v>
      </c>
    </row>
    <row r="88" customFormat="false" ht="15" hidden="false" customHeight="true" outlineLevel="0" collapsed="false">
      <c r="A88" s="8" t="n">
        <v>2018</v>
      </c>
      <c r="B88" s="8" t="s">
        <v>94</v>
      </c>
      <c r="C88" s="8" t="s">
        <v>73</v>
      </c>
      <c r="D88" s="8" t="s">
        <v>176</v>
      </c>
      <c r="E88" s="8" t="n">
        <f aca="false">'House Vote Data (Actual)'!D86</f>
        <v>3652</v>
      </c>
      <c r="F88" s="8" t="n">
        <f aca="false">'House Vote Data (Actual)'!E86</f>
        <v>3768</v>
      </c>
      <c r="G88" s="8" t="n">
        <f aca="false">'House Vote Data (Actual)'!G86</f>
        <v>7626</v>
      </c>
      <c r="H88" s="9" t="n">
        <f aca="false">E88/G88</f>
        <v>0.478888014686599</v>
      </c>
    </row>
    <row r="89" customFormat="false" ht="15" hidden="false" customHeight="true" outlineLevel="0" collapsed="false">
      <c r="A89" s="8" t="n">
        <v>2020</v>
      </c>
      <c r="B89" s="8" t="s">
        <v>94</v>
      </c>
      <c r="C89" s="8" t="s">
        <v>73</v>
      </c>
      <c r="D89" s="8" t="s">
        <v>176</v>
      </c>
      <c r="E89" s="8" t="n">
        <f aca="false">'House Vote Data (Actual)'!D87</f>
        <v>4817</v>
      </c>
      <c r="F89" s="8" t="n">
        <f aca="false">'House Vote Data (Actual)'!E87</f>
        <v>5501</v>
      </c>
      <c r="G89" s="8" t="n">
        <f aca="false">'House Vote Data (Actual)'!G87</f>
        <v>10318</v>
      </c>
      <c r="H89" s="9" t="n">
        <f aca="false">E89/G89</f>
        <v>0.466854041480907</v>
      </c>
    </row>
    <row r="90" customFormat="false" ht="15" hidden="false" customHeight="true" outlineLevel="0" collapsed="false">
      <c r="A90" s="8" t="n">
        <v>2022</v>
      </c>
      <c r="B90" s="8" t="s">
        <v>94</v>
      </c>
      <c r="C90" s="8" t="s">
        <v>73</v>
      </c>
      <c r="D90" s="8" t="s">
        <v>176</v>
      </c>
      <c r="E90" s="8" t="n">
        <f aca="false">'House Vote Data (Actual)'!D88</f>
        <v>4406</v>
      </c>
      <c r="F90" s="8" t="n">
        <f aca="false">'House Vote Data (Actual)'!E88</f>
        <v>4369</v>
      </c>
      <c r="G90" s="8" t="n">
        <f aca="false">'House Vote Data (Actual)'!G88</f>
        <v>8775</v>
      </c>
      <c r="H90" s="9" t="n">
        <f aca="false">E90/G90</f>
        <v>0.502108262108262</v>
      </c>
    </row>
    <row r="91" customFormat="false" ht="15" hidden="false" customHeight="true" outlineLevel="0" collapsed="false">
      <c r="A91" s="8" t="n">
        <v>2024</v>
      </c>
      <c r="B91" s="8" t="s">
        <v>94</v>
      </c>
      <c r="C91" s="8" t="s">
        <v>73</v>
      </c>
      <c r="D91" s="8" t="s">
        <v>176</v>
      </c>
      <c r="E91" s="8" t="n">
        <f aca="false">'House Vote Data (Actual)'!D89</f>
        <v>5462</v>
      </c>
      <c r="F91" s="8" t="n">
        <f aca="false">'House Vote Data (Actual)'!E89</f>
        <v>5740</v>
      </c>
      <c r="G91" s="8" t="n">
        <f aca="false">'House Vote Data (Actual)'!G89</f>
        <v>11202</v>
      </c>
      <c r="H91" s="9" t="n">
        <f aca="false">E91/G91</f>
        <v>0.487591501517586</v>
      </c>
    </row>
    <row r="92" customFormat="false" ht="15" hidden="false" customHeight="true" outlineLevel="0" collapsed="false">
      <c r="A92" s="8" t="n">
        <v>2018</v>
      </c>
      <c r="B92" s="8" t="s">
        <v>95</v>
      </c>
      <c r="C92" s="8" t="s">
        <v>73</v>
      </c>
      <c r="D92" s="8" t="s">
        <v>176</v>
      </c>
      <c r="E92" s="8" t="n">
        <f aca="false">'House Vote Data (Actual)'!D90</f>
        <v>875</v>
      </c>
      <c r="F92" s="8" t="n">
        <f aca="false">'House Vote Data (Actual)'!E90</f>
        <v>1592</v>
      </c>
      <c r="G92" s="8" t="n">
        <f aca="false">'House Vote Data (Actual)'!G90</f>
        <v>2548</v>
      </c>
      <c r="H92" s="9" t="n">
        <f aca="false">E92/G92</f>
        <v>0.343406593406593</v>
      </c>
    </row>
    <row r="93" customFormat="false" ht="15" hidden="false" customHeight="true" outlineLevel="0" collapsed="false">
      <c r="A93" s="8" t="n">
        <v>2020</v>
      </c>
      <c r="B93" s="8" t="s">
        <v>95</v>
      </c>
      <c r="C93" s="8" t="s">
        <v>73</v>
      </c>
      <c r="D93" s="8" t="s">
        <v>176</v>
      </c>
      <c r="E93" s="8" t="n">
        <f aca="false">'House Vote Data (Actual)'!D91</f>
        <v>1231</v>
      </c>
      <c r="F93" s="8" t="n">
        <f aca="false">'House Vote Data (Actual)'!E91</f>
        <v>2578</v>
      </c>
      <c r="G93" s="8" t="n">
        <f aca="false">'House Vote Data (Actual)'!G91</f>
        <v>3809</v>
      </c>
      <c r="H93" s="9" t="n">
        <f aca="false">E93/G93</f>
        <v>0.323181937516409</v>
      </c>
    </row>
    <row r="94" customFormat="false" ht="15" hidden="false" customHeight="true" outlineLevel="0" collapsed="false">
      <c r="A94" s="8" t="n">
        <v>2022</v>
      </c>
      <c r="B94" s="8" t="s">
        <v>95</v>
      </c>
      <c r="C94" s="8" t="s">
        <v>73</v>
      </c>
      <c r="D94" s="8" t="s">
        <v>176</v>
      </c>
      <c r="E94" s="8" t="n">
        <f aca="false">'House Vote Data (Actual)'!D92</f>
        <v>1054</v>
      </c>
      <c r="F94" s="8" t="n">
        <f aca="false">'House Vote Data (Actual)'!E92</f>
        <v>1952</v>
      </c>
      <c r="G94" s="8" t="n">
        <f aca="false">'House Vote Data (Actual)'!G92</f>
        <v>3006</v>
      </c>
      <c r="H94" s="9" t="n">
        <f aca="false">E94/G94</f>
        <v>0.350632069194943</v>
      </c>
    </row>
    <row r="95" customFormat="false" ht="15" hidden="false" customHeight="true" outlineLevel="0" collapsed="false">
      <c r="A95" s="8" t="n">
        <v>2024</v>
      </c>
      <c r="B95" s="8" t="s">
        <v>95</v>
      </c>
      <c r="C95" s="8" t="s">
        <v>73</v>
      </c>
      <c r="D95" s="8" t="s">
        <v>176</v>
      </c>
      <c r="E95" s="8" t="n">
        <f aca="false">'House Vote Data (Actual)'!D93</f>
        <v>1266</v>
      </c>
      <c r="F95" s="8" t="n">
        <f aca="false">'House Vote Data (Actual)'!E93</f>
        <v>2669</v>
      </c>
      <c r="G95" s="8" t="n">
        <f aca="false">'House Vote Data (Actual)'!G93</f>
        <v>3935</v>
      </c>
      <c r="H95" s="9" t="n">
        <f aca="false">E95/G95</f>
        <v>0.321728081321474</v>
      </c>
    </row>
    <row r="96" customFormat="false" ht="15" hidden="false" customHeight="true" outlineLevel="0" collapsed="false">
      <c r="A96" s="8" t="n">
        <v>2018</v>
      </c>
      <c r="B96" s="8" t="s">
        <v>96</v>
      </c>
      <c r="C96" s="8" t="s">
        <v>73</v>
      </c>
      <c r="D96" s="8" t="s">
        <v>176</v>
      </c>
      <c r="E96" s="8" t="n">
        <f aca="false">'House Vote Data (Actual)'!D94</f>
        <v>822</v>
      </c>
      <c r="F96" s="8" t="n">
        <f aca="false">'House Vote Data (Actual)'!E94</f>
        <v>1519</v>
      </c>
      <c r="G96" s="8" t="n">
        <f aca="false">'House Vote Data (Actual)'!G94</f>
        <v>2405</v>
      </c>
      <c r="H96" s="9" t="n">
        <f aca="false">E96/G96</f>
        <v>0.341787941787942</v>
      </c>
    </row>
    <row r="97" customFormat="false" ht="15" hidden="false" customHeight="true" outlineLevel="0" collapsed="false">
      <c r="A97" s="8" t="n">
        <v>2020</v>
      </c>
      <c r="B97" s="8" t="s">
        <v>96</v>
      </c>
      <c r="C97" s="8" t="s">
        <v>73</v>
      </c>
      <c r="D97" s="8" t="s">
        <v>176</v>
      </c>
      <c r="E97" s="8" t="n">
        <f aca="false">'House Vote Data (Actual)'!D95</f>
        <v>1073</v>
      </c>
      <c r="F97" s="8" t="n">
        <f aca="false">'House Vote Data (Actual)'!E95</f>
        <v>2156</v>
      </c>
      <c r="G97" s="8" t="n">
        <f aca="false">'House Vote Data (Actual)'!G95</f>
        <v>3229</v>
      </c>
      <c r="H97" s="9" t="n">
        <f aca="false">E97/G97</f>
        <v>0.332301021988232</v>
      </c>
    </row>
    <row r="98" customFormat="false" ht="15" hidden="false" customHeight="true" outlineLevel="0" collapsed="false">
      <c r="A98" s="8" t="n">
        <v>2022</v>
      </c>
      <c r="B98" s="8" t="s">
        <v>96</v>
      </c>
      <c r="C98" s="8" t="s">
        <v>73</v>
      </c>
      <c r="D98" s="8" t="s">
        <v>176</v>
      </c>
      <c r="E98" s="8" t="n">
        <f aca="false">'House Vote Data (Actual)'!D96</f>
        <v>981</v>
      </c>
      <c r="F98" s="8" t="n">
        <f aca="false">'House Vote Data (Actual)'!E96</f>
        <v>1711</v>
      </c>
      <c r="G98" s="8" t="n">
        <f aca="false">'House Vote Data (Actual)'!G96</f>
        <v>2692</v>
      </c>
      <c r="H98" s="9" t="n">
        <f aca="false">E98/G98</f>
        <v>0.364413075780089</v>
      </c>
    </row>
    <row r="99" customFormat="false" ht="15" hidden="false" customHeight="true" outlineLevel="0" collapsed="false">
      <c r="A99" s="8" t="n">
        <v>2024</v>
      </c>
      <c r="B99" s="8" t="s">
        <v>96</v>
      </c>
      <c r="C99" s="8" t="s">
        <v>73</v>
      </c>
      <c r="D99" s="8" t="s">
        <v>176</v>
      </c>
      <c r="E99" s="8" t="n">
        <f aca="false">'House Vote Data (Actual)'!D97</f>
        <v>1172</v>
      </c>
      <c r="F99" s="8" t="n">
        <f aca="false">'House Vote Data (Actual)'!E97</f>
        <v>2201</v>
      </c>
      <c r="G99" s="8" t="n">
        <f aca="false">'House Vote Data (Actual)'!G97</f>
        <v>3373</v>
      </c>
      <c r="H99" s="9" t="n">
        <f aca="false">E99/G99</f>
        <v>0.347465164541951</v>
      </c>
    </row>
    <row r="100" customFormat="false" ht="15" hidden="false" customHeight="true" outlineLevel="0" collapsed="false">
      <c r="A100" s="8" t="n">
        <v>2018</v>
      </c>
      <c r="B100" s="8" t="s">
        <v>97</v>
      </c>
      <c r="C100" s="8" t="s">
        <v>73</v>
      </c>
      <c r="D100" s="8" t="s">
        <v>176</v>
      </c>
      <c r="E100" s="8" t="n">
        <f aca="false">'House Vote Data (Actual)'!D98</f>
        <v>5195</v>
      </c>
      <c r="F100" s="8" t="n">
        <f aca="false">'House Vote Data (Actual)'!E98</f>
        <v>4070</v>
      </c>
      <c r="G100" s="8" t="n">
        <f aca="false">'House Vote Data (Actual)'!G98</f>
        <v>9656</v>
      </c>
      <c r="H100" s="9" t="n">
        <f aca="false">E100/G100</f>
        <v>0.538007456503728</v>
      </c>
    </row>
    <row r="101" customFormat="false" ht="15" hidden="false" customHeight="true" outlineLevel="0" collapsed="false">
      <c r="A101" s="8" t="n">
        <v>2020</v>
      </c>
      <c r="B101" s="8" t="s">
        <v>97</v>
      </c>
      <c r="C101" s="8" t="s">
        <v>73</v>
      </c>
      <c r="D101" s="8" t="s">
        <v>176</v>
      </c>
      <c r="E101" s="8" t="n">
        <f aca="false">'House Vote Data (Actual)'!D99</f>
        <v>7458</v>
      </c>
      <c r="F101" s="8" t="n">
        <f aca="false">'House Vote Data (Actual)'!E99</f>
        <v>6731</v>
      </c>
      <c r="G101" s="8" t="n">
        <f aca="false">'House Vote Data (Actual)'!G99</f>
        <v>14189</v>
      </c>
      <c r="H101" s="9" t="n">
        <f aca="false">E101/G101</f>
        <v>0.525618436817253</v>
      </c>
    </row>
    <row r="102" customFormat="false" ht="15" hidden="false" customHeight="true" outlineLevel="0" collapsed="false">
      <c r="A102" s="8" t="n">
        <v>2022</v>
      </c>
      <c r="B102" s="8" t="s">
        <v>97</v>
      </c>
      <c r="C102" s="8" t="s">
        <v>73</v>
      </c>
      <c r="D102" s="8" t="s">
        <v>176</v>
      </c>
      <c r="E102" s="8" t="n">
        <f aca="false">'House Vote Data (Actual)'!D100</f>
        <v>5508</v>
      </c>
      <c r="F102" s="8" t="n">
        <f aca="false">'House Vote Data (Actual)'!E100</f>
        <v>4784</v>
      </c>
      <c r="G102" s="8" t="n">
        <f aca="false">'House Vote Data (Actual)'!G100</f>
        <v>10292</v>
      </c>
      <c r="H102" s="9" t="n">
        <f aca="false">E102/G102</f>
        <v>0.535172949863972</v>
      </c>
    </row>
    <row r="103" customFormat="false" ht="15" hidden="false" customHeight="true" outlineLevel="0" collapsed="false">
      <c r="A103" s="8" t="n">
        <v>2024</v>
      </c>
      <c r="B103" s="8" t="s">
        <v>97</v>
      </c>
      <c r="C103" s="8" t="s">
        <v>73</v>
      </c>
      <c r="D103" s="8" t="s">
        <v>176</v>
      </c>
      <c r="E103" s="8" t="n">
        <f aca="false">'House Vote Data (Actual)'!D101</f>
        <v>7383</v>
      </c>
      <c r="F103" s="8" t="n">
        <f aca="false">'House Vote Data (Actual)'!E101</f>
        <v>7036</v>
      </c>
      <c r="G103" s="8" t="n">
        <f aca="false">'House Vote Data (Actual)'!G101</f>
        <v>14419</v>
      </c>
      <c r="H103" s="9" t="n">
        <f aca="false">E103/G103</f>
        <v>0.51203273458631</v>
      </c>
    </row>
    <row r="104" customFormat="false" ht="15" hidden="false" customHeight="true" outlineLevel="0" collapsed="false">
      <c r="A104" s="8" t="n">
        <v>2018</v>
      </c>
      <c r="B104" s="8" t="s">
        <v>98</v>
      </c>
      <c r="C104" s="8" t="s">
        <v>99</v>
      </c>
      <c r="D104" s="8" t="s">
        <v>176</v>
      </c>
      <c r="E104" s="8" t="n">
        <f aca="false">'House Vote Data (Actual)'!D102</f>
        <v>908</v>
      </c>
      <c r="F104" s="8" t="n">
        <f aca="false">'House Vote Data (Actual)'!E102</f>
        <v>1196</v>
      </c>
      <c r="G104" s="8" t="n">
        <f aca="false">'House Vote Data (Actual)'!G102</f>
        <v>2166</v>
      </c>
      <c r="H104" s="9" t="n">
        <f aca="false">E104/G104</f>
        <v>0.419205909510619</v>
      </c>
    </row>
    <row r="105" customFormat="false" ht="15" hidden="false" customHeight="true" outlineLevel="0" collapsed="false">
      <c r="A105" s="8" t="n">
        <v>2020</v>
      </c>
      <c r="B105" s="8" t="s">
        <v>98</v>
      </c>
      <c r="C105" s="8" t="s">
        <v>99</v>
      </c>
      <c r="D105" s="8" t="s">
        <v>176</v>
      </c>
      <c r="E105" s="8" t="n">
        <f aca="false">'House Vote Data (Actual)'!D103</f>
        <v>1432</v>
      </c>
      <c r="F105" s="8" t="n">
        <f aca="false">'House Vote Data (Actual)'!E103</f>
        <v>1882</v>
      </c>
      <c r="G105" s="8" t="n">
        <f aca="false">'House Vote Data (Actual)'!G103</f>
        <v>3314</v>
      </c>
      <c r="H105" s="9" t="n">
        <f aca="false">E105/G105</f>
        <v>0.432106216053108</v>
      </c>
    </row>
    <row r="106" customFormat="false" ht="15" hidden="false" customHeight="true" outlineLevel="0" collapsed="false">
      <c r="A106" s="8" t="n">
        <v>2022</v>
      </c>
      <c r="B106" s="8" t="s">
        <v>98</v>
      </c>
      <c r="C106" s="8" t="s">
        <v>99</v>
      </c>
      <c r="D106" s="8" t="s">
        <v>176</v>
      </c>
      <c r="E106" s="8" t="n">
        <f aca="false">'House Vote Data (Actual)'!D104</f>
        <v>1174</v>
      </c>
      <c r="F106" s="8" t="n">
        <f aca="false">'House Vote Data (Actual)'!E104</f>
        <v>1426</v>
      </c>
      <c r="G106" s="8" t="n">
        <f aca="false">'House Vote Data (Actual)'!G104</f>
        <v>2600</v>
      </c>
      <c r="H106" s="9" t="n">
        <f aca="false">E106/G106</f>
        <v>0.451538461538462</v>
      </c>
    </row>
    <row r="107" customFormat="false" ht="15" hidden="false" customHeight="true" outlineLevel="0" collapsed="false">
      <c r="A107" s="8" t="n">
        <v>2024</v>
      </c>
      <c r="B107" s="8" t="s">
        <v>98</v>
      </c>
      <c r="C107" s="8" t="s">
        <v>99</v>
      </c>
      <c r="D107" s="8" t="s">
        <v>176</v>
      </c>
      <c r="E107" s="8" t="n">
        <f aca="false">'House Vote Data (Actual)'!D105</f>
        <v>1511</v>
      </c>
      <c r="F107" s="8" t="n">
        <f aca="false">'House Vote Data (Actual)'!E105</f>
        <v>2018</v>
      </c>
      <c r="G107" s="8" t="n">
        <f aca="false">'House Vote Data (Actual)'!G105</f>
        <v>3529</v>
      </c>
      <c r="H107" s="9" t="n">
        <f aca="false">E107/G107</f>
        <v>0.428166619438935</v>
      </c>
    </row>
    <row r="108" customFormat="false" ht="15" hidden="false" customHeight="true" outlineLevel="0" collapsed="false">
      <c r="A108" s="8" t="n">
        <v>2018</v>
      </c>
      <c r="B108" s="8" t="s">
        <v>100</v>
      </c>
      <c r="C108" s="8" t="s">
        <v>99</v>
      </c>
      <c r="D108" s="8" t="s">
        <v>176</v>
      </c>
      <c r="E108" s="8" t="n">
        <f aca="false">'House Vote Data (Actual)'!D106</f>
        <v>701</v>
      </c>
      <c r="F108" s="8" t="n">
        <f aca="false">'House Vote Data (Actual)'!E106</f>
        <v>780</v>
      </c>
      <c r="G108" s="8" t="n">
        <f aca="false">'House Vote Data (Actual)'!G106</f>
        <v>1523</v>
      </c>
      <c r="H108" s="9" t="n">
        <f aca="false">E108/G108</f>
        <v>0.460275771503611</v>
      </c>
    </row>
    <row r="109" customFormat="false" ht="15" hidden="false" customHeight="true" outlineLevel="0" collapsed="false">
      <c r="A109" s="8" t="n">
        <v>2020</v>
      </c>
      <c r="B109" s="8" t="s">
        <v>100</v>
      </c>
      <c r="C109" s="8" t="s">
        <v>99</v>
      </c>
      <c r="D109" s="8" t="s">
        <v>176</v>
      </c>
      <c r="E109" s="8" t="n">
        <f aca="false">'House Vote Data (Actual)'!D107</f>
        <v>965</v>
      </c>
      <c r="F109" s="8" t="n">
        <f aca="false">'House Vote Data (Actual)'!E107</f>
        <v>1342</v>
      </c>
      <c r="G109" s="8" t="n">
        <f aca="false">'House Vote Data (Actual)'!G107</f>
        <v>2307</v>
      </c>
      <c r="H109" s="9" t="n">
        <f aca="false">E109/G109</f>
        <v>0.418292154312961</v>
      </c>
    </row>
    <row r="110" customFormat="false" ht="15" hidden="false" customHeight="true" outlineLevel="0" collapsed="false">
      <c r="A110" s="8" t="n">
        <v>2022</v>
      </c>
      <c r="B110" s="8" t="s">
        <v>100</v>
      </c>
      <c r="C110" s="8" t="s">
        <v>99</v>
      </c>
      <c r="D110" s="8" t="s">
        <v>176</v>
      </c>
      <c r="E110" s="8" t="n">
        <f aca="false">'House Vote Data (Actual)'!D108</f>
        <v>729</v>
      </c>
      <c r="F110" s="8" t="n">
        <f aca="false">'House Vote Data (Actual)'!E108</f>
        <v>928</v>
      </c>
      <c r="G110" s="8" t="n">
        <f aca="false">'House Vote Data (Actual)'!G108</f>
        <v>1657</v>
      </c>
      <c r="H110" s="9" t="n">
        <f aca="false">E110/G110</f>
        <v>0.43995171997586</v>
      </c>
    </row>
    <row r="111" customFormat="false" ht="15" hidden="false" customHeight="true" outlineLevel="0" collapsed="false">
      <c r="A111" s="8" t="n">
        <v>2024</v>
      </c>
      <c r="B111" s="8" t="s">
        <v>100</v>
      </c>
      <c r="C111" s="8" t="s">
        <v>99</v>
      </c>
      <c r="D111" s="8" t="s">
        <v>176</v>
      </c>
      <c r="E111" s="8" t="n">
        <f aca="false">'House Vote Data (Actual)'!D109</f>
        <v>959</v>
      </c>
      <c r="F111" s="8" t="n">
        <f aca="false">'House Vote Data (Actual)'!E109</f>
        <v>1364</v>
      </c>
      <c r="G111" s="8" t="n">
        <f aca="false">'House Vote Data (Actual)'!G109</f>
        <v>2323</v>
      </c>
      <c r="H111" s="9" t="n">
        <f aca="false">E111/G111</f>
        <v>0.412828239345674</v>
      </c>
    </row>
    <row r="112" customFormat="false" ht="15" hidden="false" customHeight="true" outlineLevel="0" collapsed="false">
      <c r="A112" s="8" t="n">
        <v>2018</v>
      </c>
      <c r="B112" s="8" t="s">
        <v>101</v>
      </c>
      <c r="C112" s="8" t="s">
        <v>99</v>
      </c>
      <c r="D112" s="8" t="s">
        <v>176</v>
      </c>
      <c r="E112" s="8" t="n">
        <f aca="false">'House Vote Data (Actual)'!D110</f>
        <v>368</v>
      </c>
      <c r="F112" s="8" t="n">
        <f aca="false">'House Vote Data (Actual)'!E110</f>
        <v>408</v>
      </c>
      <c r="G112" s="8" t="n">
        <f aca="false">'House Vote Data (Actual)'!G110</f>
        <v>809</v>
      </c>
      <c r="H112" s="9" t="n">
        <f aca="false">E112/G112</f>
        <v>0.454882571075402</v>
      </c>
    </row>
    <row r="113" customFormat="false" ht="15" hidden="false" customHeight="true" outlineLevel="0" collapsed="false">
      <c r="A113" s="8" t="n">
        <v>2020</v>
      </c>
      <c r="B113" s="8" t="s">
        <v>101</v>
      </c>
      <c r="C113" s="8" t="s">
        <v>99</v>
      </c>
      <c r="D113" s="8" t="s">
        <v>176</v>
      </c>
      <c r="E113" s="8" t="n">
        <f aca="false">'House Vote Data (Actual)'!D111</f>
        <v>579</v>
      </c>
      <c r="F113" s="8" t="n">
        <f aca="false">'House Vote Data (Actual)'!E111</f>
        <v>695</v>
      </c>
      <c r="G113" s="8" t="n">
        <f aca="false">'House Vote Data (Actual)'!G111</f>
        <v>1274</v>
      </c>
      <c r="H113" s="9" t="n">
        <f aca="false">E113/G113</f>
        <v>0.45447409733124</v>
      </c>
    </row>
    <row r="114" customFormat="false" ht="15" hidden="false" customHeight="true" outlineLevel="0" collapsed="false">
      <c r="A114" s="8" t="n">
        <v>2022</v>
      </c>
      <c r="B114" s="8" t="s">
        <v>101</v>
      </c>
      <c r="C114" s="8" t="s">
        <v>99</v>
      </c>
      <c r="D114" s="8" t="s">
        <v>176</v>
      </c>
      <c r="E114" s="8" t="n">
        <f aca="false">'House Vote Data (Actual)'!D112</f>
        <v>441</v>
      </c>
      <c r="F114" s="8" t="n">
        <f aca="false">'House Vote Data (Actual)'!E112</f>
        <v>513</v>
      </c>
      <c r="G114" s="8" t="n">
        <f aca="false">'House Vote Data (Actual)'!G112</f>
        <v>954</v>
      </c>
      <c r="H114" s="9" t="n">
        <f aca="false">E114/G114</f>
        <v>0.462264150943396</v>
      </c>
    </row>
    <row r="115" customFormat="false" ht="15" hidden="false" customHeight="true" outlineLevel="0" collapsed="false">
      <c r="A115" s="8" t="n">
        <v>2024</v>
      </c>
      <c r="B115" s="8" t="s">
        <v>101</v>
      </c>
      <c r="C115" s="8" t="s">
        <v>99</v>
      </c>
      <c r="D115" s="8" t="s">
        <v>176</v>
      </c>
      <c r="E115" s="8" t="n">
        <f aca="false">'House Vote Data (Actual)'!D113</f>
        <v>623</v>
      </c>
      <c r="F115" s="8" t="n">
        <f aca="false">'House Vote Data (Actual)'!E113</f>
        <v>726</v>
      </c>
      <c r="G115" s="8" t="n">
        <f aca="false">'House Vote Data (Actual)'!G113</f>
        <v>1349</v>
      </c>
      <c r="H115" s="9" t="n">
        <f aca="false">E115/G115</f>
        <v>0.46182357301705</v>
      </c>
    </row>
    <row r="116" customFormat="false" ht="15" hidden="false" customHeight="true" outlineLevel="0" collapsed="false">
      <c r="A116" s="8" t="n">
        <v>2018</v>
      </c>
      <c r="B116" s="8" t="s">
        <v>75</v>
      </c>
      <c r="C116" s="8" t="s">
        <v>99</v>
      </c>
      <c r="D116" s="8" t="s">
        <v>176</v>
      </c>
      <c r="E116" s="8" t="n">
        <f aca="false">'House Vote Data (Actual)'!D114</f>
        <v>12121</v>
      </c>
      <c r="F116" s="8" t="n">
        <f aca="false">'House Vote Data (Actual)'!E114</f>
        <v>4931</v>
      </c>
      <c r="G116" s="8" t="n">
        <f aca="false">'House Vote Data (Actual)'!G114</f>
        <v>17630</v>
      </c>
      <c r="H116" s="9" t="n">
        <f aca="false">E116/G116</f>
        <v>0.687521270561543</v>
      </c>
    </row>
    <row r="117" customFormat="false" ht="15" hidden="false" customHeight="true" outlineLevel="0" collapsed="false">
      <c r="A117" s="8" t="n">
        <v>2020</v>
      </c>
      <c r="B117" s="8" t="s">
        <v>75</v>
      </c>
      <c r="C117" s="8" t="s">
        <v>99</v>
      </c>
      <c r="D117" s="8" t="s">
        <v>176</v>
      </c>
      <c r="E117" s="8" t="n">
        <f aca="false">'House Vote Data (Actual)'!D115</f>
        <v>16782</v>
      </c>
      <c r="F117" s="8" t="n">
        <f aca="false">'House Vote Data (Actual)'!E115</f>
        <v>8176</v>
      </c>
      <c r="G117" s="8" t="n">
        <f aca="false">'House Vote Data (Actual)'!G115</f>
        <v>24958</v>
      </c>
      <c r="H117" s="9" t="n">
        <f aca="false">E117/G117</f>
        <v>0.672409648208991</v>
      </c>
    </row>
    <row r="118" customFormat="false" ht="15" hidden="false" customHeight="true" outlineLevel="0" collapsed="false">
      <c r="A118" s="8" t="n">
        <v>2022</v>
      </c>
      <c r="B118" s="8" t="s">
        <v>75</v>
      </c>
      <c r="C118" s="8" t="s">
        <v>99</v>
      </c>
      <c r="D118" s="8" t="s">
        <v>176</v>
      </c>
      <c r="E118" s="8" t="n">
        <f aca="false">'House Vote Data (Actual)'!D116</f>
        <v>12402</v>
      </c>
      <c r="F118" s="8" t="n">
        <f aca="false">'House Vote Data (Actual)'!E116</f>
        <v>5692</v>
      </c>
      <c r="G118" s="8" t="n">
        <f aca="false">'House Vote Data (Actual)'!G116</f>
        <v>18094</v>
      </c>
      <c r="H118" s="9" t="n">
        <f aca="false">E118/G118</f>
        <v>0.685420581408202</v>
      </c>
    </row>
    <row r="119" customFormat="false" ht="15" hidden="false" customHeight="true" outlineLevel="0" collapsed="false">
      <c r="A119" s="8" t="n">
        <v>2024</v>
      </c>
      <c r="B119" s="8" t="s">
        <v>75</v>
      </c>
      <c r="C119" s="8" t="s">
        <v>99</v>
      </c>
      <c r="D119" s="8" t="s">
        <v>176</v>
      </c>
      <c r="E119" s="8" t="n">
        <f aca="false">'House Vote Data (Actual)'!D117</f>
        <v>17416</v>
      </c>
      <c r="F119" s="8" t="n">
        <f aca="false">'House Vote Data (Actual)'!E117</f>
        <v>8640</v>
      </c>
      <c r="G119" s="8" t="n">
        <f aca="false">'House Vote Data (Actual)'!G117</f>
        <v>26056</v>
      </c>
      <c r="H119" s="9" t="n">
        <f aca="false">E119/G119</f>
        <v>0.668406509057415</v>
      </c>
    </row>
    <row r="120" customFormat="false" ht="15" hidden="false" customHeight="true" outlineLevel="0" collapsed="false">
      <c r="A120" s="8" t="n">
        <v>2018</v>
      </c>
      <c r="B120" s="8" t="s">
        <v>102</v>
      </c>
      <c r="C120" s="8" t="s">
        <v>99</v>
      </c>
      <c r="D120" s="8" t="s">
        <v>176</v>
      </c>
      <c r="E120" s="8" t="n">
        <f aca="false">'House Vote Data (Actual)'!D118</f>
        <v>5576</v>
      </c>
      <c r="F120" s="8" t="n">
        <f aca="false">'House Vote Data (Actual)'!E118</f>
        <v>4673</v>
      </c>
      <c r="G120" s="8" t="n">
        <f aca="false">'House Vote Data (Actual)'!G118</f>
        <v>10537</v>
      </c>
      <c r="H120" s="9" t="n">
        <f aca="false">E120/G120</f>
        <v>0.529182879377432</v>
      </c>
    </row>
    <row r="121" customFormat="false" ht="15" hidden="false" customHeight="true" outlineLevel="0" collapsed="false">
      <c r="A121" s="8" t="n">
        <v>2020</v>
      </c>
      <c r="B121" s="8" t="s">
        <v>102</v>
      </c>
      <c r="C121" s="8" t="s">
        <v>99</v>
      </c>
      <c r="D121" s="8" t="s">
        <v>176</v>
      </c>
      <c r="E121" s="8" t="n">
        <f aca="false">'House Vote Data (Actual)'!D119</f>
        <v>8164</v>
      </c>
      <c r="F121" s="8" t="n">
        <f aca="false">'House Vote Data (Actual)'!E119</f>
        <v>7205</v>
      </c>
      <c r="G121" s="8" t="n">
        <f aca="false">'House Vote Data (Actual)'!G119</f>
        <v>15369</v>
      </c>
      <c r="H121" s="9" t="n">
        <f aca="false">E121/G121</f>
        <v>0.531199167154662</v>
      </c>
    </row>
    <row r="122" customFormat="false" ht="15" hidden="false" customHeight="true" outlineLevel="0" collapsed="false">
      <c r="A122" s="8" t="n">
        <v>2022</v>
      </c>
      <c r="B122" s="8" t="s">
        <v>102</v>
      </c>
      <c r="C122" s="8" t="s">
        <v>99</v>
      </c>
      <c r="D122" s="8" t="s">
        <v>176</v>
      </c>
      <c r="E122" s="8" t="n">
        <f aca="false">'House Vote Data (Actual)'!D120</f>
        <v>6681</v>
      </c>
      <c r="F122" s="8" t="n">
        <f aca="false">'House Vote Data (Actual)'!E120</f>
        <v>5562</v>
      </c>
      <c r="G122" s="8" t="n">
        <f aca="false">'House Vote Data (Actual)'!G120</f>
        <v>12243</v>
      </c>
      <c r="H122" s="9" t="n">
        <f aca="false">E122/G122</f>
        <v>0.545699583435433</v>
      </c>
    </row>
    <row r="123" customFormat="false" ht="15" hidden="false" customHeight="true" outlineLevel="0" collapsed="false">
      <c r="A123" s="8" t="n">
        <v>2024</v>
      </c>
      <c r="B123" s="8" t="s">
        <v>102</v>
      </c>
      <c r="C123" s="8" t="s">
        <v>99</v>
      </c>
      <c r="D123" s="8" t="s">
        <v>176</v>
      </c>
      <c r="E123" s="8" t="n">
        <f aca="false">'House Vote Data (Actual)'!D121</f>
        <v>8595</v>
      </c>
      <c r="F123" s="8" t="n">
        <f aca="false">'House Vote Data (Actual)'!E121</f>
        <v>7440</v>
      </c>
      <c r="G123" s="8" t="n">
        <f aca="false">'House Vote Data (Actual)'!G121</f>
        <v>16035</v>
      </c>
      <c r="H123" s="9" t="n">
        <f aca="false">E123/G123</f>
        <v>0.536014967259121</v>
      </c>
    </row>
    <row r="124" customFormat="false" ht="15" hidden="false" customHeight="true" outlineLevel="0" collapsed="false">
      <c r="A124" s="8" t="n">
        <v>2018</v>
      </c>
      <c r="B124" s="8" t="s">
        <v>103</v>
      </c>
      <c r="C124" s="8" t="s">
        <v>99</v>
      </c>
      <c r="D124" s="8" t="s">
        <v>176</v>
      </c>
      <c r="E124" s="8" t="n">
        <f aca="false">'House Vote Data (Actual)'!D122</f>
        <v>1370</v>
      </c>
      <c r="F124" s="8" t="n">
        <f aca="false">'House Vote Data (Actual)'!E122</f>
        <v>2143</v>
      </c>
      <c r="G124" s="8" t="n">
        <f aca="false">'House Vote Data (Actual)'!G122</f>
        <v>3634</v>
      </c>
      <c r="H124" s="9" t="n">
        <f aca="false">E124/G124</f>
        <v>0.376995046780407</v>
      </c>
    </row>
    <row r="125" customFormat="false" ht="15" hidden="false" customHeight="true" outlineLevel="0" collapsed="false">
      <c r="A125" s="8" t="n">
        <v>2020</v>
      </c>
      <c r="B125" s="8" t="s">
        <v>103</v>
      </c>
      <c r="C125" s="8" t="s">
        <v>99</v>
      </c>
      <c r="D125" s="8" t="s">
        <v>176</v>
      </c>
      <c r="E125" s="8" t="n">
        <f aca="false">'House Vote Data (Actual)'!D123</f>
        <v>1978</v>
      </c>
      <c r="F125" s="8" t="n">
        <f aca="false">'House Vote Data (Actual)'!E123</f>
        <v>3385</v>
      </c>
      <c r="G125" s="8" t="n">
        <f aca="false">'House Vote Data (Actual)'!G123</f>
        <v>5363</v>
      </c>
      <c r="H125" s="9" t="n">
        <f aca="false">E125/G125</f>
        <v>0.368823419727764</v>
      </c>
    </row>
    <row r="126" customFormat="false" ht="15" hidden="false" customHeight="true" outlineLevel="0" collapsed="false">
      <c r="A126" s="8" t="n">
        <v>2022</v>
      </c>
      <c r="B126" s="8" t="s">
        <v>103</v>
      </c>
      <c r="C126" s="8" t="s">
        <v>99</v>
      </c>
      <c r="D126" s="8" t="s">
        <v>176</v>
      </c>
      <c r="E126" s="8" t="n">
        <f aca="false">'House Vote Data (Actual)'!D124</f>
        <v>1737</v>
      </c>
      <c r="F126" s="8" t="n">
        <f aca="false">'House Vote Data (Actual)'!E124</f>
        <v>2662</v>
      </c>
      <c r="G126" s="8" t="n">
        <f aca="false">'House Vote Data (Actual)'!G124</f>
        <v>4399</v>
      </c>
      <c r="H126" s="9" t="n">
        <f aca="false">E126/G126</f>
        <v>0.394862468742896</v>
      </c>
    </row>
    <row r="127" customFormat="false" ht="15" hidden="false" customHeight="true" outlineLevel="0" collapsed="false">
      <c r="A127" s="8" t="n">
        <v>2024</v>
      </c>
      <c r="B127" s="8" t="s">
        <v>103</v>
      </c>
      <c r="C127" s="8" t="s">
        <v>99</v>
      </c>
      <c r="D127" s="8" t="s">
        <v>176</v>
      </c>
      <c r="E127" s="8" t="n">
        <f aca="false">'House Vote Data (Actual)'!D125</f>
        <v>2169</v>
      </c>
      <c r="F127" s="8" t="n">
        <f aca="false">'House Vote Data (Actual)'!E125</f>
        <v>3459</v>
      </c>
      <c r="G127" s="8" t="n">
        <f aca="false">'House Vote Data (Actual)'!G125</f>
        <v>5628</v>
      </c>
      <c r="H127" s="9" t="n">
        <f aca="false">E127/G127</f>
        <v>0.385394456289979</v>
      </c>
    </row>
    <row r="128" customFormat="false" ht="15" hidden="false" customHeight="true" outlineLevel="0" collapsed="false">
      <c r="A128" s="8" t="n">
        <v>2018</v>
      </c>
      <c r="B128" s="8" t="s">
        <v>104</v>
      </c>
      <c r="C128" s="8" t="s">
        <v>99</v>
      </c>
      <c r="D128" s="8" t="s">
        <v>176</v>
      </c>
      <c r="E128" s="8" t="n">
        <f aca="false">'House Vote Data (Actual)'!D126</f>
        <v>30</v>
      </c>
      <c r="F128" s="8" t="n">
        <f aca="false">'House Vote Data (Actual)'!E126</f>
        <v>36</v>
      </c>
      <c r="G128" s="8" t="n">
        <f aca="false">'House Vote Data (Actual)'!G126</f>
        <v>69</v>
      </c>
      <c r="H128" s="9" t="n">
        <f aca="false">E128/G128</f>
        <v>0.434782608695652</v>
      </c>
    </row>
    <row r="129" customFormat="false" ht="15" hidden="false" customHeight="true" outlineLevel="0" collapsed="false">
      <c r="A129" s="8" t="n">
        <v>2020</v>
      </c>
      <c r="B129" s="8" t="s">
        <v>104</v>
      </c>
      <c r="C129" s="8" t="s">
        <v>99</v>
      </c>
      <c r="D129" s="8" t="s">
        <v>176</v>
      </c>
      <c r="E129" s="8" t="n">
        <f aca="false">'House Vote Data (Actual)'!D127</f>
        <v>39</v>
      </c>
      <c r="F129" s="8" t="n">
        <f aca="false">'House Vote Data (Actual)'!E127</f>
        <v>79</v>
      </c>
      <c r="G129" s="8" t="n">
        <f aca="false">'House Vote Data (Actual)'!G127</f>
        <v>118</v>
      </c>
      <c r="H129" s="9" t="n">
        <f aca="false">E129/G129</f>
        <v>0.330508474576271</v>
      </c>
    </row>
    <row r="130" customFormat="false" ht="15" hidden="false" customHeight="true" outlineLevel="0" collapsed="false">
      <c r="A130" s="8" t="n">
        <v>2022</v>
      </c>
      <c r="B130" s="8" t="s">
        <v>104</v>
      </c>
      <c r="C130" s="8" t="s">
        <v>99</v>
      </c>
      <c r="D130" s="8" t="s">
        <v>176</v>
      </c>
      <c r="E130" s="8" t="n">
        <f aca="false">'House Vote Data (Actual)'!D128</f>
        <v>31</v>
      </c>
      <c r="F130" s="8" t="n">
        <f aca="false">'House Vote Data (Actual)'!E128</f>
        <v>55</v>
      </c>
      <c r="G130" s="8" t="n">
        <f aca="false">'House Vote Data (Actual)'!G128</f>
        <v>86</v>
      </c>
      <c r="H130" s="9" t="n">
        <f aca="false">E130/G130</f>
        <v>0.36046511627907</v>
      </c>
    </row>
    <row r="131" customFormat="false" ht="15" hidden="false" customHeight="true" outlineLevel="0" collapsed="false">
      <c r="A131" s="8" t="n">
        <v>2024</v>
      </c>
      <c r="B131" s="8" t="s">
        <v>104</v>
      </c>
      <c r="C131" s="8" t="s">
        <v>99</v>
      </c>
      <c r="D131" s="8" t="s">
        <v>176</v>
      </c>
      <c r="E131" s="8" t="n">
        <f aca="false">'House Vote Data (Actual)'!D129</f>
        <v>40</v>
      </c>
      <c r="F131" s="8" t="n">
        <f aca="false">'House Vote Data (Actual)'!E129</f>
        <v>83</v>
      </c>
      <c r="G131" s="8" t="n">
        <f aca="false">'House Vote Data (Actual)'!G129</f>
        <v>123</v>
      </c>
      <c r="H131" s="9" t="n">
        <f aca="false">E131/G131</f>
        <v>0.32520325203252</v>
      </c>
    </row>
    <row r="132" customFormat="false" ht="15" hidden="false" customHeight="true" outlineLevel="0" collapsed="false">
      <c r="A132" s="8" t="n">
        <v>2018</v>
      </c>
      <c r="B132" s="8" t="s">
        <v>105</v>
      </c>
      <c r="C132" s="8" t="s">
        <v>99</v>
      </c>
      <c r="D132" s="8" t="s">
        <v>176</v>
      </c>
      <c r="E132" s="8" t="n">
        <f aca="false">'House Vote Data (Actual)'!D130</f>
        <v>840</v>
      </c>
      <c r="F132" s="8" t="n">
        <f aca="false">'House Vote Data (Actual)'!E130</f>
        <v>1151</v>
      </c>
      <c r="G132" s="8" t="n">
        <f aca="false">'House Vote Data (Actual)'!G130</f>
        <v>2080</v>
      </c>
      <c r="H132" s="9" t="n">
        <f aca="false">E132/G132</f>
        <v>0.403846153846154</v>
      </c>
    </row>
    <row r="133" customFormat="false" ht="15" hidden="false" customHeight="true" outlineLevel="0" collapsed="false">
      <c r="A133" s="8" t="n">
        <v>2020</v>
      </c>
      <c r="B133" s="8" t="s">
        <v>105</v>
      </c>
      <c r="C133" s="8" t="s">
        <v>99</v>
      </c>
      <c r="D133" s="8" t="s">
        <v>176</v>
      </c>
      <c r="E133" s="8" t="n">
        <f aca="false">'House Vote Data (Actual)'!D131</f>
        <v>1215</v>
      </c>
      <c r="F133" s="8" t="n">
        <f aca="false">'House Vote Data (Actual)'!E131</f>
        <v>1784</v>
      </c>
      <c r="G133" s="8" t="n">
        <f aca="false">'House Vote Data (Actual)'!G131</f>
        <v>2999</v>
      </c>
      <c r="H133" s="9" t="n">
        <f aca="false">E133/G133</f>
        <v>0.405135045015005</v>
      </c>
    </row>
    <row r="134" customFormat="false" ht="15" hidden="false" customHeight="true" outlineLevel="0" collapsed="false">
      <c r="A134" s="8" t="n">
        <v>2022</v>
      </c>
      <c r="B134" s="8" t="s">
        <v>105</v>
      </c>
      <c r="C134" s="8" t="s">
        <v>99</v>
      </c>
      <c r="D134" s="8" t="s">
        <v>176</v>
      </c>
      <c r="E134" s="8" t="n">
        <f aca="false">'House Vote Data (Actual)'!D132</f>
        <v>1109</v>
      </c>
      <c r="F134" s="8" t="n">
        <f aca="false">'House Vote Data (Actual)'!E132</f>
        <v>1408</v>
      </c>
      <c r="G134" s="8" t="n">
        <f aca="false">'House Vote Data (Actual)'!G132</f>
        <v>2517</v>
      </c>
      <c r="H134" s="9" t="n">
        <f aca="false">E134/G134</f>
        <v>0.440603893524037</v>
      </c>
    </row>
    <row r="135" customFormat="false" ht="15" hidden="false" customHeight="true" outlineLevel="0" collapsed="false">
      <c r="A135" s="8" t="n">
        <v>2024</v>
      </c>
      <c r="B135" s="8" t="s">
        <v>105</v>
      </c>
      <c r="C135" s="8" t="s">
        <v>99</v>
      </c>
      <c r="D135" s="8" t="s">
        <v>176</v>
      </c>
      <c r="E135" s="8" t="n">
        <f aca="false">'House Vote Data (Actual)'!D133</f>
        <v>1484</v>
      </c>
      <c r="F135" s="8" t="n">
        <f aca="false">'House Vote Data (Actual)'!E133</f>
        <v>1959</v>
      </c>
      <c r="G135" s="8" t="n">
        <f aca="false">'House Vote Data (Actual)'!G133</f>
        <v>3443</v>
      </c>
      <c r="H135" s="9" t="n">
        <f aca="false">E135/G135</f>
        <v>0.431019459773453</v>
      </c>
    </row>
    <row r="136" customFormat="false" ht="15" hidden="false" customHeight="true" outlineLevel="0" collapsed="false">
      <c r="A136" s="8" t="n">
        <v>2018</v>
      </c>
      <c r="B136" s="8" t="s">
        <v>106</v>
      </c>
      <c r="C136" s="8" t="s">
        <v>99</v>
      </c>
      <c r="D136" s="8" t="s">
        <v>176</v>
      </c>
      <c r="E136" s="8" t="n">
        <f aca="false">'House Vote Data (Actual)'!D134</f>
        <v>130</v>
      </c>
      <c r="F136" s="8" t="n">
        <f aca="false">'House Vote Data (Actual)'!E134</f>
        <v>203</v>
      </c>
      <c r="G136" s="8" t="n">
        <f aca="false">'House Vote Data (Actual)'!G134</f>
        <v>348</v>
      </c>
      <c r="H136" s="9" t="n">
        <f aca="false">E136/G136</f>
        <v>0.373563218390805</v>
      </c>
    </row>
    <row r="137" customFormat="false" ht="15" hidden="false" customHeight="true" outlineLevel="0" collapsed="false">
      <c r="A137" s="8" t="n">
        <v>2020</v>
      </c>
      <c r="B137" s="8" t="s">
        <v>106</v>
      </c>
      <c r="C137" s="8" t="s">
        <v>99</v>
      </c>
      <c r="D137" s="8" t="s">
        <v>176</v>
      </c>
      <c r="E137" s="8" t="n">
        <f aca="false">'House Vote Data (Actual)'!D135</f>
        <v>166</v>
      </c>
      <c r="F137" s="8" t="n">
        <f aca="false">'House Vote Data (Actual)'!E135</f>
        <v>332</v>
      </c>
      <c r="G137" s="8" t="n">
        <f aca="false">'House Vote Data (Actual)'!G135</f>
        <v>498</v>
      </c>
      <c r="H137" s="9" t="n">
        <f aca="false">E137/G137</f>
        <v>0.333333333333333</v>
      </c>
    </row>
    <row r="138" customFormat="false" ht="15" hidden="false" customHeight="true" outlineLevel="0" collapsed="false">
      <c r="A138" s="8" t="n">
        <v>2022</v>
      </c>
      <c r="B138" s="8" t="s">
        <v>106</v>
      </c>
      <c r="C138" s="8" t="s">
        <v>99</v>
      </c>
      <c r="D138" s="8" t="s">
        <v>176</v>
      </c>
      <c r="E138" s="8" t="n">
        <f aca="false">'House Vote Data (Actual)'!D136</f>
        <v>137</v>
      </c>
      <c r="F138" s="8" t="n">
        <f aca="false">'House Vote Data (Actual)'!E136</f>
        <v>214</v>
      </c>
      <c r="G138" s="8" t="n">
        <f aca="false">'House Vote Data (Actual)'!G136</f>
        <v>351</v>
      </c>
      <c r="H138" s="9" t="n">
        <f aca="false">E138/G138</f>
        <v>0.39031339031339</v>
      </c>
    </row>
    <row r="139" customFormat="false" ht="15" hidden="false" customHeight="true" outlineLevel="0" collapsed="false">
      <c r="A139" s="8" t="n">
        <v>2024</v>
      </c>
      <c r="B139" s="8" t="s">
        <v>106</v>
      </c>
      <c r="C139" s="8" t="s">
        <v>99</v>
      </c>
      <c r="D139" s="8" t="s">
        <v>176</v>
      </c>
      <c r="E139" s="8" t="n">
        <f aca="false">'House Vote Data (Actual)'!D137</f>
        <v>217</v>
      </c>
      <c r="F139" s="8" t="n">
        <f aca="false">'House Vote Data (Actual)'!E137</f>
        <v>309</v>
      </c>
      <c r="G139" s="8" t="n">
        <f aca="false">'House Vote Data (Actual)'!G137</f>
        <v>526</v>
      </c>
      <c r="H139" s="9" t="n">
        <f aca="false">E139/G139</f>
        <v>0.41254752851711</v>
      </c>
    </row>
    <row r="140" customFormat="false" ht="15" hidden="false" customHeight="true" outlineLevel="0" collapsed="false">
      <c r="A140" s="8" t="n">
        <v>2018</v>
      </c>
      <c r="B140" s="8" t="s">
        <v>107</v>
      </c>
      <c r="C140" s="8" t="s">
        <v>99</v>
      </c>
      <c r="D140" s="8" t="s">
        <v>176</v>
      </c>
      <c r="E140" s="8" t="n">
        <f aca="false">'House Vote Data (Actual)'!D138</f>
        <v>5059</v>
      </c>
      <c r="F140" s="8" t="n">
        <f aca="false">'House Vote Data (Actual)'!E138</f>
        <v>1583</v>
      </c>
      <c r="G140" s="8" t="n">
        <f aca="false">'House Vote Data (Actual)'!G138</f>
        <v>6837</v>
      </c>
      <c r="H140" s="9" t="n">
        <f aca="false">E140/G140</f>
        <v>0.739944420067281</v>
      </c>
    </row>
    <row r="141" customFormat="false" ht="15" hidden="false" customHeight="true" outlineLevel="0" collapsed="false">
      <c r="A141" s="8" t="n">
        <v>2020</v>
      </c>
      <c r="B141" s="8" t="s">
        <v>107</v>
      </c>
      <c r="C141" s="8" t="s">
        <v>99</v>
      </c>
      <c r="D141" s="8" t="s">
        <v>176</v>
      </c>
      <c r="E141" s="8" t="n">
        <f aca="false">'House Vote Data (Actual)'!D139</f>
        <v>7032</v>
      </c>
      <c r="F141" s="8" t="n">
        <f aca="false">'House Vote Data (Actual)'!E139</f>
        <v>2953</v>
      </c>
      <c r="G141" s="8" t="n">
        <f aca="false">'House Vote Data (Actual)'!G139</f>
        <v>9985</v>
      </c>
      <c r="H141" s="9" t="n">
        <f aca="false">E141/G141</f>
        <v>0.704256384576865</v>
      </c>
    </row>
    <row r="142" customFormat="false" ht="15" hidden="false" customHeight="true" outlineLevel="0" collapsed="false">
      <c r="A142" s="8" t="n">
        <v>2022</v>
      </c>
      <c r="B142" s="8" t="s">
        <v>107</v>
      </c>
      <c r="C142" s="8" t="s">
        <v>99</v>
      </c>
      <c r="D142" s="8" t="s">
        <v>176</v>
      </c>
      <c r="E142" s="8" t="n">
        <f aca="false">'House Vote Data (Actual)'!D140</f>
        <v>5210</v>
      </c>
      <c r="F142" s="8" t="n">
        <f aca="false">'House Vote Data (Actual)'!E140</f>
        <v>1883</v>
      </c>
      <c r="G142" s="8" t="n">
        <f aca="false">'House Vote Data (Actual)'!G140</f>
        <v>7093</v>
      </c>
      <c r="H142" s="9" t="n">
        <f aca="false">E142/G142</f>
        <v>0.734526998449175</v>
      </c>
    </row>
    <row r="143" customFormat="false" ht="15" hidden="false" customHeight="true" outlineLevel="0" collapsed="false">
      <c r="A143" s="8" t="n">
        <v>2024</v>
      </c>
      <c r="B143" s="8" t="s">
        <v>107</v>
      </c>
      <c r="C143" s="8" t="s">
        <v>99</v>
      </c>
      <c r="D143" s="8" t="s">
        <v>176</v>
      </c>
      <c r="E143" s="8" t="n">
        <f aca="false">'House Vote Data (Actual)'!D141</f>
        <v>7604</v>
      </c>
      <c r="F143" s="8" t="n">
        <f aca="false">'House Vote Data (Actual)'!E141</f>
        <v>3303</v>
      </c>
      <c r="G143" s="8" t="n">
        <f aca="false">'House Vote Data (Actual)'!G141</f>
        <v>10907</v>
      </c>
      <c r="H143" s="9" t="n">
        <f aca="false">E143/G143</f>
        <v>0.697166957000092</v>
      </c>
    </row>
    <row r="144" customFormat="false" ht="15" hidden="false" customHeight="true" outlineLevel="0" collapsed="false">
      <c r="A144" s="8" t="n">
        <v>2018</v>
      </c>
      <c r="B144" s="8" t="s">
        <v>108</v>
      </c>
      <c r="C144" s="8" t="s">
        <v>99</v>
      </c>
      <c r="D144" s="8" t="s">
        <v>176</v>
      </c>
      <c r="E144" s="8" t="n">
        <f aca="false">'House Vote Data (Actual)'!D142</f>
        <v>3565</v>
      </c>
      <c r="F144" s="8" t="n">
        <f aca="false">'House Vote Data (Actual)'!E142</f>
        <v>3017</v>
      </c>
      <c r="G144" s="8" t="n">
        <f aca="false">'House Vote Data (Actual)'!G142</f>
        <v>6735</v>
      </c>
      <c r="H144" s="9" t="n">
        <f aca="false">E144/G144</f>
        <v>0.529324424647365</v>
      </c>
    </row>
    <row r="145" customFormat="false" ht="15" hidden="false" customHeight="true" outlineLevel="0" collapsed="false">
      <c r="A145" s="8" t="n">
        <v>2020</v>
      </c>
      <c r="B145" s="8" t="s">
        <v>108</v>
      </c>
      <c r="C145" s="8" t="s">
        <v>99</v>
      </c>
      <c r="D145" s="8" t="s">
        <v>176</v>
      </c>
      <c r="E145" s="8" t="n">
        <f aca="false">'House Vote Data (Actual)'!D143</f>
        <v>5038</v>
      </c>
      <c r="F145" s="8" t="n">
        <f aca="false">'House Vote Data (Actual)'!E143</f>
        <v>4815</v>
      </c>
      <c r="G145" s="8" t="n">
        <f aca="false">'House Vote Data (Actual)'!G143</f>
        <v>9853</v>
      </c>
      <c r="H145" s="9" t="n">
        <f aca="false">E145/G145</f>
        <v>0.511316350350147</v>
      </c>
    </row>
    <row r="146" customFormat="false" ht="15" hidden="false" customHeight="true" outlineLevel="0" collapsed="false">
      <c r="A146" s="8" t="n">
        <v>2022</v>
      </c>
      <c r="B146" s="8" t="s">
        <v>108</v>
      </c>
      <c r="C146" s="8" t="s">
        <v>99</v>
      </c>
      <c r="D146" s="8" t="s">
        <v>176</v>
      </c>
      <c r="E146" s="8" t="n">
        <f aca="false">'House Vote Data (Actual)'!D144</f>
        <v>4158</v>
      </c>
      <c r="F146" s="8" t="n">
        <f aca="false">'House Vote Data (Actual)'!E144</f>
        <v>3782</v>
      </c>
      <c r="G146" s="8" t="n">
        <f aca="false">'House Vote Data (Actual)'!G144</f>
        <v>7940</v>
      </c>
      <c r="H146" s="9" t="n">
        <f aca="false">E146/G146</f>
        <v>0.52367758186398</v>
      </c>
    </row>
    <row r="147" customFormat="false" ht="15" hidden="false" customHeight="true" outlineLevel="0" collapsed="false">
      <c r="A147" s="8" t="n">
        <v>2024</v>
      </c>
      <c r="B147" s="8" t="s">
        <v>108</v>
      </c>
      <c r="C147" s="8" t="s">
        <v>99</v>
      </c>
      <c r="D147" s="8" t="s">
        <v>176</v>
      </c>
      <c r="E147" s="8" t="n">
        <f aca="false">'House Vote Data (Actual)'!D145</f>
        <v>5358</v>
      </c>
      <c r="F147" s="8" t="n">
        <f aca="false">'House Vote Data (Actual)'!E145</f>
        <v>5027</v>
      </c>
      <c r="G147" s="8" t="n">
        <f aca="false">'House Vote Data (Actual)'!G145</f>
        <v>10385</v>
      </c>
      <c r="H147" s="9" t="n">
        <f aca="false">E147/G147</f>
        <v>0.515936446798267</v>
      </c>
    </row>
    <row r="148" customFormat="false" ht="15" hidden="false" customHeight="true" outlineLevel="0" collapsed="false">
      <c r="A148" s="8" t="n">
        <v>2018</v>
      </c>
      <c r="B148" s="8" t="s">
        <v>109</v>
      </c>
      <c r="C148" s="8" t="s">
        <v>99</v>
      </c>
      <c r="D148" s="8" t="s">
        <v>176</v>
      </c>
      <c r="E148" s="8" t="n">
        <f aca="false">'House Vote Data (Actual)'!D146</f>
        <v>497</v>
      </c>
      <c r="F148" s="8" t="n">
        <f aca="false">'House Vote Data (Actual)'!E146</f>
        <v>253</v>
      </c>
      <c r="G148" s="8" t="n">
        <f aca="false">'House Vote Data (Actual)'!G146</f>
        <v>777</v>
      </c>
      <c r="H148" s="9" t="n">
        <f aca="false">E148/G148</f>
        <v>0.63963963963964</v>
      </c>
    </row>
    <row r="149" customFormat="false" ht="15" hidden="false" customHeight="true" outlineLevel="0" collapsed="false">
      <c r="A149" s="8" t="n">
        <v>2020</v>
      </c>
      <c r="B149" s="8" t="s">
        <v>109</v>
      </c>
      <c r="C149" s="8" t="s">
        <v>99</v>
      </c>
      <c r="D149" s="8" t="s">
        <v>176</v>
      </c>
      <c r="E149" s="8" t="n">
        <f aca="false">'House Vote Data (Actual)'!D147</f>
        <v>768</v>
      </c>
      <c r="F149" s="8" t="n">
        <f aca="false">'House Vote Data (Actual)'!E147</f>
        <v>460</v>
      </c>
      <c r="G149" s="8" t="n">
        <f aca="false">'House Vote Data (Actual)'!G147</f>
        <v>1228</v>
      </c>
      <c r="H149" s="9" t="n">
        <f aca="false">E149/G149</f>
        <v>0.625407166123778</v>
      </c>
    </row>
    <row r="150" customFormat="false" ht="15" hidden="false" customHeight="true" outlineLevel="0" collapsed="false">
      <c r="A150" s="8" t="n">
        <v>2022</v>
      </c>
      <c r="B150" s="8" t="s">
        <v>109</v>
      </c>
      <c r="C150" s="8" t="s">
        <v>99</v>
      </c>
      <c r="D150" s="8" t="s">
        <v>176</v>
      </c>
      <c r="E150" s="8" t="n">
        <f aca="false">'House Vote Data (Actual)'!D148</f>
        <v>480</v>
      </c>
      <c r="F150" s="8" t="n">
        <f aca="false">'House Vote Data (Actual)'!E148</f>
        <v>330</v>
      </c>
      <c r="G150" s="8" t="n">
        <f aca="false">'House Vote Data (Actual)'!G148</f>
        <v>810</v>
      </c>
      <c r="H150" s="9" t="n">
        <f aca="false">E150/G150</f>
        <v>0.592592592592593</v>
      </c>
    </row>
    <row r="151" customFormat="false" ht="15" hidden="false" customHeight="true" outlineLevel="0" collapsed="false">
      <c r="A151" s="8" t="n">
        <v>2024</v>
      </c>
      <c r="B151" s="8" t="s">
        <v>109</v>
      </c>
      <c r="C151" s="8" t="s">
        <v>99</v>
      </c>
      <c r="D151" s="8" t="s">
        <v>176</v>
      </c>
      <c r="E151" s="8" t="n">
        <f aca="false">'House Vote Data (Actual)'!D149</f>
        <v>714</v>
      </c>
      <c r="F151" s="8" t="n">
        <f aca="false">'House Vote Data (Actual)'!E149</f>
        <v>484</v>
      </c>
      <c r="G151" s="8" t="n">
        <f aca="false">'House Vote Data (Actual)'!G149</f>
        <v>1198</v>
      </c>
      <c r="H151" s="9" t="n">
        <f aca="false">E151/G151</f>
        <v>0.595993322203673</v>
      </c>
    </row>
    <row r="152" customFormat="false" ht="15" hidden="false" customHeight="true" outlineLevel="0" collapsed="false">
      <c r="A152" s="8" t="n">
        <v>2018</v>
      </c>
      <c r="B152" s="8" t="s">
        <v>110</v>
      </c>
      <c r="C152" s="8" t="s">
        <v>99</v>
      </c>
      <c r="D152" s="8" t="s">
        <v>176</v>
      </c>
      <c r="E152" s="8" t="n">
        <f aca="false">'House Vote Data (Actual)'!D150</f>
        <v>72</v>
      </c>
      <c r="F152" s="8" t="n">
        <f aca="false">'House Vote Data (Actual)'!E150</f>
        <v>39</v>
      </c>
      <c r="G152" s="8" t="n">
        <f aca="false">'House Vote Data (Actual)'!G150</f>
        <v>115</v>
      </c>
      <c r="H152" s="9" t="n">
        <f aca="false">E152/G152</f>
        <v>0.626086956521739</v>
      </c>
    </row>
    <row r="153" customFormat="false" ht="15" hidden="false" customHeight="true" outlineLevel="0" collapsed="false">
      <c r="A153" s="8" t="n">
        <v>2020</v>
      </c>
      <c r="B153" s="8" t="s">
        <v>110</v>
      </c>
      <c r="C153" s="8" t="s">
        <v>99</v>
      </c>
      <c r="D153" s="8" t="s">
        <v>176</v>
      </c>
      <c r="E153" s="8" t="n">
        <f aca="false">'House Vote Data (Actual)'!D151</f>
        <v>101</v>
      </c>
      <c r="F153" s="8" t="n">
        <f aca="false">'House Vote Data (Actual)'!E151</f>
        <v>100</v>
      </c>
      <c r="G153" s="8" t="n">
        <f aca="false">'House Vote Data (Actual)'!G151</f>
        <v>201</v>
      </c>
      <c r="H153" s="9" t="n">
        <f aca="false">E153/G153</f>
        <v>0.502487562189055</v>
      </c>
    </row>
    <row r="154" customFormat="false" ht="15" hidden="false" customHeight="true" outlineLevel="0" collapsed="false">
      <c r="A154" s="8" t="n">
        <v>2022</v>
      </c>
      <c r="B154" s="8" t="s">
        <v>110</v>
      </c>
      <c r="C154" s="8" t="s">
        <v>99</v>
      </c>
      <c r="D154" s="8" t="s">
        <v>176</v>
      </c>
      <c r="E154" s="8" t="n">
        <f aca="false">'House Vote Data (Actual)'!D152</f>
        <v>72</v>
      </c>
      <c r="F154" s="8" t="n">
        <f aca="false">'House Vote Data (Actual)'!E152</f>
        <v>69</v>
      </c>
      <c r="G154" s="8" t="n">
        <f aca="false">'House Vote Data (Actual)'!G152</f>
        <v>141</v>
      </c>
      <c r="H154" s="9" t="n">
        <f aca="false">E154/G154</f>
        <v>0.51063829787234</v>
      </c>
    </row>
    <row r="155" customFormat="false" ht="15" hidden="false" customHeight="true" outlineLevel="0" collapsed="false">
      <c r="A155" s="8" t="n">
        <v>2024</v>
      </c>
      <c r="B155" s="8" t="s">
        <v>110</v>
      </c>
      <c r="C155" s="8" t="s">
        <v>99</v>
      </c>
      <c r="D155" s="8" t="s">
        <v>176</v>
      </c>
      <c r="E155" s="8" t="n">
        <f aca="false">'House Vote Data (Actual)'!D153</f>
        <v>109</v>
      </c>
      <c r="F155" s="8" t="n">
        <f aca="false">'House Vote Data (Actual)'!E153</f>
        <v>97</v>
      </c>
      <c r="G155" s="8" t="n">
        <f aca="false">'House Vote Data (Actual)'!G153</f>
        <v>206</v>
      </c>
      <c r="H155" s="9" t="n">
        <f aca="false">E155/G155</f>
        <v>0.529126213592233</v>
      </c>
    </row>
    <row r="156" customFormat="false" ht="15" hidden="false" customHeight="true" outlineLevel="0" collapsed="false">
      <c r="A156" s="8" t="n">
        <v>2018</v>
      </c>
      <c r="B156" s="8" t="s">
        <v>81</v>
      </c>
      <c r="C156" s="8" t="s">
        <v>99</v>
      </c>
      <c r="D156" s="8" t="s">
        <v>176</v>
      </c>
      <c r="E156" s="8" t="n">
        <f aca="false">'House Vote Data (Actual)'!D154</f>
        <v>3075</v>
      </c>
      <c r="F156" s="8" t="n">
        <f aca="false">'House Vote Data (Actual)'!E154</f>
        <v>2610</v>
      </c>
      <c r="G156" s="8" t="n">
        <f aca="false">'House Vote Data (Actual)'!G154</f>
        <v>5899</v>
      </c>
      <c r="H156" s="9" t="n">
        <f aca="false">E156/G156</f>
        <v>0.521274792337684</v>
      </c>
    </row>
    <row r="157" customFormat="false" ht="15" hidden="false" customHeight="true" outlineLevel="0" collapsed="false">
      <c r="A157" s="8" t="n">
        <v>2020</v>
      </c>
      <c r="B157" s="8" t="s">
        <v>81</v>
      </c>
      <c r="C157" s="8" t="s">
        <v>99</v>
      </c>
      <c r="D157" s="8" t="s">
        <v>176</v>
      </c>
      <c r="E157" s="8" t="n">
        <f aca="false">'House Vote Data (Actual)'!D155</f>
        <v>4234</v>
      </c>
      <c r="F157" s="8" t="n">
        <f aca="false">'House Vote Data (Actual)'!E155</f>
        <v>3699</v>
      </c>
      <c r="G157" s="8" t="n">
        <f aca="false">'House Vote Data (Actual)'!G155</f>
        <v>7933</v>
      </c>
      <c r="H157" s="9" t="n">
        <f aca="false">E157/G157</f>
        <v>0.533719904197655</v>
      </c>
    </row>
    <row r="158" customFormat="false" ht="15" hidden="false" customHeight="true" outlineLevel="0" collapsed="false">
      <c r="A158" s="8" t="n">
        <v>2022</v>
      </c>
      <c r="B158" s="8" t="s">
        <v>81</v>
      </c>
      <c r="C158" s="8" t="s">
        <v>99</v>
      </c>
      <c r="D158" s="8" t="s">
        <v>176</v>
      </c>
      <c r="E158" s="8" t="n">
        <f aca="false">'House Vote Data (Actual)'!D156</f>
        <v>3570</v>
      </c>
      <c r="F158" s="8" t="n">
        <f aca="false">'House Vote Data (Actual)'!E156</f>
        <v>2883</v>
      </c>
      <c r="G158" s="8" t="n">
        <f aca="false">'House Vote Data (Actual)'!G156</f>
        <v>6453</v>
      </c>
      <c r="H158" s="9" t="n">
        <f aca="false">E158/G158</f>
        <v>0.553231055323106</v>
      </c>
    </row>
    <row r="159" customFormat="false" ht="15" hidden="false" customHeight="true" outlineLevel="0" collapsed="false">
      <c r="A159" s="8" t="n">
        <v>2024</v>
      </c>
      <c r="B159" s="8" t="s">
        <v>81</v>
      </c>
      <c r="C159" s="8" t="s">
        <v>99</v>
      </c>
      <c r="D159" s="8" t="s">
        <v>176</v>
      </c>
      <c r="E159" s="8" t="n">
        <f aca="false">'House Vote Data (Actual)'!D157</f>
        <v>4341</v>
      </c>
      <c r="F159" s="8" t="n">
        <f aca="false">'House Vote Data (Actual)'!E157</f>
        <v>3620</v>
      </c>
      <c r="G159" s="8" t="n">
        <f aca="false">'House Vote Data (Actual)'!G157</f>
        <v>7961</v>
      </c>
      <c r="H159" s="9" t="n">
        <f aca="false">E159/G159</f>
        <v>0.545283255872378</v>
      </c>
    </row>
    <row r="160" customFormat="false" ht="15" hidden="false" customHeight="true" outlineLevel="0" collapsed="false">
      <c r="A160" s="8" t="n">
        <v>2018</v>
      </c>
      <c r="B160" s="8" t="s">
        <v>111</v>
      </c>
      <c r="C160" s="8" t="s">
        <v>99</v>
      </c>
      <c r="D160" s="8" t="s">
        <v>176</v>
      </c>
      <c r="E160" s="8" t="n">
        <f aca="false">'House Vote Data (Actual)'!D158</f>
        <v>1246</v>
      </c>
      <c r="F160" s="8" t="n">
        <f aca="false">'House Vote Data (Actual)'!E158</f>
        <v>966</v>
      </c>
      <c r="G160" s="8" t="n">
        <f aca="false">'House Vote Data (Actual)'!G158</f>
        <v>2292</v>
      </c>
      <c r="H160" s="9" t="n">
        <f aca="false">E160/G160</f>
        <v>0.543630017452007</v>
      </c>
    </row>
    <row r="161" customFormat="false" ht="15" hidden="false" customHeight="true" outlineLevel="0" collapsed="false">
      <c r="A161" s="8" t="n">
        <v>2020</v>
      </c>
      <c r="B161" s="8" t="s">
        <v>111</v>
      </c>
      <c r="C161" s="8" t="s">
        <v>99</v>
      </c>
      <c r="D161" s="8" t="s">
        <v>176</v>
      </c>
      <c r="E161" s="8" t="n">
        <f aca="false">'House Vote Data (Actual)'!D159</f>
        <v>1646</v>
      </c>
      <c r="F161" s="8" t="n">
        <f aca="false">'House Vote Data (Actual)'!E159</f>
        <v>1608</v>
      </c>
      <c r="G161" s="8" t="n">
        <f aca="false">'House Vote Data (Actual)'!G159</f>
        <v>3254</v>
      </c>
      <c r="H161" s="9" t="n">
        <f aca="false">E161/G161</f>
        <v>0.505838967424708</v>
      </c>
    </row>
    <row r="162" customFormat="false" ht="15" hidden="false" customHeight="true" outlineLevel="0" collapsed="false">
      <c r="A162" s="8" t="n">
        <v>2022</v>
      </c>
      <c r="B162" s="8" t="s">
        <v>111</v>
      </c>
      <c r="C162" s="8" t="s">
        <v>99</v>
      </c>
      <c r="D162" s="8" t="s">
        <v>176</v>
      </c>
      <c r="E162" s="8" t="n">
        <f aca="false">'House Vote Data (Actual)'!D160</f>
        <v>1372</v>
      </c>
      <c r="F162" s="8" t="n">
        <f aca="false">'House Vote Data (Actual)'!E160</f>
        <v>1201</v>
      </c>
      <c r="G162" s="8" t="n">
        <f aca="false">'House Vote Data (Actual)'!G160</f>
        <v>2573</v>
      </c>
      <c r="H162" s="9" t="n">
        <f aca="false">E162/G162</f>
        <v>0.53322969296541</v>
      </c>
    </row>
    <row r="163" customFormat="false" ht="15" hidden="false" customHeight="true" outlineLevel="0" collapsed="false">
      <c r="A163" s="8" t="n">
        <v>2024</v>
      </c>
      <c r="B163" s="8" t="s">
        <v>111</v>
      </c>
      <c r="C163" s="8" t="s">
        <v>99</v>
      </c>
      <c r="D163" s="8" t="s">
        <v>176</v>
      </c>
      <c r="E163" s="8" t="n">
        <f aca="false">'House Vote Data (Actual)'!D161</f>
        <v>1726</v>
      </c>
      <c r="F163" s="8" t="n">
        <f aca="false">'House Vote Data (Actual)'!E161</f>
        <v>1685</v>
      </c>
      <c r="G163" s="8" t="n">
        <f aca="false">'House Vote Data (Actual)'!G161</f>
        <v>3411</v>
      </c>
      <c r="H163" s="9" t="n">
        <f aca="false">E163/G163</f>
        <v>0.506009967751393</v>
      </c>
    </row>
    <row r="164" customFormat="false" ht="15" hidden="false" customHeight="true" outlineLevel="0" collapsed="false">
      <c r="A164" s="8" t="n">
        <v>2018</v>
      </c>
      <c r="B164" s="8" t="s">
        <v>73</v>
      </c>
      <c r="C164" s="8" t="s">
        <v>99</v>
      </c>
      <c r="D164" s="8" t="s">
        <v>176</v>
      </c>
      <c r="E164" s="8" t="n">
        <f aca="false">'House Vote Data (Actual)'!D162</f>
        <v>1543</v>
      </c>
      <c r="F164" s="8" t="n">
        <f aca="false">'House Vote Data (Actual)'!E162</f>
        <v>2708</v>
      </c>
      <c r="G164" s="8" t="n">
        <f aca="false">'House Vote Data (Actual)'!G162</f>
        <v>4378</v>
      </c>
      <c r="H164" s="9" t="n">
        <f aca="false">E164/G164</f>
        <v>0.352444038373687</v>
      </c>
    </row>
    <row r="165" customFormat="false" ht="15" hidden="false" customHeight="true" outlineLevel="0" collapsed="false">
      <c r="A165" s="8" t="n">
        <v>2020</v>
      </c>
      <c r="B165" s="8" t="s">
        <v>73</v>
      </c>
      <c r="C165" s="8" t="s">
        <v>99</v>
      </c>
      <c r="D165" s="8" t="s">
        <v>176</v>
      </c>
      <c r="E165" s="8" t="n">
        <f aca="false">'House Vote Data (Actual)'!D163</f>
        <v>2137</v>
      </c>
      <c r="F165" s="8" t="n">
        <f aca="false">'House Vote Data (Actual)'!E163</f>
        <v>4258</v>
      </c>
      <c r="G165" s="8" t="n">
        <f aca="false">'House Vote Data (Actual)'!G163</f>
        <v>6395</v>
      </c>
      <c r="H165" s="9" t="n">
        <f aca="false">E165/G165</f>
        <v>0.334167318217357</v>
      </c>
    </row>
    <row r="166" customFormat="false" ht="15" hidden="false" customHeight="true" outlineLevel="0" collapsed="false">
      <c r="A166" s="8" t="n">
        <v>2022</v>
      </c>
      <c r="B166" s="8" t="s">
        <v>73</v>
      </c>
      <c r="C166" s="8" t="s">
        <v>99</v>
      </c>
      <c r="D166" s="8" t="s">
        <v>176</v>
      </c>
      <c r="E166" s="8" t="n">
        <f aca="false">'House Vote Data (Actual)'!D164</f>
        <v>1803</v>
      </c>
      <c r="F166" s="8" t="n">
        <f aca="false">'House Vote Data (Actual)'!E164</f>
        <v>3303</v>
      </c>
      <c r="G166" s="8" t="n">
        <f aca="false">'House Vote Data (Actual)'!G164</f>
        <v>5106</v>
      </c>
      <c r="H166" s="9" t="n">
        <f aca="false">E166/G166</f>
        <v>0.353113983548766</v>
      </c>
    </row>
    <row r="167" customFormat="false" ht="15" hidden="false" customHeight="true" outlineLevel="0" collapsed="false">
      <c r="A167" s="8" t="n">
        <v>2024</v>
      </c>
      <c r="B167" s="8" t="s">
        <v>73</v>
      </c>
      <c r="C167" s="8" t="s">
        <v>99</v>
      </c>
      <c r="D167" s="8" t="s">
        <v>176</v>
      </c>
      <c r="E167" s="8" t="n">
        <f aca="false">'House Vote Data (Actual)'!D165</f>
        <v>2244</v>
      </c>
      <c r="F167" s="8" t="n">
        <f aca="false">'House Vote Data (Actual)'!E165</f>
        <v>4439</v>
      </c>
      <c r="G167" s="8" t="n">
        <f aca="false">'House Vote Data (Actual)'!G165</f>
        <v>6683</v>
      </c>
      <c r="H167" s="9" t="n">
        <f aca="false">E167/G167</f>
        <v>0.335777345503516</v>
      </c>
    </row>
    <row r="168" customFormat="false" ht="15" hidden="false" customHeight="true" outlineLevel="0" collapsed="false">
      <c r="A168" s="8" t="n">
        <v>2018</v>
      </c>
      <c r="B168" s="8" t="s">
        <v>112</v>
      </c>
      <c r="C168" s="8" t="s">
        <v>99</v>
      </c>
      <c r="D168" s="8" t="s">
        <v>176</v>
      </c>
      <c r="E168" s="8" t="n">
        <f aca="false">'House Vote Data (Actual)'!D166</f>
        <v>474</v>
      </c>
      <c r="F168" s="8" t="n">
        <f aca="false">'House Vote Data (Actual)'!E166</f>
        <v>678</v>
      </c>
      <c r="G168" s="8" t="n">
        <f aca="false">'House Vote Data (Actual)'!G166</f>
        <v>1180</v>
      </c>
      <c r="H168" s="9" t="n">
        <f aca="false">E168/G168</f>
        <v>0.401694915254237</v>
      </c>
    </row>
    <row r="169" customFormat="false" ht="15" hidden="false" customHeight="true" outlineLevel="0" collapsed="false">
      <c r="A169" s="8" t="n">
        <v>2020</v>
      </c>
      <c r="B169" s="8" t="s">
        <v>112</v>
      </c>
      <c r="C169" s="8" t="s">
        <v>99</v>
      </c>
      <c r="D169" s="8" t="s">
        <v>176</v>
      </c>
      <c r="E169" s="8" t="n">
        <f aca="false">'House Vote Data (Actual)'!D167</f>
        <v>580</v>
      </c>
      <c r="F169" s="8" t="n">
        <f aca="false">'House Vote Data (Actual)'!E167</f>
        <v>1189</v>
      </c>
      <c r="G169" s="8" t="n">
        <f aca="false">'House Vote Data (Actual)'!G167</f>
        <v>1769</v>
      </c>
      <c r="H169" s="9" t="n">
        <f aca="false">E169/G169</f>
        <v>0.327868852459016</v>
      </c>
    </row>
    <row r="170" customFormat="false" ht="15" hidden="false" customHeight="true" outlineLevel="0" collapsed="false">
      <c r="A170" s="8" t="n">
        <v>2022</v>
      </c>
      <c r="B170" s="8" t="s">
        <v>112</v>
      </c>
      <c r="C170" s="8" t="s">
        <v>99</v>
      </c>
      <c r="D170" s="8" t="s">
        <v>176</v>
      </c>
      <c r="E170" s="8" t="n">
        <f aca="false">'House Vote Data (Actual)'!D168</f>
        <v>511</v>
      </c>
      <c r="F170" s="8" t="n">
        <f aca="false">'House Vote Data (Actual)'!E168</f>
        <v>889</v>
      </c>
      <c r="G170" s="8" t="n">
        <f aca="false">'House Vote Data (Actual)'!G168</f>
        <v>1400</v>
      </c>
      <c r="H170" s="9" t="n">
        <f aca="false">E170/G170</f>
        <v>0.365</v>
      </c>
    </row>
    <row r="171" customFormat="false" ht="15" hidden="false" customHeight="true" outlineLevel="0" collapsed="false">
      <c r="A171" s="8" t="n">
        <v>2024</v>
      </c>
      <c r="B171" s="8" t="s">
        <v>112</v>
      </c>
      <c r="C171" s="8" t="s">
        <v>99</v>
      </c>
      <c r="D171" s="8" t="s">
        <v>176</v>
      </c>
      <c r="E171" s="8" t="n">
        <f aca="false">'House Vote Data (Actual)'!D169</f>
        <v>625</v>
      </c>
      <c r="F171" s="8" t="n">
        <f aca="false">'House Vote Data (Actual)'!E169</f>
        <v>1214</v>
      </c>
      <c r="G171" s="8" t="n">
        <f aca="false">'House Vote Data (Actual)'!G169</f>
        <v>1839</v>
      </c>
      <c r="H171" s="9" t="n">
        <f aca="false">E171/G171</f>
        <v>0.339858618814573</v>
      </c>
    </row>
    <row r="172" customFormat="false" ht="15" hidden="false" customHeight="true" outlineLevel="0" collapsed="false">
      <c r="A172" s="8" t="n">
        <v>2018</v>
      </c>
      <c r="B172" s="8" t="s">
        <v>113</v>
      </c>
      <c r="C172" s="8" t="s">
        <v>99</v>
      </c>
      <c r="D172" s="8" t="s">
        <v>176</v>
      </c>
      <c r="E172" s="8" t="n">
        <f aca="false">'House Vote Data (Actual)'!D170</f>
        <v>1320</v>
      </c>
      <c r="F172" s="8" t="n">
        <f aca="false">'House Vote Data (Actual)'!E170</f>
        <v>1650</v>
      </c>
      <c r="G172" s="8" t="n">
        <f aca="false">'House Vote Data (Actual)'!G170</f>
        <v>3068</v>
      </c>
      <c r="H172" s="9" t="n">
        <f aca="false">E172/G172</f>
        <v>0.430247718383312</v>
      </c>
    </row>
    <row r="173" customFormat="false" ht="15" hidden="false" customHeight="true" outlineLevel="0" collapsed="false">
      <c r="A173" s="8" t="n">
        <v>2020</v>
      </c>
      <c r="B173" s="8" t="s">
        <v>113</v>
      </c>
      <c r="C173" s="8" t="s">
        <v>99</v>
      </c>
      <c r="D173" s="8" t="s">
        <v>176</v>
      </c>
      <c r="E173" s="8" t="n">
        <f aca="false">'House Vote Data (Actual)'!D171</f>
        <v>1879</v>
      </c>
      <c r="F173" s="8" t="n">
        <f aca="false">'House Vote Data (Actual)'!E171</f>
        <v>2565</v>
      </c>
      <c r="G173" s="8" t="n">
        <f aca="false">'House Vote Data (Actual)'!G171</f>
        <v>4444</v>
      </c>
      <c r="H173" s="9" t="n">
        <f aca="false">E173/G173</f>
        <v>0.422817281728173</v>
      </c>
    </row>
    <row r="174" customFormat="false" ht="15" hidden="false" customHeight="true" outlineLevel="0" collapsed="false">
      <c r="A174" s="8" t="n">
        <v>2022</v>
      </c>
      <c r="B174" s="8" t="s">
        <v>113</v>
      </c>
      <c r="C174" s="8" t="s">
        <v>99</v>
      </c>
      <c r="D174" s="8" t="s">
        <v>176</v>
      </c>
      <c r="E174" s="8" t="n">
        <f aca="false">'House Vote Data (Actual)'!D172</f>
        <v>1632</v>
      </c>
      <c r="F174" s="8" t="n">
        <f aca="false">'House Vote Data (Actual)'!E172</f>
        <v>2067</v>
      </c>
      <c r="G174" s="8" t="n">
        <f aca="false">'House Vote Data (Actual)'!G172</f>
        <v>3699</v>
      </c>
      <c r="H174" s="9" t="n">
        <f aca="false">E174/G174</f>
        <v>0.441200324412003</v>
      </c>
    </row>
    <row r="175" customFormat="false" ht="15" hidden="false" customHeight="true" outlineLevel="0" collapsed="false">
      <c r="A175" s="8" t="n">
        <v>2024</v>
      </c>
      <c r="B175" s="8" t="s">
        <v>113</v>
      </c>
      <c r="C175" s="8" t="s">
        <v>99</v>
      </c>
      <c r="D175" s="8" t="s">
        <v>176</v>
      </c>
      <c r="E175" s="8" t="n">
        <f aca="false">'House Vote Data (Actual)'!D173</f>
        <v>1596</v>
      </c>
      <c r="F175" s="8" t="n">
        <f aca="false">'House Vote Data (Actual)'!E173</f>
        <v>1664</v>
      </c>
      <c r="G175" s="8" t="n">
        <f aca="false">'House Vote Data (Actual)'!G173</f>
        <v>3260</v>
      </c>
      <c r="H175" s="9" t="n">
        <f aca="false">E175/G175</f>
        <v>0.489570552147239</v>
      </c>
    </row>
    <row r="176" customFormat="false" ht="15" hidden="false" customHeight="true" outlineLevel="0" collapsed="false">
      <c r="A176" s="8" t="n">
        <v>2018</v>
      </c>
      <c r="B176" s="8" t="s">
        <v>114</v>
      </c>
      <c r="C176" s="8" t="s">
        <v>99</v>
      </c>
      <c r="D176" s="8" t="s">
        <v>176</v>
      </c>
      <c r="E176" s="8" t="n">
        <f aca="false">'House Vote Data (Actual)'!D174</f>
        <v>2540</v>
      </c>
      <c r="F176" s="8" t="n">
        <f aca="false">'House Vote Data (Actual)'!E174</f>
        <v>2624</v>
      </c>
      <c r="G176" s="8" t="n">
        <f aca="false">'House Vote Data (Actual)'!G174</f>
        <v>5310</v>
      </c>
      <c r="H176" s="9" t="n">
        <f aca="false">E176/G176</f>
        <v>0.47834274952919</v>
      </c>
    </row>
    <row r="177" customFormat="false" ht="15" hidden="false" customHeight="true" outlineLevel="0" collapsed="false">
      <c r="A177" s="8" t="n">
        <v>2020</v>
      </c>
      <c r="B177" s="8" t="s">
        <v>114</v>
      </c>
      <c r="C177" s="8" t="s">
        <v>99</v>
      </c>
      <c r="D177" s="8" t="s">
        <v>176</v>
      </c>
      <c r="E177" s="8" t="n">
        <f aca="false">'House Vote Data (Actual)'!D175</f>
        <v>3370</v>
      </c>
      <c r="F177" s="8" t="n">
        <f aca="false">'House Vote Data (Actual)'!E175</f>
        <v>3831</v>
      </c>
      <c r="G177" s="8" t="n">
        <f aca="false">'House Vote Data (Actual)'!G175</f>
        <v>7201</v>
      </c>
      <c r="H177" s="9" t="n">
        <f aca="false">E177/G177</f>
        <v>0.467990556867102</v>
      </c>
    </row>
    <row r="178" customFormat="false" ht="15" hidden="false" customHeight="true" outlineLevel="0" collapsed="false">
      <c r="A178" s="8" t="n">
        <v>2022</v>
      </c>
      <c r="B178" s="8" t="s">
        <v>114</v>
      </c>
      <c r="C178" s="8" t="s">
        <v>99</v>
      </c>
      <c r="D178" s="8" t="s">
        <v>176</v>
      </c>
      <c r="E178" s="8" t="n">
        <f aca="false">'House Vote Data (Actual)'!D176</f>
        <v>2919</v>
      </c>
      <c r="F178" s="8" t="n">
        <f aca="false">'House Vote Data (Actual)'!E176</f>
        <v>3008</v>
      </c>
      <c r="G178" s="8" t="n">
        <f aca="false">'House Vote Data (Actual)'!G176</f>
        <v>5927</v>
      </c>
      <c r="H178" s="9" t="n">
        <f aca="false">E178/G178</f>
        <v>0.492491985827569</v>
      </c>
    </row>
    <row r="179" customFormat="false" ht="15" hidden="false" customHeight="true" outlineLevel="0" collapsed="false">
      <c r="A179" s="8" t="n">
        <v>2024</v>
      </c>
      <c r="B179" s="8" t="s">
        <v>114</v>
      </c>
      <c r="C179" s="8" t="s">
        <v>99</v>
      </c>
      <c r="D179" s="8" t="s">
        <v>176</v>
      </c>
      <c r="E179" s="8" t="n">
        <f aca="false">'House Vote Data (Actual)'!D177</f>
        <v>3457</v>
      </c>
      <c r="F179" s="8" t="n">
        <f aca="false">'House Vote Data (Actual)'!E177</f>
        <v>3805</v>
      </c>
      <c r="G179" s="8" t="n">
        <f aca="false">'House Vote Data (Actual)'!G177</f>
        <v>7262</v>
      </c>
      <c r="H179" s="9" t="n">
        <f aca="false">E179/G179</f>
        <v>0.476039658496282</v>
      </c>
    </row>
    <row r="180" customFormat="false" ht="15" hidden="false" customHeight="true" outlineLevel="0" collapsed="false">
      <c r="A180" s="8" t="n">
        <v>2018</v>
      </c>
      <c r="B180" s="8" t="s">
        <v>115</v>
      </c>
      <c r="C180" s="8" t="s">
        <v>99</v>
      </c>
      <c r="D180" s="8" t="s">
        <v>176</v>
      </c>
      <c r="E180" s="8" t="n">
        <f aca="false">'House Vote Data (Actual)'!D178</f>
        <v>1404</v>
      </c>
      <c r="F180" s="8" t="n">
        <f aca="false">'House Vote Data (Actual)'!E178</f>
        <v>2512</v>
      </c>
      <c r="G180" s="8" t="n">
        <f aca="false">'House Vote Data (Actual)'!G178</f>
        <v>4045</v>
      </c>
      <c r="H180" s="9" t="n">
        <f aca="false">E180/G180</f>
        <v>0.347095179233622</v>
      </c>
    </row>
    <row r="181" customFormat="false" ht="15" hidden="false" customHeight="true" outlineLevel="0" collapsed="false">
      <c r="A181" s="8" t="n">
        <v>2020</v>
      </c>
      <c r="B181" s="8" t="s">
        <v>115</v>
      </c>
      <c r="C181" s="8" t="s">
        <v>99</v>
      </c>
      <c r="D181" s="8" t="s">
        <v>176</v>
      </c>
      <c r="E181" s="8" t="n">
        <f aca="false">'House Vote Data (Actual)'!D179</f>
        <v>1920</v>
      </c>
      <c r="F181" s="8" t="n">
        <f aca="false">'House Vote Data (Actual)'!E179</f>
        <v>3865</v>
      </c>
      <c r="G181" s="8" t="n">
        <f aca="false">'House Vote Data (Actual)'!G179</f>
        <v>5785</v>
      </c>
      <c r="H181" s="9" t="n">
        <f aca="false">E181/G181</f>
        <v>0.331892826274849</v>
      </c>
    </row>
    <row r="182" customFormat="false" ht="15" hidden="false" customHeight="true" outlineLevel="0" collapsed="false">
      <c r="A182" s="8" t="n">
        <v>2022</v>
      </c>
      <c r="B182" s="8" t="s">
        <v>115</v>
      </c>
      <c r="C182" s="8" t="s">
        <v>99</v>
      </c>
      <c r="D182" s="8" t="s">
        <v>176</v>
      </c>
      <c r="E182" s="8" t="n">
        <f aca="false">'House Vote Data (Actual)'!D180</f>
        <v>1661</v>
      </c>
      <c r="F182" s="8" t="n">
        <f aca="false">'House Vote Data (Actual)'!E180</f>
        <v>3091</v>
      </c>
      <c r="G182" s="8" t="n">
        <f aca="false">'House Vote Data (Actual)'!G180</f>
        <v>4752</v>
      </c>
      <c r="H182" s="9" t="n">
        <f aca="false">E182/G182</f>
        <v>0.349537037037037</v>
      </c>
    </row>
    <row r="183" customFormat="false" ht="15" hidden="false" customHeight="true" outlineLevel="0" collapsed="false">
      <c r="A183" s="8" t="n">
        <v>2024</v>
      </c>
      <c r="B183" s="8" t="s">
        <v>115</v>
      </c>
      <c r="C183" s="8" t="s">
        <v>99</v>
      </c>
      <c r="D183" s="8" t="s">
        <v>176</v>
      </c>
      <c r="E183" s="8" t="n">
        <f aca="false">'House Vote Data (Actual)'!D181</f>
        <v>2006</v>
      </c>
      <c r="F183" s="8" t="n">
        <f aca="false">'House Vote Data (Actual)'!E181</f>
        <v>4057</v>
      </c>
      <c r="G183" s="8" t="n">
        <f aca="false">'House Vote Data (Actual)'!G181</f>
        <v>6063</v>
      </c>
      <c r="H183" s="9" t="n">
        <f aca="false">E183/G183</f>
        <v>0.330859310572324</v>
      </c>
    </row>
    <row r="184" customFormat="false" ht="15" hidden="false" customHeight="true" outlineLevel="0" collapsed="false">
      <c r="A184" s="8" t="n">
        <v>2018</v>
      </c>
      <c r="B184" s="8" t="s">
        <v>116</v>
      </c>
      <c r="C184" s="8" t="s">
        <v>99</v>
      </c>
      <c r="D184" s="8" t="s">
        <v>176</v>
      </c>
      <c r="E184" s="8" t="n">
        <f aca="false">'House Vote Data (Actual)'!D182</f>
        <v>1128</v>
      </c>
      <c r="F184" s="8" t="n">
        <f aca="false">'House Vote Data (Actual)'!E182</f>
        <v>998</v>
      </c>
      <c r="G184" s="8" t="n">
        <f aca="false">'House Vote Data (Actual)'!G182</f>
        <v>2202</v>
      </c>
      <c r="H184" s="9" t="n">
        <f aca="false">E184/G184</f>
        <v>0.512261580381471</v>
      </c>
    </row>
    <row r="185" customFormat="false" ht="15" hidden="false" customHeight="true" outlineLevel="0" collapsed="false">
      <c r="A185" s="8" t="n">
        <v>2020</v>
      </c>
      <c r="B185" s="8" t="s">
        <v>116</v>
      </c>
      <c r="C185" s="8" t="s">
        <v>99</v>
      </c>
      <c r="D185" s="8" t="s">
        <v>176</v>
      </c>
      <c r="E185" s="8" t="n">
        <f aca="false">'House Vote Data (Actual)'!D183</f>
        <v>1490</v>
      </c>
      <c r="F185" s="8" t="n">
        <f aca="false">'House Vote Data (Actual)'!E183</f>
        <v>1627</v>
      </c>
      <c r="G185" s="8" t="n">
        <f aca="false">'House Vote Data (Actual)'!G183</f>
        <v>3117</v>
      </c>
      <c r="H185" s="9" t="n">
        <f aca="false">E185/G185</f>
        <v>0.478023740776388</v>
      </c>
    </row>
    <row r="186" customFormat="false" ht="15" hidden="false" customHeight="true" outlineLevel="0" collapsed="false">
      <c r="A186" s="8" t="n">
        <v>2022</v>
      </c>
      <c r="B186" s="8" t="s">
        <v>116</v>
      </c>
      <c r="C186" s="8" t="s">
        <v>99</v>
      </c>
      <c r="D186" s="8" t="s">
        <v>176</v>
      </c>
      <c r="E186" s="8" t="n">
        <f aca="false">'House Vote Data (Actual)'!D184</f>
        <v>1272</v>
      </c>
      <c r="F186" s="8" t="n">
        <f aca="false">'House Vote Data (Actual)'!E184</f>
        <v>1188</v>
      </c>
      <c r="G186" s="8" t="n">
        <f aca="false">'House Vote Data (Actual)'!G184</f>
        <v>2460</v>
      </c>
      <c r="H186" s="9" t="n">
        <f aca="false">E186/G186</f>
        <v>0.517073170731707</v>
      </c>
    </row>
    <row r="187" customFormat="false" ht="15" hidden="false" customHeight="true" outlineLevel="0" collapsed="false">
      <c r="A187" s="8" t="n">
        <v>2024</v>
      </c>
      <c r="B187" s="8" t="s">
        <v>116</v>
      </c>
      <c r="C187" s="8" t="s">
        <v>99</v>
      </c>
      <c r="D187" s="8" t="s">
        <v>176</v>
      </c>
      <c r="E187" s="8" t="n">
        <f aca="false">'House Vote Data (Actual)'!D185</f>
        <v>2047</v>
      </c>
      <c r="F187" s="8" t="n">
        <f aca="false">'House Vote Data (Actual)'!E185</f>
        <v>2499</v>
      </c>
      <c r="G187" s="8" t="n">
        <f aca="false">'House Vote Data (Actual)'!G185</f>
        <v>4546</v>
      </c>
      <c r="H187" s="9" t="n">
        <f aca="false">E187/G187</f>
        <v>0.450285965684118</v>
      </c>
    </row>
    <row r="188" customFormat="false" ht="15" hidden="false" customHeight="true" outlineLevel="0" collapsed="false">
      <c r="A188" s="8" t="n">
        <v>2018</v>
      </c>
      <c r="B188" s="8" t="s">
        <v>117</v>
      </c>
      <c r="C188" s="8" t="s">
        <v>99</v>
      </c>
      <c r="D188" s="8" t="s">
        <v>176</v>
      </c>
      <c r="E188" s="8" t="n">
        <f aca="false">'House Vote Data (Actual)'!D186</f>
        <v>536</v>
      </c>
      <c r="F188" s="8" t="n">
        <f aca="false">'House Vote Data (Actual)'!E186</f>
        <v>521</v>
      </c>
      <c r="G188" s="8" t="n">
        <f aca="false">'House Vote Data (Actual)'!G186</f>
        <v>1102</v>
      </c>
      <c r="H188" s="9" t="n">
        <f aca="false">E188/G188</f>
        <v>0.486388384754991</v>
      </c>
    </row>
    <row r="189" customFormat="false" ht="15" hidden="false" customHeight="true" outlineLevel="0" collapsed="false">
      <c r="A189" s="8" t="n">
        <v>2020</v>
      </c>
      <c r="B189" s="8" t="s">
        <v>117</v>
      </c>
      <c r="C189" s="8" t="s">
        <v>99</v>
      </c>
      <c r="D189" s="8" t="s">
        <v>176</v>
      </c>
      <c r="E189" s="8" t="n">
        <f aca="false">'House Vote Data (Actual)'!D187</f>
        <v>731</v>
      </c>
      <c r="F189" s="8" t="n">
        <f aca="false">'House Vote Data (Actual)'!E187</f>
        <v>843</v>
      </c>
      <c r="G189" s="8" t="n">
        <f aca="false">'House Vote Data (Actual)'!G187</f>
        <v>1574</v>
      </c>
      <c r="H189" s="9" t="n">
        <f aca="false">E189/G189</f>
        <v>0.464421855146125</v>
      </c>
    </row>
    <row r="190" customFormat="false" ht="15" hidden="false" customHeight="true" outlineLevel="0" collapsed="false">
      <c r="A190" s="8" t="n">
        <v>2022</v>
      </c>
      <c r="B190" s="8" t="s">
        <v>117</v>
      </c>
      <c r="C190" s="8" t="s">
        <v>99</v>
      </c>
      <c r="D190" s="8" t="s">
        <v>176</v>
      </c>
      <c r="E190" s="8" t="n">
        <f aca="false">'House Vote Data (Actual)'!D188</f>
        <v>644</v>
      </c>
      <c r="F190" s="8" t="n">
        <f aca="false">'House Vote Data (Actual)'!E188</f>
        <v>634</v>
      </c>
      <c r="G190" s="8" t="n">
        <f aca="false">'House Vote Data (Actual)'!G188</f>
        <v>1278</v>
      </c>
      <c r="H190" s="9" t="n">
        <f aca="false">E190/G190</f>
        <v>0.503912363067293</v>
      </c>
    </row>
    <row r="191" customFormat="false" ht="15" hidden="false" customHeight="true" outlineLevel="0" collapsed="false">
      <c r="A191" s="8" t="n">
        <v>2024</v>
      </c>
      <c r="B191" s="8" t="s">
        <v>117</v>
      </c>
      <c r="C191" s="8" t="s">
        <v>99</v>
      </c>
      <c r="D191" s="8" t="s">
        <v>176</v>
      </c>
      <c r="E191" s="8" t="n">
        <f aca="false">'House Vote Data (Actual)'!D189</f>
        <v>847</v>
      </c>
      <c r="F191" s="8" t="n">
        <f aca="false">'House Vote Data (Actual)'!E189</f>
        <v>889</v>
      </c>
      <c r="G191" s="8" t="n">
        <f aca="false">'House Vote Data (Actual)'!G189</f>
        <v>1736</v>
      </c>
      <c r="H191" s="9" t="n">
        <f aca="false">E191/G191</f>
        <v>0.487903225806452</v>
      </c>
    </row>
    <row r="192" customFormat="false" ht="15" hidden="false" customHeight="true" outlineLevel="0" collapsed="false">
      <c r="A192" s="8" t="n">
        <v>2018</v>
      </c>
      <c r="B192" s="8" t="s">
        <v>99</v>
      </c>
      <c r="C192" s="8" t="s">
        <v>99</v>
      </c>
      <c r="D192" s="8" t="s">
        <v>176</v>
      </c>
      <c r="E192" s="8" t="n">
        <f aca="false">'House Vote Data (Actual)'!D190</f>
        <v>1650</v>
      </c>
      <c r="F192" s="8" t="n">
        <f aca="false">'House Vote Data (Actual)'!E190</f>
        <v>1634</v>
      </c>
      <c r="G192" s="8" t="n">
        <f aca="false">'House Vote Data (Actual)'!G190</f>
        <v>3413</v>
      </c>
      <c r="H192" s="9" t="n">
        <f aca="false">E192/G192</f>
        <v>0.483445648989159</v>
      </c>
    </row>
    <row r="193" customFormat="false" ht="15" hidden="false" customHeight="true" outlineLevel="0" collapsed="false">
      <c r="A193" s="8" t="n">
        <v>2020</v>
      </c>
      <c r="B193" s="8" t="s">
        <v>99</v>
      </c>
      <c r="C193" s="8" t="s">
        <v>99</v>
      </c>
      <c r="D193" s="8" t="s">
        <v>176</v>
      </c>
      <c r="E193" s="8" t="n">
        <f aca="false">'House Vote Data (Actual)'!D191</f>
        <v>2355</v>
      </c>
      <c r="F193" s="8" t="n">
        <f aca="false">'House Vote Data (Actual)'!E191</f>
        <v>2934</v>
      </c>
      <c r="G193" s="8" t="n">
        <f aca="false">'House Vote Data (Actual)'!G191</f>
        <v>5289</v>
      </c>
      <c r="H193" s="9" t="n">
        <f aca="false">E193/G193</f>
        <v>0.445263754963131</v>
      </c>
    </row>
    <row r="194" customFormat="false" ht="15" hidden="false" customHeight="true" outlineLevel="0" collapsed="false">
      <c r="A194" s="8" t="n">
        <v>2022</v>
      </c>
      <c r="B194" s="8" t="s">
        <v>99</v>
      </c>
      <c r="C194" s="8" t="s">
        <v>99</v>
      </c>
      <c r="D194" s="8" t="s">
        <v>176</v>
      </c>
      <c r="E194" s="8" t="n">
        <f aca="false">'House Vote Data (Actual)'!D192</f>
        <v>1957</v>
      </c>
      <c r="F194" s="8" t="n">
        <f aca="false">'House Vote Data (Actual)'!E192</f>
        <v>1970</v>
      </c>
      <c r="G194" s="8" t="n">
        <f aca="false">'House Vote Data (Actual)'!G192</f>
        <v>3927</v>
      </c>
      <c r="H194" s="9" t="n">
        <f aca="false">E194/G194</f>
        <v>0.49834479246244</v>
      </c>
    </row>
    <row r="195" customFormat="false" ht="15" hidden="false" customHeight="true" outlineLevel="0" collapsed="false">
      <c r="A195" s="8" t="n">
        <v>2024</v>
      </c>
      <c r="B195" s="8" t="s">
        <v>99</v>
      </c>
      <c r="C195" s="8" t="s">
        <v>99</v>
      </c>
      <c r="D195" s="8" t="s">
        <v>176</v>
      </c>
      <c r="E195" s="8" t="n">
        <f aca="false">'House Vote Data (Actual)'!D193</f>
        <v>2573</v>
      </c>
      <c r="F195" s="8" t="n">
        <f aca="false">'House Vote Data (Actual)'!E193</f>
        <v>3023</v>
      </c>
      <c r="G195" s="8" t="n">
        <f aca="false">'House Vote Data (Actual)'!G193</f>
        <v>5596</v>
      </c>
      <c r="H195" s="9" t="n">
        <f aca="false">E195/G195</f>
        <v>0.459792709077913</v>
      </c>
    </row>
    <row r="196" customFormat="false" ht="15" hidden="false" customHeight="true" outlineLevel="0" collapsed="false">
      <c r="A196" s="8" t="n">
        <v>2018</v>
      </c>
      <c r="B196" s="8" t="s">
        <v>118</v>
      </c>
      <c r="C196" s="8" t="s">
        <v>99</v>
      </c>
      <c r="D196" s="8" t="s">
        <v>176</v>
      </c>
      <c r="E196" s="8" t="n">
        <f aca="false">'House Vote Data (Actual)'!D194</f>
        <v>4804</v>
      </c>
      <c r="F196" s="8" t="n">
        <f aca="false">'House Vote Data (Actual)'!E194</f>
        <v>4095</v>
      </c>
      <c r="G196" s="8" t="n">
        <f aca="false">'House Vote Data (Actual)'!G194</f>
        <v>9096</v>
      </c>
      <c r="H196" s="9" t="n">
        <f aca="false">E196/G196</f>
        <v>0.528144239226033</v>
      </c>
    </row>
    <row r="197" customFormat="false" ht="15" hidden="false" customHeight="true" outlineLevel="0" collapsed="false">
      <c r="A197" s="8" t="n">
        <v>2020</v>
      </c>
      <c r="B197" s="8" t="s">
        <v>118</v>
      </c>
      <c r="C197" s="8" t="s">
        <v>99</v>
      </c>
      <c r="D197" s="8" t="s">
        <v>176</v>
      </c>
      <c r="E197" s="8" t="n">
        <f aca="false">'House Vote Data (Actual)'!D195</f>
        <v>6698</v>
      </c>
      <c r="F197" s="8" t="n">
        <f aca="false">'House Vote Data (Actual)'!E195</f>
        <v>6630</v>
      </c>
      <c r="G197" s="8" t="n">
        <f aca="false">'House Vote Data (Actual)'!G195</f>
        <v>13328</v>
      </c>
      <c r="H197" s="9" t="n">
        <f aca="false">E197/G197</f>
        <v>0.502551020408163</v>
      </c>
    </row>
    <row r="198" customFormat="false" ht="15" hidden="false" customHeight="true" outlineLevel="0" collapsed="false">
      <c r="A198" s="8" t="n">
        <v>2022</v>
      </c>
      <c r="B198" s="8" t="s">
        <v>118</v>
      </c>
      <c r="C198" s="8" t="s">
        <v>99</v>
      </c>
      <c r="D198" s="8" t="s">
        <v>176</v>
      </c>
      <c r="E198" s="8" t="n">
        <f aca="false">'House Vote Data (Actual)'!D196</f>
        <v>5403</v>
      </c>
      <c r="F198" s="8" t="n">
        <f aca="false">'House Vote Data (Actual)'!E196</f>
        <v>4910</v>
      </c>
      <c r="G198" s="8" t="n">
        <f aca="false">'House Vote Data (Actual)'!G196</f>
        <v>10313</v>
      </c>
      <c r="H198" s="9" t="n">
        <f aca="false">E198/G198</f>
        <v>0.523901871424416</v>
      </c>
    </row>
    <row r="199" customFormat="false" ht="15" hidden="false" customHeight="true" outlineLevel="0" collapsed="false">
      <c r="A199" s="8" t="n">
        <v>2024</v>
      </c>
      <c r="B199" s="8" t="s">
        <v>118</v>
      </c>
      <c r="C199" s="8" t="s">
        <v>99</v>
      </c>
      <c r="D199" s="8" t="s">
        <v>176</v>
      </c>
      <c r="E199" s="8" t="n">
        <f aca="false">'House Vote Data (Actual)'!D197</f>
        <v>6974</v>
      </c>
      <c r="F199" s="8" t="n">
        <f aca="false">'House Vote Data (Actual)'!E197</f>
        <v>6736</v>
      </c>
      <c r="G199" s="8" t="n">
        <f aca="false">'House Vote Data (Actual)'!G197</f>
        <v>13710</v>
      </c>
      <c r="H199" s="9" t="n">
        <f aca="false">E199/G199</f>
        <v>0.508679795769511</v>
      </c>
    </row>
    <row r="200" customFormat="false" ht="15" hidden="false" customHeight="true" outlineLevel="0" collapsed="false">
      <c r="A200" s="8" t="n">
        <v>2018</v>
      </c>
      <c r="B200" s="8" t="s">
        <v>119</v>
      </c>
      <c r="C200" s="8" t="s">
        <v>99</v>
      </c>
      <c r="D200" s="8" t="s">
        <v>176</v>
      </c>
      <c r="E200" s="8" t="n">
        <f aca="false">'House Vote Data (Actual)'!D198</f>
        <v>484</v>
      </c>
      <c r="F200" s="8" t="n">
        <f aca="false">'House Vote Data (Actual)'!E198</f>
        <v>685</v>
      </c>
      <c r="G200" s="8" t="n">
        <f aca="false">'House Vote Data (Actual)'!G198</f>
        <v>1218</v>
      </c>
      <c r="H200" s="9" t="n">
        <f aca="false">E200/G200</f>
        <v>0.397372742200328</v>
      </c>
    </row>
    <row r="201" customFormat="false" ht="15" hidden="false" customHeight="true" outlineLevel="0" collapsed="false">
      <c r="A201" s="8" t="n">
        <v>2020</v>
      </c>
      <c r="B201" s="8" t="s">
        <v>119</v>
      </c>
      <c r="C201" s="8" t="s">
        <v>99</v>
      </c>
      <c r="D201" s="8" t="s">
        <v>176</v>
      </c>
      <c r="E201" s="8" t="n">
        <f aca="false">'House Vote Data (Actual)'!D199</f>
        <v>678</v>
      </c>
      <c r="F201" s="8" t="n">
        <f aca="false">'House Vote Data (Actual)'!E199</f>
        <v>1089</v>
      </c>
      <c r="G201" s="8" t="n">
        <f aca="false">'House Vote Data (Actual)'!G199</f>
        <v>1767</v>
      </c>
      <c r="H201" s="9" t="n">
        <f aca="false">E201/G201</f>
        <v>0.383701188455009</v>
      </c>
    </row>
    <row r="202" customFormat="false" ht="15" hidden="false" customHeight="true" outlineLevel="0" collapsed="false">
      <c r="A202" s="8" t="n">
        <v>2022</v>
      </c>
      <c r="B202" s="8" t="s">
        <v>119</v>
      </c>
      <c r="C202" s="8" t="s">
        <v>99</v>
      </c>
      <c r="D202" s="8" t="s">
        <v>176</v>
      </c>
      <c r="E202" s="8" t="n">
        <f aca="false">'House Vote Data (Actual)'!D200</f>
        <v>511</v>
      </c>
      <c r="F202" s="8" t="n">
        <f aca="false">'House Vote Data (Actual)'!E200</f>
        <v>778</v>
      </c>
      <c r="G202" s="8" t="n">
        <f aca="false">'House Vote Data (Actual)'!G200</f>
        <v>1289</v>
      </c>
      <c r="H202" s="9" t="n">
        <f aca="false">E202/G202</f>
        <v>0.396431342125679</v>
      </c>
    </row>
    <row r="203" customFormat="false" ht="15" hidden="false" customHeight="true" outlineLevel="0" collapsed="false">
      <c r="A203" s="8" t="n">
        <v>2024</v>
      </c>
      <c r="B203" s="8" t="s">
        <v>119</v>
      </c>
      <c r="C203" s="8" t="s">
        <v>99</v>
      </c>
      <c r="D203" s="8" t="s">
        <v>176</v>
      </c>
      <c r="E203" s="8" t="n">
        <f aca="false">'House Vote Data (Actual)'!D201</f>
        <v>703</v>
      </c>
      <c r="F203" s="8" t="n">
        <f aca="false">'House Vote Data (Actual)'!E201</f>
        <v>1180</v>
      </c>
      <c r="G203" s="8" t="n">
        <f aca="false">'House Vote Data (Actual)'!G201</f>
        <v>1883</v>
      </c>
      <c r="H203" s="9" t="n">
        <f aca="false">E203/G203</f>
        <v>0.373340414232608</v>
      </c>
    </row>
    <row r="204" customFormat="false" ht="15" hidden="false" customHeight="true" outlineLevel="0" collapsed="false">
      <c r="A204" s="8" t="n">
        <v>2018</v>
      </c>
      <c r="B204" s="8" t="s">
        <v>120</v>
      </c>
      <c r="C204" s="8" t="s">
        <v>99</v>
      </c>
      <c r="D204" s="8" t="s">
        <v>176</v>
      </c>
      <c r="E204" s="8" t="n">
        <f aca="false">'House Vote Data (Actual)'!D202</f>
        <v>1016</v>
      </c>
      <c r="F204" s="8" t="n">
        <f aca="false">'House Vote Data (Actual)'!E202</f>
        <v>1531</v>
      </c>
      <c r="G204" s="8" t="n">
        <f aca="false">'House Vote Data (Actual)'!G202</f>
        <v>2638</v>
      </c>
      <c r="H204" s="9" t="n">
        <f aca="false">E204/G204</f>
        <v>0.385140257771039</v>
      </c>
    </row>
    <row r="205" customFormat="false" ht="15" hidden="false" customHeight="true" outlineLevel="0" collapsed="false">
      <c r="A205" s="8" t="n">
        <v>2020</v>
      </c>
      <c r="B205" s="8" t="s">
        <v>120</v>
      </c>
      <c r="C205" s="8" t="s">
        <v>99</v>
      </c>
      <c r="D205" s="8" t="s">
        <v>176</v>
      </c>
      <c r="E205" s="8" t="n">
        <f aca="false">'House Vote Data (Actual)'!D203</f>
        <v>1368</v>
      </c>
      <c r="F205" s="8" t="n">
        <f aca="false">'House Vote Data (Actual)'!E203</f>
        <v>2520</v>
      </c>
      <c r="G205" s="8" t="n">
        <f aca="false">'House Vote Data (Actual)'!G203</f>
        <v>3888</v>
      </c>
      <c r="H205" s="9" t="n">
        <f aca="false">E205/G205</f>
        <v>0.351851851851852</v>
      </c>
    </row>
    <row r="206" customFormat="false" ht="15" hidden="false" customHeight="true" outlineLevel="0" collapsed="false">
      <c r="A206" s="8" t="n">
        <v>2022</v>
      </c>
      <c r="B206" s="8" t="s">
        <v>120</v>
      </c>
      <c r="C206" s="8" t="s">
        <v>99</v>
      </c>
      <c r="D206" s="8" t="s">
        <v>176</v>
      </c>
      <c r="E206" s="8" t="n">
        <f aca="false">'House Vote Data (Actual)'!D204</f>
        <v>1076</v>
      </c>
      <c r="F206" s="8" t="n">
        <f aca="false">'House Vote Data (Actual)'!E204</f>
        <v>1998</v>
      </c>
      <c r="G206" s="8" t="n">
        <f aca="false">'House Vote Data (Actual)'!G204</f>
        <v>3074</v>
      </c>
      <c r="H206" s="9" t="n">
        <f aca="false">E206/G206</f>
        <v>0.350032530904359</v>
      </c>
    </row>
    <row r="207" customFormat="false" ht="15" hidden="false" customHeight="true" outlineLevel="0" collapsed="false">
      <c r="A207" s="8" t="n">
        <v>2024</v>
      </c>
      <c r="B207" s="8" t="s">
        <v>120</v>
      </c>
      <c r="C207" s="8" t="s">
        <v>99</v>
      </c>
      <c r="D207" s="8" t="s">
        <v>176</v>
      </c>
      <c r="E207" s="8" t="n">
        <f aca="false">'House Vote Data (Actual)'!D205</f>
        <v>1361</v>
      </c>
      <c r="F207" s="8" t="n">
        <f aca="false">'House Vote Data (Actual)'!E205</f>
        <v>2561</v>
      </c>
      <c r="G207" s="8" t="n">
        <f aca="false">'House Vote Data (Actual)'!G205</f>
        <v>3922</v>
      </c>
      <c r="H207" s="9" t="n">
        <f aca="false">E207/G207</f>
        <v>0.347016828148904</v>
      </c>
    </row>
    <row r="208" customFormat="false" ht="15" hidden="false" customHeight="true" outlineLevel="0" collapsed="false">
      <c r="A208" s="8" t="n">
        <v>2018</v>
      </c>
      <c r="B208" s="8" t="s">
        <v>121</v>
      </c>
      <c r="C208" s="8" t="s">
        <v>99</v>
      </c>
      <c r="D208" s="8" t="s">
        <v>176</v>
      </c>
      <c r="E208" s="8" t="n">
        <f aca="false">'House Vote Data (Actual)'!D206</f>
        <v>62</v>
      </c>
      <c r="F208" s="8" t="n">
        <f aca="false">'House Vote Data (Actual)'!E206</f>
        <v>104</v>
      </c>
      <c r="G208" s="8" t="n">
        <f aca="false">'House Vote Data (Actual)'!G206</f>
        <v>169</v>
      </c>
      <c r="H208" s="9" t="n">
        <f aca="false">E208/G208</f>
        <v>0.366863905325444</v>
      </c>
    </row>
    <row r="209" customFormat="false" ht="15" hidden="false" customHeight="true" outlineLevel="0" collapsed="false">
      <c r="A209" s="8" t="n">
        <v>2020</v>
      </c>
      <c r="B209" s="8" t="s">
        <v>121</v>
      </c>
      <c r="C209" s="8" t="s">
        <v>99</v>
      </c>
      <c r="D209" s="8" t="s">
        <v>176</v>
      </c>
      <c r="E209" s="8" t="n">
        <f aca="false">'House Vote Data (Actual)'!D207</f>
        <v>82</v>
      </c>
      <c r="F209" s="8" t="n">
        <f aca="false">'House Vote Data (Actual)'!E207</f>
        <v>171</v>
      </c>
      <c r="G209" s="8" t="n">
        <f aca="false">'House Vote Data (Actual)'!G207</f>
        <v>253</v>
      </c>
      <c r="H209" s="9" t="n">
        <f aca="false">E209/G209</f>
        <v>0.324110671936759</v>
      </c>
    </row>
    <row r="210" customFormat="false" ht="15" hidden="false" customHeight="true" outlineLevel="0" collapsed="false">
      <c r="A210" s="8" t="n">
        <v>2022</v>
      </c>
      <c r="B210" s="8" t="s">
        <v>121</v>
      </c>
      <c r="C210" s="8" t="s">
        <v>99</v>
      </c>
      <c r="D210" s="8" t="s">
        <v>176</v>
      </c>
      <c r="E210" s="8" t="n">
        <f aca="false">'House Vote Data (Actual)'!D208</f>
        <v>65</v>
      </c>
      <c r="F210" s="8" t="n">
        <f aca="false">'House Vote Data (Actual)'!E208</f>
        <v>129</v>
      </c>
      <c r="G210" s="8" t="n">
        <f aca="false">'House Vote Data (Actual)'!G208</f>
        <v>194</v>
      </c>
      <c r="H210" s="9" t="n">
        <f aca="false">E210/G210</f>
        <v>0.335051546391753</v>
      </c>
    </row>
    <row r="211" customFormat="false" ht="15" hidden="false" customHeight="true" outlineLevel="0" collapsed="false">
      <c r="A211" s="8" t="n">
        <v>2024</v>
      </c>
      <c r="B211" s="8" t="s">
        <v>121</v>
      </c>
      <c r="C211" s="8" t="s">
        <v>99</v>
      </c>
      <c r="D211" s="8" t="s">
        <v>176</v>
      </c>
      <c r="E211" s="8" t="n">
        <f aca="false">'House Vote Data (Actual)'!D209</f>
        <v>92</v>
      </c>
      <c r="F211" s="8" t="n">
        <f aca="false">'House Vote Data (Actual)'!E209</f>
        <v>167</v>
      </c>
      <c r="G211" s="8" t="n">
        <f aca="false">'House Vote Data (Actual)'!G209</f>
        <v>259</v>
      </c>
      <c r="H211" s="9" t="n">
        <f aca="false">E211/G211</f>
        <v>0.355212355212355</v>
      </c>
    </row>
    <row r="212" customFormat="false" ht="15" hidden="false" customHeight="true" outlineLevel="0" collapsed="false">
      <c r="A212" s="8" t="n">
        <v>2018</v>
      </c>
      <c r="B212" s="8" t="s">
        <v>122</v>
      </c>
      <c r="C212" s="8" t="s">
        <v>99</v>
      </c>
      <c r="D212" s="8" t="s">
        <v>176</v>
      </c>
      <c r="E212" s="8" t="n">
        <f aca="false">'House Vote Data (Actual)'!D210</f>
        <v>243</v>
      </c>
      <c r="F212" s="8" t="n">
        <f aca="false">'House Vote Data (Actual)'!E210</f>
        <v>335</v>
      </c>
      <c r="G212" s="8" t="n">
        <f aca="false">'House Vote Data (Actual)'!G210</f>
        <v>591</v>
      </c>
      <c r="H212" s="9" t="n">
        <f aca="false">E212/G212</f>
        <v>0.411167512690355</v>
      </c>
    </row>
    <row r="213" customFormat="false" ht="15" hidden="false" customHeight="true" outlineLevel="0" collapsed="false">
      <c r="A213" s="8" t="n">
        <v>2020</v>
      </c>
      <c r="B213" s="8" t="s">
        <v>122</v>
      </c>
      <c r="C213" s="8" t="s">
        <v>99</v>
      </c>
      <c r="D213" s="8" t="s">
        <v>176</v>
      </c>
      <c r="E213" s="8" t="n">
        <f aca="false">'House Vote Data (Actual)'!D211</f>
        <v>331</v>
      </c>
      <c r="F213" s="8" t="n">
        <f aca="false">'House Vote Data (Actual)'!E211</f>
        <v>571</v>
      </c>
      <c r="G213" s="8" t="n">
        <f aca="false">'House Vote Data (Actual)'!G211</f>
        <v>902</v>
      </c>
      <c r="H213" s="9" t="n">
        <f aca="false">E213/G213</f>
        <v>0.366962305986696</v>
      </c>
    </row>
    <row r="214" customFormat="false" ht="15" hidden="false" customHeight="true" outlineLevel="0" collapsed="false">
      <c r="A214" s="8" t="n">
        <v>2022</v>
      </c>
      <c r="B214" s="8" t="s">
        <v>122</v>
      </c>
      <c r="C214" s="8" t="s">
        <v>99</v>
      </c>
      <c r="D214" s="8" t="s">
        <v>176</v>
      </c>
      <c r="E214" s="8" t="n">
        <f aca="false">'House Vote Data (Actual)'!D212</f>
        <v>258</v>
      </c>
      <c r="F214" s="8" t="n">
        <f aca="false">'House Vote Data (Actual)'!E212</f>
        <v>418</v>
      </c>
      <c r="G214" s="8" t="n">
        <f aca="false">'House Vote Data (Actual)'!G212</f>
        <v>676</v>
      </c>
      <c r="H214" s="9" t="n">
        <f aca="false">E214/G214</f>
        <v>0.381656804733728</v>
      </c>
    </row>
    <row r="215" customFormat="false" ht="15" hidden="false" customHeight="true" outlineLevel="0" collapsed="false">
      <c r="A215" s="8" t="n">
        <v>2024</v>
      </c>
      <c r="B215" s="8" t="s">
        <v>122</v>
      </c>
      <c r="C215" s="8" t="s">
        <v>99</v>
      </c>
      <c r="D215" s="8" t="s">
        <v>176</v>
      </c>
      <c r="E215" s="8" t="n">
        <f aca="false">'House Vote Data (Actual)'!D213</f>
        <v>335</v>
      </c>
      <c r="F215" s="8" t="n">
        <f aca="false">'House Vote Data (Actual)'!E213</f>
        <v>581</v>
      </c>
      <c r="G215" s="8" t="n">
        <f aca="false">'House Vote Data (Actual)'!G213</f>
        <v>916</v>
      </c>
      <c r="H215" s="9" t="n">
        <f aca="false">E215/G215</f>
        <v>0.365720524017467</v>
      </c>
    </row>
    <row r="216" customFormat="false" ht="15" hidden="false" customHeight="true" outlineLevel="0" collapsed="false">
      <c r="A216" s="8" t="n">
        <v>2018</v>
      </c>
      <c r="B216" s="8" t="s">
        <v>123</v>
      </c>
      <c r="C216" s="8" t="s">
        <v>99</v>
      </c>
      <c r="D216" s="8" t="s">
        <v>176</v>
      </c>
      <c r="E216" s="8" t="n">
        <f aca="false">'House Vote Data (Actual)'!D214</f>
        <v>142</v>
      </c>
      <c r="F216" s="8" t="n">
        <f aca="false">'House Vote Data (Actual)'!E214</f>
        <v>172</v>
      </c>
      <c r="G216" s="8" t="n">
        <f aca="false">'House Vote Data (Actual)'!G214</f>
        <v>327</v>
      </c>
      <c r="H216" s="9" t="n">
        <f aca="false">E216/G216</f>
        <v>0.434250764525994</v>
      </c>
    </row>
    <row r="217" customFormat="false" ht="15" hidden="false" customHeight="true" outlineLevel="0" collapsed="false">
      <c r="A217" s="8" t="n">
        <v>2020</v>
      </c>
      <c r="B217" s="8" t="s">
        <v>123</v>
      </c>
      <c r="C217" s="8" t="s">
        <v>99</v>
      </c>
      <c r="D217" s="8" t="s">
        <v>176</v>
      </c>
      <c r="E217" s="8" t="n">
        <f aca="false">'House Vote Data (Actual)'!D215</f>
        <v>212</v>
      </c>
      <c r="F217" s="8" t="n">
        <f aca="false">'House Vote Data (Actual)'!E215</f>
        <v>308</v>
      </c>
      <c r="G217" s="8" t="n">
        <f aca="false">'House Vote Data (Actual)'!G215</f>
        <v>520</v>
      </c>
      <c r="H217" s="9" t="n">
        <f aca="false">E217/G217</f>
        <v>0.407692307692308</v>
      </c>
    </row>
    <row r="218" customFormat="false" ht="15" hidden="false" customHeight="true" outlineLevel="0" collapsed="false">
      <c r="A218" s="8" t="n">
        <v>2022</v>
      </c>
      <c r="B218" s="8" t="s">
        <v>123</v>
      </c>
      <c r="C218" s="8" t="s">
        <v>99</v>
      </c>
      <c r="D218" s="8" t="s">
        <v>176</v>
      </c>
      <c r="E218" s="8" t="n">
        <f aca="false">'House Vote Data (Actual)'!D216</f>
        <v>160</v>
      </c>
      <c r="F218" s="8" t="n">
        <f aca="false">'House Vote Data (Actual)'!E216</f>
        <v>227</v>
      </c>
      <c r="G218" s="8" t="n">
        <f aca="false">'House Vote Data (Actual)'!G216</f>
        <v>387</v>
      </c>
      <c r="H218" s="9" t="n">
        <f aca="false">E218/G218</f>
        <v>0.41343669250646</v>
      </c>
    </row>
    <row r="219" customFormat="false" ht="15" hidden="false" customHeight="true" outlineLevel="0" collapsed="false">
      <c r="A219" s="8" t="n">
        <v>2024</v>
      </c>
      <c r="B219" s="8" t="s">
        <v>123</v>
      </c>
      <c r="C219" s="8" t="s">
        <v>99</v>
      </c>
      <c r="D219" s="8" t="s">
        <v>176</v>
      </c>
      <c r="E219" s="8" t="n">
        <f aca="false">'House Vote Data (Actual)'!D217</f>
        <v>210</v>
      </c>
      <c r="F219" s="8" t="n">
        <f aca="false">'House Vote Data (Actual)'!E217</f>
        <v>309</v>
      </c>
      <c r="G219" s="8" t="n">
        <f aca="false">'House Vote Data (Actual)'!G217</f>
        <v>519</v>
      </c>
      <c r="H219" s="9" t="n">
        <f aca="false">E219/G219</f>
        <v>0.404624277456647</v>
      </c>
    </row>
    <row r="220" customFormat="false" ht="15" hidden="false" customHeight="true" outlineLevel="0" collapsed="false">
      <c r="A220" s="8" t="n">
        <v>2018</v>
      </c>
      <c r="B220" s="8" t="s">
        <v>124</v>
      </c>
      <c r="C220" s="8" t="s">
        <v>99</v>
      </c>
      <c r="D220" s="8" t="s">
        <v>176</v>
      </c>
      <c r="E220" s="8" t="n">
        <f aca="false">'House Vote Data (Actual)'!D218</f>
        <v>192</v>
      </c>
      <c r="F220" s="8" t="n">
        <f aca="false">'House Vote Data (Actual)'!E218</f>
        <v>253</v>
      </c>
      <c r="G220" s="8" t="n">
        <f aca="false">'House Vote Data (Actual)'!G218</f>
        <v>456</v>
      </c>
      <c r="H220" s="9" t="n">
        <f aca="false">E220/G220</f>
        <v>0.421052631578947</v>
      </c>
    </row>
    <row r="221" customFormat="false" ht="15" hidden="false" customHeight="true" outlineLevel="0" collapsed="false">
      <c r="A221" s="8" t="n">
        <v>2020</v>
      </c>
      <c r="B221" s="8" t="s">
        <v>124</v>
      </c>
      <c r="C221" s="8" t="s">
        <v>99</v>
      </c>
      <c r="D221" s="8" t="s">
        <v>176</v>
      </c>
      <c r="E221" s="8" t="n">
        <f aca="false">'House Vote Data (Actual)'!D219</f>
        <v>272</v>
      </c>
      <c r="F221" s="8" t="n">
        <f aca="false">'House Vote Data (Actual)'!E219</f>
        <v>400</v>
      </c>
      <c r="G221" s="8" t="n">
        <f aca="false">'House Vote Data (Actual)'!G219</f>
        <v>672</v>
      </c>
      <c r="H221" s="9" t="n">
        <f aca="false">E221/G221</f>
        <v>0.404761904761905</v>
      </c>
    </row>
    <row r="222" customFormat="false" ht="15" hidden="false" customHeight="true" outlineLevel="0" collapsed="false">
      <c r="A222" s="8" t="n">
        <v>2022</v>
      </c>
      <c r="B222" s="8" t="s">
        <v>124</v>
      </c>
      <c r="C222" s="8" t="s">
        <v>99</v>
      </c>
      <c r="D222" s="8" t="s">
        <v>176</v>
      </c>
      <c r="E222" s="8" t="n">
        <f aca="false">'House Vote Data (Actual)'!D220</f>
        <v>243</v>
      </c>
      <c r="F222" s="8" t="n">
        <f aca="false">'House Vote Data (Actual)'!E220</f>
        <v>318</v>
      </c>
      <c r="G222" s="8" t="n">
        <f aca="false">'House Vote Data (Actual)'!G220</f>
        <v>561</v>
      </c>
      <c r="H222" s="9" t="n">
        <f aca="false">E222/G222</f>
        <v>0.433155080213904</v>
      </c>
    </row>
    <row r="223" customFormat="false" ht="15" hidden="false" customHeight="true" outlineLevel="0" collapsed="false">
      <c r="A223" s="8" t="n">
        <v>2024</v>
      </c>
      <c r="B223" s="8" t="s">
        <v>124</v>
      </c>
      <c r="C223" s="8" t="s">
        <v>99</v>
      </c>
      <c r="D223" s="8" t="s">
        <v>176</v>
      </c>
      <c r="E223" s="8" t="n">
        <f aca="false">'House Vote Data (Actual)'!D221</f>
        <v>331</v>
      </c>
      <c r="F223" s="8" t="n">
        <f aca="false">'House Vote Data (Actual)'!E221</f>
        <v>458</v>
      </c>
      <c r="G223" s="8" t="n">
        <f aca="false">'House Vote Data (Actual)'!G221</f>
        <v>789</v>
      </c>
      <c r="H223" s="9" t="n">
        <f aca="false">E223/G223</f>
        <v>0.419518377693283</v>
      </c>
    </row>
    <row r="224" customFormat="false" ht="15" hidden="false" customHeight="true" outlineLevel="0" collapsed="false">
      <c r="A224" s="8" t="n">
        <v>2018</v>
      </c>
      <c r="B224" s="8" t="s">
        <v>125</v>
      </c>
      <c r="C224" s="8" t="s">
        <v>99</v>
      </c>
      <c r="D224" s="8" t="s">
        <v>176</v>
      </c>
      <c r="E224" s="8" t="n">
        <f aca="false">'House Vote Data (Actual)'!D222</f>
        <v>967</v>
      </c>
      <c r="F224" s="8" t="n">
        <f aca="false">'House Vote Data (Actual)'!E222</f>
        <v>1709</v>
      </c>
      <c r="G224" s="8" t="n">
        <f aca="false">'House Vote Data (Actual)'!G222</f>
        <v>2717</v>
      </c>
      <c r="H224" s="9" t="n">
        <f aca="false">E224/G224</f>
        <v>0.355907250644093</v>
      </c>
    </row>
    <row r="225" customFormat="false" ht="15" hidden="false" customHeight="true" outlineLevel="0" collapsed="false">
      <c r="A225" s="8" t="n">
        <v>2020</v>
      </c>
      <c r="B225" s="8" t="s">
        <v>125</v>
      </c>
      <c r="C225" s="8" t="s">
        <v>99</v>
      </c>
      <c r="D225" s="8" t="s">
        <v>176</v>
      </c>
      <c r="E225" s="8" t="n">
        <f aca="false">'House Vote Data (Actual)'!D223</f>
        <v>1207</v>
      </c>
      <c r="F225" s="8" t="n">
        <f aca="false">'House Vote Data (Actual)'!E223</f>
        <v>2604</v>
      </c>
      <c r="G225" s="8" t="n">
        <f aca="false">'House Vote Data (Actual)'!G223</f>
        <v>3811</v>
      </c>
      <c r="H225" s="9" t="n">
        <f aca="false">E225/G225</f>
        <v>0.316714773025453</v>
      </c>
    </row>
    <row r="226" customFormat="false" ht="15" hidden="false" customHeight="true" outlineLevel="0" collapsed="false">
      <c r="A226" s="8" t="n">
        <v>2022</v>
      </c>
      <c r="B226" s="8" t="s">
        <v>125</v>
      </c>
      <c r="C226" s="8" t="s">
        <v>99</v>
      </c>
      <c r="D226" s="8" t="s">
        <v>176</v>
      </c>
      <c r="E226" s="8" t="n">
        <f aca="false">'House Vote Data (Actual)'!D224</f>
        <v>1030</v>
      </c>
      <c r="F226" s="8" t="n">
        <f aca="false">'House Vote Data (Actual)'!E224</f>
        <v>2095</v>
      </c>
      <c r="G226" s="8" t="n">
        <f aca="false">'House Vote Data (Actual)'!G224</f>
        <v>3125</v>
      </c>
      <c r="H226" s="9" t="n">
        <f aca="false">E226/G226</f>
        <v>0.3296</v>
      </c>
    </row>
    <row r="227" customFormat="false" ht="15" hidden="false" customHeight="true" outlineLevel="0" collapsed="false">
      <c r="A227" s="8" t="n">
        <v>2024</v>
      </c>
      <c r="B227" s="8" t="s">
        <v>125</v>
      </c>
      <c r="C227" s="8" t="s">
        <v>99</v>
      </c>
      <c r="D227" s="8" t="s">
        <v>176</v>
      </c>
      <c r="E227" s="8" t="n">
        <f aca="false">'House Vote Data (Actual)'!D225</f>
        <v>1242</v>
      </c>
      <c r="F227" s="8" t="n">
        <f aca="false">'House Vote Data (Actual)'!E225</f>
        <v>2716</v>
      </c>
      <c r="G227" s="8" t="n">
        <f aca="false">'House Vote Data (Actual)'!G225</f>
        <v>3958</v>
      </c>
      <c r="H227" s="9" t="n">
        <f aca="false">E227/G227</f>
        <v>0.313794845881759</v>
      </c>
    </row>
    <row r="228" customFormat="false" ht="15" hidden="false" customHeight="true" outlineLevel="0" collapsed="false">
      <c r="A228" s="8" t="n">
        <v>2018</v>
      </c>
      <c r="B228" s="8" t="s">
        <v>126</v>
      </c>
      <c r="C228" s="8" t="s">
        <v>99</v>
      </c>
      <c r="D228" s="8" t="s">
        <v>176</v>
      </c>
      <c r="E228" s="8" t="n">
        <f aca="false">'House Vote Data (Actual)'!D226</f>
        <v>1261</v>
      </c>
      <c r="F228" s="8" t="n">
        <f aca="false">'House Vote Data (Actual)'!E226</f>
        <v>1262</v>
      </c>
      <c r="G228" s="8" t="n">
        <f aca="false">'House Vote Data (Actual)'!G226</f>
        <v>2601</v>
      </c>
      <c r="H228" s="9" t="n">
        <f aca="false">E228/G228</f>
        <v>0.48481353325644</v>
      </c>
    </row>
    <row r="229" customFormat="false" ht="15" hidden="false" customHeight="true" outlineLevel="0" collapsed="false">
      <c r="A229" s="8" t="n">
        <v>2020</v>
      </c>
      <c r="B229" s="8" t="s">
        <v>126</v>
      </c>
      <c r="C229" s="8" t="s">
        <v>99</v>
      </c>
      <c r="D229" s="8" t="s">
        <v>176</v>
      </c>
      <c r="E229" s="8" t="n">
        <f aca="false">'House Vote Data (Actual)'!D227</f>
        <v>1838</v>
      </c>
      <c r="F229" s="8" t="n">
        <f aca="false">'House Vote Data (Actual)'!E227</f>
        <v>2112</v>
      </c>
      <c r="G229" s="8" t="n">
        <f aca="false">'House Vote Data (Actual)'!G227</f>
        <v>3950</v>
      </c>
      <c r="H229" s="9" t="n">
        <f aca="false">E229/G229</f>
        <v>0.465316455696203</v>
      </c>
    </row>
    <row r="230" customFormat="false" ht="15" hidden="false" customHeight="true" outlineLevel="0" collapsed="false">
      <c r="A230" s="8" t="n">
        <v>2022</v>
      </c>
      <c r="B230" s="8" t="s">
        <v>126</v>
      </c>
      <c r="C230" s="8" t="s">
        <v>99</v>
      </c>
      <c r="D230" s="8" t="s">
        <v>176</v>
      </c>
      <c r="E230" s="8" t="n">
        <f aca="false">'House Vote Data (Actual)'!D228</f>
        <v>1575</v>
      </c>
      <c r="F230" s="8" t="n">
        <f aca="false">'House Vote Data (Actual)'!E228</f>
        <v>1588</v>
      </c>
      <c r="G230" s="8" t="n">
        <f aca="false">'House Vote Data (Actual)'!G228</f>
        <v>3163</v>
      </c>
      <c r="H230" s="9" t="n">
        <f aca="false">E230/G230</f>
        <v>0.497944988934556</v>
      </c>
    </row>
    <row r="231" customFormat="false" ht="15" hidden="false" customHeight="true" outlineLevel="0" collapsed="false">
      <c r="A231" s="8" t="n">
        <v>2024</v>
      </c>
      <c r="B231" s="8" t="s">
        <v>126</v>
      </c>
      <c r="C231" s="8" t="s">
        <v>99</v>
      </c>
      <c r="D231" s="8" t="s">
        <v>176</v>
      </c>
      <c r="E231" s="8" t="n">
        <f aca="false">'House Vote Data (Actual)'!D229</f>
        <v>1964</v>
      </c>
      <c r="F231" s="8" t="n">
        <f aca="false">'House Vote Data (Actual)'!E229</f>
        <v>2147</v>
      </c>
      <c r="G231" s="8" t="n">
        <f aca="false">'House Vote Data (Actual)'!G229</f>
        <v>4111</v>
      </c>
      <c r="H231" s="9" t="n">
        <f aca="false">E231/G231</f>
        <v>0.477742641693019</v>
      </c>
    </row>
    <row r="232" customFormat="false" ht="15" hidden="false" customHeight="true" outlineLevel="0" collapsed="false">
      <c r="A232" s="8" t="n">
        <v>2018</v>
      </c>
      <c r="B232" s="8" t="s">
        <v>127</v>
      </c>
      <c r="C232" s="8" t="s">
        <v>99</v>
      </c>
      <c r="D232" s="8" t="s">
        <v>176</v>
      </c>
      <c r="E232" s="8" t="n">
        <f aca="false">'House Vote Data (Actual)'!D230</f>
        <v>250</v>
      </c>
      <c r="F232" s="8" t="n">
        <f aca="false">'House Vote Data (Actual)'!E230</f>
        <v>344</v>
      </c>
      <c r="G232" s="8" t="n">
        <f aca="false">'House Vote Data (Actual)'!G230</f>
        <v>618</v>
      </c>
      <c r="H232" s="9" t="n">
        <f aca="false">E232/G232</f>
        <v>0.40453074433657</v>
      </c>
    </row>
    <row r="233" customFormat="false" ht="15" hidden="false" customHeight="true" outlineLevel="0" collapsed="false">
      <c r="A233" s="8" t="n">
        <v>2020</v>
      </c>
      <c r="B233" s="8" t="s">
        <v>127</v>
      </c>
      <c r="C233" s="8" t="s">
        <v>99</v>
      </c>
      <c r="D233" s="8" t="s">
        <v>176</v>
      </c>
      <c r="E233" s="8" t="n">
        <f aca="false">'House Vote Data (Actual)'!D231</f>
        <v>379</v>
      </c>
      <c r="F233" s="8" t="n">
        <f aca="false">'House Vote Data (Actual)'!E231</f>
        <v>605</v>
      </c>
      <c r="G233" s="8" t="n">
        <f aca="false">'House Vote Data (Actual)'!G231</f>
        <v>984</v>
      </c>
      <c r="H233" s="9" t="n">
        <f aca="false">E233/G233</f>
        <v>0.385162601626016</v>
      </c>
    </row>
    <row r="234" customFormat="false" ht="15" hidden="false" customHeight="true" outlineLevel="0" collapsed="false">
      <c r="A234" s="8" t="n">
        <v>2022</v>
      </c>
      <c r="B234" s="8" t="s">
        <v>127</v>
      </c>
      <c r="C234" s="8" t="s">
        <v>99</v>
      </c>
      <c r="D234" s="8" t="s">
        <v>176</v>
      </c>
      <c r="E234" s="8" t="n">
        <f aca="false">'House Vote Data (Actual)'!D232</f>
        <v>305</v>
      </c>
      <c r="F234" s="8" t="n">
        <f aca="false">'House Vote Data (Actual)'!E232</f>
        <v>419</v>
      </c>
      <c r="G234" s="8" t="n">
        <f aca="false">'House Vote Data (Actual)'!G232</f>
        <v>724</v>
      </c>
      <c r="H234" s="9" t="n">
        <f aca="false">E234/G234</f>
        <v>0.421270718232044</v>
      </c>
    </row>
    <row r="235" customFormat="false" ht="15" hidden="false" customHeight="true" outlineLevel="0" collapsed="false">
      <c r="A235" s="8" t="n">
        <v>2024</v>
      </c>
      <c r="B235" s="8" t="s">
        <v>127</v>
      </c>
      <c r="C235" s="8" t="s">
        <v>99</v>
      </c>
      <c r="D235" s="8" t="s">
        <v>176</v>
      </c>
      <c r="E235" s="8" t="n">
        <f aca="false">'House Vote Data (Actual)'!D233</f>
        <v>416</v>
      </c>
      <c r="F235" s="8" t="n">
        <f aca="false">'House Vote Data (Actual)'!E233</f>
        <v>658</v>
      </c>
      <c r="G235" s="8" t="n">
        <f aca="false">'House Vote Data (Actual)'!G233</f>
        <v>1074</v>
      </c>
      <c r="H235" s="9" t="n">
        <f aca="false">E235/G235</f>
        <v>0.387337057728119</v>
      </c>
    </row>
    <row r="236" customFormat="false" ht="15" hidden="false" customHeight="true" outlineLevel="0" collapsed="false">
      <c r="A236" s="8" t="n">
        <v>2018</v>
      </c>
      <c r="B236" s="8" t="s">
        <v>95</v>
      </c>
      <c r="C236" s="8" t="s">
        <v>99</v>
      </c>
      <c r="D236" s="8" t="s">
        <v>176</v>
      </c>
      <c r="E236" s="8" t="n">
        <f aca="false">'House Vote Data (Actual)'!D234</f>
        <v>724</v>
      </c>
      <c r="F236" s="8" t="n">
        <f aca="false">'House Vote Data (Actual)'!E234</f>
        <v>1138</v>
      </c>
      <c r="G236" s="8" t="n">
        <f aca="false">'House Vote Data (Actual)'!G234</f>
        <v>1914</v>
      </c>
      <c r="H236" s="9" t="n">
        <f aca="false">E236/G236</f>
        <v>0.378265412748171</v>
      </c>
    </row>
    <row r="237" customFormat="false" ht="15" hidden="false" customHeight="true" outlineLevel="0" collapsed="false">
      <c r="A237" s="8" t="n">
        <v>2020</v>
      </c>
      <c r="B237" s="8" t="s">
        <v>95</v>
      </c>
      <c r="C237" s="8" t="s">
        <v>99</v>
      </c>
      <c r="D237" s="8" t="s">
        <v>176</v>
      </c>
      <c r="E237" s="8" t="n">
        <f aca="false">'House Vote Data (Actual)'!D235</f>
        <v>1032</v>
      </c>
      <c r="F237" s="8" t="n">
        <f aca="false">'House Vote Data (Actual)'!E235</f>
        <v>1971</v>
      </c>
      <c r="G237" s="8" t="n">
        <f aca="false">'House Vote Data (Actual)'!G235</f>
        <v>3003</v>
      </c>
      <c r="H237" s="9" t="n">
        <f aca="false">E237/G237</f>
        <v>0.343656343656344</v>
      </c>
    </row>
    <row r="238" customFormat="false" ht="15" hidden="false" customHeight="true" outlineLevel="0" collapsed="false">
      <c r="A238" s="8" t="n">
        <v>2022</v>
      </c>
      <c r="B238" s="8" t="s">
        <v>95</v>
      </c>
      <c r="C238" s="8" t="s">
        <v>99</v>
      </c>
      <c r="D238" s="8" t="s">
        <v>176</v>
      </c>
      <c r="E238" s="8" t="n">
        <f aca="false">'House Vote Data (Actual)'!D236</f>
        <v>840</v>
      </c>
      <c r="F238" s="8" t="n">
        <f aca="false">'House Vote Data (Actual)'!E236</f>
        <v>1533</v>
      </c>
      <c r="G238" s="8" t="n">
        <f aca="false">'House Vote Data (Actual)'!G236</f>
        <v>2373</v>
      </c>
      <c r="H238" s="9" t="n">
        <f aca="false">E238/G238</f>
        <v>0.353982300884956</v>
      </c>
    </row>
    <row r="239" customFormat="false" ht="15" hidden="false" customHeight="true" outlineLevel="0" collapsed="false">
      <c r="A239" s="8" t="n">
        <v>2024</v>
      </c>
      <c r="B239" s="8" t="s">
        <v>95</v>
      </c>
      <c r="C239" s="8" t="s">
        <v>99</v>
      </c>
      <c r="D239" s="8" t="s">
        <v>176</v>
      </c>
      <c r="E239" s="8" t="n">
        <f aca="false">'House Vote Data (Actual)'!D237</f>
        <v>1041</v>
      </c>
      <c r="F239" s="8" t="n">
        <f aca="false">'House Vote Data (Actual)'!E237</f>
        <v>2088</v>
      </c>
      <c r="G239" s="8" t="n">
        <f aca="false">'House Vote Data (Actual)'!G237</f>
        <v>3129</v>
      </c>
      <c r="H239" s="9" t="n">
        <f aca="false">E239/G239</f>
        <v>0.332694151486098</v>
      </c>
    </row>
    <row r="240" customFormat="false" ht="15" hidden="false" customHeight="true" outlineLevel="0" collapsed="false">
      <c r="A240" s="8" t="n">
        <v>2018</v>
      </c>
      <c r="B240" s="8" t="s">
        <v>128</v>
      </c>
      <c r="C240" s="8" t="s">
        <v>99</v>
      </c>
      <c r="D240" s="8" t="s">
        <v>176</v>
      </c>
      <c r="E240" s="8" t="n">
        <f aca="false">'House Vote Data (Actual)'!D238</f>
        <v>190</v>
      </c>
      <c r="F240" s="8" t="n">
        <f aca="false">'House Vote Data (Actual)'!E238</f>
        <v>165</v>
      </c>
      <c r="G240" s="8" t="n">
        <f aca="false">'House Vote Data (Actual)'!G238</f>
        <v>370</v>
      </c>
      <c r="H240" s="9" t="n">
        <f aca="false">E240/G240</f>
        <v>0.513513513513514</v>
      </c>
    </row>
    <row r="241" customFormat="false" ht="15" hidden="false" customHeight="true" outlineLevel="0" collapsed="false">
      <c r="A241" s="8" t="n">
        <v>2020</v>
      </c>
      <c r="B241" s="8" t="s">
        <v>128</v>
      </c>
      <c r="C241" s="8" t="s">
        <v>99</v>
      </c>
      <c r="D241" s="8" t="s">
        <v>176</v>
      </c>
      <c r="E241" s="8" t="n">
        <f aca="false">'House Vote Data (Actual)'!D239</f>
        <v>249</v>
      </c>
      <c r="F241" s="8" t="n">
        <f aca="false">'House Vote Data (Actual)'!E239</f>
        <v>326</v>
      </c>
      <c r="G241" s="8" t="n">
        <f aca="false">'House Vote Data (Actual)'!G239</f>
        <v>575</v>
      </c>
      <c r="H241" s="9" t="n">
        <f aca="false">E241/G241</f>
        <v>0.43304347826087</v>
      </c>
    </row>
    <row r="242" customFormat="false" ht="15" hidden="false" customHeight="true" outlineLevel="0" collapsed="false">
      <c r="A242" s="8" t="n">
        <v>2022</v>
      </c>
      <c r="B242" s="8" t="s">
        <v>128</v>
      </c>
      <c r="C242" s="8" t="s">
        <v>99</v>
      </c>
      <c r="D242" s="8" t="s">
        <v>176</v>
      </c>
      <c r="E242" s="8" t="n">
        <f aca="false">'House Vote Data (Actual)'!D240</f>
        <v>199</v>
      </c>
      <c r="F242" s="8" t="n">
        <f aca="false">'House Vote Data (Actual)'!E240</f>
        <v>215</v>
      </c>
      <c r="G242" s="8" t="n">
        <f aca="false">'House Vote Data (Actual)'!G240</f>
        <v>414</v>
      </c>
      <c r="H242" s="9" t="n">
        <f aca="false">E242/G242</f>
        <v>0.480676328502416</v>
      </c>
    </row>
    <row r="243" customFormat="false" ht="15" hidden="false" customHeight="true" outlineLevel="0" collapsed="false">
      <c r="A243" s="8" t="n">
        <v>2024</v>
      </c>
      <c r="B243" s="8" t="s">
        <v>128</v>
      </c>
      <c r="C243" s="8" t="s">
        <v>99</v>
      </c>
      <c r="D243" s="8" t="s">
        <v>176</v>
      </c>
      <c r="E243" s="8" t="n">
        <f aca="false">'House Vote Data (Actual)'!D241</f>
        <v>281</v>
      </c>
      <c r="F243" s="8" t="n">
        <f aca="false">'House Vote Data (Actual)'!E241</f>
        <v>310</v>
      </c>
      <c r="G243" s="8" t="n">
        <f aca="false">'House Vote Data (Actual)'!G241</f>
        <v>591</v>
      </c>
      <c r="H243" s="9" t="n">
        <f aca="false">E243/G243</f>
        <v>0.475465313028765</v>
      </c>
    </row>
    <row r="244" customFormat="false" ht="15" hidden="false" customHeight="true" outlineLevel="0" collapsed="false">
      <c r="A244" s="8" t="n">
        <v>2018</v>
      </c>
      <c r="B244" s="8" t="s">
        <v>129</v>
      </c>
      <c r="C244" s="8" t="s">
        <v>99</v>
      </c>
      <c r="D244" s="8" t="s">
        <v>176</v>
      </c>
      <c r="E244" s="8" t="n">
        <f aca="false">'House Vote Data (Actual)'!D242</f>
        <v>1296</v>
      </c>
      <c r="F244" s="8" t="n">
        <f aca="false">'House Vote Data (Actual)'!E242</f>
        <v>1534</v>
      </c>
      <c r="G244" s="8" t="n">
        <f aca="false">'House Vote Data (Actual)'!G242</f>
        <v>2917</v>
      </c>
      <c r="H244" s="9" t="n">
        <f aca="false">E244/G244</f>
        <v>0.444292080905039</v>
      </c>
    </row>
    <row r="245" customFormat="false" ht="15" hidden="false" customHeight="true" outlineLevel="0" collapsed="false">
      <c r="A245" s="8" t="n">
        <v>2020</v>
      </c>
      <c r="B245" s="8" t="s">
        <v>129</v>
      </c>
      <c r="C245" s="8" t="s">
        <v>99</v>
      </c>
      <c r="D245" s="8" t="s">
        <v>176</v>
      </c>
      <c r="E245" s="8" t="n">
        <f aca="false">'House Vote Data (Actual)'!D243</f>
        <v>1767</v>
      </c>
      <c r="F245" s="8" t="n">
        <f aca="false">'House Vote Data (Actual)'!E243</f>
        <v>2379</v>
      </c>
      <c r="G245" s="8" t="n">
        <f aca="false">'House Vote Data (Actual)'!G243</f>
        <v>4146</v>
      </c>
      <c r="H245" s="9" t="n">
        <f aca="false">E245/G245</f>
        <v>0.426193921852388</v>
      </c>
    </row>
    <row r="246" customFormat="false" ht="15" hidden="false" customHeight="true" outlineLevel="0" collapsed="false">
      <c r="A246" s="8" t="n">
        <v>2022</v>
      </c>
      <c r="B246" s="8" t="s">
        <v>129</v>
      </c>
      <c r="C246" s="8" t="s">
        <v>99</v>
      </c>
      <c r="D246" s="8" t="s">
        <v>176</v>
      </c>
      <c r="E246" s="8" t="n">
        <f aca="false">'House Vote Data (Actual)'!D244</f>
        <v>1456</v>
      </c>
      <c r="F246" s="8" t="n">
        <f aca="false">'House Vote Data (Actual)'!E244</f>
        <v>1860</v>
      </c>
      <c r="G246" s="8" t="n">
        <f aca="false">'House Vote Data (Actual)'!G244</f>
        <v>3316</v>
      </c>
      <c r="H246" s="9" t="n">
        <f aca="false">E246/G246</f>
        <v>0.439083232810615</v>
      </c>
    </row>
    <row r="247" customFormat="false" ht="15" hidden="false" customHeight="true" outlineLevel="0" collapsed="false">
      <c r="A247" s="8" t="n">
        <v>2024</v>
      </c>
      <c r="B247" s="8" t="s">
        <v>129</v>
      </c>
      <c r="C247" s="8" t="s">
        <v>99</v>
      </c>
      <c r="D247" s="8" t="s">
        <v>176</v>
      </c>
      <c r="E247" s="8" t="n">
        <f aca="false">'House Vote Data (Actual)'!D245</f>
        <v>1847</v>
      </c>
      <c r="F247" s="8" t="n">
        <f aca="false">'House Vote Data (Actual)'!E245</f>
        <v>2401</v>
      </c>
      <c r="G247" s="8" t="n">
        <f aca="false">'House Vote Data (Actual)'!G245</f>
        <v>4248</v>
      </c>
      <c r="H247" s="9" t="n">
        <f aca="false">E247/G247</f>
        <v>0.434792843691149</v>
      </c>
    </row>
    <row r="248" customFormat="false" ht="15" hidden="false" customHeight="true" outlineLevel="0" collapsed="false">
      <c r="A248" s="8" t="n">
        <v>2018</v>
      </c>
      <c r="B248" s="8" t="s">
        <v>130</v>
      </c>
      <c r="C248" s="8" t="s">
        <v>99</v>
      </c>
      <c r="D248" s="8" t="s">
        <v>176</v>
      </c>
      <c r="E248" s="8" t="n">
        <f aca="false">'House Vote Data (Actual)'!D246</f>
        <v>1247</v>
      </c>
      <c r="F248" s="8" t="n">
        <f aca="false">'House Vote Data (Actual)'!E246</f>
        <v>810</v>
      </c>
      <c r="G248" s="8" t="n">
        <f aca="false">'House Vote Data (Actual)'!G246</f>
        <v>2121</v>
      </c>
      <c r="H248" s="9" t="n">
        <f aca="false">E248/G248</f>
        <v>0.587930221593588</v>
      </c>
    </row>
    <row r="249" customFormat="false" ht="15" hidden="false" customHeight="true" outlineLevel="0" collapsed="false">
      <c r="A249" s="8" t="n">
        <v>2020</v>
      </c>
      <c r="B249" s="8" t="s">
        <v>130</v>
      </c>
      <c r="C249" s="8" t="s">
        <v>99</v>
      </c>
      <c r="D249" s="8" t="s">
        <v>176</v>
      </c>
      <c r="E249" s="8" t="n">
        <f aca="false">'House Vote Data (Actual)'!D247</f>
        <v>1878</v>
      </c>
      <c r="F249" s="8" t="n">
        <f aca="false">'House Vote Data (Actual)'!E247</f>
        <v>1518</v>
      </c>
      <c r="G249" s="8" t="n">
        <f aca="false">'House Vote Data (Actual)'!G247</f>
        <v>3396</v>
      </c>
      <c r="H249" s="9" t="n">
        <f aca="false">E249/G249</f>
        <v>0.553003533568905</v>
      </c>
    </row>
    <row r="250" customFormat="false" ht="15" hidden="false" customHeight="true" outlineLevel="0" collapsed="false">
      <c r="A250" s="8" t="n">
        <v>2022</v>
      </c>
      <c r="B250" s="8" t="s">
        <v>130</v>
      </c>
      <c r="C250" s="8" t="s">
        <v>99</v>
      </c>
      <c r="D250" s="8" t="s">
        <v>176</v>
      </c>
      <c r="E250" s="8" t="n">
        <f aca="false">'House Vote Data (Actual)'!D248</f>
        <v>1340</v>
      </c>
      <c r="F250" s="8" t="n">
        <f aca="false">'House Vote Data (Actual)'!E248</f>
        <v>953</v>
      </c>
      <c r="G250" s="8" t="n">
        <f aca="false">'House Vote Data (Actual)'!G248</f>
        <v>2293</v>
      </c>
      <c r="H250" s="9" t="n">
        <f aca="false">E250/G250</f>
        <v>0.584387265590929</v>
      </c>
    </row>
    <row r="251" customFormat="false" ht="15" hidden="false" customHeight="true" outlineLevel="0" collapsed="false">
      <c r="A251" s="8" t="n">
        <v>2024</v>
      </c>
      <c r="B251" s="8" t="s">
        <v>130</v>
      </c>
      <c r="C251" s="8" t="s">
        <v>99</v>
      </c>
      <c r="D251" s="8" t="s">
        <v>176</v>
      </c>
      <c r="E251" s="8" t="n">
        <f aca="false">'House Vote Data (Actual)'!D249</f>
        <v>1897</v>
      </c>
      <c r="F251" s="8" t="n">
        <f aca="false">'House Vote Data (Actual)'!E249</f>
        <v>1538</v>
      </c>
      <c r="G251" s="8" t="n">
        <f aca="false">'House Vote Data (Actual)'!G249</f>
        <v>3435</v>
      </c>
      <c r="H251" s="9" t="n">
        <f aca="false">E251/G251</f>
        <v>0.552256186317322</v>
      </c>
    </row>
    <row r="252" customFormat="false" ht="15" hidden="false" customHeight="true" outlineLevel="0" collapsed="false">
      <c r="A252" s="8" t="n">
        <v>2018</v>
      </c>
      <c r="B252" s="8" t="s">
        <v>131</v>
      </c>
      <c r="C252" s="8" t="s">
        <v>99</v>
      </c>
      <c r="D252" s="8" t="s">
        <v>176</v>
      </c>
      <c r="E252" s="8" t="n">
        <f aca="false">'House Vote Data (Actual)'!D250</f>
        <v>362</v>
      </c>
      <c r="F252" s="8" t="n">
        <f aca="false">'House Vote Data (Actual)'!E250</f>
        <v>437</v>
      </c>
      <c r="G252" s="8" t="n">
        <f aca="false">'House Vote Data (Actual)'!G250</f>
        <v>829</v>
      </c>
      <c r="H252" s="9" t="n">
        <f aca="false">E252/G252</f>
        <v>0.436670687575392</v>
      </c>
    </row>
    <row r="253" customFormat="false" ht="15" hidden="false" customHeight="true" outlineLevel="0" collapsed="false">
      <c r="A253" s="8" t="n">
        <v>2020</v>
      </c>
      <c r="B253" s="8" t="s">
        <v>131</v>
      </c>
      <c r="C253" s="8" t="s">
        <v>99</v>
      </c>
      <c r="D253" s="8" t="s">
        <v>176</v>
      </c>
      <c r="E253" s="8" t="n">
        <f aca="false">'House Vote Data (Actual)'!D251</f>
        <v>508</v>
      </c>
      <c r="F253" s="8" t="n">
        <f aca="false">'House Vote Data (Actual)'!E251</f>
        <v>791</v>
      </c>
      <c r="G253" s="8" t="n">
        <f aca="false">'House Vote Data (Actual)'!G251</f>
        <v>1299</v>
      </c>
      <c r="H253" s="9" t="n">
        <f aca="false">E253/G253</f>
        <v>0.391070053887606</v>
      </c>
    </row>
    <row r="254" customFormat="false" ht="15" hidden="false" customHeight="true" outlineLevel="0" collapsed="false">
      <c r="A254" s="8" t="n">
        <v>2022</v>
      </c>
      <c r="B254" s="8" t="s">
        <v>131</v>
      </c>
      <c r="C254" s="8" t="s">
        <v>99</v>
      </c>
      <c r="D254" s="8" t="s">
        <v>176</v>
      </c>
      <c r="E254" s="8" t="n">
        <f aca="false">'House Vote Data (Actual)'!D252</f>
        <v>494</v>
      </c>
      <c r="F254" s="8" t="n">
        <f aca="false">'House Vote Data (Actual)'!E252</f>
        <v>601</v>
      </c>
      <c r="G254" s="8" t="n">
        <f aca="false">'House Vote Data (Actual)'!G252</f>
        <v>1095</v>
      </c>
      <c r="H254" s="9" t="n">
        <f aca="false">E254/G254</f>
        <v>0.451141552511416</v>
      </c>
    </row>
    <row r="255" customFormat="false" ht="15" hidden="false" customHeight="true" outlineLevel="0" collapsed="false">
      <c r="A255" s="8" t="n">
        <v>2024</v>
      </c>
      <c r="B255" s="8" t="s">
        <v>131</v>
      </c>
      <c r="C255" s="8" t="s">
        <v>99</v>
      </c>
      <c r="D255" s="8" t="s">
        <v>176</v>
      </c>
      <c r="E255" s="8" t="n">
        <f aca="false">'House Vote Data (Actual)'!D253</f>
        <v>634</v>
      </c>
      <c r="F255" s="8" t="n">
        <f aca="false">'House Vote Data (Actual)'!E253</f>
        <v>856</v>
      </c>
      <c r="G255" s="8" t="n">
        <f aca="false">'House Vote Data (Actual)'!G253</f>
        <v>1490</v>
      </c>
      <c r="H255" s="9" t="n">
        <f aca="false">E255/G255</f>
        <v>0.425503355704698</v>
      </c>
    </row>
    <row r="256" customFormat="false" ht="15" hidden="false" customHeight="true" outlineLevel="0" collapsed="false">
      <c r="A256" s="8" t="n">
        <v>2018</v>
      </c>
      <c r="B256" s="8" t="s">
        <v>138</v>
      </c>
      <c r="C256" s="8" t="s">
        <v>139</v>
      </c>
      <c r="D256" s="8" t="s">
        <v>177</v>
      </c>
      <c r="E256" s="8" t="n">
        <f aca="false">'Carbon County Estimates'!E4</f>
        <v>157</v>
      </c>
      <c r="F256" s="8" t="n">
        <f aca="false">'Carbon County Estimates'!F4</f>
        <v>133</v>
      </c>
      <c r="G256" s="8" t="n">
        <f aca="false">'Carbon County Estimates'!G4</f>
        <v>290</v>
      </c>
      <c r="H256" s="9" t="n">
        <f aca="false">E256/G256</f>
        <v>0.541379310344828</v>
      </c>
    </row>
    <row r="257" customFormat="false" ht="15" hidden="false" customHeight="true" outlineLevel="0" collapsed="false">
      <c r="A257" s="8" t="n">
        <v>2020</v>
      </c>
      <c r="B257" s="8" t="s">
        <v>138</v>
      </c>
      <c r="C257" s="8" t="s">
        <v>139</v>
      </c>
      <c r="D257" s="8" t="s">
        <v>177</v>
      </c>
      <c r="E257" s="8" t="n">
        <f aca="false">'Carbon County Estimates'!E5</f>
        <v>206</v>
      </c>
      <c r="F257" s="8" t="n">
        <f aca="false">'Carbon County Estimates'!F5</f>
        <v>192</v>
      </c>
      <c r="G257" s="8" t="n">
        <f aca="false">'Carbon County Estimates'!G5</f>
        <v>398</v>
      </c>
      <c r="H257" s="9" t="n">
        <f aca="false">E257/G257</f>
        <v>0.517587939698493</v>
      </c>
    </row>
    <row r="258" customFormat="false" ht="15" hidden="false" customHeight="true" outlineLevel="0" collapsed="false">
      <c r="A258" s="8" t="n">
        <v>2022</v>
      </c>
      <c r="B258" s="8" t="s">
        <v>138</v>
      </c>
      <c r="C258" s="8" t="s">
        <v>139</v>
      </c>
      <c r="D258" s="8" t="s">
        <v>177</v>
      </c>
      <c r="E258" s="8" t="n">
        <f aca="false">'Carbon County Estimates'!E6</f>
        <v>181</v>
      </c>
      <c r="F258" s="8" t="n">
        <f aca="false">'Carbon County Estimates'!F6</f>
        <v>155</v>
      </c>
      <c r="G258" s="8" t="n">
        <f aca="false">'Carbon County Estimates'!G6</f>
        <v>336</v>
      </c>
      <c r="H258" s="9" t="n">
        <f aca="false">E258/G258</f>
        <v>0.538690476190476</v>
      </c>
    </row>
    <row r="259" customFormat="false" ht="15" hidden="false" customHeight="true" outlineLevel="0" collapsed="false">
      <c r="A259" s="8" t="n">
        <v>2024</v>
      </c>
      <c r="B259" s="8" t="s">
        <v>138</v>
      </c>
      <c r="C259" s="8" t="s">
        <v>139</v>
      </c>
      <c r="D259" s="8" t="s">
        <v>177</v>
      </c>
      <c r="E259" s="8" t="n">
        <f aca="false">'Carbon County Estimates'!E7</f>
        <v>235</v>
      </c>
      <c r="F259" s="8" t="n">
        <f aca="false">'Carbon County Estimates'!F7</f>
        <v>220</v>
      </c>
      <c r="G259" s="8" t="n">
        <f aca="false">'Carbon County Estimates'!G7</f>
        <v>455</v>
      </c>
      <c r="H259" s="9" t="n">
        <f aca="false">E259/G259</f>
        <v>0.516483516483517</v>
      </c>
    </row>
    <row r="260" customFormat="false" ht="15" hidden="false" customHeight="true" outlineLevel="0" collapsed="false">
      <c r="A260" s="8" t="n">
        <v>2018</v>
      </c>
      <c r="B260" s="8" t="s">
        <v>140</v>
      </c>
      <c r="C260" s="8" t="s">
        <v>139</v>
      </c>
      <c r="D260" s="8" t="s">
        <v>177</v>
      </c>
      <c r="E260" s="8" t="n">
        <f aca="false">'Carbon County Estimates'!E8</f>
        <v>84</v>
      </c>
      <c r="F260" s="8" t="n">
        <f aca="false">'Carbon County Estimates'!F8</f>
        <v>131</v>
      </c>
      <c r="G260" s="8" t="n">
        <f aca="false">'Carbon County Estimates'!G8</f>
        <v>215</v>
      </c>
      <c r="H260" s="9" t="n">
        <f aca="false">E260/G260</f>
        <v>0.390697674418605</v>
      </c>
    </row>
    <row r="261" customFormat="false" ht="15" hidden="false" customHeight="true" outlineLevel="0" collapsed="false">
      <c r="A261" s="8" t="n">
        <v>2020</v>
      </c>
      <c r="B261" s="8" t="s">
        <v>140</v>
      </c>
      <c r="C261" s="8" t="s">
        <v>139</v>
      </c>
      <c r="D261" s="8" t="s">
        <v>177</v>
      </c>
      <c r="E261" s="8" t="n">
        <f aca="false">'Carbon County Estimates'!E9</f>
        <v>116</v>
      </c>
      <c r="F261" s="8" t="n">
        <f aca="false">'Carbon County Estimates'!F9</f>
        <v>203</v>
      </c>
      <c r="G261" s="8" t="n">
        <f aca="false">'Carbon County Estimates'!G9</f>
        <v>319</v>
      </c>
      <c r="H261" s="9" t="n">
        <f aca="false">E261/G261</f>
        <v>0.363636363636364</v>
      </c>
    </row>
    <row r="262" customFormat="false" ht="15" hidden="false" customHeight="true" outlineLevel="0" collapsed="false">
      <c r="A262" s="8" t="n">
        <v>2022</v>
      </c>
      <c r="B262" s="8" t="s">
        <v>140</v>
      </c>
      <c r="C262" s="8" t="s">
        <v>139</v>
      </c>
      <c r="D262" s="8" t="s">
        <v>177</v>
      </c>
      <c r="E262" s="8" t="n">
        <f aca="false">'Carbon County Estimates'!E10</f>
        <v>109</v>
      </c>
      <c r="F262" s="8" t="n">
        <f aca="false">'Carbon County Estimates'!F10</f>
        <v>168</v>
      </c>
      <c r="G262" s="8" t="n">
        <f aca="false">'Carbon County Estimates'!G10</f>
        <v>277</v>
      </c>
      <c r="H262" s="9" t="n">
        <f aca="false">E262/G262</f>
        <v>0.393501805054152</v>
      </c>
    </row>
    <row r="263" customFormat="false" ht="15" hidden="false" customHeight="true" outlineLevel="0" collapsed="false">
      <c r="A263" s="8" t="n">
        <v>2024</v>
      </c>
      <c r="B263" s="8" t="s">
        <v>140</v>
      </c>
      <c r="C263" s="8" t="s">
        <v>139</v>
      </c>
      <c r="D263" s="8" t="s">
        <v>177</v>
      </c>
      <c r="E263" s="8" t="n">
        <f aca="false">'Carbon County Estimates'!E11</f>
        <v>152</v>
      </c>
      <c r="F263" s="8" t="n">
        <f aca="false">'Carbon County Estimates'!F11</f>
        <v>255</v>
      </c>
      <c r="G263" s="8" t="n">
        <f aca="false">'Carbon County Estimates'!G11</f>
        <v>407</v>
      </c>
      <c r="H263" s="9" t="n">
        <f aca="false">E263/G263</f>
        <v>0.373464373464373</v>
      </c>
    </row>
    <row r="264" customFormat="false" ht="15" hidden="false" customHeight="true" outlineLevel="0" collapsed="false">
      <c r="A264" s="8" t="n">
        <v>2018</v>
      </c>
      <c r="B264" s="8" t="s">
        <v>141</v>
      </c>
      <c r="C264" s="8" t="s">
        <v>139</v>
      </c>
      <c r="D264" s="8" t="s">
        <v>177</v>
      </c>
      <c r="E264" s="8" t="n">
        <f aca="false">'Carbon County Estimates'!E12</f>
        <v>90</v>
      </c>
      <c r="F264" s="8" t="n">
        <f aca="false">'Carbon County Estimates'!F12</f>
        <v>152</v>
      </c>
      <c r="G264" s="8" t="n">
        <f aca="false">'Carbon County Estimates'!G12</f>
        <v>242</v>
      </c>
      <c r="H264" s="9" t="n">
        <f aca="false">E264/G264</f>
        <v>0.371900826446281</v>
      </c>
    </row>
    <row r="265" customFormat="false" ht="15" hidden="false" customHeight="true" outlineLevel="0" collapsed="false">
      <c r="A265" s="8" t="n">
        <v>2020</v>
      </c>
      <c r="B265" s="8" t="s">
        <v>141</v>
      </c>
      <c r="C265" s="8" t="s">
        <v>139</v>
      </c>
      <c r="D265" s="8" t="s">
        <v>177</v>
      </c>
      <c r="E265" s="8" t="n">
        <f aca="false">'Carbon County Estimates'!E13</f>
        <v>122</v>
      </c>
      <c r="F265" s="8" t="n">
        <f aca="false">'Carbon County Estimates'!F13</f>
        <v>231</v>
      </c>
      <c r="G265" s="8" t="n">
        <f aca="false">'Carbon County Estimates'!G13</f>
        <v>353</v>
      </c>
      <c r="H265" s="9" t="n">
        <f aca="false">E265/G265</f>
        <v>0.345609065155807</v>
      </c>
    </row>
    <row r="266" customFormat="false" ht="15" hidden="false" customHeight="true" outlineLevel="0" collapsed="false">
      <c r="A266" s="8" t="n">
        <v>2022</v>
      </c>
      <c r="B266" s="8" t="s">
        <v>141</v>
      </c>
      <c r="C266" s="8" t="s">
        <v>139</v>
      </c>
      <c r="D266" s="8" t="s">
        <v>177</v>
      </c>
      <c r="E266" s="8" t="n">
        <f aca="false">'Carbon County Estimates'!E14</f>
        <v>120</v>
      </c>
      <c r="F266" s="8" t="n">
        <f aca="false">'Carbon County Estimates'!F14</f>
        <v>200</v>
      </c>
      <c r="G266" s="8" t="n">
        <f aca="false">'Carbon County Estimates'!G14</f>
        <v>320</v>
      </c>
      <c r="H266" s="9" t="n">
        <f aca="false">E266/G266</f>
        <v>0.375</v>
      </c>
    </row>
    <row r="267" customFormat="false" ht="15" hidden="false" customHeight="true" outlineLevel="0" collapsed="false">
      <c r="A267" s="8" t="n">
        <v>2024</v>
      </c>
      <c r="B267" s="8" t="s">
        <v>141</v>
      </c>
      <c r="C267" s="8" t="s">
        <v>139</v>
      </c>
      <c r="D267" s="8" t="s">
        <v>177</v>
      </c>
      <c r="E267" s="8" t="n">
        <f aca="false">'Carbon County Estimates'!E15</f>
        <v>158</v>
      </c>
      <c r="F267" s="8" t="n">
        <f aca="false">'Carbon County Estimates'!F15</f>
        <v>285</v>
      </c>
      <c r="G267" s="8" t="n">
        <f aca="false">'Carbon County Estimates'!G15</f>
        <v>443</v>
      </c>
      <c r="H267" s="9" t="n">
        <f aca="false">E267/G267</f>
        <v>0.35665914221219</v>
      </c>
    </row>
    <row r="268" customFormat="false" ht="15" hidden="false" customHeight="true" outlineLevel="0" collapsed="false">
      <c r="A268" s="8" t="n">
        <v>2018</v>
      </c>
      <c r="B268" s="8" t="s">
        <v>142</v>
      </c>
      <c r="C268" s="8" t="s">
        <v>139</v>
      </c>
      <c r="D268" s="8" t="s">
        <v>177</v>
      </c>
      <c r="E268" s="8" t="n">
        <f aca="false">'Carbon County Estimates'!E16</f>
        <v>301</v>
      </c>
      <c r="F268" s="8" t="n">
        <f aca="false">'Carbon County Estimates'!F16</f>
        <v>616</v>
      </c>
      <c r="G268" s="8" t="n">
        <f aca="false">'Carbon County Estimates'!G16</f>
        <v>917</v>
      </c>
      <c r="H268" s="9" t="n">
        <f aca="false">E268/G268</f>
        <v>0.32824427480916</v>
      </c>
    </row>
    <row r="269" customFormat="false" ht="15" hidden="false" customHeight="true" outlineLevel="0" collapsed="false">
      <c r="A269" s="8" t="n">
        <v>2020</v>
      </c>
      <c r="B269" s="8" t="s">
        <v>142</v>
      </c>
      <c r="C269" s="8" t="s">
        <v>139</v>
      </c>
      <c r="D269" s="8" t="s">
        <v>177</v>
      </c>
      <c r="E269" s="8" t="n">
        <f aca="false">'Carbon County Estimates'!E17</f>
        <v>415</v>
      </c>
      <c r="F269" s="8" t="n">
        <f aca="false">'Carbon County Estimates'!F17</f>
        <v>969</v>
      </c>
      <c r="G269" s="8" t="n">
        <f aca="false">'Carbon County Estimates'!G17</f>
        <v>1384</v>
      </c>
      <c r="H269" s="9" t="n">
        <f aca="false">E269/G269</f>
        <v>0.29985549132948</v>
      </c>
    </row>
    <row r="270" customFormat="false" ht="15" hidden="false" customHeight="true" outlineLevel="0" collapsed="false">
      <c r="A270" s="8" t="n">
        <v>2022</v>
      </c>
      <c r="B270" s="8" t="s">
        <v>142</v>
      </c>
      <c r="C270" s="8" t="s">
        <v>139</v>
      </c>
      <c r="D270" s="8" t="s">
        <v>177</v>
      </c>
      <c r="E270" s="8" t="n">
        <f aca="false">'Carbon County Estimates'!E18</f>
        <v>402</v>
      </c>
      <c r="F270" s="8" t="n">
        <f aca="false">'Carbon County Estimates'!F18</f>
        <v>802</v>
      </c>
      <c r="G270" s="8" t="n">
        <f aca="false">'Carbon County Estimates'!G18</f>
        <v>1204</v>
      </c>
      <c r="H270" s="9" t="n">
        <f aca="false">E270/G270</f>
        <v>0.333887043189369</v>
      </c>
    </row>
    <row r="271" customFormat="false" ht="15" hidden="false" customHeight="true" outlineLevel="0" collapsed="false">
      <c r="A271" s="8" t="n">
        <v>2024</v>
      </c>
      <c r="B271" s="8" t="s">
        <v>142</v>
      </c>
      <c r="C271" s="8" t="s">
        <v>139</v>
      </c>
      <c r="D271" s="8" t="s">
        <v>177</v>
      </c>
      <c r="E271" s="8" t="n">
        <f aca="false">'Carbon County Estimates'!E19</f>
        <v>518</v>
      </c>
      <c r="F271" s="8" t="n">
        <f aca="false">'Carbon County Estimates'!F19</f>
        <v>1128</v>
      </c>
      <c r="G271" s="8" t="n">
        <f aca="false">'Carbon County Estimates'!G19</f>
        <v>1646</v>
      </c>
      <c r="H271" s="9" t="n">
        <f aca="false">E271/G271</f>
        <v>0.314702308626974</v>
      </c>
    </row>
    <row r="272" customFormat="false" ht="15" hidden="false" customHeight="true" outlineLevel="0" collapsed="false">
      <c r="A272" s="8" t="n">
        <v>2018</v>
      </c>
      <c r="B272" s="8" t="s">
        <v>143</v>
      </c>
      <c r="C272" s="8" t="s">
        <v>139</v>
      </c>
      <c r="D272" s="8" t="s">
        <v>177</v>
      </c>
      <c r="E272" s="8" t="n">
        <f aca="false">'Carbon County Estimates'!E20</f>
        <v>27</v>
      </c>
      <c r="F272" s="8" t="n">
        <f aca="false">'Carbon County Estimates'!F20</f>
        <v>38</v>
      </c>
      <c r="G272" s="8" t="n">
        <f aca="false">'Carbon County Estimates'!G20</f>
        <v>65</v>
      </c>
      <c r="H272" s="9" t="n">
        <f aca="false">E272/G272</f>
        <v>0.415384615384615</v>
      </c>
    </row>
    <row r="273" customFormat="false" ht="15" hidden="false" customHeight="true" outlineLevel="0" collapsed="false">
      <c r="A273" s="8" t="n">
        <v>2020</v>
      </c>
      <c r="B273" s="8" t="s">
        <v>143</v>
      </c>
      <c r="C273" s="8" t="s">
        <v>139</v>
      </c>
      <c r="D273" s="8" t="s">
        <v>177</v>
      </c>
      <c r="E273" s="8" t="n">
        <f aca="false">'Carbon County Estimates'!E21</f>
        <v>41</v>
      </c>
      <c r="F273" s="8" t="n">
        <f aca="false">'Carbon County Estimates'!F21</f>
        <v>64</v>
      </c>
      <c r="G273" s="8" t="n">
        <f aca="false">'Carbon County Estimates'!G21</f>
        <v>105</v>
      </c>
      <c r="H273" s="9" t="n">
        <f aca="false">E273/G273</f>
        <v>0.390476190476191</v>
      </c>
    </row>
    <row r="274" customFormat="false" ht="15" hidden="false" customHeight="true" outlineLevel="0" collapsed="false">
      <c r="A274" s="8" t="n">
        <v>2022</v>
      </c>
      <c r="B274" s="8" t="s">
        <v>143</v>
      </c>
      <c r="C274" s="8" t="s">
        <v>139</v>
      </c>
      <c r="D274" s="8" t="s">
        <v>177</v>
      </c>
      <c r="E274" s="8" t="n">
        <f aca="false">'Carbon County Estimates'!E22</f>
        <v>36</v>
      </c>
      <c r="F274" s="8" t="n">
        <f aca="false">'Carbon County Estimates'!F22</f>
        <v>48</v>
      </c>
      <c r="G274" s="8" t="n">
        <f aca="false">'Carbon County Estimates'!G22</f>
        <v>84</v>
      </c>
      <c r="H274" s="9" t="n">
        <f aca="false">E274/G274</f>
        <v>0.428571428571429</v>
      </c>
    </row>
    <row r="275" customFormat="false" ht="15" hidden="false" customHeight="true" outlineLevel="0" collapsed="false">
      <c r="A275" s="8" t="n">
        <v>2024</v>
      </c>
      <c r="B275" s="8" t="s">
        <v>143</v>
      </c>
      <c r="C275" s="8" t="s">
        <v>139</v>
      </c>
      <c r="D275" s="8" t="s">
        <v>177</v>
      </c>
      <c r="E275" s="8" t="n">
        <f aca="false">'Carbon County Estimates'!E23</f>
        <v>48</v>
      </c>
      <c r="F275" s="8" t="n">
        <f aca="false">'Carbon County Estimates'!F23</f>
        <v>70</v>
      </c>
      <c r="G275" s="8" t="n">
        <f aca="false">'Carbon County Estimates'!G23</f>
        <v>118</v>
      </c>
      <c r="H275" s="9" t="n">
        <f aca="false">E275/G275</f>
        <v>0.406779661016949</v>
      </c>
    </row>
    <row r="276" customFormat="false" ht="15" hidden="false" customHeight="true" outlineLevel="0" collapsed="false">
      <c r="A276" s="8" t="n">
        <v>2018</v>
      </c>
      <c r="B276" s="8" t="s">
        <v>144</v>
      </c>
      <c r="C276" s="8" t="s">
        <v>139</v>
      </c>
      <c r="D276" s="8" t="s">
        <v>177</v>
      </c>
      <c r="E276" s="8" t="n">
        <f aca="false">'Carbon County Estimates'!E24</f>
        <v>450</v>
      </c>
      <c r="F276" s="8" t="n">
        <f aca="false">'Carbon County Estimates'!F24</f>
        <v>888</v>
      </c>
      <c r="G276" s="8" t="n">
        <f aca="false">'Carbon County Estimates'!G24</f>
        <v>1338</v>
      </c>
      <c r="H276" s="9" t="n">
        <f aca="false">E276/G276</f>
        <v>0.336322869955157</v>
      </c>
    </row>
    <row r="277" customFormat="false" ht="15" hidden="false" customHeight="true" outlineLevel="0" collapsed="false">
      <c r="A277" s="8" t="n">
        <v>2020</v>
      </c>
      <c r="B277" s="8" t="s">
        <v>144</v>
      </c>
      <c r="C277" s="8" t="s">
        <v>139</v>
      </c>
      <c r="D277" s="8" t="s">
        <v>177</v>
      </c>
      <c r="E277" s="8" t="n">
        <f aca="false">'Carbon County Estimates'!E25</f>
        <v>631</v>
      </c>
      <c r="F277" s="8" t="n">
        <f aca="false">'Carbon County Estimates'!F25</f>
        <v>1422</v>
      </c>
      <c r="G277" s="8" t="n">
        <f aca="false">'Carbon County Estimates'!G25</f>
        <v>2053</v>
      </c>
      <c r="H277" s="9" t="n">
        <f aca="false">E277/G277</f>
        <v>0.307355090112031</v>
      </c>
    </row>
    <row r="278" customFormat="false" ht="15" hidden="false" customHeight="true" outlineLevel="0" collapsed="false">
      <c r="A278" s="8" t="n">
        <v>2022</v>
      </c>
      <c r="B278" s="8" t="s">
        <v>144</v>
      </c>
      <c r="C278" s="8" t="s">
        <v>139</v>
      </c>
      <c r="D278" s="8" t="s">
        <v>177</v>
      </c>
      <c r="E278" s="8" t="n">
        <f aca="false">'Carbon County Estimates'!E26</f>
        <v>606</v>
      </c>
      <c r="F278" s="8" t="n">
        <f aca="false">'Carbon County Estimates'!F26</f>
        <v>1173</v>
      </c>
      <c r="G278" s="8" t="n">
        <f aca="false">'Carbon County Estimates'!G26</f>
        <v>1779</v>
      </c>
      <c r="H278" s="9" t="n">
        <f aca="false">E278/G278</f>
        <v>0.340640809443508</v>
      </c>
    </row>
    <row r="279" customFormat="false" ht="15" hidden="false" customHeight="true" outlineLevel="0" collapsed="false">
      <c r="A279" s="8" t="n">
        <v>2024</v>
      </c>
      <c r="B279" s="8" t="s">
        <v>144</v>
      </c>
      <c r="C279" s="8" t="s">
        <v>139</v>
      </c>
      <c r="D279" s="8" t="s">
        <v>177</v>
      </c>
      <c r="E279" s="8" t="n">
        <f aca="false">'Carbon County Estimates'!E27</f>
        <v>797</v>
      </c>
      <c r="F279" s="8" t="n">
        <f aca="false">'Carbon County Estimates'!F27</f>
        <v>1680</v>
      </c>
      <c r="G279" s="8" t="n">
        <f aca="false">'Carbon County Estimates'!G27</f>
        <v>2477</v>
      </c>
      <c r="H279" s="9" t="n">
        <f aca="false">E279/G279</f>
        <v>0.321760193782802</v>
      </c>
    </row>
    <row r="280" customFormat="false" ht="15" hidden="false" customHeight="true" outlineLevel="0" collapsed="false">
      <c r="A280" s="8" t="n">
        <v>2018</v>
      </c>
      <c r="B280" s="8" t="s">
        <v>145</v>
      </c>
      <c r="C280" s="8" t="s">
        <v>139</v>
      </c>
      <c r="D280" s="8" t="s">
        <v>177</v>
      </c>
      <c r="E280" s="8" t="n">
        <f aca="false">'Carbon County Estimates'!E28</f>
        <v>724</v>
      </c>
      <c r="F280" s="8" t="n">
        <f aca="false">'Carbon County Estimates'!F28</f>
        <v>763</v>
      </c>
      <c r="G280" s="8" t="n">
        <f aca="false">'Carbon County Estimates'!G28</f>
        <v>1487</v>
      </c>
      <c r="H280" s="9" t="n">
        <f aca="false">E280/G280</f>
        <v>0.486886348352387</v>
      </c>
    </row>
    <row r="281" customFormat="false" ht="15" hidden="false" customHeight="true" outlineLevel="0" collapsed="false">
      <c r="A281" s="8" t="n">
        <v>2020</v>
      </c>
      <c r="B281" s="8" t="s">
        <v>145</v>
      </c>
      <c r="C281" s="8" t="s">
        <v>139</v>
      </c>
      <c r="D281" s="8" t="s">
        <v>177</v>
      </c>
      <c r="E281" s="8" t="n">
        <f aca="false">'Carbon County Estimates'!E29</f>
        <v>984</v>
      </c>
      <c r="F281" s="8" t="n">
        <f aca="false">'Carbon County Estimates'!F29</f>
        <v>1149</v>
      </c>
      <c r="G281" s="8" t="n">
        <f aca="false">'Carbon County Estimates'!G29</f>
        <v>2133</v>
      </c>
      <c r="H281" s="9" t="n">
        <f aca="false">E281/G281</f>
        <v>0.461322081575246</v>
      </c>
    </row>
    <row r="282" customFormat="false" ht="15" hidden="false" customHeight="true" outlineLevel="0" collapsed="false">
      <c r="A282" s="8" t="n">
        <v>2022</v>
      </c>
      <c r="B282" s="8" t="s">
        <v>145</v>
      </c>
      <c r="C282" s="8" t="s">
        <v>139</v>
      </c>
      <c r="D282" s="8" t="s">
        <v>177</v>
      </c>
      <c r="E282" s="8" t="n">
        <f aca="false">'Carbon County Estimates'!E30</f>
        <v>929</v>
      </c>
      <c r="F282" s="8" t="n">
        <f aca="false">'Carbon County Estimates'!F30</f>
        <v>982</v>
      </c>
      <c r="G282" s="8" t="n">
        <f aca="false">'Carbon County Estimates'!G30</f>
        <v>1911</v>
      </c>
      <c r="H282" s="9" t="n">
        <f aca="false">E282/G282</f>
        <v>0.486132914704343</v>
      </c>
    </row>
    <row r="283" customFormat="false" ht="15" hidden="false" customHeight="true" outlineLevel="0" collapsed="false">
      <c r="A283" s="8" t="n">
        <v>2024</v>
      </c>
      <c r="B283" s="8" t="s">
        <v>145</v>
      </c>
      <c r="C283" s="8" t="s">
        <v>139</v>
      </c>
      <c r="D283" s="8" t="s">
        <v>177</v>
      </c>
      <c r="E283" s="8" t="n">
        <f aca="false">'Carbon County Estimates'!E31</f>
        <v>1176</v>
      </c>
      <c r="F283" s="8" t="n">
        <f aca="false">'Carbon County Estimates'!F31</f>
        <v>1355</v>
      </c>
      <c r="G283" s="8" t="n">
        <f aca="false">'Carbon County Estimates'!G31</f>
        <v>2531</v>
      </c>
      <c r="H283" s="9" t="n">
        <f aca="false">E283/G283</f>
        <v>0.464638482813117</v>
      </c>
    </row>
    <row r="284" customFormat="false" ht="15" hidden="false" customHeight="true" outlineLevel="0" collapsed="false">
      <c r="A284" s="8" t="n">
        <v>2018</v>
      </c>
      <c r="B284" s="8" t="s">
        <v>146</v>
      </c>
      <c r="C284" s="8" t="s">
        <v>139</v>
      </c>
      <c r="D284" s="8" t="s">
        <v>177</v>
      </c>
      <c r="E284" s="8" t="n">
        <f aca="false">'Carbon County Estimates'!E32</f>
        <v>174</v>
      </c>
      <c r="F284" s="8" t="n">
        <f aca="false">'Carbon County Estimates'!F32</f>
        <v>297</v>
      </c>
      <c r="G284" s="8" t="n">
        <f aca="false">'Carbon County Estimates'!G32</f>
        <v>471</v>
      </c>
      <c r="H284" s="9" t="n">
        <f aca="false">E284/G284</f>
        <v>0.369426751592357</v>
      </c>
    </row>
    <row r="285" customFormat="false" ht="15" hidden="false" customHeight="true" outlineLevel="0" collapsed="false">
      <c r="A285" s="8" t="n">
        <v>2020</v>
      </c>
      <c r="B285" s="8" t="s">
        <v>146</v>
      </c>
      <c r="C285" s="8" t="s">
        <v>139</v>
      </c>
      <c r="D285" s="8" t="s">
        <v>177</v>
      </c>
      <c r="E285" s="8" t="n">
        <f aca="false">'Carbon County Estimates'!E33</f>
        <v>261</v>
      </c>
      <c r="F285" s="8" t="n">
        <f aca="false">'Carbon County Estimates'!F33</f>
        <v>503</v>
      </c>
      <c r="G285" s="8" t="n">
        <f aca="false">'Carbon County Estimates'!G33</f>
        <v>764</v>
      </c>
      <c r="H285" s="9" t="n">
        <f aca="false">E285/G285</f>
        <v>0.341623036649215</v>
      </c>
    </row>
    <row r="286" customFormat="false" ht="15" hidden="false" customHeight="true" outlineLevel="0" collapsed="false">
      <c r="A286" s="8" t="n">
        <v>2022</v>
      </c>
      <c r="B286" s="8" t="s">
        <v>146</v>
      </c>
      <c r="C286" s="8" t="s">
        <v>139</v>
      </c>
      <c r="D286" s="8" t="s">
        <v>177</v>
      </c>
      <c r="E286" s="8" t="n">
        <f aca="false">'Carbon County Estimates'!E34</f>
        <v>264</v>
      </c>
      <c r="F286" s="8" t="n">
        <f aca="false">'Carbon County Estimates'!F34</f>
        <v>443</v>
      </c>
      <c r="G286" s="8" t="n">
        <f aca="false">'Carbon County Estimates'!G34</f>
        <v>707</v>
      </c>
      <c r="H286" s="9" t="n">
        <f aca="false">E286/G286</f>
        <v>0.373408769448373</v>
      </c>
    </row>
    <row r="287" customFormat="false" ht="15" hidden="false" customHeight="true" outlineLevel="0" collapsed="false">
      <c r="A287" s="8" t="n">
        <v>2024</v>
      </c>
      <c r="B287" s="8" t="s">
        <v>146</v>
      </c>
      <c r="C287" s="8" t="s">
        <v>139</v>
      </c>
      <c r="D287" s="8" t="s">
        <v>177</v>
      </c>
      <c r="E287" s="8" t="n">
        <f aca="false">'Carbon County Estimates'!E35</f>
        <v>354</v>
      </c>
      <c r="F287" s="8" t="n">
        <f aca="false">'Carbon County Estimates'!F35</f>
        <v>647</v>
      </c>
      <c r="G287" s="8" t="n">
        <f aca="false">'Carbon County Estimates'!G35</f>
        <v>1001</v>
      </c>
      <c r="H287" s="9" t="n">
        <f aca="false">E287/G287</f>
        <v>0.353646353646354</v>
      </c>
    </row>
    <row r="288" customFormat="false" ht="15" hidden="false" customHeight="true" outlineLevel="0" collapsed="false">
      <c r="A288" s="8" t="n">
        <v>2018</v>
      </c>
      <c r="B288" s="8" t="s">
        <v>147</v>
      </c>
      <c r="C288" s="8" t="s">
        <v>139</v>
      </c>
      <c r="D288" s="8" t="s">
        <v>177</v>
      </c>
      <c r="E288" s="8" t="n">
        <f aca="false">'Carbon County Estimates'!E36</f>
        <v>334</v>
      </c>
      <c r="F288" s="8" t="n">
        <f aca="false">'Carbon County Estimates'!F36</f>
        <v>342</v>
      </c>
      <c r="G288" s="8" t="n">
        <f aca="false">'Carbon County Estimates'!G36</f>
        <v>676</v>
      </c>
      <c r="H288" s="9" t="n">
        <f aca="false">E288/G288</f>
        <v>0.494082840236686</v>
      </c>
    </row>
    <row r="289" customFormat="false" ht="15" hidden="false" customHeight="true" outlineLevel="0" collapsed="false">
      <c r="A289" s="8" t="n">
        <v>2020</v>
      </c>
      <c r="B289" s="8" t="s">
        <v>147</v>
      </c>
      <c r="C289" s="8" t="s">
        <v>139</v>
      </c>
      <c r="D289" s="8" t="s">
        <v>177</v>
      </c>
      <c r="E289" s="8" t="n">
        <f aca="false">'Carbon County Estimates'!E37</f>
        <v>528</v>
      </c>
      <c r="F289" s="8" t="n">
        <f aca="false">'Carbon County Estimates'!F37</f>
        <v>599</v>
      </c>
      <c r="G289" s="8" t="n">
        <f aca="false">'Carbon County Estimates'!G37</f>
        <v>1127</v>
      </c>
      <c r="H289" s="9" t="n">
        <f aca="false">E289/G289</f>
        <v>0.468500443655723</v>
      </c>
    </row>
    <row r="290" customFormat="false" ht="15" hidden="false" customHeight="true" outlineLevel="0" collapsed="false">
      <c r="A290" s="8" t="n">
        <v>2022</v>
      </c>
      <c r="B290" s="8" t="s">
        <v>147</v>
      </c>
      <c r="C290" s="8" t="s">
        <v>139</v>
      </c>
      <c r="D290" s="8" t="s">
        <v>177</v>
      </c>
      <c r="E290" s="8" t="n">
        <f aca="false">'Carbon County Estimates'!E38</f>
        <v>445</v>
      </c>
      <c r="F290" s="8" t="n">
        <f aca="false">'Carbon County Estimates'!F38</f>
        <v>457</v>
      </c>
      <c r="G290" s="8" t="n">
        <f aca="false">'Carbon County Estimates'!G38</f>
        <v>902</v>
      </c>
      <c r="H290" s="9" t="n">
        <f aca="false">E290/G290</f>
        <v>0.493348115299335</v>
      </c>
    </row>
    <row r="291" customFormat="false" ht="15" hidden="false" customHeight="true" outlineLevel="0" collapsed="false">
      <c r="A291" s="8" t="n">
        <v>2024</v>
      </c>
      <c r="B291" s="8" t="s">
        <v>147</v>
      </c>
      <c r="C291" s="8" t="s">
        <v>139</v>
      </c>
      <c r="D291" s="8" t="s">
        <v>177</v>
      </c>
      <c r="E291" s="8" t="n">
        <f aca="false">'Carbon County Estimates'!E39</f>
        <v>648</v>
      </c>
      <c r="F291" s="8" t="n">
        <f aca="false">'Carbon County Estimates'!F39</f>
        <v>727</v>
      </c>
      <c r="G291" s="8" t="n">
        <f aca="false">'Carbon County Estimates'!G39</f>
        <v>1375</v>
      </c>
      <c r="H291" s="9" t="n">
        <f aca="false">E291/G291</f>
        <v>0.471272727272727</v>
      </c>
    </row>
    <row r="292" customFormat="false" ht="15" hidden="false" customHeight="true" outlineLevel="0" collapsed="false">
      <c r="A292" s="8" t="n">
        <v>2018</v>
      </c>
      <c r="B292" s="8" t="s">
        <v>148</v>
      </c>
      <c r="C292" s="8" t="s">
        <v>139</v>
      </c>
      <c r="D292" s="8" t="s">
        <v>177</v>
      </c>
      <c r="E292" s="8" t="n">
        <f aca="false">'Carbon County Estimates'!E40</f>
        <v>21</v>
      </c>
      <c r="F292" s="8" t="n">
        <f aca="false">'Carbon County Estimates'!F40</f>
        <v>46</v>
      </c>
      <c r="G292" s="8" t="n">
        <f aca="false">'Carbon County Estimates'!G40</f>
        <v>67</v>
      </c>
      <c r="H292" s="9" t="n">
        <f aca="false">E292/G292</f>
        <v>0.313432835820896</v>
      </c>
    </row>
    <row r="293" customFormat="false" ht="15" hidden="false" customHeight="true" outlineLevel="0" collapsed="false">
      <c r="A293" s="8" t="n">
        <v>2020</v>
      </c>
      <c r="B293" s="8" t="s">
        <v>148</v>
      </c>
      <c r="C293" s="8" t="s">
        <v>139</v>
      </c>
      <c r="D293" s="8" t="s">
        <v>177</v>
      </c>
      <c r="E293" s="8" t="n">
        <f aca="false">'Carbon County Estimates'!E41</f>
        <v>32</v>
      </c>
      <c r="F293" s="8" t="n">
        <f aca="false">'Carbon County Estimates'!F41</f>
        <v>82</v>
      </c>
      <c r="G293" s="8" t="n">
        <f aca="false">'Carbon County Estimates'!G41</f>
        <v>114</v>
      </c>
      <c r="H293" s="9" t="n">
        <f aca="false">E293/G293</f>
        <v>0.280701754385965</v>
      </c>
    </row>
    <row r="294" customFormat="false" ht="15" hidden="false" customHeight="true" outlineLevel="0" collapsed="false">
      <c r="A294" s="8" t="n">
        <v>2022</v>
      </c>
      <c r="B294" s="8" t="s">
        <v>148</v>
      </c>
      <c r="C294" s="8" t="s">
        <v>139</v>
      </c>
      <c r="D294" s="8" t="s">
        <v>177</v>
      </c>
      <c r="E294" s="8" t="n">
        <f aca="false">'Carbon County Estimates'!E42</f>
        <v>32</v>
      </c>
      <c r="F294" s="8" t="n">
        <f aca="false">'Carbon County Estimates'!F42</f>
        <v>70</v>
      </c>
      <c r="G294" s="8" t="n">
        <f aca="false">'Carbon County Estimates'!G42</f>
        <v>102</v>
      </c>
      <c r="H294" s="9" t="n">
        <f aca="false">E294/G294</f>
        <v>0.313725490196078</v>
      </c>
    </row>
    <row r="295" customFormat="false" ht="15" hidden="false" customHeight="true" outlineLevel="0" collapsed="false">
      <c r="A295" s="8" t="n">
        <v>2024</v>
      </c>
      <c r="B295" s="8" t="s">
        <v>148</v>
      </c>
      <c r="C295" s="8" t="s">
        <v>139</v>
      </c>
      <c r="D295" s="8" t="s">
        <v>177</v>
      </c>
      <c r="E295" s="8" t="n">
        <f aca="false">'Carbon County Estimates'!E43</f>
        <v>44</v>
      </c>
      <c r="F295" s="8" t="n">
        <f aca="false">'Carbon County Estimates'!F43</f>
        <v>103</v>
      </c>
      <c r="G295" s="8" t="n">
        <f aca="false">'Carbon County Estimates'!G43</f>
        <v>147</v>
      </c>
      <c r="H295" s="9" t="n">
        <f aca="false">E295/G295</f>
        <v>0.299319727891156</v>
      </c>
    </row>
    <row r="296" customFormat="false" ht="15" hidden="false" customHeight="true" outlineLevel="0" collapsed="false">
      <c r="A296" s="8" t="n">
        <v>2018</v>
      </c>
      <c r="B296" s="8" t="s">
        <v>149</v>
      </c>
      <c r="C296" s="8" t="s">
        <v>139</v>
      </c>
      <c r="D296" s="8" t="s">
        <v>177</v>
      </c>
      <c r="E296" s="8" t="n">
        <f aca="false">'Carbon County Estimates'!E44</f>
        <v>41</v>
      </c>
      <c r="F296" s="8" t="n">
        <f aca="false">'Carbon County Estimates'!F44</f>
        <v>138</v>
      </c>
      <c r="G296" s="8" t="n">
        <f aca="false">'Carbon County Estimates'!G44</f>
        <v>179</v>
      </c>
      <c r="H296" s="9" t="n">
        <f aca="false">E296/G296</f>
        <v>0.229050279329609</v>
      </c>
    </row>
    <row r="297" customFormat="false" ht="15" hidden="false" customHeight="true" outlineLevel="0" collapsed="false">
      <c r="A297" s="8" t="n">
        <v>2020</v>
      </c>
      <c r="B297" s="8" t="s">
        <v>149</v>
      </c>
      <c r="C297" s="8" t="s">
        <v>139</v>
      </c>
      <c r="D297" s="8" t="s">
        <v>177</v>
      </c>
      <c r="E297" s="8" t="n">
        <f aca="false">'Carbon County Estimates'!E45</f>
        <v>50</v>
      </c>
      <c r="F297" s="8" t="n">
        <f aca="false">'Carbon County Estimates'!F45</f>
        <v>200</v>
      </c>
      <c r="G297" s="8" t="n">
        <f aca="false">'Carbon County Estimates'!G45</f>
        <v>250</v>
      </c>
      <c r="H297" s="9" t="n">
        <f aca="false">E297/G297</f>
        <v>0.2</v>
      </c>
    </row>
    <row r="298" customFormat="false" ht="15" hidden="false" customHeight="true" outlineLevel="0" collapsed="false">
      <c r="A298" s="8" t="n">
        <v>2022</v>
      </c>
      <c r="B298" s="8" t="s">
        <v>149</v>
      </c>
      <c r="C298" s="8" t="s">
        <v>139</v>
      </c>
      <c r="D298" s="8" t="s">
        <v>177</v>
      </c>
      <c r="E298" s="8" t="n">
        <f aca="false">'Carbon County Estimates'!E46</f>
        <v>54</v>
      </c>
      <c r="F298" s="8" t="n">
        <f aca="false">'Carbon County Estimates'!F46</f>
        <v>171</v>
      </c>
      <c r="G298" s="8" t="n">
        <f aca="false">'Carbon County Estimates'!G46</f>
        <v>225</v>
      </c>
      <c r="H298" s="9" t="n">
        <f aca="false">E298/G298</f>
        <v>0.24</v>
      </c>
    </row>
    <row r="299" customFormat="false" ht="15" hidden="false" customHeight="true" outlineLevel="0" collapsed="false">
      <c r="A299" s="8" t="n">
        <v>2024</v>
      </c>
      <c r="B299" s="8" t="s">
        <v>149</v>
      </c>
      <c r="C299" s="8" t="s">
        <v>139</v>
      </c>
      <c r="D299" s="8" t="s">
        <v>177</v>
      </c>
      <c r="E299" s="8" t="n">
        <f aca="false">'Carbon County Estimates'!E47</f>
        <v>61</v>
      </c>
      <c r="F299" s="8" t="n">
        <f aca="false">'Carbon County Estimates'!F47</f>
        <v>214</v>
      </c>
      <c r="G299" s="8" t="n">
        <f aca="false">'Carbon County Estimates'!G47</f>
        <v>275</v>
      </c>
      <c r="H299" s="9" t="n">
        <f aca="false">E299/G299</f>
        <v>0.221818181818182</v>
      </c>
    </row>
    <row r="300" customFormat="false" ht="15" hidden="false" customHeight="true" outlineLevel="0" collapsed="false">
      <c r="A300" s="8" t="n">
        <v>2018</v>
      </c>
      <c r="B300" s="8" t="s">
        <v>150</v>
      </c>
      <c r="C300" s="8" t="s">
        <v>139</v>
      </c>
      <c r="D300" s="8" t="s">
        <v>177</v>
      </c>
      <c r="E300" s="8" t="n">
        <f aca="false">'Carbon County Estimates'!E48</f>
        <v>504</v>
      </c>
      <c r="F300" s="8" t="n">
        <f aca="false">'Carbon County Estimates'!F48</f>
        <v>659</v>
      </c>
      <c r="G300" s="8" t="n">
        <f aca="false">'Carbon County Estimates'!G48</f>
        <v>1163</v>
      </c>
      <c r="H300" s="9" t="n">
        <f aca="false">E300/G300</f>
        <v>0.433361994840929</v>
      </c>
    </row>
    <row r="301" customFormat="false" ht="15" hidden="false" customHeight="true" outlineLevel="0" collapsed="false">
      <c r="A301" s="8" t="n">
        <v>2020</v>
      </c>
      <c r="B301" s="8" t="s">
        <v>150</v>
      </c>
      <c r="C301" s="8" t="s">
        <v>139</v>
      </c>
      <c r="D301" s="8" t="s">
        <v>177</v>
      </c>
      <c r="E301" s="8" t="n">
        <f aca="false">'Carbon County Estimates'!E49</f>
        <v>771</v>
      </c>
      <c r="F301" s="8" t="n">
        <f aca="false">'Carbon County Estimates'!F49</f>
        <v>1123</v>
      </c>
      <c r="G301" s="8" t="n">
        <f aca="false">'Carbon County Estimates'!G49</f>
        <v>1894</v>
      </c>
      <c r="H301" s="9" t="n">
        <f aca="false">E301/G301</f>
        <v>0.407074973600845</v>
      </c>
    </row>
    <row r="302" customFormat="false" ht="15" hidden="false" customHeight="true" outlineLevel="0" collapsed="false">
      <c r="A302" s="8" t="n">
        <v>2022</v>
      </c>
      <c r="B302" s="8" t="s">
        <v>150</v>
      </c>
      <c r="C302" s="8" t="s">
        <v>139</v>
      </c>
      <c r="D302" s="8" t="s">
        <v>177</v>
      </c>
      <c r="E302" s="8" t="n">
        <f aca="false">'Carbon County Estimates'!E50</f>
        <v>659</v>
      </c>
      <c r="F302" s="8" t="n">
        <f aca="false">'Carbon County Estimates'!F50</f>
        <v>856</v>
      </c>
      <c r="G302" s="8" t="n">
        <f aca="false">'Carbon County Estimates'!G50</f>
        <v>1515</v>
      </c>
      <c r="H302" s="9" t="n">
        <f aca="false">E302/G302</f>
        <v>0.434983498349835</v>
      </c>
    </row>
    <row r="303" customFormat="false" ht="15" hidden="false" customHeight="true" outlineLevel="0" collapsed="false">
      <c r="A303" s="8" t="n">
        <v>2024</v>
      </c>
      <c r="B303" s="8" t="s">
        <v>150</v>
      </c>
      <c r="C303" s="8" t="s">
        <v>139</v>
      </c>
      <c r="D303" s="8" t="s">
        <v>177</v>
      </c>
      <c r="E303" s="8" t="n">
        <f aca="false">'Carbon County Estimates'!E51</f>
        <v>960</v>
      </c>
      <c r="F303" s="8" t="n">
        <f aca="false">'Carbon County Estimates'!F51</f>
        <v>1359</v>
      </c>
      <c r="G303" s="8" t="n">
        <f aca="false">'Carbon County Estimates'!G51</f>
        <v>2319</v>
      </c>
      <c r="H303" s="9" t="n">
        <f aca="false">E303/G303</f>
        <v>0.413971539456662</v>
      </c>
    </row>
    <row r="304" customFormat="false" ht="15" hidden="false" customHeight="true" outlineLevel="0" collapsed="false">
      <c r="A304" s="8" t="n">
        <v>2018</v>
      </c>
      <c r="B304" s="8" t="s">
        <v>151</v>
      </c>
      <c r="C304" s="8" t="s">
        <v>139</v>
      </c>
      <c r="D304" s="8" t="s">
        <v>177</v>
      </c>
      <c r="E304" s="8" t="n">
        <f aca="false">'Carbon County Estimates'!E52</f>
        <v>320</v>
      </c>
      <c r="F304" s="8" t="n">
        <f aca="false">'Carbon County Estimates'!F52</f>
        <v>591</v>
      </c>
      <c r="G304" s="8" t="n">
        <f aca="false">'Carbon County Estimates'!G52</f>
        <v>911</v>
      </c>
      <c r="H304" s="9" t="n">
        <f aca="false">E304/G304</f>
        <v>0.351262349066959</v>
      </c>
    </row>
    <row r="305" customFormat="false" ht="15" hidden="false" customHeight="true" outlineLevel="0" collapsed="false">
      <c r="A305" s="8" t="n">
        <v>2020</v>
      </c>
      <c r="B305" s="8" t="s">
        <v>151</v>
      </c>
      <c r="C305" s="8" t="s">
        <v>139</v>
      </c>
      <c r="D305" s="8" t="s">
        <v>177</v>
      </c>
      <c r="E305" s="8" t="n">
        <f aca="false">'Carbon County Estimates'!E53</f>
        <v>458</v>
      </c>
      <c r="F305" s="8" t="n">
        <f aca="false">'Carbon County Estimates'!F53</f>
        <v>960</v>
      </c>
      <c r="G305" s="8" t="n">
        <f aca="false">'Carbon County Estimates'!G53</f>
        <v>1418</v>
      </c>
      <c r="H305" s="9" t="n">
        <f aca="false">E305/G305</f>
        <v>0.322990126939351</v>
      </c>
    </row>
    <row r="306" customFormat="false" ht="15" hidden="false" customHeight="true" outlineLevel="0" collapsed="false">
      <c r="A306" s="8" t="n">
        <v>2022</v>
      </c>
      <c r="B306" s="8" t="s">
        <v>151</v>
      </c>
      <c r="C306" s="8" t="s">
        <v>139</v>
      </c>
      <c r="D306" s="8" t="s">
        <v>177</v>
      </c>
      <c r="E306" s="8" t="n">
        <f aca="false">'Carbon County Estimates'!E54</f>
        <v>440</v>
      </c>
      <c r="F306" s="8" t="n">
        <f aca="false">'Carbon County Estimates'!F54</f>
        <v>796</v>
      </c>
      <c r="G306" s="8" t="n">
        <f aca="false">'Carbon County Estimates'!G54</f>
        <v>1236</v>
      </c>
      <c r="H306" s="9" t="n">
        <f aca="false">E306/G306</f>
        <v>0.355987055016181</v>
      </c>
    </row>
    <row r="307" customFormat="false" ht="15" hidden="false" customHeight="true" outlineLevel="0" collapsed="false">
      <c r="A307" s="8" t="n">
        <v>2024</v>
      </c>
      <c r="B307" s="8" t="s">
        <v>151</v>
      </c>
      <c r="C307" s="8" t="s">
        <v>139</v>
      </c>
      <c r="D307" s="8" t="s">
        <v>177</v>
      </c>
      <c r="E307" s="8" t="n">
        <f aca="false">'Carbon County Estimates'!E55</f>
        <v>561</v>
      </c>
      <c r="F307" s="8" t="n">
        <f aca="false">'Carbon County Estimates'!F55</f>
        <v>1108</v>
      </c>
      <c r="G307" s="8" t="n">
        <f aca="false">'Carbon County Estimates'!G55</f>
        <v>1669</v>
      </c>
      <c r="H307" s="9" t="n">
        <f aca="false">E307/G307</f>
        <v>0.336129418813661</v>
      </c>
    </row>
    <row r="308" customFormat="false" ht="15" hidden="false" customHeight="true" outlineLevel="0" collapsed="false">
      <c r="A308" s="8" t="n">
        <v>2018</v>
      </c>
      <c r="B308" s="8" t="s">
        <v>152</v>
      </c>
      <c r="C308" s="8" t="s">
        <v>139</v>
      </c>
      <c r="D308" s="8" t="s">
        <v>177</v>
      </c>
      <c r="E308" s="8" t="n">
        <f aca="false">'Carbon County Estimates'!E56</f>
        <v>419</v>
      </c>
      <c r="F308" s="8" t="n">
        <f aca="false">'Carbon County Estimates'!F56</f>
        <v>841</v>
      </c>
      <c r="G308" s="8" t="n">
        <f aca="false">'Carbon County Estimates'!G56</f>
        <v>1260</v>
      </c>
      <c r="H308" s="9" t="n">
        <f aca="false">E308/G308</f>
        <v>0.332539682539683</v>
      </c>
    </row>
    <row r="309" customFormat="false" ht="15" hidden="false" customHeight="true" outlineLevel="0" collapsed="false">
      <c r="A309" s="8" t="n">
        <v>2020</v>
      </c>
      <c r="B309" s="8" t="s">
        <v>152</v>
      </c>
      <c r="C309" s="8" t="s">
        <v>139</v>
      </c>
      <c r="D309" s="8" t="s">
        <v>177</v>
      </c>
      <c r="E309" s="8" t="n">
        <f aca="false">'Carbon County Estimates'!E57</f>
        <v>574</v>
      </c>
      <c r="F309" s="8" t="n">
        <f aca="false">'Carbon County Estimates'!F57</f>
        <v>1318</v>
      </c>
      <c r="G309" s="8" t="n">
        <f aca="false">'Carbon County Estimates'!G57</f>
        <v>1892</v>
      </c>
      <c r="H309" s="9" t="n">
        <f aca="false">E309/G309</f>
        <v>0.30338266384778</v>
      </c>
    </row>
    <row r="310" customFormat="false" ht="15" hidden="false" customHeight="true" outlineLevel="0" collapsed="false">
      <c r="A310" s="8" t="n">
        <v>2022</v>
      </c>
      <c r="B310" s="8" t="s">
        <v>152</v>
      </c>
      <c r="C310" s="8" t="s">
        <v>139</v>
      </c>
      <c r="D310" s="8" t="s">
        <v>177</v>
      </c>
      <c r="E310" s="8" t="n">
        <f aca="false">'Carbon County Estimates'!E58</f>
        <v>557</v>
      </c>
      <c r="F310" s="8" t="n">
        <f aca="false">'Carbon County Estimates'!F58</f>
        <v>1095</v>
      </c>
      <c r="G310" s="8" t="n">
        <f aca="false">'Carbon County Estimates'!G58</f>
        <v>1652</v>
      </c>
      <c r="H310" s="9" t="n">
        <f aca="false">E310/G310</f>
        <v>0.337167070217918</v>
      </c>
    </row>
    <row r="311" customFormat="false" ht="15" hidden="false" customHeight="true" outlineLevel="0" collapsed="false">
      <c r="A311" s="8" t="n">
        <v>2024</v>
      </c>
      <c r="B311" s="8" t="s">
        <v>152</v>
      </c>
      <c r="C311" s="8" t="s">
        <v>139</v>
      </c>
      <c r="D311" s="8" t="s">
        <v>177</v>
      </c>
      <c r="E311" s="8" t="n">
        <f aca="false">'Carbon County Estimates'!E59</f>
        <v>735</v>
      </c>
      <c r="F311" s="8" t="n">
        <f aca="false">'Carbon County Estimates'!F59</f>
        <v>1575</v>
      </c>
      <c r="G311" s="8" t="n">
        <f aca="false">'Carbon County Estimates'!G59</f>
        <v>2310</v>
      </c>
      <c r="H311" s="9" t="n">
        <f aca="false">E311/G311</f>
        <v>0.318181818181818</v>
      </c>
    </row>
    <row r="312" customFormat="false" ht="15" hidden="false" customHeight="true" outlineLevel="0" collapsed="false">
      <c r="A312" s="8" t="n">
        <v>2018</v>
      </c>
      <c r="B312" s="8" t="s">
        <v>153</v>
      </c>
      <c r="C312" s="8" t="s">
        <v>139</v>
      </c>
      <c r="D312" s="8" t="s">
        <v>177</v>
      </c>
      <c r="E312" s="8" t="n">
        <f aca="false">'Carbon County Estimates'!E60</f>
        <v>374</v>
      </c>
      <c r="F312" s="8" t="n">
        <f aca="false">'Carbon County Estimates'!F60</f>
        <v>430</v>
      </c>
      <c r="G312" s="8" t="n">
        <f aca="false">'Carbon County Estimates'!G60</f>
        <v>804</v>
      </c>
      <c r="H312" s="9" t="n">
        <f aca="false">E312/G312</f>
        <v>0.465174129353234</v>
      </c>
    </row>
    <row r="313" customFormat="false" ht="15" hidden="false" customHeight="true" outlineLevel="0" collapsed="false">
      <c r="A313" s="8" t="n">
        <v>2020</v>
      </c>
      <c r="B313" s="8" t="s">
        <v>153</v>
      </c>
      <c r="C313" s="8" t="s">
        <v>139</v>
      </c>
      <c r="D313" s="8" t="s">
        <v>177</v>
      </c>
      <c r="E313" s="8" t="n">
        <f aca="false">'Carbon County Estimates'!E61</f>
        <v>539</v>
      </c>
      <c r="F313" s="8" t="n">
        <f aca="false">'Carbon County Estimates'!F61</f>
        <v>689</v>
      </c>
      <c r="G313" s="8" t="n">
        <f aca="false">'Carbon County Estimates'!G61</f>
        <v>1228</v>
      </c>
      <c r="H313" s="9" t="n">
        <f aca="false">E313/G313</f>
        <v>0.438925081433225</v>
      </c>
    </row>
    <row r="314" customFormat="false" ht="15" hidden="false" customHeight="true" outlineLevel="0" collapsed="false">
      <c r="A314" s="8" t="n">
        <v>2022</v>
      </c>
      <c r="B314" s="8" t="s">
        <v>153</v>
      </c>
      <c r="C314" s="8" t="s">
        <v>139</v>
      </c>
      <c r="D314" s="8" t="s">
        <v>177</v>
      </c>
      <c r="E314" s="8" t="n">
        <f aca="false">'Carbon County Estimates'!E62</f>
        <v>497</v>
      </c>
      <c r="F314" s="8" t="n">
        <f aca="false">'Carbon County Estimates'!F62</f>
        <v>571</v>
      </c>
      <c r="G314" s="8" t="n">
        <f aca="false">'Carbon County Estimates'!G62</f>
        <v>1068</v>
      </c>
      <c r="H314" s="9" t="n">
        <f aca="false">E314/G314</f>
        <v>0.465355805243446</v>
      </c>
    </row>
    <row r="315" customFormat="false" ht="15" hidden="false" customHeight="true" outlineLevel="0" collapsed="false">
      <c r="A315" s="8" t="n">
        <v>2024</v>
      </c>
      <c r="B315" s="8" t="s">
        <v>153</v>
      </c>
      <c r="C315" s="8" t="s">
        <v>139</v>
      </c>
      <c r="D315" s="8" t="s">
        <v>177</v>
      </c>
      <c r="E315" s="8" t="n">
        <f aca="false">'Carbon County Estimates'!E63</f>
        <v>669</v>
      </c>
      <c r="F315" s="8" t="n">
        <f aca="false">'Carbon County Estimates'!F63</f>
        <v>838</v>
      </c>
      <c r="G315" s="8" t="n">
        <f aca="false">'Carbon County Estimates'!G63</f>
        <v>1507</v>
      </c>
      <c r="H315" s="9" t="n">
        <f aca="false">E315/G315</f>
        <v>0.443928334439283</v>
      </c>
    </row>
    <row r="316" customFormat="false" ht="15" hidden="false" customHeight="true" outlineLevel="0" collapsed="false">
      <c r="A316" s="8" t="n">
        <v>2018</v>
      </c>
      <c r="B316" s="8" t="s">
        <v>154</v>
      </c>
      <c r="C316" s="8" t="s">
        <v>139</v>
      </c>
      <c r="D316" s="8" t="s">
        <v>177</v>
      </c>
      <c r="E316" s="8" t="n">
        <f aca="false">'Carbon County Estimates'!E64</f>
        <v>103</v>
      </c>
      <c r="F316" s="8" t="n">
        <f aca="false">'Carbon County Estimates'!F64</f>
        <v>325</v>
      </c>
      <c r="G316" s="8" t="n">
        <f aca="false">'Carbon County Estimates'!G64</f>
        <v>428</v>
      </c>
      <c r="H316" s="9" t="n">
        <f aca="false">E316/G316</f>
        <v>0.240654205607477</v>
      </c>
    </row>
    <row r="317" customFormat="false" ht="15" hidden="false" customHeight="true" outlineLevel="0" collapsed="false">
      <c r="A317" s="8" t="n">
        <v>2020</v>
      </c>
      <c r="B317" s="8" t="s">
        <v>154</v>
      </c>
      <c r="C317" s="8" t="s">
        <v>139</v>
      </c>
      <c r="D317" s="8" t="s">
        <v>177</v>
      </c>
      <c r="E317" s="8" t="n">
        <f aca="false">'Carbon County Estimates'!E65</f>
        <v>122</v>
      </c>
      <c r="F317" s="8" t="n">
        <f aca="false">'Carbon County Estimates'!F65</f>
        <v>458</v>
      </c>
      <c r="G317" s="8" t="n">
        <f aca="false">'Carbon County Estimates'!G65</f>
        <v>580</v>
      </c>
      <c r="H317" s="9" t="n">
        <f aca="false">E317/G317</f>
        <v>0.210344827586207</v>
      </c>
    </row>
    <row r="318" customFormat="false" ht="15" hidden="false" customHeight="true" outlineLevel="0" collapsed="false">
      <c r="A318" s="8" t="n">
        <v>2022</v>
      </c>
      <c r="B318" s="8" t="s">
        <v>154</v>
      </c>
      <c r="C318" s="8" t="s">
        <v>139</v>
      </c>
      <c r="D318" s="8" t="s">
        <v>177</v>
      </c>
      <c r="E318" s="8" t="n">
        <f aca="false">'Carbon County Estimates'!E66</f>
        <v>127</v>
      </c>
      <c r="F318" s="8" t="n">
        <f aca="false">'Carbon County Estimates'!F66</f>
        <v>382</v>
      </c>
      <c r="G318" s="8" t="n">
        <f aca="false">'Carbon County Estimates'!G66</f>
        <v>509</v>
      </c>
      <c r="H318" s="9" t="n">
        <f aca="false">E318/G318</f>
        <v>0.24950884086444</v>
      </c>
    </row>
    <row r="319" customFormat="false" ht="15" hidden="false" customHeight="true" outlineLevel="0" collapsed="false">
      <c r="A319" s="8" t="n">
        <v>2024</v>
      </c>
      <c r="B319" s="8" t="s">
        <v>154</v>
      </c>
      <c r="C319" s="8" t="s">
        <v>139</v>
      </c>
      <c r="D319" s="8" t="s">
        <v>177</v>
      </c>
      <c r="E319" s="8" t="n">
        <f aca="false">'Carbon County Estimates'!E67</f>
        <v>145</v>
      </c>
      <c r="F319" s="8" t="n">
        <f aca="false">'Carbon County Estimates'!F67</f>
        <v>481</v>
      </c>
      <c r="G319" s="8" t="n">
        <f aca="false">'Carbon County Estimates'!G67</f>
        <v>626</v>
      </c>
      <c r="H319" s="9" t="n">
        <f aca="false">E319/G319</f>
        <v>0.231629392971246</v>
      </c>
    </row>
    <row r="320" customFormat="false" ht="15" hidden="false" customHeight="true" outlineLevel="0" collapsed="false">
      <c r="A320" s="8" t="n">
        <v>2018</v>
      </c>
      <c r="B320" s="8" t="s">
        <v>155</v>
      </c>
      <c r="C320" s="8" t="s">
        <v>139</v>
      </c>
      <c r="D320" s="8" t="s">
        <v>177</v>
      </c>
      <c r="E320" s="8" t="n">
        <f aca="false">'Carbon County Estimates'!E68</f>
        <v>541</v>
      </c>
      <c r="F320" s="8" t="n">
        <f aca="false">'Carbon County Estimates'!F68</f>
        <v>719</v>
      </c>
      <c r="G320" s="8" t="n">
        <f aca="false">'Carbon County Estimates'!G68</f>
        <v>1260</v>
      </c>
      <c r="H320" s="9" t="n">
        <f aca="false">E320/G320</f>
        <v>0.429365079365079</v>
      </c>
    </row>
    <row r="321" customFormat="false" ht="15" hidden="false" customHeight="true" outlineLevel="0" collapsed="false">
      <c r="A321" s="8" t="n">
        <v>2020</v>
      </c>
      <c r="B321" s="8" t="s">
        <v>155</v>
      </c>
      <c r="C321" s="8" t="s">
        <v>139</v>
      </c>
      <c r="D321" s="8" t="s">
        <v>177</v>
      </c>
      <c r="E321" s="8" t="n">
        <f aca="false">'Carbon County Estimates'!E69</f>
        <v>844</v>
      </c>
      <c r="F321" s="8" t="n">
        <f aca="false">'Carbon County Estimates'!F69</f>
        <v>1253</v>
      </c>
      <c r="G321" s="8" t="n">
        <f aca="false">'Carbon County Estimates'!G69</f>
        <v>2097</v>
      </c>
      <c r="H321" s="9" t="n">
        <f aca="false">E321/G321</f>
        <v>0.402479732951836</v>
      </c>
    </row>
    <row r="322" customFormat="false" ht="15" hidden="false" customHeight="true" outlineLevel="0" collapsed="false">
      <c r="A322" s="8" t="n">
        <v>2022</v>
      </c>
      <c r="B322" s="8" t="s">
        <v>155</v>
      </c>
      <c r="C322" s="8" t="s">
        <v>139</v>
      </c>
      <c r="D322" s="8" t="s">
        <v>177</v>
      </c>
      <c r="E322" s="8" t="n">
        <f aca="false">'Carbon County Estimates'!E70</f>
        <v>735</v>
      </c>
      <c r="F322" s="8" t="n">
        <f aca="false">'Carbon County Estimates'!F70</f>
        <v>971</v>
      </c>
      <c r="G322" s="8" t="n">
        <f aca="false">'Carbon County Estimates'!G70</f>
        <v>1706</v>
      </c>
      <c r="H322" s="9" t="n">
        <f aca="false">E322/G322</f>
        <v>0.430832356389215</v>
      </c>
    </row>
    <row r="323" customFormat="false" ht="15" hidden="false" customHeight="true" outlineLevel="0" collapsed="false">
      <c r="A323" s="8" t="n">
        <v>2024</v>
      </c>
      <c r="B323" s="8" t="s">
        <v>155</v>
      </c>
      <c r="C323" s="8" t="s">
        <v>139</v>
      </c>
      <c r="D323" s="8" t="s">
        <v>177</v>
      </c>
      <c r="E323" s="8" t="n">
        <f aca="false">'Carbon County Estimates'!E71</f>
        <v>1058</v>
      </c>
      <c r="F323" s="8" t="n">
        <f aca="false">'Carbon County Estimates'!F71</f>
        <v>1523</v>
      </c>
      <c r="G323" s="8" t="n">
        <f aca="false">'Carbon County Estimates'!G71</f>
        <v>2581</v>
      </c>
      <c r="H323" s="9" t="n">
        <f aca="false">E323/G323</f>
        <v>0.409918636187524</v>
      </c>
    </row>
    <row r="324" customFormat="false" ht="15" hidden="false" customHeight="true" outlineLevel="0" collapsed="false">
      <c r="A324" s="8" t="n">
        <v>2018</v>
      </c>
      <c r="B324" s="8" t="s">
        <v>156</v>
      </c>
      <c r="C324" s="8" t="s">
        <v>139</v>
      </c>
      <c r="D324" s="8" t="s">
        <v>177</v>
      </c>
      <c r="E324" s="8" t="n">
        <f aca="false">'Carbon County Estimates'!E72</f>
        <v>51</v>
      </c>
      <c r="F324" s="8" t="n">
        <f aca="false">'Carbon County Estimates'!F72</f>
        <v>79</v>
      </c>
      <c r="G324" s="8" t="n">
        <f aca="false">'Carbon County Estimates'!G72</f>
        <v>130</v>
      </c>
      <c r="H324" s="9" t="n">
        <f aca="false">E324/G324</f>
        <v>0.392307692307692</v>
      </c>
    </row>
    <row r="325" customFormat="false" ht="15" hidden="false" customHeight="true" outlineLevel="0" collapsed="false">
      <c r="A325" s="8" t="n">
        <v>2020</v>
      </c>
      <c r="B325" s="8" t="s">
        <v>156</v>
      </c>
      <c r="C325" s="8" t="s">
        <v>139</v>
      </c>
      <c r="D325" s="8" t="s">
        <v>177</v>
      </c>
      <c r="E325" s="8" t="n">
        <f aca="false">'Carbon County Estimates'!E73</f>
        <v>72</v>
      </c>
      <c r="F325" s="8" t="n">
        <f aca="false">'Carbon County Estimates'!F73</f>
        <v>125</v>
      </c>
      <c r="G325" s="8" t="n">
        <f aca="false">'Carbon County Estimates'!G73</f>
        <v>197</v>
      </c>
      <c r="H325" s="9" t="n">
        <f aca="false">E325/G325</f>
        <v>0.365482233502538</v>
      </c>
    </row>
    <row r="326" customFormat="false" ht="15" hidden="false" customHeight="true" outlineLevel="0" collapsed="false">
      <c r="A326" s="8" t="n">
        <v>2022</v>
      </c>
      <c r="B326" s="8" t="s">
        <v>156</v>
      </c>
      <c r="C326" s="8" t="s">
        <v>139</v>
      </c>
      <c r="D326" s="8" t="s">
        <v>177</v>
      </c>
      <c r="E326" s="8" t="n">
        <f aca="false">'Carbon County Estimates'!E74</f>
        <v>69</v>
      </c>
      <c r="F326" s="8" t="n">
        <f aca="false">'Carbon County Estimates'!F74</f>
        <v>105</v>
      </c>
      <c r="G326" s="8" t="n">
        <f aca="false">'Carbon County Estimates'!G74</f>
        <v>174</v>
      </c>
      <c r="H326" s="9" t="n">
        <f aca="false">E326/G326</f>
        <v>0.396551724137931</v>
      </c>
    </row>
    <row r="327" customFormat="false" ht="15" hidden="false" customHeight="true" outlineLevel="0" collapsed="false">
      <c r="A327" s="8" t="n">
        <v>2024</v>
      </c>
      <c r="B327" s="8" t="s">
        <v>156</v>
      </c>
      <c r="C327" s="8" t="s">
        <v>139</v>
      </c>
      <c r="D327" s="8" t="s">
        <v>177</v>
      </c>
      <c r="E327" s="8" t="n">
        <f aca="false">'Carbon County Estimates'!E75</f>
        <v>85</v>
      </c>
      <c r="F327" s="8" t="n">
        <f aca="false">'Carbon County Estimates'!F75</f>
        <v>141</v>
      </c>
      <c r="G327" s="8" t="n">
        <f aca="false">'Carbon County Estimates'!G75</f>
        <v>226</v>
      </c>
      <c r="H327" s="9" t="n">
        <f aca="false">E327/G327</f>
        <v>0.376106194690265</v>
      </c>
    </row>
    <row r="328" customFormat="false" ht="15" hidden="false" customHeight="true" outlineLevel="0" collapsed="false">
      <c r="A328" s="8" t="n">
        <v>2018</v>
      </c>
      <c r="B328" s="8" t="s">
        <v>157</v>
      </c>
      <c r="C328" s="8" t="s">
        <v>139</v>
      </c>
      <c r="D328" s="8" t="s">
        <v>177</v>
      </c>
      <c r="E328" s="8" t="n">
        <f aca="false">'Carbon County Estimates'!E76</f>
        <v>1073</v>
      </c>
      <c r="F328" s="8" t="n">
        <f aca="false">'Carbon County Estimates'!F76</f>
        <v>1547</v>
      </c>
      <c r="G328" s="8" t="n">
        <f aca="false">'Carbon County Estimates'!G76</f>
        <v>2620</v>
      </c>
      <c r="H328" s="9" t="n">
        <f aca="false">E328/G328</f>
        <v>0.409541984732824</v>
      </c>
    </row>
    <row r="329" customFormat="false" ht="15" hidden="false" customHeight="true" outlineLevel="0" collapsed="false">
      <c r="A329" s="8" t="n">
        <v>2020</v>
      </c>
      <c r="B329" s="8" t="s">
        <v>157</v>
      </c>
      <c r="C329" s="8" t="s">
        <v>139</v>
      </c>
      <c r="D329" s="8" t="s">
        <v>177</v>
      </c>
      <c r="E329" s="8" t="n">
        <f aca="false">'Carbon County Estimates'!E77</f>
        <v>1665</v>
      </c>
      <c r="F329" s="8" t="n">
        <f aca="false">'Carbon County Estimates'!F77</f>
        <v>2684</v>
      </c>
      <c r="G329" s="8" t="n">
        <f aca="false">'Carbon County Estimates'!G77</f>
        <v>4349</v>
      </c>
      <c r="H329" s="9" t="n">
        <f aca="false">E329/G329</f>
        <v>0.382846631409519</v>
      </c>
    </row>
    <row r="330" customFormat="false" ht="15" hidden="false" customHeight="true" outlineLevel="0" collapsed="false">
      <c r="A330" s="8" t="n">
        <v>2022</v>
      </c>
      <c r="B330" s="8" t="s">
        <v>157</v>
      </c>
      <c r="C330" s="8" t="s">
        <v>139</v>
      </c>
      <c r="D330" s="8" t="s">
        <v>177</v>
      </c>
      <c r="E330" s="8" t="n">
        <f aca="false">'Carbon County Estimates'!E78</f>
        <v>1602</v>
      </c>
      <c r="F330" s="8" t="n">
        <f aca="false">'Carbon County Estimates'!F78</f>
        <v>2286</v>
      </c>
      <c r="G330" s="8" t="n">
        <f aca="false">'Carbon County Estimates'!G78</f>
        <v>3888</v>
      </c>
      <c r="H330" s="9" t="n">
        <f aca="false">E330/G330</f>
        <v>0.412037037037037</v>
      </c>
    </row>
    <row r="331" customFormat="false" ht="15" hidden="false" customHeight="true" outlineLevel="0" collapsed="false">
      <c r="A331" s="8" t="n">
        <v>2024</v>
      </c>
      <c r="B331" s="8" t="s">
        <v>157</v>
      </c>
      <c r="C331" s="8" t="s">
        <v>139</v>
      </c>
      <c r="D331" s="8" t="s">
        <v>177</v>
      </c>
      <c r="E331" s="8" t="n">
        <f aca="false">'Carbon County Estimates'!E79</f>
        <v>2201</v>
      </c>
      <c r="F331" s="8" t="n">
        <f aca="false">'Carbon County Estimates'!F79</f>
        <v>3420</v>
      </c>
      <c r="G331" s="8" t="n">
        <f aca="false">'Carbon County Estimates'!G79</f>
        <v>5621</v>
      </c>
      <c r="H331" s="9" t="n">
        <f aca="false">E331/G331</f>
        <v>0.391567336772816</v>
      </c>
    </row>
    <row r="332" customFormat="false" ht="15" hidden="false" customHeight="true" outlineLevel="0" collapsed="false">
      <c r="A332" s="8" t="n">
        <v>2018</v>
      </c>
      <c r="B332" s="8" t="s">
        <v>158</v>
      </c>
      <c r="C332" s="8" t="s">
        <v>139</v>
      </c>
      <c r="D332" s="8" t="s">
        <v>177</v>
      </c>
      <c r="E332" s="8" t="n">
        <f aca="false">'Carbon County Estimates'!E80</f>
        <v>448</v>
      </c>
      <c r="F332" s="8" t="n">
        <f aca="false">'Carbon County Estimates'!F80</f>
        <v>441</v>
      </c>
      <c r="G332" s="8" t="n">
        <f aca="false">'Carbon County Estimates'!G80</f>
        <v>889</v>
      </c>
      <c r="H332" s="9" t="n">
        <f aca="false">E332/G332</f>
        <v>0.503937007874016</v>
      </c>
    </row>
    <row r="333" customFormat="false" ht="15" hidden="false" customHeight="true" outlineLevel="0" collapsed="false">
      <c r="A333" s="8" t="n">
        <v>2020</v>
      </c>
      <c r="B333" s="8" t="s">
        <v>158</v>
      </c>
      <c r="C333" s="8" t="s">
        <v>139</v>
      </c>
      <c r="D333" s="8" t="s">
        <v>177</v>
      </c>
      <c r="E333" s="8" t="n">
        <f aca="false">'Carbon County Estimates'!E81</f>
        <v>622</v>
      </c>
      <c r="F333" s="8" t="n">
        <f aca="false">'Carbon County Estimates'!F81</f>
        <v>675</v>
      </c>
      <c r="G333" s="8" t="n">
        <f aca="false">'Carbon County Estimates'!G81</f>
        <v>1297</v>
      </c>
      <c r="H333" s="9" t="n">
        <f aca="false">E333/G333</f>
        <v>0.479568234387047</v>
      </c>
    </row>
    <row r="334" customFormat="false" ht="15" hidden="false" customHeight="true" outlineLevel="0" collapsed="false">
      <c r="A334" s="8" t="n">
        <v>2022</v>
      </c>
      <c r="B334" s="8" t="s">
        <v>158</v>
      </c>
      <c r="C334" s="8" t="s">
        <v>139</v>
      </c>
      <c r="D334" s="8" t="s">
        <v>177</v>
      </c>
      <c r="E334" s="8" t="n">
        <f aca="false">'Carbon County Estimates'!E82</f>
        <v>570</v>
      </c>
      <c r="F334" s="8" t="n">
        <f aca="false">'Carbon County Estimates'!F82</f>
        <v>563</v>
      </c>
      <c r="G334" s="8" t="n">
        <f aca="false">'Carbon County Estimates'!G82</f>
        <v>1133</v>
      </c>
      <c r="H334" s="9" t="n">
        <f aca="false">E334/G334</f>
        <v>0.503089143865843</v>
      </c>
    </row>
    <row r="335" customFormat="false" ht="15" hidden="false" customHeight="true" outlineLevel="0" collapsed="false">
      <c r="A335" s="8" t="n">
        <v>2024</v>
      </c>
      <c r="B335" s="8" t="s">
        <v>158</v>
      </c>
      <c r="C335" s="8" t="s">
        <v>139</v>
      </c>
      <c r="D335" s="8" t="s">
        <v>177</v>
      </c>
      <c r="E335" s="8" t="n">
        <f aca="false">'Carbon County Estimates'!E83</f>
        <v>734</v>
      </c>
      <c r="F335" s="8" t="n">
        <f aca="false">'Carbon County Estimates'!F83</f>
        <v>793</v>
      </c>
      <c r="G335" s="8" t="n">
        <f aca="false">'Carbon County Estimates'!G83</f>
        <v>1527</v>
      </c>
      <c r="H335" s="9" t="n">
        <f aca="false">E335/G335</f>
        <v>0.48068107400131</v>
      </c>
    </row>
    <row r="336" customFormat="false" ht="15" hidden="false" customHeight="true" outlineLevel="0" collapsed="false">
      <c r="A336" s="8" t="n">
        <v>2018</v>
      </c>
      <c r="B336" s="8" t="s">
        <v>159</v>
      </c>
      <c r="C336" s="8" t="s">
        <v>139</v>
      </c>
      <c r="D336" s="8" t="s">
        <v>177</v>
      </c>
      <c r="E336" s="8" t="n">
        <f aca="false">'Carbon County Estimates'!E84</f>
        <v>494</v>
      </c>
      <c r="F336" s="8" t="n">
        <f aca="false">'Carbon County Estimates'!F84</f>
        <v>961</v>
      </c>
      <c r="G336" s="8" t="n">
        <f aca="false">'Carbon County Estimates'!G84</f>
        <v>1455</v>
      </c>
      <c r="H336" s="9" t="n">
        <f aca="false">E336/G336</f>
        <v>0.339518900343643</v>
      </c>
    </row>
    <row r="337" customFormat="false" ht="15" hidden="false" customHeight="true" outlineLevel="0" collapsed="false">
      <c r="A337" s="8" t="n">
        <v>2020</v>
      </c>
      <c r="B337" s="8" t="s">
        <v>159</v>
      </c>
      <c r="C337" s="8" t="s">
        <v>139</v>
      </c>
      <c r="D337" s="8" t="s">
        <v>177</v>
      </c>
      <c r="E337" s="8" t="n">
        <f aca="false">'Carbon County Estimates'!E85</f>
        <v>702</v>
      </c>
      <c r="F337" s="8" t="n">
        <f aca="false">'Carbon County Estimates'!F85</f>
        <v>1558</v>
      </c>
      <c r="G337" s="8" t="n">
        <f aca="false">'Carbon County Estimates'!G85</f>
        <v>2260</v>
      </c>
      <c r="H337" s="9" t="n">
        <f aca="false">E337/G337</f>
        <v>0.310619469026549</v>
      </c>
    </row>
    <row r="338" customFormat="false" ht="15" hidden="false" customHeight="true" outlineLevel="0" collapsed="false">
      <c r="A338" s="8" t="n">
        <v>2022</v>
      </c>
      <c r="B338" s="8" t="s">
        <v>159</v>
      </c>
      <c r="C338" s="8" t="s">
        <v>139</v>
      </c>
      <c r="D338" s="8" t="s">
        <v>177</v>
      </c>
      <c r="E338" s="8" t="n">
        <f aca="false">'Carbon County Estimates'!E86</f>
        <v>683</v>
      </c>
      <c r="F338" s="8" t="n">
        <f aca="false">'Carbon County Estimates'!F86</f>
        <v>1302</v>
      </c>
      <c r="G338" s="8" t="n">
        <f aca="false">'Carbon County Estimates'!G86</f>
        <v>1985</v>
      </c>
      <c r="H338" s="9" t="n">
        <f aca="false">E338/G338</f>
        <v>0.344080604534005</v>
      </c>
    </row>
    <row r="339" customFormat="false" ht="15" hidden="false" customHeight="true" outlineLevel="0" collapsed="false">
      <c r="A339" s="8" t="n">
        <v>2024</v>
      </c>
      <c r="B339" s="8" t="s">
        <v>159</v>
      </c>
      <c r="C339" s="8" t="s">
        <v>139</v>
      </c>
      <c r="D339" s="8" t="s">
        <v>177</v>
      </c>
      <c r="E339" s="8" t="n">
        <f aca="false">'Carbon County Estimates'!E87</f>
        <v>869</v>
      </c>
      <c r="F339" s="8" t="n">
        <f aca="false">'Carbon County Estimates'!F87</f>
        <v>1807</v>
      </c>
      <c r="G339" s="8" t="n">
        <f aca="false">'Carbon County Estimates'!G87</f>
        <v>2676</v>
      </c>
      <c r="H339" s="9" t="n">
        <f aca="false">E339/G339</f>
        <v>0.32473841554559</v>
      </c>
    </row>
    <row r="340" customFormat="false" ht="15" hidden="false" customHeight="true" outlineLevel="0" collapsed="false">
      <c r="A340" s="8" t="n">
        <v>2018</v>
      </c>
      <c r="B340" s="8" t="s">
        <v>160</v>
      </c>
      <c r="C340" s="8" t="s">
        <v>139</v>
      </c>
      <c r="D340" s="8" t="s">
        <v>177</v>
      </c>
      <c r="E340" s="8" t="n">
        <f aca="false">'Carbon County Estimates'!E88</f>
        <v>232</v>
      </c>
      <c r="F340" s="8" t="n">
        <f aca="false">'Carbon County Estimates'!F88</f>
        <v>415</v>
      </c>
      <c r="G340" s="8" t="n">
        <f aca="false">'Carbon County Estimates'!G88</f>
        <v>647</v>
      </c>
      <c r="H340" s="9" t="n">
        <f aca="false">E340/G340</f>
        <v>0.358578052550232</v>
      </c>
    </row>
    <row r="341" customFormat="false" ht="15" hidden="false" customHeight="true" outlineLevel="0" collapsed="false">
      <c r="A341" s="8" t="n">
        <v>2020</v>
      </c>
      <c r="B341" s="8" t="s">
        <v>160</v>
      </c>
      <c r="C341" s="8" t="s">
        <v>139</v>
      </c>
      <c r="D341" s="8" t="s">
        <v>177</v>
      </c>
      <c r="E341" s="8" t="n">
        <f aca="false">'Carbon County Estimates'!E89</f>
        <v>325</v>
      </c>
      <c r="F341" s="8" t="n">
        <f aca="false">'Carbon County Estimates'!F89</f>
        <v>661</v>
      </c>
      <c r="G341" s="8" t="n">
        <f aca="false">'Carbon County Estimates'!G89</f>
        <v>986</v>
      </c>
      <c r="H341" s="9" t="n">
        <f aca="false">E341/G341</f>
        <v>0.329614604462475</v>
      </c>
    </row>
    <row r="342" customFormat="false" ht="15" hidden="false" customHeight="true" outlineLevel="0" collapsed="false">
      <c r="A342" s="8" t="n">
        <v>2022</v>
      </c>
      <c r="B342" s="8" t="s">
        <v>160</v>
      </c>
      <c r="C342" s="8" t="s">
        <v>139</v>
      </c>
      <c r="D342" s="8" t="s">
        <v>177</v>
      </c>
      <c r="E342" s="8" t="n">
        <f aca="false">'Carbon County Estimates'!E90</f>
        <v>296</v>
      </c>
      <c r="F342" s="8" t="n">
        <f aca="false">'Carbon County Estimates'!F90</f>
        <v>522</v>
      </c>
      <c r="G342" s="8" t="n">
        <f aca="false">'Carbon County Estimates'!G90</f>
        <v>818</v>
      </c>
      <c r="H342" s="9" t="n">
        <f aca="false">E342/G342</f>
        <v>0.361858190709046</v>
      </c>
    </row>
    <row r="343" customFormat="false" ht="15" hidden="false" customHeight="true" outlineLevel="0" collapsed="false">
      <c r="A343" s="8" t="n">
        <v>2024</v>
      </c>
      <c r="B343" s="8" t="s">
        <v>160</v>
      </c>
      <c r="C343" s="8" t="s">
        <v>139</v>
      </c>
      <c r="D343" s="8" t="s">
        <v>177</v>
      </c>
      <c r="E343" s="8" t="n">
        <f aca="false">'Carbon County Estimates'!E91</f>
        <v>403</v>
      </c>
      <c r="F343" s="8" t="n">
        <f aca="false">'Carbon County Estimates'!F91</f>
        <v>775</v>
      </c>
      <c r="G343" s="8" t="n">
        <f aca="false">'Carbon County Estimates'!G91</f>
        <v>1178</v>
      </c>
      <c r="H343" s="9" t="n">
        <f aca="false">E343/G343</f>
        <v>0.342105263157895</v>
      </c>
    </row>
    <row r="344" customFormat="false" ht="15" hidden="false" customHeight="true" outlineLevel="0" collapsed="false">
      <c r="A344" s="8" t="n">
        <v>2018</v>
      </c>
      <c r="B344" s="8" t="s">
        <v>161</v>
      </c>
      <c r="C344" s="8" t="s">
        <v>139</v>
      </c>
      <c r="D344" s="8" t="s">
        <v>177</v>
      </c>
      <c r="E344" s="8" t="n">
        <f aca="false">'Carbon County Estimates'!E92</f>
        <v>29</v>
      </c>
      <c r="F344" s="8" t="n">
        <f aca="false">'Carbon County Estimates'!F92</f>
        <v>41</v>
      </c>
      <c r="G344" s="8" t="n">
        <f aca="false">'Carbon County Estimates'!G92</f>
        <v>70</v>
      </c>
      <c r="H344" s="9" t="n">
        <f aca="false">E344/G344</f>
        <v>0.414285714285714</v>
      </c>
    </row>
    <row r="345" customFormat="false" ht="15" hidden="false" customHeight="true" outlineLevel="0" collapsed="false">
      <c r="A345" s="8" t="n">
        <v>2020</v>
      </c>
      <c r="B345" s="8" t="s">
        <v>161</v>
      </c>
      <c r="C345" s="8" t="s">
        <v>139</v>
      </c>
      <c r="D345" s="8" t="s">
        <v>177</v>
      </c>
      <c r="E345" s="8" t="n">
        <f aca="false">'Carbon County Estimates'!E93</f>
        <v>47</v>
      </c>
      <c r="F345" s="8" t="n">
        <f aca="false">'Carbon County Estimates'!F93</f>
        <v>71</v>
      </c>
      <c r="G345" s="8" t="n">
        <f aca="false">'Carbon County Estimates'!G93</f>
        <v>118</v>
      </c>
      <c r="H345" s="9" t="n">
        <f aca="false">E345/G345</f>
        <v>0.398305084745763</v>
      </c>
    </row>
    <row r="346" customFormat="false" ht="15" hidden="false" customHeight="true" outlineLevel="0" collapsed="false">
      <c r="A346" s="8" t="n">
        <v>2022</v>
      </c>
      <c r="B346" s="8" t="s">
        <v>161</v>
      </c>
      <c r="C346" s="8" t="s">
        <v>139</v>
      </c>
      <c r="D346" s="8" t="s">
        <v>177</v>
      </c>
      <c r="E346" s="8" t="n">
        <f aca="false">'Carbon County Estimates'!E94</f>
        <v>42</v>
      </c>
      <c r="F346" s="8" t="n">
        <f aca="false">'Carbon County Estimates'!F94</f>
        <v>57</v>
      </c>
      <c r="G346" s="8" t="n">
        <f aca="false">'Carbon County Estimates'!G94</f>
        <v>99</v>
      </c>
      <c r="H346" s="9" t="n">
        <f aca="false">E346/G346</f>
        <v>0.424242424242424</v>
      </c>
    </row>
    <row r="347" customFormat="false" ht="15" hidden="false" customHeight="true" outlineLevel="0" collapsed="false">
      <c r="A347" s="8" t="n">
        <v>2024</v>
      </c>
      <c r="B347" s="8" t="s">
        <v>161</v>
      </c>
      <c r="C347" s="8" t="s">
        <v>139</v>
      </c>
      <c r="D347" s="8" t="s">
        <v>177</v>
      </c>
      <c r="E347" s="8" t="n">
        <f aca="false">'Carbon County Estimates'!E95</f>
        <v>64</v>
      </c>
      <c r="F347" s="8" t="n">
        <f aca="false">'Carbon County Estimates'!F95</f>
        <v>95</v>
      </c>
      <c r="G347" s="8" t="n">
        <f aca="false">'Carbon County Estimates'!G95</f>
        <v>159</v>
      </c>
      <c r="H347" s="9" t="n">
        <f aca="false">E347/G347</f>
        <v>0.40251572327044</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1"/>
    <col collapsed="false" customWidth="true" hidden="false" outlineLevel="0" max="4" min="4" style="1" width="14"/>
    <col collapsed="false" customWidth="true" hidden="false" outlineLevel="0" max="5" min="5" style="1" width="17"/>
    <col collapsed="false" customWidth="true" hidden="false" outlineLevel="0" max="6" min="6" style="1" width="15"/>
    <col collapsed="false" customWidth="true" hidden="false" outlineLevel="0" max="7" min="7" style="1" width="10"/>
    <col collapsed="false" customWidth="true" hidden="false" outlineLevel="0" max="8" min="8" style="1" width="14"/>
  </cols>
  <sheetData>
    <row r="1" customFormat="false" ht="27.75" hidden="false" customHeight="true" outlineLevel="0" collapsed="false">
      <c r="A1" s="10" t="s">
        <v>178</v>
      </c>
      <c r="B1" s="10"/>
      <c r="C1" s="10"/>
      <c r="D1" s="10"/>
      <c r="E1" s="10"/>
      <c r="F1" s="10"/>
      <c r="G1" s="10"/>
      <c r="H1" s="10"/>
      <c r="I1" s="10"/>
    </row>
    <row r="3" customFormat="false" ht="15" hidden="false" customHeight="true" outlineLevel="0" collapsed="false">
      <c r="A3" s="7" t="s">
        <v>60</v>
      </c>
      <c r="B3" s="7" t="s">
        <v>61</v>
      </c>
      <c r="C3" s="7" t="s">
        <v>175</v>
      </c>
      <c r="D3" s="7" t="s">
        <v>179</v>
      </c>
      <c r="E3" s="7" t="s">
        <v>180</v>
      </c>
      <c r="F3" s="7" t="s">
        <v>181</v>
      </c>
      <c r="G3" s="7" t="s">
        <v>182</v>
      </c>
      <c r="H3" s="7" t="s">
        <v>183</v>
      </c>
    </row>
    <row r="4" customFormat="false" ht="15" hidden="false" customHeight="true" outlineLevel="0" collapsed="false">
      <c r="A4" s="8" t="s">
        <v>72</v>
      </c>
      <c r="B4" s="8" t="s">
        <v>73</v>
      </c>
      <c r="C4" s="8" t="s">
        <v>176</v>
      </c>
      <c r="D4" s="9" t="n">
        <f aca="false">AVERAGE('Combined District Data'!H4:H7)</f>
        <v>0.47525269636346</v>
      </c>
      <c r="E4" s="9" t="n">
        <f aca="false">AVERAGE(ABS('Combined District Data'!H4-0.5),ABS('Combined District Data'!H5-0.5),ABS('Combined District Data'!H6-0.5),ABS('Combined District Data'!H7-0.5))</f>
        <v>0.0280955179222538</v>
      </c>
      <c r="F4" s="9" t="n">
        <f aca="false">STDEV('Combined District Data'!H4:H7)</f>
        <v>0.0287420466323403</v>
      </c>
      <c r="G4" s="8" t="n">
        <f aca="false">IF(('Combined District Data'!H4&gt;0.5)&lt;&gt;('Combined District Data'!H5&gt;0.5),1,0)+IF(('Combined District Data'!H5&gt;0.5)&lt;&gt;('Combined District Data'!H6&gt;0.5),1,0)+IF(('Combined District Data'!H6&gt;0.5)&lt;&gt;('Combined District Data'!H7&gt;0.5),1,0)</f>
        <v>1</v>
      </c>
      <c r="H4" s="7" t="str">
        <f aca="false">IF(OR(G4&gt;=1,E4&lt;0.05),"Hard",IF(AND(E4&gt;=0.15,F4&lt;0.05),"Easy","Medium"))</f>
        <v>Hard</v>
      </c>
    </row>
    <row r="5" customFormat="false" ht="15" hidden="false" customHeight="true" outlineLevel="0" collapsed="false">
      <c r="A5" s="8" t="s">
        <v>74</v>
      </c>
      <c r="B5" s="8" t="s">
        <v>73</v>
      </c>
      <c r="C5" s="8" t="s">
        <v>176</v>
      </c>
      <c r="D5" s="9" t="n">
        <f aca="false">AVERAGE('Combined District Data'!H8:H11)</f>
        <v>0.680266424276953</v>
      </c>
      <c r="E5" s="9" t="n">
        <f aca="false">AVERAGE(ABS('Combined District Data'!H8-0.5),ABS('Combined District Data'!H9-0.5),ABS('Combined District Data'!H10-0.5),ABS('Combined District Data'!H11-0.5))</f>
        <v>0.180266424276953</v>
      </c>
      <c r="F5" s="9" t="n">
        <f aca="false">STDEV('Combined District Data'!H8:H11)</f>
        <v>0.0266442920382746</v>
      </c>
      <c r="G5" s="8" t="n">
        <f aca="false">IF(('Combined District Data'!H8&gt;0.5)&lt;&gt;('Combined District Data'!H9&gt;0.5),1,0)+IF(('Combined District Data'!H9&gt;0.5)&lt;&gt;('Combined District Data'!H10&gt;0.5),1,0)+IF(('Combined District Data'!H10&gt;0.5)&lt;&gt;('Combined District Data'!H11&gt;0.5),1,0)</f>
        <v>0</v>
      </c>
      <c r="H5" s="7" t="str">
        <f aca="false">IF(OR(G5&gt;=1,E5&lt;0.05),"Hard",IF(AND(E5&gt;=0.15,F5&lt;0.05),"Easy","Medium"))</f>
        <v>Easy</v>
      </c>
    </row>
    <row r="6" customFormat="false" ht="15" hidden="false" customHeight="true" outlineLevel="0" collapsed="false">
      <c r="A6" s="8" t="s">
        <v>75</v>
      </c>
      <c r="B6" s="8" t="s">
        <v>73</v>
      </c>
      <c r="C6" s="8" t="s">
        <v>176</v>
      </c>
      <c r="D6" s="9" t="n">
        <f aca="false">AVERAGE('Combined District Data'!H12:H15)</f>
        <v>0.63958902669926</v>
      </c>
      <c r="E6" s="9" t="n">
        <f aca="false">AVERAGE(ABS('Combined District Data'!H12-0.5),ABS('Combined District Data'!H13-0.5),ABS('Combined District Data'!H14-0.5),ABS('Combined District Data'!H15-0.5))</f>
        <v>0.13958902669926</v>
      </c>
      <c r="F6" s="9" t="n">
        <f aca="false">STDEV('Combined District Data'!H12:H15)</f>
        <v>0.0119977372891362</v>
      </c>
      <c r="G6" s="8" t="n">
        <f aca="false">IF(('Combined District Data'!H12&gt;0.5)&lt;&gt;('Combined District Data'!H13&gt;0.5),1,0)+IF(('Combined District Data'!H13&gt;0.5)&lt;&gt;('Combined District Data'!H14&gt;0.5),1,0)+IF(('Combined District Data'!H14&gt;0.5)&lt;&gt;('Combined District Data'!H15&gt;0.5),1,0)</f>
        <v>0</v>
      </c>
      <c r="H6" s="7" t="str">
        <f aca="false">IF(OR(G6&gt;=1,E6&lt;0.05),"Hard",IF(AND(E6&gt;=0.15,F6&lt;0.05),"Easy","Medium"))</f>
        <v>Medium</v>
      </c>
    </row>
    <row r="7" customFormat="false" ht="15" hidden="false" customHeight="true" outlineLevel="0" collapsed="false">
      <c r="A7" s="8" t="s">
        <v>76</v>
      </c>
      <c r="B7" s="8" t="s">
        <v>73</v>
      </c>
      <c r="C7" s="8" t="s">
        <v>176</v>
      </c>
      <c r="D7" s="9" t="n">
        <f aca="false">AVERAGE('Combined District Data'!H16:H19)</f>
        <v>0.528783579480555</v>
      </c>
      <c r="E7" s="9" t="n">
        <f aca="false">AVERAGE(ABS('Combined District Data'!H16-0.5),ABS('Combined District Data'!H17-0.5),ABS('Combined District Data'!H18-0.5),ABS('Combined District Data'!H19-0.5))</f>
        <v>0.0287835794805545</v>
      </c>
      <c r="F7" s="9" t="n">
        <f aca="false">STDEV('Combined District Data'!H16:H19)</f>
        <v>0.0195322026186271</v>
      </c>
      <c r="G7" s="8" t="n">
        <f aca="false">IF(('Combined District Data'!H16&gt;0.5)&lt;&gt;('Combined District Data'!H17&gt;0.5),1,0)+IF(('Combined District Data'!H17&gt;0.5)&lt;&gt;('Combined District Data'!H18&gt;0.5),1,0)+IF(('Combined District Data'!H18&gt;0.5)&lt;&gt;('Combined District Data'!H19&gt;0.5),1,0)</f>
        <v>0</v>
      </c>
      <c r="H7" s="7" t="str">
        <f aca="false">IF(OR(G7&gt;=1,E7&lt;0.05),"Hard",IF(AND(E7&gt;=0.15,F7&lt;0.05),"Easy","Medium"))</f>
        <v>Hard</v>
      </c>
    </row>
    <row r="8" customFormat="false" ht="15" hidden="false" customHeight="true" outlineLevel="0" collapsed="false">
      <c r="A8" s="8" t="s">
        <v>77</v>
      </c>
      <c r="B8" s="8" t="s">
        <v>73</v>
      </c>
      <c r="C8" s="8" t="s">
        <v>176</v>
      </c>
      <c r="D8" s="9" t="n">
        <f aca="false">AVERAGE('Combined District Data'!H20:H23)</f>
        <v>0.492091894873881</v>
      </c>
      <c r="E8" s="9" t="n">
        <f aca="false">AVERAGE(ABS('Combined District Data'!H20-0.5),ABS('Combined District Data'!H21-0.5),ABS('Combined District Data'!H22-0.5),ABS('Combined District Data'!H23-0.5))</f>
        <v>0.0178489668552094</v>
      </c>
      <c r="F8" s="9" t="n">
        <f aca="false">STDEV('Combined District Data'!H20:H23)</f>
        <v>0.0207939612197439</v>
      </c>
      <c r="G8" s="8" t="n">
        <f aca="false">IF(('Combined District Data'!H20&gt;0.5)&lt;&gt;('Combined District Data'!H21&gt;0.5),1,0)+IF(('Combined District Data'!H21&gt;0.5)&lt;&gt;('Combined District Data'!H22&gt;0.5),1,0)+IF(('Combined District Data'!H22&gt;0.5)&lt;&gt;('Combined District Data'!H23&gt;0.5),1,0)</f>
        <v>3</v>
      </c>
      <c r="H8" s="7" t="str">
        <f aca="false">IF(OR(G8&gt;=1,E8&lt;0.05),"Hard",IF(AND(E8&gt;=0.15,F8&lt;0.05),"Easy","Medium"))</f>
        <v>Hard</v>
      </c>
    </row>
    <row r="9" customFormat="false" ht="15" hidden="false" customHeight="true" outlineLevel="0" collapsed="false">
      <c r="A9" s="8" t="s">
        <v>78</v>
      </c>
      <c r="B9" s="8" t="s">
        <v>73</v>
      </c>
      <c r="C9" s="8" t="s">
        <v>176</v>
      </c>
      <c r="D9" s="9" t="n">
        <f aca="false">AVERAGE('Combined District Data'!H24:H27)</f>
        <v>0.518089116524169</v>
      </c>
      <c r="E9" s="9" t="n">
        <f aca="false">AVERAGE(ABS('Combined District Data'!H24-0.5),ABS('Combined District Data'!H25-0.5),ABS('Combined District Data'!H26-0.5),ABS('Combined District Data'!H27-0.5))</f>
        <v>0.0180891165241689</v>
      </c>
      <c r="F9" s="9" t="n">
        <f aca="false">STDEV('Combined District Data'!H24:H27)</f>
        <v>0.0195005341094455</v>
      </c>
      <c r="G9" s="8" t="n">
        <f aca="false">IF(('Combined District Data'!H24&gt;0.5)&lt;&gt;('Combined District Data'!H25&gt;0.5),1,0)+IF(('Combined District Data'!H25&gt;0.5)&lt;&gt;('Combined District Data'!H26&gt;0.5),1,0)+IF(('Combined District Data'!H26&gt;0.5)&lt;&gt;('Combined District Data'!H27&gt;0.5),1,0)</f>
        <v>0</v>
      </c>
      <c r="H9" s="7" t="str">
        <f aca="false">IF(OR(G9&gt;=1,E9&lt;0.05),"Hard",IF(AND(E9&gt;=0.15,F9&lt;0.05),"Easy","Medium"))</f>
        <v>Hard</v>
      </c>
    </row>
    <row r="10" customFormat="false" ht="15" hidden="false" customHeight="true" outlineLevel="0" collapsed="false">
      <c r="A10" s="8" t="s">
        <v>79</v>
      </c>
      <c r="B10" s="8" t="s">
        <v>73</v>
      </c>
      <c r="C10" s="8" t="s">
        <v>176</v>
      </c>
      <c r="D10" s="9" t="n">
        <f aca="false">AVERAGE('Combined District Data'!H28:H31)</f>
        <v>0.536331225855214</v>
      </c>
      <c r="E10" s="9" t="n">
        <f aca="false">AVERAGE(ABS('Combined District Data'!H28-0.5),ABS('Combined District Data'!H29-0.5),ABS('Combined District Data'!H30-0.5),ABS('Combined District Data'!H31-0.5))</f>
        <v>0.0363312258552141</v>
      </c>
      <c r="F10" s="9" t="n">
        <f aca="false">STDEV('Combined District Data'!H28:H31)</f>
        <v>0.0145151155082821</v>
      </c>
      <c r="G10" s="8" t="n">
        <f aca="false">IF(('Combined District Data'!H28&gt;0.5)&lt;&gt;('Combined District Data'!H29&gt;0.5),1,0)+IF(('Combined District Data'!H29&gt;0.5)&lt;&gt;('Combined District Data'!H30&gt;0.5),1,0)+IF(('Combined District Data'!H30&gt;0.5)&lt;&gt;('Combined District Data'!H31&gt;0.5),1,0)</f>
        <v>0</v>
      </c>
      <c r="H10" s="7" t="str">
        <f aca="false">IF(OR(G10&gt;=1,E10&lt;0.05),"Hard",IF(AND(E10&gt;=0.15,F10&lt;0.05),"Easy","Medium"))</f>
        <v>Hard</v>
      </c>
    </row>
    <row r="11" customFormat="false" ht="15" hidden="false" customHeight="true" outlineLevel="0" collapsed="false">
      <c r="A11" s="8" t="s">
        <v>80</v>
      </c>
      <c r="B11" s="8" t="s">
        <v>73</v>
      </c>
      <c r="C11" s="8" t="s">
        <v>176</v>
      </c>
      <c r="D11" s="9" t="n">
        <f aca="false">AVERAGE('Combined District Data'!H32:H35)</f>
        <v>0.666969776717864</v>
      </c>
      <c r="E11" s="9" t="n">
        <f aca="false">AVERAGE(ABS('Combined District Data'!H32-0.5),ABS('Combined District Data'!H33-0.5),ABS('Combined District Data'!H34-0.5),ABS('Combined District Data'!H35-0.5))</f>
        <v>0.166969776717864</v>
      </c>
      <c r="F11" s="9" t="n">
        <f aca="false">STDEV('Combined District Data'!H32:H35)</f>
        <v>0.019214597296066</v>
      </c>
      <c r="G11" s="8" t="n">
        <f aca="false">IF(('Combined District Data'!H32&gt;0.5)&lt;&gt;('Combined District Data'!H33&gt;0.5),1,0)+IF(('Combined District Data'!H33&gt;0.5)&lt;&gt;('Combined District Data'!H34&gt;0.5),1,0)+IF(('Combined District Data'!H34&gt;0.5)&lt;&gt;('Combined District Data'!H35&gt;0.5),1,0)</f>
        <v>0</v>
      </c>
      <c r="H11" s="7" t="str">
        <f aca="false">IF(OR(G11&gt;=1,E11&lt;0.05),"Hard",IF(AND(E11&gt;=0.15,F11&lt;0.05),"Easy","Medium"))</f>
        <v>Easy</v>
      </c>
    </row>
    <row r="12" customFormat="false" ht="15" hidden="false" customHeight="true" outlineLevel="0" collapsed="false">
      <c r="A12" s="8" t="s">
        <v>81</v>
      </c>
      <c r="B12" s="8" t="s">
        <v>73</v>
      </c>
      <c r="C12" s="8" t="s">
        <v>176</v>
      </c>
      <c r="D12" s="9" t="n">
        <f aca="false">AVERAGE('Combined District Data'!H36:H39)</f>
        <v>0.562825917918583</v>
      </c>
      <c r="E12" s="9" t="n">
        <f aca="false">AVERAGE(ABS('Combined District Data'!H36-0.5),ABS('Combined District Data'!H37-0.5),ABS('Combined District Data'!H38-0.5),ABS('Combined District Data'!H39-0.5))</f>
        <v>0.0628259179185825</v>
      </c>
      <c r="F12" s="9" t="n">
        <f aca="false">STDEV('Combined District Data'!H36:H39)</f>
        <v>0.0211540493167305</v>
      </c>
      <c r="G12" s="8" t="n">
        <f aca="false">IF(('Combined District Data'!H36&gt;0.5)&lt;&gt;('Combined District Data'!H37&gt;0.5),1,0)+IF(('Combined District Data'!H37&gt;0.5)&lt;&gt;('Combined District Data'!H38&gt;0.5),1,0)+IF(('Combined District Data'!H38&gt;0.5)&lt;&gt;('Combined District Data'!H39&gt;0.5),1,0)</f>
        <v>0</v>
      </c>
      <c r="H12" s="7" t="str">
        <f aca="false">IF(OR(G12&gt;=1,E12&lt;0.05),"Hard",IF(AND(E12&gt;=0.15,F12&lt;0.05),"Easy","Medium"))</f>
        <v>Medium</v>
      </c>
    </row>
    <row r="13" customFormat="false" ht="15" hidden="false" customHeight="true" outlineLevel="0" collapsed="false">
      <c r="A13" s="8" t="s">
        <v>82</v>
      </c>
      <c r="B13" s="8" t="s">
        <v>73</v>
      </c>
      <c r="C13" s="8" t="s">
        <v>176</v>
      </c>
      <c r="D13" s="9" t="n">
        <f aca="false">AVERAGE('Combined District Data'!H40:H43)</f>
        <v>0.326087039394923</v>
      </c>
      <c r="E13" s="9" t="n">
        <f aca="false">AVERAGE(ABS('Combined District Data'!H40-0.5),ABS('Combined District Data'!H41-0.5),ABS('Combined District Data'!H42-0.5),ABS('Combined District Data'!H43-0.5))</f>
        <v>0.173912960605077</v>
      </c>
      <c r="F13" s="9" t="n">
        <f aca="false">STDEV('Combined District Data'!H40:H43)</f>
        <v>0.0184036818906487</v>
      </c>
      <c r="G13" s="8" t="n">
        <f aca="false">IF(('Combined District Data'!H40&gt;0.5)&lt;&gt;('Combined District Data'!H41&gt;0.5),1,0)+IF(('Combined District Data'!H41&gt;0.5)&lt;&gt;('Combined District Data'!H42&gt;0.5),1,0)+IF(('Combined District Data'!H42&gt;0.5)&lt;&gt;('Combined District Data'!H43&gt;0.5),1,0)</f>
        <v>0</v>
      </c>
      <c r="H13" s="7" t="str">
        <f aca="false">IF(OR(G13&gt;=1,E13&lt;0.05),"Hard",IF(AND(E13&gt;=0.15,F13&lt;0.05),"Easy","Medium"))</f>
        <v>Easy</v>
      </c>
    </row>
    <row r="14" customFormat="false" ht="15" hidden="false" customHeight="true" outlineLevel="0" collapsed="false">
      <c r="A14" s="8" t="s">
        <v>83</v>
      </c>
      <c r="B14" s="8" t="s">
        <v>73</v>
      </c>
      <c r="C14" s="8" t="s">
        <v>176</v>
      </c>
      <c r="D14" s="9" t="n">
        <f aca="false">AVERAGE('Combined District Data'!H44:H47)</f>
        <v>0.503300976262349</v>
      </c>
      <c r="E14" s="9" t="n">
        <f aca="false">AVERAGE(ABS('Combined District Data'!H44-0.5),ABS('Combined District Data'!H45-0.5),ABS('Combined District Data'!H46-0.5),ABS('Combined District Data'!H47-0.5))</f>
        <v>0.00865602242128374</v>
      </c>
      <c r="F14" s="9" t="n">
        <f aca="false">STDEV('Combined District Data'!H44:H47)</f>
        <v>0.0139308493431531</v>
      </c>
      <c r="G14" s="8" t="n">
        <f aca="false">IF(('Combined District Data'!H44&gt;0.5)&lt;&gt;('Combined District Data'!H45&gt;0.5),1,0)+IF(('Combined District Data'!H45&gt;0.5)&lt;&gt;('Combined District Data'!H46&gt;0.5),1,0)+IF(('Combined District Data'!H46&gt;0.5)&lt;&gt;('Combined District Data'!H47&gt;0.5),1,0)</f>
        <v>2</v>
      </c>
      <c r="H14" s="7" t="str">
        <f aca="false">IF(OR(G14&gt;=1,E14&lt;0.05),"Hard",IF(AND(E14&gt;=0.15,F14&lt;0.05),"Easy","Medium"))</f>
        <v>Hard</v>
      </c>
    </row>
    <row r="15" customFormat="false" ht="15" hidden="false" customHeight="true" outlineLevel="0" collapsed="false">
      <c r="A15" s="8" t="s">
        <v>84</v>
      </c>
      <c r="B15" s="8" t="s">
        <v>73</v>
      </c>
      <c r="C15" s="8" t="s">
        <v>176</v>
      </c>
      <c r="D15" s="9" t="n">
        <f aca="false">AVERAGE('Combined District Data'!H48:H51)</f>
        <v>0.382634164292816</v>
      </c>
      <c r="E15" s="9" t="n">
        <f aca="false">AVERAGE(ABS('Combined District Data'!H48-0.5),ABS('Combined District Data'!H49-0.5),ABS('Combined District Data'!H50-0.5),ABS('Combined District Data'!H51-0.5))</f>
        <v>0.117365835707184</v>
      </c>
      <c r="F15" s="9" t="n">
        <f aca="false">STDEV('Combined District Data'!H48:H51)</f>
        <v>0.0120608400728654</v>
      </c>
      <c r="G15" s="8" t="n">
        <f aca="false">IF(('Combined District Data'!H48&gt;0.5)&lt;&gt;('Combined District Data'!H49&gt;0.5),1,0)+IF(('Combined District Data'!H49&gt;0.5)&lt;&gt;('Combined District Data'!H50&gt;0.5),1,0)+IF(('Combined District Data'!H50&gt;0.5)&lt;&gt;('Combined District Data'!H51&gt;0.5),1,0)</f>
        <v>0</v>
      </c>
      <c r="H15" s="7" t="str">
        <f aca="false">IF(OR(G15&gt;=1,E15&lt;0.05),"Hard",IF(AND(E15&gt;=0.15,F15&lt;0.05),"Easy","Medium"))</f>
        <v>Medium</v>
      </c>
    </row>
    <row r="16" customFormat="false" ht="15" hidden="false" customHeight="true" outlineLevel="0" collapsed="false">
      <c r="A16" s="8" t="s">
        <v>85</v>
      </c>
      <c r="B16" s="8" t="s">
        <v>73</v>
      </c>
      <c r="C16" s="8" t="s">
        <v>176</v>
      </c>
      <c r="D16" s="9" t="n">
        <f aca="false">AVERAGE('Combined District Data'!H52:H55)</f>
        <v>0.362989722900452</v>
      </c>
      <c r="E16" s="9" t="n">
        <f aca="false">AVERAGE(ABS('Combined District Data'!H52-0.5),ABS('Combined District Data'!H53-0.5),ABS('Combined District Data'!H54-0.5),ABS('Combined District Data'!H55-0.5))</f>
        <v>0.137010277099548</v>
      </c>
      <c r="F16" s="9" t="n">
        <f aca="false">STDEV('Combined District Data'!H52:H55)</f>
        <v>0.00927411580564508</v>
      </c>
      <c r="G16" s="8" t="n">
        <f aca="false">IF(('Combined District Data'!H52&gt;0.5)&lt;&gt;('Combined District Data'!H53&gt;0.5),1,0)+IF(('Combined District Data'!H53&gt;0.5)&lt;&gt;('Combined District Data'!H54&gt;0.5),1,0)+IF(('Combined District Data'!H54&gt;0.5)&lt;&gt;('Combined District Data'!H55&gt;0.5),1,0)</f>
        <v>0</v>
      </c>
      <c r="H16" s="7" t="str">
        <f aca="false">IF(OR(G16&gt;=1,E16&lt;0.05),"Hard",IF(AND(E16&gt;=0.15,F16&lt;0.05),"Easy","Medium"))</f>
        <v>Medium</v>
      </c>
    </row>
    <row r="17" customFormat="false" ht="15" hidden="false" customHeight="true" outlineLevel="0" collapsed="false">
      <c r="A17" s="8" t="s">
        <v>86</v>
      </c>
      <c r="B17" s="8" t="s">
        <v>73</v>
      </c>
      <c r="C17" s="8" t="s">
        <v>176</v>
      </c>
      <c r="D17" s="9" t="n">
        <f aca="false">AVERAGE('Combined District Data'!H56:H59)</f>
        <v>0.323543754076099</v>
      </c>
      <c r="E17" s="9" t="n">
        <f aca="false">AVERAGE(ABS('Combined District Data'!H56-0.5),ABS('Combined District Data'!H57-0.5),ABS('Combined District Data'!H58-0.5),ABS('Combined District Data'!H59-0.5))</f>
        <v>0.176456245923901</v>
      </c>
      <c r="F17" s="9" t="n">
        <f aca="false">STDEV('Combined District Data'!H56:H59)</f>
        <v>0.00818243795199642</v>
      </c>
      <c r="G17" s="8" t="n">
        <f aca="false">IF(('Combined District Data'!H56&gt;0.5)&lt;&gt;('Combined District Data'!H57&gt;0.5),1,0)+IF(('Combined District Data'!H57&gt;0.5)&lt;&gt;('Combined District Data'!H58&gt;0.5),1,0)+IF(('Combined District Data'!H58&gt;0.5)&lt;&gt;('Combined District Data'!H59&gt;0.5),1,0)</f>
        <v>0</v>
      </c>
      <c r="H17" s="7" t="str">
        <f aca="false">IF(OR(G17&gt;=1,E17&lt;0.05),"Hard",IF(AND(E17&gt;=0.15,F17&lt;0.05),"Easy","Medium"))</f>
        <v>Easy</v>
      </c>
    </row>
    <row r="18" customFormat="false" ht="15" hidden="false" customHeight="true" outlineLevel="0" collapsed="false">
      <c r="A18" s="8" t="s">
        <v>87</v>
      </c>
      <c r="B18" s="8" t="s">
        <v>73</v>
      </c>
      <c r="C18" s="8" t="s">
        <v>176</v>
      </c>
      <c r="D18" s="9" t="n">
        <f aca="false">AVERAGE('Combined District Data'!H60:H63)</f>
        <v>0.537004395144986</v>
      </c>
      <c r="E18" s="9" t="n">
        <f aca="false">AVERAGE(ABS('Combined District Data'!H60-0.5),ABS('Combined District Data'!H61-0.5),ABS('Combined District Data'!H62-0.5),ABS('Combined District Data'!H63-0.5))</f>
        <v>0.0370043951449864</v>
      </c>
      <c r="F18" s="9" t="n">
        <f aca="false">STDEV('Combined District Data'!H60:H63)</f>
        <v>0.0138380352745559</v>
      </c>
      <c r="G18" s="8" t="n">
        <f aca="false">IF(('Combined District Data'!H60&gt;0.5)&lt;&gt;('Combined District Data'!H61&gt;0.5),1,0)+IF(('Combined District Data'!H61&gt;0.5)&lt;&gt;('Combined District Data'!H62&gt;0.5),1,0)+IF(('Combined District Data'!H62&gt;0.5)&lt;&gt;('Combined District Data'!H63&gt;0.5),1,0)</f>
        <v>0</v>
      </c>
      <c r="H18" s="7" t="str">
        <f aca="false">IF(OR(G18&gt;=1,E18&lt;0.05),"Hard",IF(AND(E18&gt;=0.15,F18&lt;0.05),"Easy","Medium"))</f>
        <v>Hard</v>
      </c>
    </row>
    <row r="19" customFormat="false" ht="15" hidden="false" customHeight="true" outlineLevel="0" collapsed="false">
      <c r="A19" s="8" t="s">
        <v>88</v>
      </c>
      <c r="B19" s="8" t="s">
        <v>73</v>
      </c>
      <c r="C19" s="8" t="s">
        <v>176</v>
      </c>
      <c r="D19" s="9" t="n">
        <f aca="false">AVERAGE('Combined District Data'!H64:H67)</f>
        <v>0.407605776628559</v>
      </c>
      <c r="E19" s="9" t="n">
        <f aca="false">AVERAGE(ABS('Combined District Data'!H64-0.5),ABS('Combined District Data'!H65-0.5),ABS('Combined District Data'!H66-0.5),ABS('Combined District Data'!H67-0.5))</f>
        <v>0.0923942233714411</v>
      </c>
      <c r="F19" s="9" t="n">
        <f aca="false">STDEV('Combined District Data'!H64:H67)</f>
        <v>0.0097365715217069</v>
      </c>
      <c r="G19" s="8" t="n">
        <f aca="false">IF(('Combined District Data'!H64&gt;0.5)&lt;&gt;('Combined District Data'!H65&gt;0.5),1,0)+IF(('Combined District Data'!H65&gt;0.5)&lt;&gt;('Combined District Data'!H66&gt;0.5),1,0)+IF(('Combined District Data'!H66&gt;0.5)&lt;&gt;('Combined District Data'!H67&gt;0.5),1,0)</f>
        <v>0</v>
      </c>
      <c r="H19" s="7" t="str">
        <f aca="false">IF(OR(G19&gt;=1,E19&lt;0.05),"Hard",IF(AND(E19&gt;=0.15,F19&lt;0.05),"Easy","Medium"))</f>
        <v>Medium</v>
      </c>
    </row>
    <row r="20" customFormat="false" ht="15" hidden="false" customHeight="true" outlineLevel="0" collapsed="false">
      <c r="A20" s="8" t="s">
        <v>89</v>
      </c>
      <c r="B20" s="8" t="s">
        <v>73</v>
      </c>
      <c r="C20" s="8" t="s">
        <v>176</v>
      </c>
      <c r="D20" s="9" t="n">
        <f aca="false">AVERAGE('Combined District Data'!H68:H71)</f>
        <v>0.497333646983708</v>
      </c>
      <c r="E20" s="9" t="n">
        <f aca="false">AVERAGE(ABS('Combined District Data'!H68-0.5),ABS('Combined District Data'!H69-0.5),ABS('Combined District Data'!H70-0.5),ABS('Combined District Data'!H71-0.5))</f>
        <v>0.00698482035297511</v>
      </c>
      <c r="F20" s="9" t="n">
        <f aca="false">STDEV('Combined District Data'!H68:H71)</f>
        <v>0.00755131082474841</v>
      </c>
      <c r="G20" s="8" t="n">
        <f aca="false">IF(('Combined District Data'!H68&gt;0.5)&lt;&gt;('Combined District Data'!H69&gt;0.5),1,0)+IF(('Combined District Data'!H69&gt;0.5)&lt;&gt;('Combined District Data'!H70&gt;0.5),1,0)+IF(('Combined District Data'!H70&gt;0.5)&lt;&gt;('Combined District Data'!H71&gt;0.5),1,0)</f>
        <v>2</v>
      </c>
      <c r="H20" s="7" t="str">
        <f aca="false">IF(OR(G20&gt;=1,E20&lt;0.05),"Hard",IF(AND(E20&gt;=0.15,F20&lt;0.05),"Easy","Medium"))</f>
        <v>Hard</v>
      </c>
    </row>
    <row r="21" customFormat="false" ht="15" hidden="false" customHeight="true" outlineLevel="0" collapsed="false">
      <c r="A21" s="8" t="s">
        <v>90</v>
      </c>
      <c r="B21" s="8" t="s">
        <v>73</v>
      </c>
      <c r="C21" s="8" t="s">
        <v>176</v>
      </c>
      <c r="D21" s="9" t="n">
        <f aca="false">AVERAGE('Combined District Data'!H72:H75)</f>
        <v>0.424840998771565</v>
      </c>
      <c r="E21" s="9" t="n">
        <f aca="false">AVERAGE(ABS('Combined District Data'!H72-0.5),ABS('Combined District Data'!H73-0.5),ABS('Combined District Data'!H74-0.5),ABS('Combined District Data'!H75-0.5))</f>
        <v>0.0751590012284353</v>
      </c>
      <c r="F21" s="9" t="n">
        <f aca="false">STDEV('Combined District Data'!H72:H75)</f>
        <v>0.027655710866837</v>
      </c>
      <c r="G21" s="8" t="n">
        <f aca="false">IF(('Combined District Data'!H72&gt;0.5)&lt;&gt;('Combined District Data'!H73&gt;0.5),1,0)+IF(('Combined District Data'!H73&gt;0.5)&lt;&gt;('Combined District Data'!H74&gt;0.5),1,0)+IF(('Combined District Data'!H74&gt;0.5)&lt;&gt;('Combined District Data'!H75&gt;0.5),1,0)</f>
        <v>0</v>
      </c>
      <c r="H21" s="7" t="str">
        <f aca="false">IF(OR(G21&gt;=1,E21&lt;0.05),"Hard",IF(AND(E21&gt;=0.15,F21&lt;0.05),"Easy","Medium"))</f>
        <v>Medium</v>
      </c>
    </row>
    <row r="22" customFormat="false" ht="15" hidden="false" customHeight="true" outlineLevel="0" collapsed="false">
      <c r="A22" s="8" t="s">
        <v>91</v>
      </c>
      <c r="B22" s="8" t="s">
        <v>73</v>
      </c>
      <c r="C22" s="8" t="s">
        <v>176</v>
      </c>
      <c r="D22" s="9" t="n">
        <f aca="false">AVERAGE('Combined District Data'!H76:H79)</f>
        <v>0.545032357770557</v>
      </c>
      <c r="E22" s="9" t="n">
        <f aca="false">AVERAGE(ABS('Combined District Data'!H76-0.5),ABS('Combined District Data'!H77-0.5),ABS('Combined District Data'!H78-0.5),ABS('Combined District Data'!H79-0.5))</f>
        <v>0.0450323577705571</v>
      </c>
      <c r="F22" s="9" t="n">
        <f aca="false">STDEV('Combined District Data'!H76:H79)</f>
        <v>0.0143901267925014</v>
      </c>
      <c r="G22" s="8" t="n">
        <f aca="false">IF(('Combined District Data'!H76&gt;0.5)&lt;&gt;('Combined District Data'!H77&gt;0.5),1,0)+IF(('Combined District Data'!H77&gt;0.5)&lt;&gt;('Combined District Data'!H78&gt;0.5),1,0)+IF(('Combined District Data'!H78&gt;0.5)&lt;&gt;('Combined District Data'!H79&gt;0.5),1,0)</f>
        <v>0</v>
      </c>
      <c r="H22" s="7" t="str">
        <f aca="false">IF(OR(G22&gt;=1,E22&lt;0.05),"Hard",IF(AND(E22&gt;=0.15,F22&lt;0.05),"Easy","Medium"))</f>
        <v>Hard</v>
      </c>
    </row>
    <row r="23" customFormat="false" ht="15" hidden="false" customHeight="true" outlineLevel="0" collapsed="false">
      <c r="A23" s="8" t="s">
        <v>92</v>
      </c>
      <c r="B23" s="8" t="s">
        <v>73</v>
      </c>
      <c r="C23" s="8" t="s">
        <v>176</v>
      </c>
      <c r="D23" s="9" t="n">
        <f aca="false">AVERAGE('Combined District Data'!H80:H83)</f>
        <v>0.520031154632172</v>
      </c>
      <c r="E23" s="9" t="n">
        <f aca="false">AVERAGE(ABS('Combined District Data'!H80-0.5),ABS('Combined District Data'!H81-0.5),ABS('Combined District Data'!H82-0.5),ABS('Combined District Data'!H83-0.5))</f>
        <v>0.0200311546321724</v>
      </c>
      <c r="F23" s="9" t="n">
        <f aca="false">STDEV('Combined District Data'!H80:H83)</f>
        <v>0.0090523442711686</v>
      </c>
      <c r="G23" s="8" t="n">
        <f aca="false">IF(('Combined District Data'!H80&gt;0.5)&lt;&gt;('Combined District Data'!H81&gt;0.5),1,0)+IF(('Combined District Data'!H81&gt;0.5)&lt;&gt;('Combined District Data'!H82&gt;0.5),1,0)+IF(('Combined District Data'!H82&gt;0.5)&lt;&gt;('Combined District Data'!H83&gt;0.5),1,0)</f>
        <v>0</v>
      </c>
      <c r="H23" s="7" t="str">
        <f aca="false">IF(OR(G23&gt;=1,E23&lt;0.05),"Hard",IF(AND(E23&gt;=0.15,F23&lt;0.05),"Easy","Medium"))</f>
        <v>Hard</v>
      </c>
    </row>
    <row r="24" customFormat="false" ht="15" hidden="false" customHeight="true" outlineLevel="0" collapsed="false">
      <c r="A24" s="8" t="s">
        <v>93</v>
      </c>
      <c r="B24" s="8" t="s">
        <v>73</v>
      </c>
      <c r="C24" s="8" t="s">
        <v>176</v>
      </c>
      <c r="D24" s="9" t="n">
        <f aca="false">AVERAGE('Combined District Data'!H84:H87)</f>
        <v>0.439664750024946</v>
      </c>
      <c r="E24" s="9" t="n">
        <f aca="false">AVERAGE(ABS('Combined District Data'!H84-0.5),ABS('Combined District Data'!H85-0.5),ABS('Combined District Data'!H86-0.5),ABS('Combined District Data'!H87-0.5))</f>
        <v>0.0603352499750543</v>
      </c>
      <c r="F24" s="9" t="n">
        <f aca="false">STDEV('Combined District Data'!H84:H87)</f>
        <v>0.0113539980914906</v>
      </c>
      <c r="G24" s="8" t="n">
        <f aca="false">IF(('Combined District Data'!H84&gt;0.5)&lt;&gt;('Combined District Data'!H85&gt;0.5),1,0)+IF(('Combined District Data'!H85&gt;0.5)&lt;&gt;('Combined District Data'!H86&gt;0.5),1,0)+IF(('Combined District Data'!H86&gt;0.5)&lt;&gt;('Combined District Data'!H87&gt;0.5),1,0)</f>
        <v>0</v>
      </c>
      <c r="H24" s="7" t="str">
        <f aca="false">IF(OR(G24&gt;=1,E24&lt;0.05),"Hard",IF(AND(E24&gt;=0.15,F24&lt;0.05),"Easy","Medium"))</f>
        <v>Medium</v>
      </c>
    </row>
    <row r="25" customFormat="false" ht="15" hidden="false" customHeight="true" outlineLevel="0" collapsed="false">
      <c r="A25" s="8" t="s">
        <v>94</v>
      </c>
      <c r="B25" s="8" t="s">
        <v>73</v>
      </c>
      <c r="C25" s="8" t="s">
        <v>176</v>
      </c>
      <c r="D25" s="9" t="n">
        <f aca="false">AVERAGE('Combined District Data'!H88:H91)</f>
        <v>0.483860454948338</v>
      </c>
      <c r="E25" s="9" t="n">
        <f aca="false">AVERAGE(ABS('Combined District Data'!H88-0.5),ABS('Combined District Data'!H89-0.5),ABS('Combined District Data'!H90-0.5),ABS('Combined District Data'!H91-0.5))</f>
        <v>0.0171936761057926</v>
      </c>
      <c r="F25" s="9" t="n">
        <f aca="false">STDEV('Combined District Data'!H88:H91)</f>
        <v>0.014841905042025</v>
      </c>
      <c r="G25" s="8" t="n">
        <f aca="false">IF(('Combined District Data'!H88&gt;0.5)&lt;&gt;('Combined District Data'!H89&gt;0.5),1,0)+IF(('Combined District Data'!H89&gt;0.5)&lt;&gt;('Combined District Data'!H90&gt;0.5),1,0)+IF(('Combined District Data'!H90&gt;0.5)&lt;&gt;('Combined District Data'!H91&gt;0.5),1,0)</f>
        <v>2</v>
      </c>
      <c r="H25" s="7" t="str">
        <f aca="false">IF(OR(G25&gt;=1,E25&lt;0.05),"Hard",IF(AND(E25&gt;=0.15,F25&lt;0.05),"Easy","Medium"))</f>
        <v>Hard</v>
      </c>
    </row>
    <row r="26" customFormat="false" ht="15" hidden="false" customHeight="true" outlineLevel="0" collapsed="false">
      <c r="A26" s="8" t="s">
        <v>95</v>
      </c>
      <c r="B26" s="8" t="s">
        <v>73</v>
      </c>
      <c r="C26" s="8" t="s">
        <v>176</v>
      </c>
      <c r="D26" s="9" t="n">
        <f aca="false">AVERAGE('Combined District Data'!H92:H95)</f>
        <v>0.334737170359855</v>
      </c>
      <c r="E26" s="9" t="n">
        <f aca="false">AVERAGE(ABS('Combined District Data'!H92-0.5),ABS('Combined District Data'!H93-0.5),ABS('Combined District Data'!H94-0.5),ABS('Combined District Data'!H95-0.5))</f>
        <v>0.165262829640145</v>
      </c>
      <c r="F26" s="9" t="n">
        <f aca="false">STDEV('Combined District Data'!H92:H95)</f>
        <v>0.0144978907502184</v>
      </c>
      <c r="G26" s="8" t="n">
        <f aca="false">IF(('Combined District Data'!H92&gt;0.5)&lt;&gt;('Combined District Data'!H93&gt;0.5),1,0)+IF(('Combined District Data'!H93&gt;0.5)&lt;&gt;('Combined District Data'!H94&gt;0.5),1,0)+IF(('Combined District Data'!H94&gt;0.5)&lt;&gt;('Combined District Data'!H95&gt;0.5),1,0)</f>
        <v>0</v>
      </c>
      <c r="H26" s="7" t="str">
        <f aca="false">IF(OR(G26&gt;=1,E26&lt;0.05),"Hard",IF(AND(E26&gt;=0.15,F26&lt;0.05),"Easy","Medium"))</f>
        <v>Easy</v>
      </c>
    </row>
    <row r="27" customFormat="false" ht="15" hidden="false" customHeight="true" outlineLevel="0" collapsed="false">
      <c r="A27" s="8" t="s">
        <v>96</v>
      </c>
      <c r="B27" s="8" t="s">
        <v>73</v>
      </c>
      <c r="C27" s="8" t="s">
        <v>176</v>
      </c>
      <c r="D27" s="9" t="n">
        <f aca="false">AVERAGE('Combined District Data'!H96:H99)</f>
        <v>0.346491801024553</v>
      </c>
      <c r="E27" s="9" t="n">
        <f aca="false">AVERAGE(ABS('Combined District Data'!H96-0.5),ABS('Combined District Data'!H97-0.5),ABS('Combined District Data'!H98-0.5),ABS('Combined District Data'!H99-0.5))</f>
        <v>0.153508198975447</v>
      </c>
      <c r="F27" s="9" t="n">
        <f aca="false">STDEV('Combined District Data'!H96:H99)</f>
        <v>0.013486091931764</v>
      </c>
      <c r="G27" s="8" t="n">
        <f aca="false">IF(('Combined District Data'!H96&gt;0.5)&lt;&gt;('Combined District Data'!H97&gt;0.5),1,0)+IF(('Combined District Data'!H97&gt;0.5)&lt;&gt;('Combined District Data'!H98&gt;0.5),1,0)+IF(('Combined District Data'!H98&gt;0.5)&lt;&gt;('Combined District Data'!H99&gt;0.5),1,0)</f>
        <v>0</v>
      </c>
      <c r="H27" s="7" t="str">
        <f aca="false">IF(OR(G27&gt;=1,E27&lt;0.05),"Hard",IF(AND(E27&gt;=0.15,F27&lt;0.05),"Easy","Medium"))</f>
        <v>Easy</v>
      </c>
    </row>
    <row r="28" customFormat="false" ht="15" hidden="false" customHeight="true" outlineLevel="0" collapsed="false">
      <c r="A28" s="8" t="s">
        <v>97</v>
      </c>
      <c r="B28" s="8" t="s">
        <v>73</v>
      </c>
      <c r="C28" s="8" t="s">
        <v>176</v>
      </c>
      <c r="D28" s="9" t="n">
        <f aca="false">AVERAGE('Combined District Data'!H100:H103)</f>
        <v>0.527707894442816</v>
      </c>
      <c r="E28" s="9" t="n">
        <f aca="false">AVERAGE(ABS('Combined District Data'!H100-0.5),ABS('Combined District Data'!H101-0.5),ABS('Combined District Data'!H102-0.5),ABS('Combined District Data'!H103-0.5))</f>
        <v>0.0277078944428157</v>
      </c>
      <c r="F28" s="9" t="n">
        <f aca="false">STDEV('Combined District Data'!H100:H103)</f>
        <v>0.0117172878088115</v>
      </c>
      <c r="G28" s="8" t="n">
        <f aca="false">IF(('Combined District Data'!H100&gt;0.5)&lt;&gt;('Combined District Data'!H101&gt;0.5),1,0)+IF(('Combined District Data'!H101&gt;0.5)&lt;&gt;('Combined District Data'!H102&gt;0.5),1,0)+IF(('Combined District Data'!H102&gt;0.5)&lt;&gt;('Combined District Data'!H103&gt;0.5),1,0)</f>
        <v>0</v>
      </c>
      <c r="H28" s="7" t="str">
        <f aca="false">IF(OR(G28&gt;=1,E28&lt;0.05),"Hard",IF(AND(E28&gt;=0.15,F28&lt;0.05),"Easy","Medium"))</f>
        <v>Hard</v>
      </c>
    </row>
    <row r="29" customFormat="false" ht="15" hidden="false" customHeight="true" outlineLevel="0" collapsed="false">
      <c r="A29" s="8" t="s">
        <v>98</v>
      </c>
      <c r="B29" s="8" t="s">
        <v>99</v>
      </c>
      <c r="C29" s="8" t="s">
        <v>176</v>
      </c>
      <c r="D29" s="9" t="n">
        <f aca="false">AVERAGE('Combined District Data'!H104:H107)</f>
        <v>0.432754301635281</v>
      </c>
      <c r="E29" s="9" t="n">
        <f aca="false">AVERAGE(ABS('Combined District Data'!H104-0.5),ABS('Combined District Data'!H105-0.5),ABS('Combined District Data'!H106-0.5),ABS('Combined District Data'!H107-0.5))</f>
        <v>0.0672456983647193</v>
      </c>
      <c r="F29" s="9" t="n">
        <f aca="false">STDEV('Combined District Data'!H104:H107)</f>
        <v>0.0136365982474658</v>
      </c>
      <c r="G29" s="8" t="n">
        <f aca="false">IF(('Combined District Data'!H104&gt;0.5)&lt;&gt;('Combined District Data'!H105&gt;0.5),1,0)+IF(('Combined District Data'!H105&gt;0.5)&lt;&gt;('Combined District Data'!H106&gt;0.5),1,0)+IF(('Combined District Data'!H106&gt;0.5)&lt;&gt;('Combined District Data'!H107&gt;0.5),1,0)</f>
        <v>0</v>
      </c>
      <c r="H29" s="7" t="str">
        <f aca="false">IF(OR(G29&gt;=1,E29&lt;0.05),"Hard",IF(AND(E29&gt;=0.15,F29&lt;0.05),"Easy","Medium"))</f>
        <v>Medium</v>
      </c>
    </row>
    <row r="30" customFormat="false" ht="15" hidden="false" customHeight="true" outlineLevel="0" collapsed="false">
      <c r="A30" s="8" t="s">
        <v>100</v>
      </c>
      <c r="B30" s="8" t="s">
        <v>99</v>
      </c>
      <c r="C30" s="8" t="s">
        <v>176</v>
      </c>
      <c r="D30" s="9" t="n">
        <f aca="false">AVERAGE('Combined District Data'!H108:H111)</f>
        <v>0.432836971284526</v>
      </c>
      <c r="E30" s="9" t="n">
        <f aca="false">AVERAGE(ABS('Combined District Data'!H108-0.5),ABS('Combined District Data'!H109-0.5),ABS('Combined District Data'!H110-0.5),ABS('Combined District Data'!H111-0.5))</f>
        <v>0.0671630287154736</v>
      </c>
      <c r="F30" s="9" t="n">
        <f aca="false">STDEV('Combined District Data'!H108:H111)</f>
        <v>0.0217210225430028</v>
      </c>
      <c r="G30" s="8" t="n">
        <f aca="false">IF(('Combined District Data'!H108&gt;0.5)&lt;&gt;('Combined District Data'!H109&gt;0.5),1,0)+IF(('Combined District Data'!H109&gt;0.5)&lt;&gt;('Combined District Data'!H110&gt;0.5),1,0)+IF(('Combined District Data'!H110&gt;0.5)&lt;&gt;('Combined District Data'!H111&gt;0.5),1,0)</f>
        <v>0</v>
      </c>
      <c r="H30" s="7" t="str">
        <f aca="false">IF(OR(G30&gt;=1,E30&lt;0.05),"Hard",IF(AND(E30&gt;=0.15,F30&lt;0.05),"Easy","Medium"))</f>
        <v>Medium</v>
      </c>
    </row>
    <row r="31" customFormat="false" ht="15" hidden="false" customHeight="true" outlineLevel="0" collapsed="false">
      <c r="A31" s="8" t="s">
        <v>101</v>
      </c>
      <c r="B31" s="8" t="s">
        <v>99</v>
      </c>
      <c r="C31" s="8" t="s">
        <v>176</v>
      </c>
      <c r="D31" s="9" t="n">
        <f aca="false">AVERAGE('Combined District Data'!H112:H115)</f>
        <v>0.458361098091772</v>
      </c>
      <c r="E31" s="9" t="n">
        <f aca="false">AVERAGE(ABS('Combined District Data'!H112-0.5),ABS('Combined District Data'!H113-0.5),ABS('Combined District Data'!H114-0.5),ABS('Combined District Data'!H115-0.5))</f>
        <v>0.041638901908228</v>
      </c>
      <c r="F31" s="9" t="n">
        <f aca="false">STDEV('Combined District Data'!H112:H115)</f>
        <v>0.00425955706956883</v>
      </c>
      <c r="G31" s="8" t="n">
        <f aca="false">IF(('Combined District Data'!H112&gt;0.5)&lt;&gt;('Combined District Data'!H113&gt;0.5),1,0)+IF(('Combined District Data'!H113&gt;0.5)&lt;&gt;('Combined District Data'!H114&gt;0.5),1,0)+IF(('Combined District Data'!H114&gt;0.5)&lt;&gt;('Combined District Data'!H115&gt;0.5),1,0)</f>
        <v>0</v>
      </c>
      <c r="H31" s="7" t="str">
        <f aca="false">IF(OR(G31&gt;=1,E31&lt;0.05),"Hard",IF(AND(E31&gt;=0.15,F31&lt;0.05),"Easy","Medium"))</f>
        <v>Hard</v>
      </c>
    </row>
    <row r="32" customFormat="false" ht="15" hidden="false" customHeight="true" outlineLevel="0" collapsed="false">
      <c r="A32" s="8" t="s">
        <v>75</v>
      </c>
      <c r="B32" s="8" t="s">
        <v>99</v>
      </c>
      <c r="C32" s="8" t="s">
        <v>176</v>
      </c>
      <c r="D32" s="9" t="n">
        <f aca="false">AVERAGE('Combined District Data'!H116:H119)</f>
        <v>0.678439502309038</v>
      </c>
      <c r="E32" s="9" t="n">
        <f aca="false">AVERAGE(ABS('Combined District Data'!H116-0.5),ABS('Combined District Data'!H117-0.5),ABS('Combined District Data'!H118-0.5),ABS('Combined District Data'!H119-0.5))</f>
        <v>0.178439502309038</v>
      </c>
      <c r="F32" s="9" t="n">
        <f aca="false">STDEV('Combined District Data'!H116:H119)</f>
        <v>0.00945575792900727</v>
      </c>
      <c r="G32" s="8" t="n">
        <f aca="false">IF(('Combined District Data'!H116&gt;0.5)&lt;&gt;('Combined District Data'!H117&gt;0.5),1,0)+IF(('Combined District Data'!H117&gt;0.5)&lt;&gt;('Combined District Data'!H118&gt;0.5),1,0)+IF(('Combined District Data'!H118&gt;0.5)&lt;&gt;('Combined District Data'!H119&gt;0.5),1,0)</f>
        <v>0</v>
      </c>
      <c r="H32" s="7" t="str">
        <f aca="false">IF(OR(G32&gt;=1,E32&lt;0.05),"Hard",IF(AND(E32&gt;=0.15,F32&lt;0.05),"Easy","Medium"))</f>
        <v>Easy</v>
      </c>
    </row>
    <row r="33" customFormat="false" ht="15" hidden="false" customHeight="true" outlineLevel="0" collapsed="false">
      <c r="A33" s="8" t="s">
        <v>102</v>
      </c>
      <c r="B33" s="8" t="s">
        <v>99</v>
      </c>
      <c r="C33" s="8" t="s">
        <v>176</v>
      </c>
      <c r="D33" s="9" t="n">
        <f aca="false">AVERAGE('Combined District Data'!H120:H123)</f>
        <v>0.535524149306662</v>
      </c>
      <c r="E33" s="9" t="n">
        <f aca="false">AVERAGE(ABS('Combined District Data'!H120-0.5),ABS('Combined District Data'!H121-0.5),ABS('Combined District Data'!H122-0.5),ABS('Combined District Data'!H123-0.5))</f>
        <v>0.0355241493066618</v>
      </c>
      <c r="F33" s="9" t="n">
        <f aca="false">STDEV('Combined District Data'!H120:H123)</f>
        <v>0.00736427269325534</v>
      </c>
      <c r="G33" s="8" t="n">
        <f aca="false">IF(('Combined District Data'!H120&gt;0.5)&lt;&gt;('Combined District Data'!H121&gt;0.5),1,0)+IF(('Combined District Data'!H121&gt;0.5)&lt;&gt;('Combined District Data'!H122&gt;0.5),1,0)+IF(('Combined District Data'!H122&gt;0.5)&lt;&gt;('Combined District Data'!H123&gt;0.5),1,0)</f>
        <v>0</v>
      </c>
      <c r="H33" s="7" t="str">
        <f aca="false">IF(OR(G33&gt;=1,E33&lt;0.05),"Hard",IF(AND(E33&gt;=0.15,F33&lt;0.05),"Easy","Medium"))</f>
        <v>Hard</v>
      </c>
    </row>
    <row r="34" customFormat="false" ht="15" hidden="false" customHeight="true" outlineLevel="0" collapsed="false">
      <c r="A34" s="8" t="s">
        <v>103</v>
      </c>
      <c r="B34" s="8" t="s">
        <v>99</v>
      </c>
      <c r="C34" s="8" t="s">
        <v>176</v>
      </c>
      <c r="D34" s="9" t="n">
        <f aca="false">AVERAGE('Combined District Data'!H124:H127)</f>
        <v>0.381518847885262</v>
      </c>
      <c r="E34" s="9" t="n">
        <f aca="false">AVERAGE(ABS('Combined District Data'!H124-0.5),ABS('Combined District Data'!H125-0.5),ABS('Combined District Data'!H126-0.5),ABS('Combined District Data'!H127-0.5))</f>
        <v>0.118481152114738</v>
      </c>
      <c r="F34" s="9" t="n">
        <f aca="false">STDEV('Combined District Data'!H124:H127)</f>
        <v>0.0111760343389694</v>
      </c>
      <c r="G34" s="8" t="n">
        <f aca="false">IF(('Combined District Data'!H124&gt;0.5)&lt;&gt;('Combined District Data'!H125&gt;0.5),1,0)+IF(('Combined District Data'!H125&gt;0.5)&lt;&gt;('Combined District Data'!H126&gt;0.5),1,0)+IF(('Combined District Data'!H126&gt;0.5)&lt;&gt;('Combined District Data'!H127&gt;0.5),1,0)</f>
        <v>0</v>
      </c>
      <c r="H34" s="7" t="str">
        <f aca="false">IF(OR(G34&gt;=1,E34&lt;0.05),"Hard",IF(AND(E34&gt;=0.15,F34&lt;0.05),"Easy","Medium"))</f>
        <v>Medium</v>
      </c>
    </row>
    <row r="35" customFormat="false" ht="15" hidden="false" customHeight="true" outlineLevel="0" collapsed="false">
      <c r="A35" s="8" t="s">
        <v>104</v>
      </c>
      <c r="B35" s="8" t="s">
        <v>99</v>
      </c>
      <c r="C35" s="8" t="s">
        <v>176</v>
      </c>
      <c r="D35" s="9" t="n">
        <f aca="false">AVERAGE('Combined District Data'!H128:H131)</f>
        <v>0.362739862895878</v>
      </c>
      <c r="E35" s="9" t="n">
        <f aca="false">AVERAGE(ABS('Combined District Data'!H128-0.5),ABS('Combined District Data'!H129-0.5),ABS('Combined District Data'!H130-0.5),ABS('Combined District Data'!H131-0.5))</f>
        <v>0.137260137104122</v>
      </c>
      <c r="F35" s="9" t="n">
        <f aca="false">STDEV('Combined District Data'!H128:H131)</f>
        <v>0.0504750474414768</v>
      </c>
      <c r="G35" s="8" t="n">
        <f aca="false">IF(('Combined District Data'!H128&gt;0.5)&lt;&gt;('Combined District Data'!H129&gt;0.5),1,0)+IF(('Combined District Data'!H129&gt;0.5)&lt;&gt;('Combined District Data'!H130&gt;0.5),1,0)+IF(('Combined District Data'!H130&gt;0.5)&lt;&gt;('Combined District Data'!H131&gt;0.5),1,0)</f>
        <v>0</v>
      </c>
      <c r="H35" s="7" t="str">
        <f aca="false">IF(OR(G35&gt;=1,E35&lt;0.05),"Hard",IF(AND(E35&gt;=0.15,F35&lt;0.05),"Easy","Medium"))</f>
        <v>Medium</v>
      </c>
    </row>
    <row r="36" customFormat="false" ht="15" hidden="false" customHeight="true" outlineLevel="0" collapsed="false">
      <c r="A36" s="8" t="s">
        <v>105</v>
      </c>
      <c r="B36" s="8" t="s">
        <v>99</v>
      </c>
      <c r="C36" s="8" t="s">
        <v>176</v>
      </c>
      <c r="D36" s="9" t="n">
        <f aca="false">AVERAGE('Combined District Data'!H132:H135)</f>
        <v>0.420151138039662</v>
      </c>
      <c r="E36" s="9" t="n">
        <f aca="false">AVERAGE(ABS('Combined District Data'!H132-0.5),ABS('Combined District Data'!H133-0.5),ABS('Combined District Data'!H134-0.5),ABS('Combined District Data'!H135-0.5))</f>
        <v>0.0798488619603378</v>
      </c>
      <c r="F36" s="9" t="n">
        <f aca="false">STDEV('Combined District Data'!H132:H135)</f>
        <v>0.0185091975648912</v>
      </c>
      <c r="G36" s="8" t="n">
        <f aca="false">IF(('Combined District Data'!H132&gt;0.5)&lt;&gt;('Combined District Data'!H133&gt;0.5),1,0)+IF(('Combined District Data'!H133&gt;0.5)&lt;&gt;('Combined District Data'!H134&gt;0.5),1,0)+IF(('Combined District Data'!H134&gt;0.5)&lt;&gt;('Combined District Data'!H135&gt;0.5),1,0)</f>
        <v>0</v>
      </c>
      <c r="H36" s="7" t="str">
        <f aca="false">IF(OR(G36&gt;=1,E36&lt;0.05),"Hard",IF(AND(E36&gt;=0.15,F36&lt;0.05),"Easy","Medium"))</f>
        <v>Medium</v>
      </c>
    </row>
    <row r="37" customFormat="false" ht="15" hidden="false" customHeight="true" outlineLevel="0" collapsed="false">
      <c r="A37" s="8" t="s">
        <v>106</v>
      </c>
      <c r="B37" s="8" t="s">
        <v>99</v>
      </c>
      <c r="C37" s="8" t="s">
        <v>176</v>
      </c>
      <c r="D37" s="9" t="n">
        <f aca="false">AVERAGE('Combined District Data'!H136:H139)</f>
        <v>0.37743936763866</v>
      </c>
      <c r="E37" s="9" t="n">
        <f aca="false">AVERAGE(ABS('Combined District Data'!H136-0.5),ABS('Combined District Data'!H137-0.5),ABS('Combined District Data'!H138-0.5),ABS('Combined District Data'!H139-0.5))</f>
        <v>0.12256063236134</v>
      </c>
      <c r="F37" s="9" t="n">
        <f aca="false">STDEV('Combined District Data'!H136:H139)</f>
        <v>0.0334598775412728</v>
      </c>
      <c r="G37" s="8" t="n">
        <f aca="false">IF(('Combined District Data'!H136&gt;0.5)&lt;&gt;('Combined District Data'!H137&gt;0.5),1,0)+IF(('Combined District Data'!H137&gt;0.5)&lt;&gt;('Combined District Data'!H138&gt;0.5),1,0)+IF(('Combined District Data'!H138&gt;0.5)&lt;&gt;('Combined District Data'!H139&gt;0.5),1,0)</f>
        <v>0</v>
      </c>
      <c r="H37" s="7" t="str">
        <f aca="false">IF(OR(G37&gt;=1,E37&lt;0.05),"Hard",IF(AND(E37&gt;=0.15,F37&lt;0.05),"Easy","Medium"))</f>
        <v>Medium</v>
      </c>
    </row>
    <row r="38" customFormat="false" ht="15" hidden="false" customHeight="true" outlineLevel="0" collapsed="false">
      <c r="A38" s="8" t="s">
        <v>107</v>
      </c>
      <c r="B38" s="8" t="s">
        <v>99</v>
      </c>
      <c r="C38" s="8" t="s">
        <v>176</v>
      </c>
      <c r="D38" s="9" t="n">
        <f aca="false">AVERAGE('Combined District Data'!H140:H143)</f>
        <v>0.718973690023353</v>
      </c>
      <c r="E38" s="9" t="n">
        <f aca="false">AVERAGE(ABS('Combined District Data'!H140-0.5),ABS('Combined District Data'!H141-0.5),ABS('Combined District Data'!H142-0.5),ABS('Combined District Data'!H143-0.5))</f>
        <v>0.218973690023353</v>
      </c>
      <c r="F38" s="9" t="n">
        <f aca="false">STDEV('Combined District Data'!H140:H143)</f>
        <v>0.0213994517555713</v>
      </c>
      <c r="G38" s="8" t="n">
        <f aca="false">IF(('Combined District Data'!H140&gt;0.5)&lt;&gt;('Combined District Data'!H141&gt;0.5),1,0)+IF(('Combined District Data'!H141&gt;0.5)&lt;&gt;('Combined District Data'!H142&gt;0.5),1,0)+IF(('Combined District Data'!H142&gt;0.5)&lt;&gt;('Combined District Data'!H143&gt;0.5),1,0)</f>
        <v>0</v>
      </c>
      <c r="H38" s="7" t="str">
        <f aca="false">IF(OR(G38&gt;=1,E38&lt;0.05),"Hard",IF(AND(E38&gt;=0.15,F38&lt;0.05),"Easy","Medium"))</f>
        <v>Easy</v>
      </c>
    </row>
    <row r="39" customFormat="false" ht="15" hidden="false" customHeight="true" outlineLevel="0" collapsed="false">
      <c r="A39" s="8" t="s">
        <v>108</v>
      </c>
      <c r="B39" s="8" t="s">
        <v>99</v>
      </c>
      <c r="C39" s="8" t="s">
        <v>176</v>
      </c>
      <c r="D39" s="9" t="n">
        <f aca="false">AVERAGE('Combined District Data'!H144:H147)</f>
        <v>0.52006370091494</v>
      </c>
      <c r="E39" s="9" t="n">
        <f aca="false">AVERAGE(ABS('Combined District Data'!H144-0.5),ABS('Combined District Data'!H145-0.5),ABS('Combined District Data'!H146-0.5),ABS('Combined District Data'!H147-0.5))</f>
        <v>0.0200637009149396</v>
      </c>
      <c r="F39" s="9" t="n">
        <f aca="false">STDEV('Combined District Data'!H144:H147)</f>
        <v>0.00800773600982413</v>
      </c>
      <c r="G39" s="8" t="n">
        <f aca="false">IF(('Combined District Data'!H144&gt;0.5)&lt;&gt;('Combined District Data'!H145&gt;0.5),1,0)+IF(('Combined District Data'!H145&gt;0.5)&lt;&gt;('Combined District Data'!H146&gt;0.5),1,0)+IF(('Combined District Data'!H146&gt;0.5)&lt;&gt;('Combined District Data'!H147&gt;0.5),1,0)</f>
        <v>0</v>
      </c>
      <c r="H39" s="7" t="str">
        <f aca="false">IF(OR(G39&gt;=1,E39&lt;0.05),"Hard",IF(AND(E39&gt;=0.15,F39&lt;0.05),"Easy","Medium"))</f>
        <v>Hard</v>
      </c>
    </row>
    <row r="40" customFormat="false" ht="15" hidden="false" customHeight="true" outlineLevel="0" collapsed="false">
      <c r="A40" s="8" t="s">
        <v>109</v>
      </c>
      <c r="B40" s="8" t="s">
        <v>99</v>
      </c>
      <c r="C40" s="8" t="s">
        <v>176</v>
      </c>
      <c r="D40" s="9" t="n">
        <f aca="false">AVERAGE('Combined District Data'!H148:H151)</f>
        <v>0.613408180139921</v>
      </c>
      <c r="E40" s="9" t="n">
        <f aca="false">AVERAGE(ABS('Combined District Data'!H148-0.5),ABS('Combined District Data'!H149-0.5),ABS('Combined District Data'!H150-0.5),ABS('Combined District Data'!H151-0.5))</f>
        <v>0.113408180139921</v>
      </c>
      <c r="F40" s="9" t="n">
        <f aca="false">STDEV('Combined District Data'!H148:H151)</f>
        <v>0.0228665045718725</v>
      </c>
      <c r="G40" s="8" t="n">
        <f aca="false">IF(('Combined District Data'!H148&gt;0.5)&lt;&gt;('Combined District Data'!H149&gt;0.5),1,0)+IF(('Combined District Data'!H149&gt;0.5)&lt;&gt;('Combined District Data'!H150&gt;0.5),1,0)+IF(('Combined District Data'!H150&gt;0.5)&lt;&gt;('Combined District Data'!H151&gt;0.5),1,0)</f>
        <v>0</v>
      </c>
      <c r="H40" s="7" t="str">
        <f aca="false">IF(OR(G40&gt;=1,E40&lt;0.05),"Hard",IF(AND(E40&gt;=0.15,F40&lt;0.05),"Easy","Medium"))</f>
        <v>Medium</v>
      </c>
    </row>
    <row r="41" customFormat="false" ht="15" hidden="false" customHeight="true" outlineLevel="0" collapsed="false">
      <c r="A41" s="8" t="s">
        <v>110</v>
      </c>
      <c r="B41" s="8" t="s">
        <v>99</v>
      </c>
      <c r="C41" s="8" t="s">
        <v>176</v>
      </c>
      <c r="D41" s="9" t="n">
        <f aca="false">AVERAGE('Combined District Data'!H152:H155)</f>
        <v>0.542084757543842</v>
      </c>
      <c r="E41" s="9" t="n">
        <f aca="false">AVERAGE(ABS('Combined District Data'!H152-0.5),ABS('Combined District Data'!H153-0.5),ABS('Combined District Data'!H154-0.5),ABS('Combined District Data'!H155-0.5))</f>
        <v>0.0420847575438418</v>
      </c>
      <c r="F41" s="9" t="n">
        <f aca="false">STDEV('Combined District Data'!H152:H155)</f>
        <v>0.0570996526559913</v>
      </c>
      <c r="G41" s="8" t="n">
        <f aca="false">IF(('Combined District Data'!H152&gt;0.5)&lt;&gt;('Combined District Data'!H153&gt;0.5),1,0)+IF(('Combined District Data'!H153&gt;0.5)&lt;&gt;('Combined District Data'!H154&gt;0.5),1,0)+IF(('Combined District Data'!H154&gt;0.5)&lt;&gt;('Combined District Data'!H155&gt;0.5),1,0)</f>
        <v>0</v>
      </c>
      <c r="H41" s="7" t="str">
        <f aca="false">IF(OR(G41&gt;=1,E41&lt;0.05),"Hard",IF(AND(E41&gt;=0.15,F41&lt;0.05),"Easy","Medium"))</f>
        <v>Hard</v>
      </c>
    </row>
    <row r="42" customFormat="false" ht="15" hidden="false" customHeight="true" outlineLevel="0" collapsed="false">
      <c r="A42" s="8" t="s">
        <v>81</v>
      </c>
      <c r="B42" s="8" t="s">
        <v>99</v>
      </c>
      <c r="C42" s="8" t="s">
        <v>176</v>
      </c>
      <c r="D42" s="9" t="n">
        <f aca="false">AVERAGE('Combined District Data'!H156:H159)</f>
        <v>0.538377251932706</v>
      </c>
      <c r="E42" s="9" t="n">
        <f aca="false">AVERAGE(ABS('Combined District Data'!H156-0.5),ABS('Combined District Data'!H157-0.5),ABS('Combined District Data'!H158-0.5),ABS('Combined District Data'!H159-0.5))</f>
        <v>0.0383772519327058</v>
      </c>
      <c r="F42" s="9" t="n">
        <f aca="false">STDEV('Combined District Data'!H156:H159)</f>
        <v>0.0139345299848965</v>
      </c>
      <c r="G42" s="8" t="n">
        <f aca="false">IF(('Combined District Data'!H156&gt;0.5)&lt;&gt;('Combined District Data'!H157&gt;0.5),1,0)+IF(('Combined District Data'!H157&gt;0.5)&lt;&gt;('Combined District Data'!H158&gt;0.5),1,0)+IF(('Combined District Data'!H158&gt;0.5)&lt;&gt;('Combined District Data'!H159&gt;0.5),1,0)</f>
        <v>0</v>
      </c>
      <c r="H42" s="7" t="str">
        <f aca="false">IF(OR(G42&gt;=1,E42&lt;0.05),"Hard",IF(AND(E42&gt;=0.15,F42&lt;0.05),"Easy","Medium"))</f>
        <v>Hard</v>
      </c>
    </row>
    <row r="43" customFormat="false" ht="15" hidden="false" customHeight="true" outlineLevel="0" collapsed="false">
      <c r="A43" s="8" t="s">
        <v>111</v>
      </c>
      <c r="B43" s="8" t="s">
        <v>99</v>
      </c>
      <c r="C43" s="8" t="s">
        <v>176</v>
      </c>
      <c r="D43" s="9" t="n">
        <f aca="false">AVERAGE('Combined District Data'!H160:H163)</f>
        <v>0.522177161398379</v>
      </c>
      <c r="E43" s="9" t="n">
        <f aca="false">AVERAGE(ABS('Combined District Data'!H160-0.5),ABS('Combined District Data'!H161-0.5),ABS('Combined District Data'!H162-0.5),ABS('Combined District Data'!H163-0.5))</f>
        <v>0.0221771613983794</v>
      </c>
      <c r="F43" s="9" t="n">
        <f aca="false">STDEV('Combined District Data'!H160:H163)</f>
        <v>0.0192414328956929</v>
      </c>
      <c r="G43" s="8" t="n">
        <f aca="false">IF(('Combined District Data'!H160&gt;0.5)&lt;&gt;('Combined District Data'!H161&gt;0.5),1,0)+IF(('Combined District Data'!H161&gt;0.5)&lt;&gt;('Combined District Data'!H162&gt;0.5),1,0)+IF(('Combined District Data'!H162&gt;0.5)&lt;&gt;('Combined District Data'!H163&gt;0.5),1,0)</f>
        <v>0</v>
      </c>
      <c r="H43" s="7" t="str">
        <f aca="false">IF(OR(G43&gt;=1,E43&lt;0.05),"Hard",IF(AND(E43&gt;=0.15,F43&lt;0.05),"Easy","Medium"))</f>
        <v>Hard</v>
      </c>
    </row>
    <row r="44" customFormat="false" ht="15" hidden="false" customHeight="true" outlineLevel="0" collapsed="false">
      <c r="A44" s="8" t="s">
        <v>73</v>
      </c>
      <c r="B44" s="8" t="s">
        <v>99</v>
      </c>
      <c r="C44" s="8" t="s">
        <v>176</v>
      </c>
      <c r="D44" s="9" t="n">
        <f aca="false">AVERAGE('Combined District Data'!H164:H167)</f>
        <v>0.343875671410832</v>
      </c>
      <c r="E44" s="9" t="n">
        <f aca="false">AVERAGE(ABS('Combined District Data'!H164-0.5),ABS('Combined District Data'!H165-0.5),ABS('Combined District Data'!H166-0.5),ABS('Combined District Data'!H167-0.5))</f>
        <v>0.156124328589168</v>
      </c>
      <c r="F44" s="9" t="n">
        <f aca="false">STDEV('Combined District Data'!H164:H167)</f>
        <v>0.0103053113780935</v>
      </c>
      <c r="G44" s="8" t="n">
        <f aca="false">IF(('Combined District Data'!H164&gt;0.5)&lt;&gt;('Combined District Data'!H165&gt;0.5),1,0)+IF(('Combined District Data'!H165&gt;0.5)&lt;&gt;('Combined District Data'!H166&gt;0.5),1,0)+IF(('Combined District Data'!H166&gt;0.5)&lt;&gt;('Combined District Data'!H167&gt;0.5),1,0)</f>
        <v>0</v>
      </c>
      <c r="H44" s="7" t="str">
        <f aca="false">IF(OR(G44&gt;=1,E44&lt;0.05),"Hard",IF(AND(E44&gt;=0.15,F44&lt;0.05),"Easy","Medium"))</f>
        <v>Easy</v>
      </c>
    </row>
    <row r="45" customFormat="false" ht="15" hidden="false" customHeight="true" outlineLevel="0" collapsed="false">
      <c r="A45" s="8" t="s">
        <v>112</v>
      </c>
      <c r="B45" s="8" t="s">
        <v>99</v>
      </c>
      <c r="C45" s="8" t="s">
        <v>176</v>
      </c>
      <c r="D45" s="9" t="n">
        <f aca="false">AVERAGE('Combined District Data'!H168:H171)</f>
        <v>0.358605596631957</v>
      </c>
      <c r="E45" s="9" t="n">
        <f aca="false">AVERAGE(ABS('Combined District Data'!H168-0.5),ABS('Combined District Data'!H169-0.5),ABS('Combined District Data'!H170-0.5),ABS('Combined District Data'!H171-0.5))</f>
        <v>0.141394403368043</v>
      </c>
      <c r="F45" s="9" t="n">
        <f aca="false">STDEV('Combined District Data'!H168:H171)</f>
        <v>0.0326280778543262</v>
      </c>
      <c r="G45" s="8" t="n">
        <f aca="false">IF(('Combined District Data'!H168&gt;0.5)&lt;&gt;('Combined District Data'!H169&gt;0.5),1,0)+IF(('Combined District Data'!H169&gt;0.5)&lt;&gt;('Combined District Data'!H170&gt;0.5),1,0)+IF(('Combined District Data'!H170&gt;0.5)&lt;&gt;('Combined District Data'!H171&gt;0.5),1,0)</f>
        <v>0</v>
      </c>
      <c r="H45" s="7" t="str">
        <f aca="false">IF(OR(G45&gt;=1,E45&lt;0.05),"Hard",IF(AND(E45&gt;=0.15,F45&lt;0.05),"Easy","Medium"))</f>
        <v>Medium</v>
      </c>
    </row>
    <row r="46" customFormat="false" ht="15" hidden="false" customHeight="true" outlineLevel="0" collapsed="false">
      <c r="A46" s="8" t="s">
        <v>113</v>
      </c>
      <c r="B46" s="8" t="s">
        <v>99</v>
      </c>
      <c r="C46" s="8" t="s">
        <v>176</v>
      </c>
      <c r="D46" s="9" t="n">
        <f aca="false">AVERAGE('Combined District Data'!H172:H175)</f>
        <v>0.445958969167682</v>
      </c>
      <c r="E46" s="9" t="n">
        <f aca="false">AVERAGE(ABS('Combined District Data'!H172-0.5),ABS('Combined District Data'!H173-0.5),ABS('Combined District Data'!H174-0.5),ABS('Combined District Data'!H175-0.5))</f>
        <v>0.0540410308323183</v>
      </c>
      <c r="F46" s="9" t="n">
        <f aca="false">STDEV('Combined District Data'!H172:H175)</f>
        <v>0.0300388413483325</v>
      </c>
      <c r="G46" s="8" t="n">
        <f aca="false">IF(('Combined District Data'!H172&gt;0.5)&lt;&gt;('Combined District Data'!H173&gt;0.5),1,0)+IF(('Combined District Data'!H173&gt;0.5)&lt;&gt;('Combined District Data'!H174&gt;0.5),1,0)+IF(('Combined District Data'!H174&gt;0.5)&lt;&gt;('Combined District Data'!H175&gt;0.5),1,0)</f>
        <v>0</v>
      </c>
      <c r="H46" s="7" t="str">
        <f aca="false">IF(OR(G46&gt;=1,E46&lt;0.05),"Hard",IF(AND(E46&gt;=0.15,F46&lt;0.05),"Easy","Medium"))</f>
        <v>Medium</v>
      </c>
    </row>
    <row r="47" customFormat="false" ht="15" hidden="false" customHeight="true" outlineLevel="0" collapsed="false">
      <c r="A47" s="8" t="s">
        <v>114</v>
      </c>
      <c r="B47" s="8" t="s">
        <v>99</v>
      </c>
      <c r="C47" s="8" t="s">
        <v>176</v>
      </c>
      <c r="D47" s="9" t="n">
        <f aca="false">AVERAGE('Combined District Data'!H176:H179)</f>
        <v>0.478716237680036</v>
      </c>
      <c r="E47" s="9" t="n">
        <f aca="false">AVERAGE(ABS('Combined District Data'!H176-0.5),ABS('Combined District Data'!H177-0.5),ABS('Combined District Data'!H178-0.5),ABS('Combined District Data'!H179-0.5))</f>
        <v>0.0212837623199643</v>
      </c>
      <c r="F47" s="9" t="n">
        <f aca="false">STDEV('Combined District Data'!H176:H179)</f>
        <v>0.0101999188795945</v>
      </c>
      <c r="G47" s="8" t="n">
        <f aca="false">IF(('Combined District Data'!H176&gt;0.5)&lt;&gt;('Combined District Data'!H177&gt;0.5),1,0)+IF(('Combined District Data'!H177&gt;0.5)&lt;&gt;('Combined District Data'!H178&gt;0.5),1,0)+IF(('Combined District Data'!H178&gt;0.5)&lt;&gt;('Combined District Data'!H179&gt;0.5),1,0)</f>
        <v>0</v>
      </c>
      <c r="H47" s="7" t="str">
        <f aca="false">IF(OR(G47&gt;=1,E47&lt;0.05),"Hard",IF(AND(E47&gt;=0.15,F47&lt;0.05),"Easy","Medium"))</f>
        <v>Hard</v>
      </c>
    </row>
    <row r="48" customFormat="false" ht="15" hidden="false" customHeight="true" outlineLevel="0" collapsed="false">
      <c r="A48" s="8" t="s">
        <v>115</v>
      </c>
      <c r="B48" s="8" t="s">
        <v>99</v>
      </c>
      <c r="C48" s="8" t="s">
        <v>176</v>
      </c>
      <c r="D48" s="9" t="n">
        <f aca="false">AVERAGE('Combined District Data'!H180:H183)</f>
        <v>0.339846088279458</v>
      </c>
      <c r="E48" s="9" t="n">
        <f aca="false">AVERAGE(ABS('Combined District Data'!H180-0.5),ABS('Combined District Data'!H181-0.5),ABS('Combined District Data'!H182-0.5),ABS('Combined District Data'!H183-0.5))</f>
        <v>0.160153911720542</v>
      </c>
      <c r="F48" s="9" t="n">
        <f aca="false">STDEV('Combined District Data'!H180:H183)</f>
        <v>0.00984006025650868</v>
      </c>
      <c r="G48" s="8" t="n">
        <f aca="false">IF(('Combined District Data'!H180&gt;0.5)&lt;&gt;('Combined District Data'!H181&gt;0.5),1,0)+IF(('Combined District Data'!H181&gt;0.5)&lt;&gt;('Combined District Data'!H182&gt;0.5),1,0)+IF(('Combined District Data'!H182&gt;0.5)&lt;&gt;('Combined District Data'!H183&gt;0.5),1,0)</f>
        <v>0</v>
      </c>
      <c r="H48" s="7" t="str">
        <f aca="false">IF(OR(G48&gt;=1,E48&lt;0.05),"Hard",IF(AND(E48&gt;=0.15,F48&lt;0.05),"Easy","Medium"))</f>
        <v>Easy</v>
      </c>
    </row>
    <row r="49" customFormat="false" ht="15" hidden="false" customHeight="true" outlineLevel="0" collapsed="false">
      <c r="A49" s="8" t="s">
        <v>116</v>
      </c>
      <c r="B49" s="8" t="s">
        <v>99</v>
      </c>
      <c r="C49" s="8" t="s">
        <v>176</v>
      </c>
      <c r="D49" s="9" t="n">
        <f aca="false">AVERAGE('Combined District Data'!H184:H187)</f>
        <v>0.489411114393421</v>
      </c>
      <c r="E49" s="9" t="n">
        <f aca="false">AVERAGE(ABS('Combined District Data'!H184-0.5),ABS('Combined District Data'!H185-0.5),ABS('Combined District Data'!H186-0.5),ABS('Combined District Data'!H187-0.5))</f>
        <v>0.0252562611631683</v>
      </c>
      <c r="F49" s="9" t="n">
        <f aca="false">STDEV('Combined District Data'!H184:H187)</f>
        <v>0.0313463591514366</v>
      </c>
      <c r="G49" s="8" t="n">
        <f aca="false">IF(('Combined District Data'!H184&gt;0.5)&lt;&gt;('Combined District Data'!H185&gt;0.5),1,0)+IF(('Combined District Data'!H185&gt;0.5)&lt;&gt;('Combined District Data'!H186&gt;0.5),1,0)+IF(('Combined District Data'!H186&gt;0.5)&lt;&gt;('Combined District Data'!H187&gt;0.5),1,0)</f>
        <v>3</v>
      </c>
      <c r="H49" s="7" t="str">
        <f aca="false">IF(OR(G49&gt;=1,E49&lt;0.05),"Hard",IF(AND(E49&gt;=0.15,F49&lt;0.05),"Easy","Medium"))</f>
        <v>Hard</v>
      </c>
    </row>
    <row r="50" customFormat="false" ht="15" hidden="false" customHeight="true" outlineLevel="0" collapsed="false">
      <c r="A50" s="8" t="s">
        <v>117</v>
      </c>
      <c r="B50" s="8" t="s">
        <v>99</v>
      </c>
      <c r="C50" s="8" t="s">
        <v>176</v>
      </c>
      <c r="D50" s="9" t="n">
        <f aca="false">AVERAGE('Combined District Data'!H188:H191)</f>
        <v>0.485656457193715</v>
      </c>
      <c r="E50" s="9" t="n">
        <f aca="false">AVERAGE(ABS('Combined District Data'!H188-0.5),ABS('Combined District Data'!H189-0.5),ABS('Combined District Data'!H190-0.5),ABS('Combined District Data'!H191-0.5))</f>
        <v>0.0162997243399314</v>
      </c>
      <c r="F50" s="9" t="n">
        <f aca="false">STDEV('Combined District Data'!H188:H191)</f>
        <v>0.0162251873182674</v>
      </c>
      <c r="G50" s="8" t="n">
        <f aca="false">IF(('Combined District Data'!H188&gt;0.5)&lt;&gt;('Combined District Data'!H189&gt;0.5),1,0)+IF(('Combined District Data'!H189&gt;0.5)&lt;&gt;('Combined District Data'!H190&gt;0.5),1,0)+IF(('Combined District Data'!H190&gt;0.5)&lt;&gt;('Combined District Data'!H191&gt;0.5),1,0)</f>
        <v>2</v>
      </c>
      <c r="H50" s="7" t="str">
        <f aca="false">IF(OR(G50&gt;=1,E50&lt;0.05),"Hard",IF(AND(E50&gt;=0.15,F50&lt;0.05),"Easy","Medium"))</f>
        <v>Hard</v>
      </c>
    </row>
    <row r="51" customFormat="false" ht="15" hidden="false" customHeight="true" outlineLevel="0" collapsed="false">
      <c r="A51" s="8" t="s">
        <v>99</v>
      </c>
      <c r="B51" s="8" t="s">
        <v>99</v>
      </c>
      <c r="C51" s="8" t="s">
        <v>176</v>
      </c>
      <c r="D51" s="9" t="n">
        <f aca="false">AVERAGE('Combined District Data'!H192:H195)</f>
        <v>0.471711726373161</v>
      </c>
      <c r="E51" s="9" t="n">
        <f aca="false">AVERAGE(ABS('Combined District Data'!H192-0.5),ABS('Combined District Data'!H193-0.5),ABS('Combined District Data'!H194-0.5),ABS('Combined District Data'!H195-0.5))</f>
        <v>0.0282882736268394</v>
      </c>
      <c r="F51" s="9" t="n">
        <f aca="false">STDEV('Combined District Data'!H192:H195)</f>
        <v>0.0237245534855369</v>
      </c>
      <c r="G51" s="8" t="n">
        <f aca="false">IF(('Combined District Data'!H192&gt;0.5)&lt;&gt;('Combined District Data'!H193&gt;0.5),1,0)+IF(('Combined District Data'!H193&gt;0.5)&lt;&gt;('Combined District Data'!H194&gt;0.5),1,0)+IF(('Combined District Data'!H194&gt;0.5)&lt;&gt;('Combined District Data'!H195&gt;0.5),1,0)</f>
        <v>0</v>
      </c>
      <c r="H51" s="7" t="str">
        <f aca="false">IF(OR(G51&gt;=1,E51&lt;0.05),"Hard",IF(AND(E51&gt;=0.15,F51&lt;0.05),"Easy","Medium"))</f>
        <v>Hard</v>
      </c>
    </row>
    <row r="52" customFormat="false" ht="15" hidden="false" customHeight="true" outlineLevel="0" collapsed="false">
      <c r="A52" s="8" t="s">
        <v>118</v>
      </c>
      <c r="B52" s="8" t="s">
        <v>99</v>
      </c>
      <c r="C52" s="8" t="s">
        <v>176</v>
      </c>
      <c r="D52" s="9" t="n">
        <f aca="false">AVERAGE('Combined District Data'!H196:H199)</f>
        <v>0.515819231707031</v>
      </c>
      <c r="E52" s="9" t="n">
        <f aca="false">AVERAGE(ABS('Combined District Data'!H196-0.5),ABS('Combined District Data'!H197-0.5),ABS('Combined District Data'!H198-0.5),ABS('Combined District Data'!H199-0.5))</f>
        <v>0.0158192317070309</v>
      </c>
      <c r="F52" s="9" t="n">
        <f aca="false">STDEV('Combined District Data'!H196:H199)</f>
        <v>0.0121689749187823</v>
      </c>
      <c r="G52" s="8" t="n">
        <f aca="false">IF(('Combined District Data'!H196&gt;0.5)&lt;&gt;('Combined District Data'!H197&gt;0.5),1,0)+IF(('Combined District Data'!H197&gt;0.5)&lt;&gt;('Combined District Data'!H198&gt;0.5),1,0)+IF(('Combined District Data'!H198&gt;0.5)&lt;&gt;('Combined District Data'!H199&gt;0.5),1,0)</f>
        <v>0</v>
      </c>
      <c r="H52" s="7" t="str">
        <f aca="false">IF(OR(G52&gt;=1,E52&lt;0.05),"Hard",IF(AND(E52&gt;=0.15,F52&lt;0.05),"Easy","Medium"))</f>
        <v>Hard</v>
      </c>
    </row>
    <row r="53" customFormat="false" ht="15" hidden="false" customHeight="true" outlineLevel="0" collapsed="false">
      <c r="A53" s="8" t="s">
        <v>119</v>
      </c>
      <c r="B53" s="8" t="s">
        <v>99</v>
      </c>
      <c r="C53" s="8" t="s">
        <v>176</v>
      </c>
      <c r="D53" s="9" t="n">
        <f aca="false">AVERAGE('Combined District Data'!H200:H203)</f>
        <v>0.387711421753406</v>
      </c>
      <c r="E53" s="9" t="n">
        <f aca="false">AVERAGE(ABS('Combined District Data'!H200-0.5),ABS('Combined District Data'!H201-0.5),ABS('Combined District Data'!H202-0.5),ABS('Combined District Data'!H203-0.5))</f>
        <v>0.112288578246594</v>
      </c>
      <c r="F53" s="9" t="n">
        <f aca="false">STDEV('Combined District Data'!H200:H203)</f>
        <v>0.0114307473122178</v>
      </c>
      <c r="G53" s="8" t="n">
        <f aca="false">IF(('Combined District Data'!H200&gt;0.5)&lt;&gt;('Combined District Data'!H201&gt;0.5),1,0)+IF(('Combined District Data'!H201&gt;0.5)&lt;&gt;('Combined District Data'!H202&gt;0.5),1,0)+IF(('Combined District Data'!H202&gt;0.5)&lt;&gt;('Combined District Data'!H203&gt;0.5),1,0)</f>
        <v>0</v>
      </c>
      <c r="H53" s="7" t="str">
        <f aca="false">IF(OR(G53&gt;=1,E53&lt;0.05),"Hard",IF(AND(E53&gt;=0.15,F53&lt;0.05),"Easy","Medium"))</f>
        <v>Medium</v>
      </c>
    </row>
    <row r="54" customFormat="false" ht="15" hidden="false" customHeight="true" outlineLevel="0" collapsed="false">
      <c r="A54" s="8" t="s">
        <v>120</v>
      </c>
      <c r="B54" s="8" t="s">
        <v>99</v>
      </c>
      <c r="C54" s="8" t="s">
        <v>176</v>
      </c>
      <c r="D54" s="9" t="n">
        <f aca="false">AVERAGE('Combined District Data'!H204:H207)</f>
        <v>0.358510367169038</v>
      </c>
      <c r="E54" s="9" t="n">
        <f aca="false">AVERAGE(ABS('Combined District Data'!H204-0.5),ABS('Combined District Data'!H205-0.5),ABS('Combined District Data'!H206-0.5),ABS('Combined District Data'!H207-0.5))</f>
        <v>0.141489632830962</v>
      </c>
      <c r="F54" s="9" t="n">
        <f aca="false">STDEV('Combined District Data'!H204:H207)</f>
        <v>0.0178648821867725</v>
      </c>
      <c r="G54" s="8" t="n">
        <f aca="false">IF(('Combined District Data'!H204&gt;0.5)&lt;&gt;('Combined District Data'!H205&gt;0.5),1,0)+IF(('Combined District Data'!H205&gt;0.5)&lt;&gt;('Combined District Data'!H206&gt;0.5),1,0)+IF(('Combined District Data'!H206&gt;0.5)&lt;&gt;('Combined District Data'!H207&gt;0.5),1,0)</f>
        <v>0</v>
      </c>
      <c r="H54" s="7" t="str">
        <f aca="false">IF(OR(G54&gt;=1,E54&lt;0.05),"Hard",IF(AND(E54&gt;=0.15,F54&lt;0.05),"Easy","Medium"))</f>
        <v>Medium</v>
      </c>
    </row>
    <row r="55" customFormat="false" ht="15" hidden="false" customHeight="true" outlineLevel="0" collapsed="false">
      <c r="A55" s="8" t="s">
        <v>121</v>
      </c>
      <c r="B55" s="8" t="s">
        <v>99</v>
      </c>
      <c r="C55" s="8" t="s">
        <v>176</v>
      </c>
      <c r="D55" s="9" t="n">
        <f aca="false">AVERAGE('Combined District Data'!H208:H211)</f>
        <v>0.345309619716578</v>
      </c>
      <c r="E55" s="9" t="n">
        <f aca="false">AVERAGE(ABS('Combined District Data'!H208-0.5),ABS('Combined District Data'!H209-0.5),ABS('Combined District Data'!H210-0.5),ABS('Combined District Data'!H211-0.5))</f>
        <v>0.154690380283422</v>
      </c>
      <c r="F55" s="9" t="n">
        <f aca="false">STDEV('Combined District Data'!H208:H211)</f>
        <v>0.0192983147253577</v>
      </c>
      <c r="G55" s="8" t="n">
        <f aca="false">IF(('Combined District Data'!H208&gt;0.5)&lt;&gt;('Combined District Data'!H209&gt;0.5),1,0)+IF(('Combined District Data'!H209&gt;0.5)&lt;&gt;('Combined District Data'!H210&gt;0.5),1,0)+IF(('Combined District Data'!H210&gt;0.5)&lt;&gt;('Combined District Data'!H211&gt;0.5),1,0)</f>
        <v>0</v>
      </c>
      <c r="H55" s="7" t="str">
        <f aca="false">IF(OR(G55&gt;=1,E55&lt;0.05),"Hard",IF(AND(E55&gt;=0.15,F55&lt;0.05),"Easy","Medium"))</f>
        <v>Easy</v>
      </c>
    </row>
    <row r="56" customFormat="false" ht="15" hidden="false" customHeight="true" outlineLevel="0" collapsed="false">
      <c r="A56" s="8" t="s">
        <v>122</v>
      </c>
      <c r="B56" s="8" t="s">
        <v>99</v>
      </c>
      <c r="C56" s="8" t="s">
        <v>176</v>
      </c>
      <c r="D56" s="9" t="n">
        <f aca="false">AVERAGE('Combined District Data'!H212:H215)</f>
        <v>0.381376786857062</v>
      </c>
      <c r="E56" s="9" t="n">
        <f aca="false">AVERAGE(ABS('Combined District Data'!H212-0.5),ABS('Combined District Data'!H213-0.5),ABS('Combined District Data'!H214-0.5),ABS('Combined District Data'!H215-0.5))</f>
        <v>0.118623213142938</v>
      </c>
      <c r="F56" s="9" t="n">
        <f aca="false">STDEV('Combined District Data'!H212:H215)</f>
        <v>0.021138129691392</v>
      </c>
      <c r="G56" s="8" t="n">
        <f aca="false">IF(('Combined District Data'!H212&gt;0.5)&lt;&gt;('Combined District Data'!H213&gt;0.5),1,0)+IF(('Combined District Data'!H213&gt;0.5)&lt;&gt;('Combined District Data'!H214&gt;0.5),1,0)+IF(('Combined District Data'!H214&gt;0.5)&lt;&gt;('Combined District Data'!H215&gt;0.5),1,0)</f>
        <v>0</v>
      </c>
      <c r="H56" s="7" t="str">
        <f aca="false">IF(OR(G56&gt;=1,E56&lt;0.05),"Hard",IF(AND(E56&gt;=0.15,F56&lt;0.05),"Easy","Medium"))</f>
        <v>Medium</v>
      </c>
    </row>
    <row r="57" customFormat="false" ht="15" hidden="false" customHeight="true" outlineLevel="0" collapsed="false">
      <c r="A57" s="8" t="s">
        <v>123</v>
      </c>
      <c r="B57" s="8" t="s">
        <v>99</v>
      </c>
      <c r="C57" s="8" t="s">
        <v>176</v>
      </c>
      <c r="D57" s="9" t="n">
        <f aca="false">AVERAGE('Combined District Data'!H216:H219)</f>
        <v>0.415001010545352</v>
      </c>
      <c r="E57" s="9" t="n">
        <f aca="false">AVERAGE(ABS('Combined District Data'!H216-0.5),ABS('Combined District Data'!H217-0.5),ABS('Combined District Data'!H218-0.5),ABS('Combined District Data'!H219-0.5))</f>
        <v>0.0849989894546478</v>
      </c>
      <c r="F57" s="9" t="n">
        <f aca="false">STDEV('Combined District Data'!H216:H219)</f>
        <v>0.0133428363580157</v>
      </c>
      <c r="G57" s="8" t="n">
        <f aca="false">IF(('Combined District Data'!H216&gt;0.5)&lt;&gt;('Combined District Data'!H217&gt;0.5),1,0)+IF(('Combined District Data'!H217&gt;0.5)&lt;&gt;('Combined District Data'!H218&gt;0.5),1,0)+IF(('Combined District Data'!H218&gt;0.5)&lt;&gt;('Combined District Data'!H219&gt;0.5),1,0)</f>
        <v>0</v>
      </c>
      <c r="H57" s="7" t="str">
        <f aca="false">IF(OR(G57&gt;=1,E57&lt;0.05),"Hard",IF(AND(E57&gt;=0.15,F57&lt;0.05),"Easy","Medium"))</f>
        <v>Medium</v>
      </c>
    </row>
    <row r="58" customFormat="false" ht="15" hidden="false" customHeight="true" outlineLevel="0" collapsed="false">
      <c r="A58" s="8" t="s">
        <v>124</v>
      </c>
      <c r="B58" s="8" t="s">
        <v>99</v>
      </c>
      <c r="C58" s="8" t="s">
        <v>176</v>
      </c>
      <c r="D58" s="9" t="n">
        <f aca="false">AVERAGE('Combined District Data'!H220:H223)</f>
        <v>0.41962199856201</v>
      </c>
      <c r="E58" s="9" t="n">
        <f aca="false">AVERAGE(ABS('Combined District Data'!H220-0.5),ABS('Combined District Data'!H221-0.5),ABS('Combined District Data'!H222-0.5),ABS('Combined District Data'!H223-0.5))</f>
        <v>0.0803780014379904</v>
      </c>
      <c r="F58" s="9" t="n">
        <f aca="false">STDEV('Combined District Data'!H220:H223)</f>
        <v>0.0116336313456338</v>
      </c>
      <c r="G58" s="8" t="n">
        <f aca="false">IF(('Combined District Data'!H220&gt;0.5)&lt;&gt;('Combined District Data'!H221&gt;0.5),1,0)+IF(('Combined District Data'!H221&gt;0.5)&lt;&gt;('Combined District Data'!H222&gt;0.5),1,0)+IF(('Combined District Data'!H222&gt;0.5)&lt;&gt;('Combined District Data'!H223&gt;0.5),1,0)</f>
        <v>0</v>
      </c>
      <c r="H58" s="7" t="str">
        <f aca="false">IF(OR(G58&gt;=1,E58&lt;0.05),"Hard",IF(AND(E58&gt;=0.15,F58&lt;0.05),"Easy","Medium"))</f>
        <v>Medium</v>
      </c>
    </row>
    <row r="59" customFormat="false" ht="15" hidden="false" customHeight="true" outlineLevel="0" collapsed="false">
      <c r="A59" s="8" t="s">
        <v>125</v>
      </c>
      <c r="B59" s="8" t="s">
        <v>99</v>
      </c>
      <c r="C59" s="8" t="s">
        <v>176</v>
      </c>
      <c r="D59" s="9" t="n">
        <f aca="false">AVERAGE('Combined District Data'!H224:H227)</f>
        <v>0.329004217387826</v>
      </c>
      <c r="E59" s="9" t="n">
        <f aca="false">AVERAGE(ABS('Combined District Data'!H224-0.5),ABS('Combined District Data'!H225-0.5),ABS('Combined District Data'!H226-0.5),ABS('Combined District Data'!H227-0.5))</f>
        <v>0.170995782612174</v>
      </c>
      <c r="F59" s="9" t="n">
        <f aca="false">STDEV('Combined District Data'!H224:H227)</f>
        <v>0.0192048915613897</v>
      </c>
      <c r="G59" s="8" t="n">
        <f aca="false">IF(('Combined District Data'!H224&gt;0.5)&lt;&gt;('Combined District Data'!H225&gt;0.5),1,0)+IF(('Combined District Data'!H225&gt;0.5)&lt;&gt;('Combined District Data'!H226&gt;0.5),1,0)+IF(('Combined District Data'!H226&gt;0.5)&lt;&gt;('Combined District Data'!H227&gt;0.5),1,0)</f>
        <v>0</v>
      </c>
      <c r="H59" s="7" t="str">
        <f aca="false">IF(OR(G59&gt;=1,E59&lt;0.05),"Hard",IF(AND(E59&gt;=0.15,F59&lt;0.05),"Easy","Medium"))</f>
        <v>Easy</v>
      </c>
    </row>
    <row r="60" customFormat="false" ht="15" hidden="false" customHeight="true" outlineLevel="0" collapsed="false">
      <c r="A60" s="8" t="s">
        <v>126</v>
      </c>
      <c r="B60" s="8" t="s">
        <v>99</v>
      </c>
      <c r="C60" s="8" t="s">
        <v>176</v>
      </c>
      <c r="D60" s="9" t="n">
        <f aca="false">AVERAGE('Combined District Data'!H228:H231)</f>
        <v>0.481454404895054</v>
      </c>
      <c r="E60" s="9" t="n">
        <f aca="false">AVERAGE(ABS('Combined District Data'!H228-0.5),ABS('Combined District Data'!H229-0.5),ABS('Combined District Data'!H230-0.5),ABS('Combined District Data'!H231-0.5))</f>
        <v>0.0185455951049458</v>
      </c>
      <c r="F60" s="9" t="n">
        <f aca="false">STDEV('Combined District Data'!H228:H231)</f>
        <v>0.0136312593661876</v>
      </c>
      <c r="G60" s="8" t="n">
        <f aca="false">IF(('Combined District Data'!H228&gt;0.5)&lt;&gt;('Combined District Data'!H229&gt;0.5),1,0)+IF(('Combined District Data'!H229&gt;0.5)&lt;&gt;('Combined District Data'!H230&gt;0.5),1,0)+IF(('Combined District Data'!H230&gt;0.5)&lt;&gt;('Combined District Data'!H231&gt;0.5),1,0)</f>
        <v>0</v>
      </c>
      <c r="H60" s="7" t="str">
        <f aca="false">IF(OR(G60&gt;=1,E60&lt;0.05),"Hard",IF(AND(E60&gt;=0.15,F60&lt;0.05),"Easy","Medium"))</f>
        <v>Hard</v>
      </c>
    </row>
    <row r="61" customFormat="false" ht="15" hidden="false" customHeight="true" outlineLevel="0" collapsed="false">
      <c r="A61" s="8" t="s">
        <v>127</v>
      </c>
      <c r="B61" s="8" t="s">
        <v>99</v>
      </c>
      <c r="C61" s="8" t="s">
        <v>176</v>
      </c>
      <c r="D61" s="9" t="n">
        <f aca="false">AVERAGE('Combined District Data'!H232:H235)</f>
        <v>0.399575280480687</v>
      </c>
      <c r="E61" s="9" t="n">
        <f aca="false">AVERAGE(ABS('Combined District Data'!H232-0.5),ABS('Combined District Data'!H233-0.5),ABS('Combined District Data'!H234-0.5),ABS('Combined District Data'!H235-0.5))</f>
        <v>0.100424719519313</v>
      </c>
      <c r="F61" s="9" t="n">
        <f aca="false">STDEV('Combined District Data'!H232:H235)</f>
        <v>0.0168596960150464</v>
      </c>
      <c r="G61" s="8" t="n">
        <f aca="false">IF(('Combined District Data'!H232&gt;0.5)&lt;&gt;('Combined District Data'!H233&gt;0.5),1,0)+IF(('Combined District Data'!H233&gt;0.5)&lt;&gt;('Combined District Data'!H234&gt;0.5),1,0)+IF(('Combined District Data'!H234&gt;0.5)&lt;&gt;('Combined District Data'!H235&gt;0.5),1,0)</f>
        <v>0</v>
      </c>
      <c r="H61" s="7" t="str">
        <f aca="false">IF(OR(G61&gt;=1,E61&lt;0.05),"Hard",IF(AND(E61&gt;=0.15,F61&lt;0.05),"Easy","Medium"))</f>
        <v>Medium</v>
      </c>
    </row>
    <row r="62" customFormat="false" ht="15" hidden="false" customHeight="true" outlineLevel="0" collapsed="false">
      <c r="A62" s="8" t="s">
        <v>95</v>
      </c>
      <c r="B62" s="8" t="s">
        <v>99</v>
      </c>
      <c r="C62" s="8" t="s">
        <v>176</v>
      </c>
      <c r="D62" s="9" t="n">
        <f aca="false">AVERAGE('Combined District Data'!H236:H239)</f>
        <v>0.352149552193892</v>
      </c>
      <c r="E62" s="9" t="n">
        <f aca="false">AVERAGE(ABS('Combined District Data'!H236-0.5),ABS('Combined District Data'!H237-0.5),ABS('Combined District Data'!H238-0.5),ABS('Combined District Data'!H239-0.5))</f>
        <v>0.147850447806108</v>
      </c>
      <c r="F62" s="9" t="n">
        <f aca="false">STDEV('Combined District Data'!H236:H239)</f>
        <v>0.0194597391916257</v>
      </c>
      <c r="G62" s="8" t="n">
        <f aca="false">IF(('Combined District Data'!H236&gt;0.5)&lt;&gt;('Combined District Data'!H237&gt;0.5),1,0)+IF(('Combined District Data'!H237&gt;0.5)&lt;&gt;('Combined District Data'!H238&gt;0.5),1,0)+IF(('Combined District Data'!H238&gt;0.5)&lt;&gt;('Combined District Data'!H239&gt;0.5),1,0)</f>
        <v>0</v>
      </c>
      <c r="H62" s="7" t="str">
        <f aca="false">IF(OR(G62&gt;=1,E62&lt;0.05),"Hard",IF(AND(E62&gt;=0.15,F62&lt;0.05),"Easy","Medium"))</f>
        <v>Medium</v>
      </c>
    </row>
    <row r="63" customFormat="false" ht="15" hidden="false" customHeight="true" outlineLevel="0" collapsed="false">
      <c r="A63" s="8" t="s">
        <v>128</v>
      </c>
      <c r="B63" s="8" t="s">
        <v>99</v>
      </c>
      <c r="C63" s="8" t="s">
        <v>176</v>
      </c>
      <c r="D63" s="9" t="n">
        <f aca="false">AVERAGE('Combined District Data'!H240:H243)</f>
        <v>0.475674658326391</v>
      </c>
      <c r="E63" s="9" t="n">
        <f aca="false">AVERAGE(ABS('Combined District Data'!H240-0.5),ABS('Combined District Data'!H241-0.5),ABS('Combined District Data'!H242-0.5),ABS('Combined District Data'!H243-0.5))</f>
        <v>0.0310820984303659</v>
      </c>
      <c r="F63" s="9" t="n">
        <f aca="false">STDEV('Combined District Data'!H240:H243)</f>
        <v>0.0330366312127125</v>
      </c>
      <c r="G63" s="8" t="n">
        <f aca="false">IF(('Combined District Data'!H240&gt;0.5)&lt;&gt;('Combined District Data'!H241&gt;0.5),1,0)+IF(('Combined District Data'!H241&gt;0.5)&lt;&gt;('Combined District Data'!H242&gt;0.5),1,0)+IF(('Combined District Data'!H242&gt;0.5)&lt;&gt;('Combined District Data'!H243&gt;0.5),1,0)</f>
        <v>1</v>
      </c>
      <c r="H63" s="7" t="str">
        <f aca="false">IF(OR(G63&gt;=1,E63&lt;0.05),"Hard",IF(AND(E63&gt;=0.15,F63&lt;0.05),"Easy","Medium"))</f>
        <v>Hard</v>
      </c>
    </row>
    <row r="64" customFormat="false" ht="15" hidden="false" customHeight="true" outlineLevel="0" collapsed="false">
      <c r="A64" s="8" t="s">
        <v>129</v>
      </c>
      <c r="B64" s="8" t="s">
        <v>99</v>
      </c>
      <c r="C64" s="8" t="s">
        <v>176</v>
      </c>
      <c r="D64" s="9" t="n">
        <f aca="false">AVERAGE('Combined District Data'!H244:H247)</f>
        <v>0.436090519814798</v>
      </c>
      <c r="E64" s="9" t="n">
        <f aca="false">AVERAGE(ABS('Combined District Data'!H244-0.5),ABS('Combined District Data'!H245-0.5),ABS('Combined District Data'!H246-0.5),ABS('Combined District Data'!H247-0.5))</f>
        <v>0.0639094801852022</v>
      </c>
      <c r="F64" s="9" t="n">
        <f aca="false">STDEV('Combined District Data'!H244:H247)</f>
        <v>0.00765612064394157</v>
      </c>
      <c r="G64" s="8" t="n">
        <f aca="false">IF(('Combined District Data'!H244&gt;0.5)&lt;&gt;('Combined District Data'!H245&gt;0.5),1,0)+IF(('Combined District Data'!H245&gt;0.5)&lt;&gt;('Combined District Data'!H246&gt;0.5),1,0)+IF(('Combined District Data'!H246&gt;0.5)&lt;&gt;('Combined District Data'!H247&gt;0.5),1,0)</f>
        <v>0</v>
      </c>
      <c r="H64" s="7" t="str">
        <f aca="false">IF(OR(G64&gt;=1,E64&lt;0.05),"Hard",IF(AND(E64&gt;=0.15,F64&lt;0.05),"Easy","Medium"))</f>
        <v>Medium</v>
      </c>
    </row>
    <row r="65" customFormat="false" ht="15" hidden="false" customHeight="true" outlineLevel="0" collapsed="false">
      <c r="A65" s="8" t="s">
        <v>130</v>
      </c>
      <c r="B65" s="8" t="s">
        <v>99</v>
      </c>
      <c r="C65" s="8" t="s">
        <v>176</v>
      </c>
      <c r="D65" s="9" t="n">
        <f aca="false">AVERAGE('Combined District Data'!H248:H251)</f>
        <v>0.569394301767686</v>
      </c>
      <c r="E65" s="9" t="n">
        <f aca="false">AVERAGE(ABS('Combined District Data'!H248-0.5),ABS('Combined District Data'!H249-0.5),ABS('Combined District Data'!H250-0.5),ABS('Combined District Data'!H251-0.5))</f>
        <v>0.0693943017676858</v>
      </c>
      <c r="F65" s="9" t="n">
        <f aca="false">STDEV('Combined District Data'!H248:H251)</f>
        <v>0.0194142694199699</v>
      </c>
      <c r="G65" s="8" t="n">
        <f aca="false">IF(('Combined District Data'!H248&gt;0.5)&lt;&gt;('Combined District Data'!H249&gt;0.5),1,0)+IF(('Combined District Data'!H249&gt;0.5)&lt;&gt;('Combined District Data'!H250&gt;0.5),1,0)+IF(('Combined District Data'!H250&gt;0.5)&lt;&gt;('Combined District Data'!H251&gt;0.5),1,0)</f>
        <v>0</v>
      </c>
      <c r="H65" s="7" t="str">
        <f aca="false">IF(OR(G65&gt;=1,E65&lt;0.05),"Hard",IF(AND(E65&gt;=0.15,F65&lt;0.05),"Easy","Medium"))</f>
        <v>Medium</v>
      </c>
    </row>
    <row r="66" customFormat="false" ht="15" hidden="false" customHeight="true" outlineLevel="0" collapsed="false">
      <c r="A66" s="8" t="s">
        <v>131</v>
      </c>
      <c r="B66" s="8" t="s">
        <v>99</v>
      </c>
      <c r="C66" s="8" t="s">
        <v>176</v>
      </c>
      <c r="D66" s="9" t="n">
        <f aca="false">AVERAGE('Combined District Data'!H252:H255)</f>
        <v>0.426096412419778</v>
      </c>
      <c r="E66" s="9" t="n">
        <f aca="false">AVERAGE(ABS('Combined District Data'!H252-0.5),ABS('Combined District Data'!H253-0.5),ABS('Combined District Data'!H254-0.5),ABS('Combined District Data'!H255-0.5))</f>
        <v>0.0739035875802222</v>
      </c>
      <c r="F66" s="9" t="n">
        <f aca="false">STDEV('Combined District Data'!H252:H255)</f>
        <v>0.025601248964116</v>
      </c>
      <c r="G66" s="8" t="n">
        <f aca="false">IF(('Combined District Data'!H252&gt;0.5)&lt;&gt;('Combined District Data'!H253&gt;0.5),1,0)+IF(('Combined District Data'!H253&gt;0.5)&lt;&gt;('Combined District Data'!H254&gt;0.5),1,0)+IF(('Combined District Data'!H254&gt;0.5)&lt;&gt;('Combined District Data'!H255&gt;0.5),1,0)</f>
        <v>0</v>
      </c>
      <c r="H66" s="7" t="str">
        <f aca="false">IF(OR(G66&gt;=1,E66&lt;0.05),"Hard",IF(AND(E66&gt;=0.15,F66&lt;0.05),"Easy","Medium"))</f>
        <v>Medium</v>
      </c>
    </row>
    <row r="67" customFormat="false" ht="15" hidden="false" customHeight="true" outlineLevel="0" collapsed="false">
      <c r="A67" s="8" t="s">
        <v>138</v>
      </c>
      <c r="B67" s="8" t="s">
        <v>139</v>
      </c>
      <c r="C67" s="8" t="s">
        <v>177</v>
      </c>
      <c r="D67" s="9" t="n">
        <f aca="false">AVERAGE('Combined District Data'!H256:H259)</f>
        <v>0.528535310679328</v>
      </c>
      <c r="E67" s="9" t="n">
        <f aca="false">AVERAGE(ABS('Combined District Data'!H256-0.5),ABS('Combined District Data'!H257-0.5),ABS('Combined District Data'!H258-0.5),ABS('Combined District Data'!H259-0.5))</f>
        <v>0.0285353106793282</v>
      </c>
      <c r="F67" s="9" t="n">
        <f aca="false">STDEV('Combined District Data'!H256:H259)</f>
        <v>0.0133314963988344</v>
      </c>
      <c r="G67" s="8" t="n">
        <f aca="false">IF(('Combined District Data'!H256&gt;0.5)&lt;&gt;('Combined District Data'!H257&gt;0.5),1,0)+IF(('Combined District Data'!H257&gt;0.5)&lt;&gt;('Combined District Data'!H258&gt;0.5),1,0)+IF(('Combined District Data'!H258&gt;0.5)&lt;&gt;('Combined District Data'!H259&gt;0.5),1,0)</f>
        <v>0</v>
      </c>
      <c r="H67" s="7" t="str">
        <f aca="false">IF(OR(G67&gt;=1,E67&lt;0.05),"Hard",IF(AND(E67&gt;=0.15,F67&lt;0.05),"Easy","Medium"))</f>
        <v>Hard</v>
      </c>
    </row>
    <row r="68" customFormat="false" ht="15" hidden="false" customHeight="true" outlineLevel="0" collapsed="false">
      <c r="A68" s="8" t="s">
        <v>140</v>
      </c>
      <c r="B68" s="8" t="s">
        <v>139</v>
      </c>
      <c r="C68" s="8" t="s">
        <v>177</v>
      </c>
      <c r="D68" s="9" t="n">
        <f aca="false">AVERAGE('Combined District Data'!H260:H263)</f>
        <v>0.380325054143373</v>
      </c>
      <c r="E68" s="9" t="n">
        <f aca="false">AVERAGE(ABS('Combined District Data'!H260-0.5),ABS('Combined District Data'!H261-0.5),ABS('Combined District Data'!H262-0.5),ABS('Combined District Data'!H263-0.5))</f>
        <v>0.119674945856627</v>
      </c>
      <c r="F68" s="9" t="n">
        <f aca="false">STDEV('Combined District Data'!H260:H263)</f>
        <v>0.0142220409477308</v>
      </c>
      <c r="G68" s="8" t="n">
        <f aca="false">IF(('Combined District Data'!H260&gt;0.5)&lt;&gt;('Combined District Data'!H261&gt;0.5),1,0)+IF(('Combined District Data'!H261&gt;0.5)&lt;&gt;('Combined District Data'!H262&gt;0.5),1,0)+IF(('Combined District Data'!H262&gt;0.5)&lt;&gt;('Combined District Data'!H263&gt;0.5),1,0)</f>
        <v>0</v>
      </c>
      <c r="H68" s="7" t="str">
        <f aca="false">IF(OR(G68&gt;=1,E68&lt;0.05),"Hard",IF(AND(E68&gt;=0.15,F68&lt;0.05),"Easy","Medium"))</f>
        <v>Medium</v>
      </c>
    </row>
    <row r="69" customFormat="false" ht="15" hidden="false" customHeight="true" outlineLevel="0" collapsed="false">
      <c r="A69" s="8" t="s">
        <v>141</v>
      </c>
      <c r="B69" s="8" t="s">
        <v>139</v>
      </c>
      <c r="C69" s="8" t="s">
        <v>177</v>
      </c>
      <c r="D69" s="9" t="n">
        <f aca="false">AVERAGE('Combined District Data'!H264:H267)</f>
        <v>0.36229225845357</v>
      </c>
      <c r="E69" s="9" t="n">
        <f aca="false">AVERAGE(ABS('Combined District Data'!H264-0.5),ABS('Combined District Data'!H265-0.5),ABS('Combined District Data'!H266-0.5),ABS('Combined District Data'!H267-0.5))</f>
        <v>0.137707741546431</v>
      </c>
      <c r="F69" s="9" t="n">
        <f aca="false">STDEV('Combined District Data'!H264:H267)</f>
        <v>0.0137097557877694</v>
      </c>
      <c r="G69" s="8" t="n">
        <f aca="false">IF(('Combined District Data'!H264&gt;0.5)&lt;&gt;('Combined District Data'!H265&gt;0.5),1,0)+IF(('Combined District Data'!H265&gt;0.5)&lt;&gt;('Combined District Data'!H266&gt;0.5),1,0)+IF(('Combined District Data'!H266&gt;0.5)&lt;&gt;('Combined District Data'!H267&gt;0.5),1,0)</f>
        <v>0</v>
      </c>
      <c r="H69" s="7" t="str">
        <f aca="false">IF(OR(G69&gt;=1,E69&lt;0.05),"Hard",IF(AND(E69&gt;=0.15,F69&lt;0.05),"Easy","Medium"))</f>
        <v>Medium</v>
      </c>
    </row>
    <row r="70" customFormat="false" ht="15" hidden="false" customHeight="true" outlineLevel="0" collapsed="false">
      <c r="A70" s="8" t="s">
        <v>142</v>
      </c>
      <c r="B70" s="8" t="s">
        <v>139</v>
      </c>
      <c r="C70" s="8" t="s">
        <v>177</v>
      </c>
      <c r="D70" s="9" t="n">
        <f aca="false">AVERAGE('Combined District Data'!H268:H271)</f>
        <v>0.319172279488746</v>
      </c>
      <c r="E70" s="9" t="n">
        <f aca="false">AVERAGE(ABS('Combined District Data'!H268-0.5),ABS('Combined District Data'!H269-0.5),ABS('Combined District Data'!H270-0.5),ABS('Combined District Data'!H271-0.5))</f>
        <v>0.180827720511254</v>
      </c>
      <c r="F70" s="9" t="n">
        <f aca="false">STDEV('Combined District Data'!H268:H271)</f>
        <v>0.0151871032365605</v>
      </c>
      <c r="G70" s="8" t="n">
        <f aca="false">IF(('Combined District Data'!H268&gt;0.5)&lt;&gt;('Combined District Data'!H269&gt;0.5),1,0)+IF(('Combined District Data'!H269&gt;0.5)&lt;&gt;('Combined District Data'!H270&gt;0.5),1,0)+IF(('Combined District Data'!H270&gt;0.5)&lt;&gt;('Combined District Data'!H271&gt;0.5),1,0)</f>
        <v>0</v>
      </c>
      <c r="H70" s="7" t="str">
        <f aca="false">IF(OR(G70&gt;=1,E70&lt;0.05),"Hard",IF(AND(E70&gt;=0.15,F70&lt;0.05),"Easy","Medium"))</f>
        <v>Easy</v>
      </c>
    </row>
    <row r="71" customFormat="false" ht="15" hidden="false" customHeight="true" outlineLevel="0" collapsed="false">
      <c r="A71" s="8" t="s">
        <v>143</v>
      </c>
      <c r="B71" s="8" t="s">
        <v>139</v>
      </c>
      <c r="C71" s="8" t="s">
        <v>177</v>
      </c>
      <c r="D71" s="9" t="n">
        <f aca="false">AVERAGE('Combined District Data'!H272:H275)</f>
        <v>0.410302973862296</v>
      </c>
      <c r="E71" s="9" t="n">
        <f aca="false">AVERAGE(ABS('Combined District Data'!H272-0.5),ABS('Combined District Data'!H273-0.5),ABS('Combined District Data'!H274-0.5),ABS('Combined District Data'!H275-0.5))</f>
        <v>0.0896970261377041</v>
      </c>
      <c r="F71" s="9" t="n">
        <f aca="false">STDEV('Combined District Data'!H272:H275)</f>
        <v>0.0159694979139058</v>
      </c>
      <c r="G71" s="8" t="n">
        <f aca="false">IF(('Combined District Data'!H272&gt;0.5)&lt;&gt;('Combined District Data'!H273&gt;0.5),1,0)+IF(('Combined District Data'!H273&gt;0.5)&lt;&gt;('Combined District Data'!H274&gt;0.5),1,0)+IF(('Combined District Data'!H274&gt;0.5)&lt;&gt;('Combined District Data'!H275&gt;0.5),1,0)</f>
        <v>0</v>
      </c>
      <c r="H71" s="7" t="str">
        <f aca="false">IF(OR(G71&gt;=1,E71&lt;0.05),"Hard",IF(AND(E71&gt;=0.15,F71&lt;0.05),"Easy","Medium"))</f>
        <v>Medium</v>
      </c>
    </row>
    <row r="72" customFormat="false" ht="15" hidden="false" customHeight="true" outlineLevel="0" collapsed="false">
      <c r="A72" s="8" t="s">
        <v>144</v>
      </c>
      <c r="B72" s="8" t="s">
        <v>139</v>
      </c>
      <c r="C72" s="8" t="s">
        <v>177</v>
      </c>
      <c r="D72" s="9" t="n">
        <f aca="false">AVERAGE('Combined District Data'!H276:H279)</f>
        <v>0.326519740823374</v>
      </c>
      <c r="E72" s="9" t="n">
        <f aca="false">AVERAGE(ABS('Combined District Data'!H276-0.5),ABS('Combined District Data'!H277-0.5),ABS('Combined District Data'!H278-0.5),ABS('Combined District Data'!H279-0.5))</f>
        <v>0.173480259176626</v>
      </c>
      <c r="F72" s="9" t="n">
        <f aca="false">STDEV('Combined District Data'!H276:H279)</f>
        <v>0.0151155884731418</v>
      </c>
      <c r="G72" s="8" t="n">
        <f aca="false">IF(('Combined District Data'!H276&gt;0.5)&lt;&gt;('Combined District Data'!H277&gt;0.5),1,0)+IF(('Combined District Data'!H277&gt;0.5)&lt;&gt;('Combined District Data'!H278&gt;0.5),1,0)+IF(('Combined District Data'!H278&gt;0.5)&lt;&gt;('Combined District Data'!H279&gt;0.5),1,0)</f>
        <v>0</v>
      </c>
      <c r="H72" s="7" t="str">
        <f aca="false">IF(OR(G72&gt;=1,E72&lt;0.05),"Hard",IF(AND(E72&gt;=0.15,F72&lt;0.05),"Easy","Medium"))</f>
        <v>Easy</v>
      </c>
    </row>
    <row r="73" customFormat="false" ht="15" hidden="false" customHeight="true" outlineLevel="0" collapsed="false">
      <c r="A73" s="8" t="s">
        <v>145</v>
      </c>
      <c r="B73" s="8" t="s">
        <v>139</v>
      </c>
      <c r="C73" s="8" t="s">
        <v>177</v>
      </c>
      <c r="D73" s="9" t="n">
        <f aca="false">AVERAGE('Combined District Data'!H280:H283)</f>
        <v>0.474744956861274</v>
      </c>
      <c r="E73" s="9" t="n">
        <f aca="false">AVERAGE(ABS('Combined District Data'!H280-0.5),ABS('Combined District Data'!H281-0.5),ABS('Combined District Data'!H282-0.5),ABS('Combined District Data'!H283-0.5))</f>
        <v>0.0252550431387265</v>
      </c>
      <c r="F73" s="9" t="n">
        <f aca="false">STDEV('Combined District Data'!H280:H283)</f>
        <v>0.0136554429905725</v>
      </c>
      <c r="G73" s="8" t="n">
        <f aca="false">IF(('Combined District Data'!H280&gt;0.5)&lt;&gt;('Combined District Data'!H281&gt;0.5),1,0)+IF(('Combined District Data'!H281&gt;0.5)&lt;&gt;('Combined District Data'!H282&gt;0.5),1,0)+IF(('Combined District Data'!H282&gt;0.5)&lt;&gt;('Combined District Data'!H283&gt;0.5),1,0)</f>
        <v>0</v>
      </c>
      <c r="H73" s="7" t="str">
        <f aca="false">IF(OR(G73&gt;=1,E73&lt;0.05),"Hard",IF(AND(E73&gt;=0.15,F73&lt;0.05),"Easy","Medium"))</f>
        <v>Hard</v>
      </c>
    </row>
    <row r="74" customFormat="false" ht="15" hidden="false" customHeight="true" outlineLevel="0" collapsed="false">
      <c r="A74" s="8" t="s">
        <v>146</v>
      </c>
      <c r="B74" s="8" t="s">
        <v>139</v>
      </c>
      <c r="C74" s="8" t="s">
        <v>177</v>
      </c>
      <c r="D74" s="9" t="n">
        <f aca="false">AVERAGE('Combined District Data'!H284:H287)</f>
        <v>0.359526227834075</v>
      </c>
      <c r="E74" s="9" t="n">
        <f aca="false">AVERAGE(ABS('Combined District Data'!H284-0.5),ABS('Combined District Data'!H285-0.5),ABS('Combined District Data'!H286-0.5),ABS('Combined District Data'!H287-0.5))</f>
        <v>0.140473772165925</v>
      </c>
      <c r="F74" s="9" t="n">
        <f aca="false">STDEV('Combined District Data'!H284:H287)</f>
        <v>0.0146724515950371</v>
      </c>
      <c r="G74" s="8" t="n">
        <f aca="false">IF(('Combined District Data'!H284&gt;0.5)&lt;&gt;('Combined District Data'!H285&gt;0.5),1,0)+IF(('Combined District Data'!H285&gt;0.5)&lt;&gt;('Combined District Data'!H286&gt;0.5),1,0)+IF(('Combined District Data'!H286&gt;0.5)&lt;&gt;('Combined District Data'!H287&gt;0.5),1,0)</f>
        <v>0</v>
      </c>
      <c r="H74" s="7" t="str">
        <f aca="false">IF(OR(G74&gt;=1,E74&lt;0.05),"Hard",IF(AND(E74&gt;=0.15,F74&lt;0.05),"Easy","Medium"))</f>
        <v>Medium</v>
      </c>
    </row>
    <row r="75" customFormat="false" ht="15" hidden="false" customHeight="true" outlineLevel="0" collapsed="false">
      <c r="A75" s="8" t="s">
        <v>147</v>
      </c>
      <c r="B75" s="8" t="s">
        <v>139</v>
      </c>
      <c r="C75" s="8" t="s">
        <v>177</v>
      </c>
      <c r="D75" s="9" t="n">
        <f aca="false">AVERAGE('Combined District Data'!H288:H291)</f>
        <v>0.481801031616118</v>
      </c>
      <c r="E75" s="9" t="n">
        <f aca="false">AVERAGE(ABS('Combined District Data'!H288-0.5),ABS('Combined District Data'!H289-0.5),ABS('Combined District Data'!H290-0.5),ABS('Combined District Data'!H291-0.5))</f>
        <v>0.0181989683838821</v>
      </c>
      <c r="F75" s="9" t="n">
        <f aca="false">STDEV('Combined District Data'!H288:H291)</f>
        <v>0.013807350663309</v>
      </c>
      <c r="G75" s="8" t="n">
        <f aca="false">IF(('Combined District Data'!H288&gt;0.5)&lt;&gt;('Combined District Data'!H289&gt;0.5),1,0)+IF(('Combined District Data'!H289&gt;0.5)&lt;&gt;('Combined District Data'!H290&gt;0.5),1,0)+IF(('Combined District Data'!H290&gt;0.5)&lt;&gt;('Combined District Data'!H291&gt;0.5),1,0)</f>
        <v>0</v>
      </c>
      <c r="H75" s="7" t="str">
        <f aca="false">IF(OR(G75&gt;=1,E75&lt;0.05),"Hard",IF(AND(E75&gt;=0.15,F75&lt;0.05),"Easy","Medium"))</f>
        <v>Hard</v>
      </c>
    </row>
    <row r="76" customFormat="false" ht="15" hidden="false" customHeight="true" outlineLevel="0" collapsed="false">
      <c r="A76" s="8" t="s">
        <v>148</v>
      </c>
      <c r="B76" s="8" t="s">
        <v>139</v>
      </c>
      <c r="C76" s="8" t="s">
        <v>177</v>
      </c>
      <c r="D76" s="9" t="n">
        <f aca="false">AVERAGE('Combined District Data'!H292:H295)</f>
        <v>0.301794952073524</v>
      </c>
      <c r="E76" s="9" t="n">
        <f aca="false">AVERAGE(ABS('Combined District Data'!H292-0.5),ABS('Combined District Data'!H293-0.5),ABS('Combined District Data'!H294-0.5),ABS('Combined District Data'!H295-0.5))</f>
        <v>0.198205047926476</v>
      </c>
      <c r="F76" s="9" t="n">
        <f aca="false">STDEV('Combined District Data'!H292:H295)</f>
        <v>0.0155866160690348</v>
      </c>
      <c r="G76" s="8" t="n">
        <f aca="false">IF(('Combined District Data'!H292&gt;0.5)&lt;&gt;('Combined District Data'!H293&gt;0.5),1,0)+IF(('Combined District Data'!H293&gt;0.5)&lt;&gt;('Combined District Data'!H294&gt;0.5),1,0)+IF(('Combined District Data'!H294&gt;0.5)&lt;&gt;('Combined District Data'!H295&gt;0.5),1,0)</f>
        <v>0</v>
      </c>
      <c r="H76" s="7" t="str">
        <f aca="false">IF(OR(G76&gt;=1,E76&lt;0.05),"Hard",IF(AND(E76&gt;=0.15,F76&lt;0.05),"Easy","Medium"))</f>
        <v>Easy</v>
      </c>
    </row>
    <row r="77" customFormat="false" ht="15" hidden="false" customHeight="true" outlineLevel="0" collapsed="false">
      <c r="A77" s="8" t="s">
        <v>149</v>
      </c>
      <c r="B77" s="8" t="s">
        <v>139</v>
      </c>
      <c r="C77" s="8" t="s">
        <v>177</v>
      </c>
      <c r="D77" s="9" t="n">
        <f aca="false">AVERAGE('Combined District Data'!H296:H299)</f>
        <v>0.222717115286948</v>
      </c>
      <c r="E77" s="9" t="n">
        <f aca="false">AVERAGE(ABS('Combined District Data'!H296-0.5),ABS('Combined District Data'!H297-0.5),ABS('Combined District Data'!H298-0.5),ABS('Combined District Data'!H299-0.5))</f>
        <v>0.277282884713052</v>
      </c>
      <c r="F77" s="9" t="n">
        <f aca="false">STDEV('Combined District Data'!H296:H299)</f>
        <v>0.0168886794346356</v>
      </c>
      <c r="G77" s="8" t="n">
        <f aca="false">IF(('Combined District Data'!H296&gt;0.5)&lt;&gt;('Combined District Data'!H297&gt;0.5),1,0)+IF(('Combined District Data'!H297&gt;0.5)&lt;&gt;('Combined District Data'!H298&gt;0.5),1,0)+IF(('Combined District Data'!H298&gt;0.5)&lt;&gt;('Combined District Data'!H299&gt;0.5),1,0)</f>
        <v>0</v>
      </c>
      <c r="H77" s="7" t="str">
        <f aca="false">IF(OR(G77&gt;=1,E77&lt;0.05),"Hard",IF(AND(E77&gt;=0.15,F77&lt;0.05),"Easy","Medium"))</f>
        <v>Easy</v>
      </c>
    </row>
    <row r="78" customFormat="false" ht="15" hidden="false" customHeight="true" outlineLevel="0" collapsed="false">
      <c r="A78" s="8" t="s">
        <v>150</v>
      </c>
      <c r="B78" s="8" t="s">
        <v>139</v>
      </c>
      <c r="C78" s="8" t="s">
        <v>177</v>
      </c>
      <c r="D78" s="9" t="n">
        <f aca="false">AVERAGE('Combined District Data'!H300:H303)</f>
        <v>0.422348001562068</v>
      </c>
      <c r="E78" s="9" t="n">
        <f aca="false">AVERAGE(ABS('Combined District Data'!H300-0.5),ABS('Combined District Data'!H301-0.5),ABS('Combined District Data'!H302-0.5),ABS('Combined District Data'!H303-0.5))</f>
        <v>0.0776519984379323</v>
      </c>
      <c r="F78" s="9" t="n">
        <f aca="false">STDEV('Combined District Data'!H300:H303)</f>
        <v>0.0139570093206252</v>
      </c>
      <c r="G78" s="8" t="n">
        <f aca="false">IF(('Combined District Data'!H300&gt;0.5)&lt;&gt;('Combined District Data'!H301&gt;0.5),1,0)+IF(('Combined District Data'!H301&gt;0.5)&lt;&gt;('Combined District Data'!H302&gt;0.5),1,0)+IF(('Combined District Data'!H302&gt;0.5)&lt;&gt;('Combined District Data'!H303&gt;0.5),1,0)</f>
        <v>0</v>
      </c>
      <c r="H78" s="7" t="str">
        <f aca="false">IF(OR(G78&gt;=1,E78&lt;0.05),"Hard",IF(AND(E78&gt;=0.15,F78&lt;0.05),"Easy","Medium"))</f>
        <v>Medium</v>
      </c>
    </row>
    <row r="79" customFormat="false" ht="15" hidden="false" customHeight="true" outlineLevel="0" collapsed="false">
      <c r="A79" s="8" t="s">
        <v>151</v>
      </c>
      <c r="B79" s="8" t="s">
        <v>139</v>
      </c>
      <c r="C79" s="8" t="s">
        <v>177</v>
      </c>
      <c r="D79" s="9" t="n">
        <f aca="false">AVERAGE('Combined District Data'!H304:H307)</f>
        <v>0.341592237459038</v>
      </c>
      <c r="E79" s="9" t="n">
        <f aca="false">AVERAGE(ABS('Combined District Data'!H304-0.5),ABS('Combined District Data'!H305-0.5),ABS('Combined District Data'!H306-0.5),ABS('Combined District Data'!H307-0.5))</f>
        <v>0.158407762540962</v>
      </c>
      <c r="F79" s="9" t="n">
        <f aca="false">STDEV('Combined District Data'!H304:H307)</f>
        <v>0.0150177976009802</v>
      </c>
      <c r="G79" s="8" t="n">
        <f aca="false">IF(('Combined District Data'!H304&gt;0.5)&lt;&gt;('Combined District Data'!H305&gt;0.5),1,0)+IF(('Combined District Data'!H305&gt;0.5)&lt;&gt;('Combined District Data'!H306&gt;0.5),1,0)+IF(('Combined District Data'!H306&gt;0.5)&lt;&gt;('Combined District Data'!H307&gt;0.5),1,0)</f>
        <v>0</v>
      </c>
      <c r="H79" s="7" t="str">
        <f aca="false">IF(OR(G79&gt;=1,E79&lt;0.05),"Hard",IF(AND(E79&gt;=0.15,F79&lt;0.05),"Easy","Medium"))</f>
        <v>Easy</v>
      </c>
    </row>
    <row r="80" customFormat="false" ht="15" hidden="false" customHeight="true" outlineLevel="0" collapsed="false">
      <c r="A80" s="8" t="s">
        <v>152</v>
      </c>
      <c r="B80" s="8" t="s">
        <v>139</v>
      </c>
      <c r="C80" s="8" t="s">
        <v>177</v>
      </c>
      <c r="D80" s="9" t="n">
        <f aca="false">AVERAGE('Combined District Data'!H308:H311)</f>
        <v>0.3228178086968</v>
      </c>
      <c r="E80" s="9" t="n">
        <f aca="false">AVERAGE(ABS('Combined District Data'!H308-0.5),ABS('Combined District Data'!H309-0.5),ABS('Combined District Data'!H310-0.5),ABS('Combined District Data'!H311-0.5))</f>
        <v>0.1771821913032</v>
      </c>
      <c r="F80" s="9" t="n">
        <f aca="false">STDEV('Combined District Data'!H308:H311)</f>
        <v>0.0152712518650321</v>
      </c>
      <c r="G80" s="8" t="n">
        <f aca="false">IF(('Combined District Data'!H308&gt;0.5)&lt;&gt;('Combined District Data'!H309&gt;0.5),1,0)+IF(('Combined District Data'!H309&gt;0.5)&lt;&gt;('Combined District Data'!H310&gt;0.5),1,0)+IF(('Combined District Data'!H310&gt;0.5)&lt;&gt;('Combined District Data'!H311&gt;0.5),1,0)</f>
        <v>0</v>
      </c>
      <c r="H80" s="7" t="str">
        <f aca="false">IF(OR(G80&gt;=1,E80&lt;0.05),"Hard",IF(AND(E80&gt;=0.15,F80&lt;0.05),"Easy","Medium"))</f>
        <v>Easy</v>
      </c>
    </row>
    <row r="81" customFormat="false" ht="15" hidden="false" customHeight="true" outlineLevel="0" collapsed="false">
      <c r="A81" s="8" t="s">
        <v>153</v>
      </c>
      <c r="B81" s="8" t="s">
        <v>139</v>
      </c>
      <c r="C81" s="8" t="s">
        <v>177</v>
      </c>
      <c r="D81" s="9" t="n">
        <f aca="false">AVERAGE('Combined District Data'!H312:H315)</f>
        <v>0.453345837617297</v>
      </c>
      <c r="E81" s="9" t="n">
        <f aca="false">AVERAGE(ABS('Combined District Data'!H312-0.5),ABS('Combined District Data'!H313-0.5),ABS('Combined District Data'!H314-0.5),ABS('Combined District Data'!H315-0.5))</f>
        <v>0.0466541623827031</v>
      </c>
      <c r="F81" s="9" t="n">
        <f aca="false">STDEV('Combined District Data'!H312:H315)</f>
        <v>0.0139139663983103</v>
      </c>
      <c r="G81" s="8" t="n">
        <f aca="false">IF(('Combined District Data'!H312&gt;0.5)&lt;&gt;('Combined District Data'!H313&gt;0.5),1,0)+IF(('Combined District Data'!H313&gt;0.5)&lt;&gt;('Combined District Data'!H314&gt;0.5),1,0)+IF(('Combined District Data'!H314&gt;0.5)&lt;&gt;('Combined District Data'!H315&gt;0.5),1,0)</f>
        <v>0</v>
      </c>
      <c r="H81" s="7" t="str">
        <f aca="false">IF(OR(G81&gt;=1,E81&lt;0.05),"Hard",IF(AND(E81&gt;=0.15,F81&lt;0.05),"Easy","Medium"))</f>
        <v>Hard</v>
      </c>
    </row>
    <row r="82" customFormat="false" ht="15" hidden="false" customHeight="true" outlineLevel="0" collapsed="false">
      <c r="A82" s="8" t="s">
        <v>154</v>
      </c>
      <c r="B82" s="8" t="s">
        <v>139</v>
      </c>
      <c r="C82" s="8" t="s">
        <v>177</v>
      </c>
      <c r="D82" s="9" t="n">
        <f aca="false">AVERAGE('Combined District Data'!H316:H319)</f>
        <v>0.233034316757342</v>
      </c>
      <c r="E82" s="9" t="n">
        <f aca="false">AVERAGE(ABS('Combined District Data'!H316-0.5),ABS('Combined District Data'!H317-0.5),ABS('Combined District Data'!H318-0.5),ABS('Combined District Data'!H319-0.5))</f>
        <v>0.266965683242658</v>
      </c>
      <c r="F82" s="9" t="n">
        <f aca="false">STDEV('Combined District Data'!H316:H319)</f>
        <v>0.0167954297388263</v>
      </c>
      <c r="G82" s="8" t="n">
        <f aca="false">IF(('Combined District Data'!H316&gt;0.5)&lt;&gt;('Combined District Data'!H317&gt;0.5),1,0)+IF(('Combined District Data'!H317&gt;0.5)&lt;&gt;('Combined District Data'!H318&gt;0.5),1,0)+IF(('Combined District Data'!H318&gt;0.5)&lt;&gt;('Combined District Data'!H319&gt;0.5),1,0)</f>
        <v>0</v>
      </c>
      <c r="H82" s="7" t="str">
        <f aca="false">IF(OR(G82&gt;=1,E82&lt;0.05),"Hard",IF(AND(E82&gt;=0.15,F82&lt;0.05),"Easy","Medium"))</f>
        <v>Easy</v>
      </c>
    </row>
    <row r="83" customFormat="false" ht="15" hidden="false" customHeight="true" outlineLevel="0" collapsed="false">
      <c r="A83" s="8" t="s">
        <v>155</v>
      </c>
      <c r="B83" s="8" t="s">
        <v>139</v>
      </c>
      <c r="C83" s="8" t="s">
        <v>177</v>
      </c>
      <c r="D83" s="9" t="n">
        <f aca="false">AVERAGE('Combined District Data'!H320:H323)</f>
        <v>0.418148951223414</v>
      </c>
      <c r="E83" s="9" t="n">
        <f aca="false">AVERAGE(ABS('Combined District Data'!H320-0.5),ABS('Combined District Data'!H321-0.5),ABS('Combined District Data'!H322-0.5),ABS('Combined District Data'!H323-0.5))</f>
        <v>0.0818510487765865</v>
      </c>
      <c r="F83" s="9" t="n">
        <f aca="false">STDEV('Combined District Data'!H320:H323)</f>
        <v>0.0141413434524737</v>
      </c>
      <c r="G83" s="8" t="n">
        <f aca="false">IF(('Combined District Data'!H320&gt;0.5)&lt;&gt;('Combined District Data'!H321&gt;0.5),1,0)+IF(('Combined District Data'!H321&gt;0.5)&lt;&gt;('Combined District Data'!H322&gt;0.5),1,0)+IF(('Combined District Data'!H322&gt;0.5)&lt;&gt;('Combined District Data'!H323&gt;0.5),1,0)</f>
        <v>0</v>
      </c>
      <c r="H83" s="7" t="str">
        <f aca="false">IF(OR(G83&gt;=1,E83&lt;0.05),"Hard",IF(AND(E83&gt;=0.15,F83&lt;0.05),"Easy","Medium"))</f>
        <v>Medium</v>
      </c>
    </row>
    <row r="84" customFormat="false" ht="15" hidden="false" customHeight="true" outlineLevel="0" collapsed="false">
      <c r="A84" s="8" t="s">
        <v>156</v>
      </c>
      <c r="B84" s="8" t="s">
        <v>139</v>
      </c>
      <c r="C84" s="8" t="s">
        <v>177</v>
      </c>
      <c r="D84" s="9" t="n">
        <f aca="false">AVERAGE('Combined District Data'!H324:H327)</f>
        <v>0.382611961159607</v>
      </c>
      <c r="E84" s="9" t="n">
        <f aca="false">AVERAGE(ABS('Combined District Data'!H324-0.5),ABS('Combined District Data'!H325-0.5),ABS('Combined District Data'!H326-0.5),ABS('Combined District Data'!H327-0.5))</f>
        <v>0.117388038840393</v>
      </c>
      <c r="F84" s="9" t="n">
        <f aca="false">STDEV('Combined District Data'!H324:H327)</f>
        <v>0.0144230921482042</v>
      </c>
      <c r="G84" s="8" t="n">
        <f aca="false">IF(('Combined District Data'!H324&gt;0.5)&lt;&gt;('Combined District Data'!H325&gt;0.5),1,0)+IF(('Combined District Data'!H325&gt;0.5)&lt;&gt;('Combined District Data'!H326&gt;0.5),1,0)+IF(('Combined District Data'!H326&gt;0.5)&lt;&gt;('Combined District Data'!H327&gt;0.5),1,0)</f>
        <v>0</v>
      </c>
      <c r="H84" s="7" t="str">
        <f aca="false">IF(OR(G84&gt;=1,E84&lt;0.05),"Hard",IF(AND(E84&gt;=0.15,F84&lt;0.05),"Easy","Medium"))</f>
        <v>Medium</v>
      </c>
    </row>
    <row r="85" customFormat="false" ht="15" hidden="false" customHeight="true" outlineLevel="0" collapsed="false">
      <c r="A85" s="8" t="s">
        <v>157</v>
      </c>
      <c r="B85" s="8" t="s">
        <v>139</v>
      </c>
      <c r="C85" s="8" t="s">
        <v>177</v>
      </c>
      <c r="D85" s="9" t="n">
        <f aca="false">AVERAGE('Combined District Data'!H328:H331)</f>
        <v>0.398998247488049</v>
      </c>
      <c r="E85" s="9" t="n">
        <f aca="false">AVERAGE(ABS('Combined District Data'!H328-0.5),ABS('Combined District Data'!H329-0.5),ABS('Combined District Data'!H330-0.5),ABS('Combined District Data'!H331-0.5))</f>
        <v>0.101001752511951</v>
      </c>
      <c r="F85" s="9" t="n">
        <f aca="false">STDEV('Combined District Data'!H328:H331)</f>
        <v>0.0141099676824062</v>
      </c>
      <c r="G85" s="8" t="n">
        <f aca="false">IF(('Combined District Data'!H328&gt;0.5)&lt;&gt;('Combined District Data'!H329&gt;0.5),1,0)+IF(('Combined District Data'!H329&gt;0.5)&lt;&gt;('Combined District Data'!H330&gt;0.5),1,0)+IF(('Combined District Data'!H330&gt;0.5)&lt;&gt;('Combined District Data'!H331&gt;0.5),1,0)</f>
        <v>0</v>
      </c>
      <c r="H85" s="7" t="str">
        <f aca="false">IF(OR(G85&gt;=1,E85&lt;0.05),"Hard",IF(AND(E85&gt;=0.15,F85&lt;0.05),"Easy","Medium"))</f>
        <v>Medium</v>
      </c>
    </row>
    <row r="86" customFormat="false" ht="15" hidden="false" customHeight="true" outlineLevel="0" collapsed="false">
      <c r="A86" s="8" t="s">
        <v>158</v>
      </c>
      <c r="B86" s="8" t="s">
        <v>139</v>
      </c>
      <c r="C86" s="8" t="s">
        <v>177</v>
      </c>
      <c r="D86" s="9" t="n">
        <f aca="false">AVERAGE('Combined District Data'!H332:H335)</f>
        <v>0.491818865032054</v>
      </c>
      <c r="E86" s="9" t="n">
        <f aca="false">AVERAGE(ABS('Combined District Data'!H332-0.5),ABS('Combined District Data'!H333-0.5),ABS('Combined District Data'!H334-0.5),ABS('Combined District Data'!H335-0.5))</f>
        <v>0.0116942108378755</v>
      </c>
      <c r="F86" s="9" t="n">
        <f aca="false">STDEV('Combined District Data'!H332:H335)</f>
        <v>0.0135153851982898</v>
      </c>
      <c r="G86" s="8" t="n">
        <f aca="false">IF(('Combined District Data'!H332&gt;0.5)&lt;&gt;('Combined District Data'!H333&gt;0.5),1,0)+IF(('Combined District Data'!H333&gt;0.5)&lt;&gt;('Combined District Data'!H334&gt;0.5),1,0)+IF(('Combined District Data'!H334&gt;0.5)&lt;&gt;('Combined District Data'!H335&gt;0.5),1,0)</f>
        <v>3</v>
      </c>
      <c r="H86" s="7" t="str">
        <f aca="false">IF(OR(G86&gt;=1,E86&lt;0.05),"Hard",IF(AND(E86&gt;=0.15,F86&lt;0.05),"Easy","Medium"))</f>
        <v>Hard</v>
      </c>
    </row>
    <row r="87" customFormat="false" ht="15" hidden="false" customHeight="true" outlineLevel="0" collapsed="false">
      <c r="A87" s="8" t="s">
        <v>159</v>
      </c>
      <c r="B87" s="8" t="s">
        <v>139</v>
      </c>
      <c r="C87" s="8" t="s">
        <v>177</v>
      </c>
      <c r="D87" s="9" t="n">
        <f aca="false">AVERAGE('Combined District Data'!H336:H339)</f>
        <v>0.329739347362447</v>
      </c>
      <c r="E87" s="9" t="n">
        <f aca="false">AVERAGE(ABS('Combined District Data'!H336-0.5),ABS('Combined District Data'!H337-0.5),ABS('Combined District Data'!H338-0.5),ABS('Combined District Data'!H339-0.5))</f>
        <v>0.170260652637553</v>
      </c>
      <c r="F87" s="9" t="n">
        <f aca="false">STDEV('Combined District Data'!H336:H339)</f>
        <v>0.0151865113438338</v>
      </c>
      <c r="G87" s="8" t="n">
        <f aca="false">IF(('Combined District Data'!H336&gt;0.5)&lt;&gt;('Combined District Data'!H337&gt;0.5),1,0)+IF(('Combined District Data'!H337&gt;0.5)&lt;&gt;('Combined District Data'!H338&gt;0.5),1,0)+IF(('Combined District Data'!H338&gt;0.5)&lt;&gt;('Combined District Data'!H339&gt;0.5),1,0)</f>
        <v>0</v>
      </c>
      <c r="H87" s="7" t="str">
        <f aca="false">IF(OR(G87&gt;=1,E87&lt;0.05),"Hard",IF(AND(E87&gt;=0.15,F87&lt;0.05),"Easy","Medium"))</f>
        <v>Easy</v>
      </c>
    </row>
    <row r="88" customFormat="false" ht="15" hidden="false" customHeight="true" outlineLevel="0" collapsed="false">
      <c r="A88" s="8" t="s">
        <v>160</v>
      </c>
      <c r="B88" s="8" t="s">
        <v>139</v>
      </c>
      <c r="C88" s="8" t="s">
        <v>177</v>
      </c>
      <c r="D88" s="9" t="n">
        <f aca="false">AVERAGE('Combined District Data'!H340:H343)</f>
        <v>0.348039027719912</v>
      </c>
      <c r="E88" s="9" t="n">
        <f aca="false">AVERAGE(ABS('Combined District Data'!H340-0.5),ABS('Combined District Data'!H341-0.5),ABS('Combined District Data'!H342-0.5),ABS('Combined District Data'!H343-0.5))</f>
        <v>0.151960972280088</v>
      </c>
      <c r="F88" s="9" t="n">
        <f aca="false">STDEV('Combined District Data'!H340:H343)</f>
        <v>0.0150189795962865</v>
      </c>
      <c r="G88" s="8" t="n">
        <f aca="false">IF(('Combined District Data'!H340&gt;0.5)&lt;&gt;('Combined District Data'!H341&gt;0.5),1,0)+IF(('Combined District Data'!H341&gt;0.5)&lt;&gt;('Combined District Data'!H342&gt;0.5),1,0)+IF(('Combined District Data'!H342&gt;0.5)&lt;&gt;('Combined District Data'!H343&gt;0.5),1,0)</f>
        <v>0</v>
      </c>
      <c r="H88" s="7" t="str">
        <f aca="false">IF(OR(G88&gt;=1,E88&lt;0.05),"Hard",IF(AND(E88&gt;=0.15,F88&lt;0.05),"Easy","Medium"))</f>
        <v>Easy</v>
      </c>
    </row>
    <row r="89" customFormat="false" ht="15" hidden="false" customHeight="true" outlineLevel="0" collapsed="false">
      <c r="A89" s="8" t="s">
        <v>161</v>
      </c>
      <c r="B89" s="8" t="s">
        <v>139</v>
      </c>
      <c r="C89" s="8" t="s">
        <v>177</v>
      </c>
      <c r="D89" s="9" t="n">
        <f aca="false">AVERAGE('Combined District Data'!H344:H347)</f>
        <v>0.409837236636085</v>
      </c>
      <c r="E89" s="9" t="n">
        <f aca="false">AVERAGE(ABS('Combined District Data'!H344-0.5),ABS('Combined District Data'!H345-0.5),ABS('Combined District Data'!H346-0.5),ABS('Combined District Data'!H347-0.5))</f>
        <v>0.0901627633639146</v>
      </c>
      <c r="F89" s="9" t="n">
        <f aca="false">STDEV('Combined District Data'!H344:H347)</f>
        <v>0.0117458286007964</v>
      </c>
      <c r="G89" s="8" t="n">
        <f aca="false">IF(('Combined District Data'!H344&gt;0.5)&lt;&gt;('Combined District Data'!H345&gt;0.5),1,0)+IF(('Combined District Data'!H345&gt;0.5)&lt;&gt;('Combined District Data'!H346&gt;0.5),1,0)+IF(('Combined District Data'!H346&gt;0.5)&lt;&gt;('Combined District Data'!H347&gt;0.5),1,0)</f>
        <v>0</v>
      </c>
      <c r="H89" s="7" t="str">
        <f aca="false">IF(OR(G89&gt;=1,E89&lt;0.05),"Hard",IF(AND(E89&gt;=0.15,F89&lt;0.05),"Easy","Medium"))</f>
        <v>Medium</v>
      </c>
    </row>
  </sheetData>
  <autoFilter ref="A3:H89"/>
  <mergeCells count="1">
    <mergeCell ref="A1:I1"/>
  </mergeCells>
  <conditionalFormatting sqref="H4:H89">
    <cfRule type="cellIs" priority="2" operator="equal" aboveAverage="0" equalAverage="0" bottom="0" percent="0" rank="0" text="" dxfId="4">
      <formula>"Hard"</formula>
    </cfRule>
    <cfRule type="cellIs" priority="3" operator="equal" aboveAverage="0" equalAverage="0" bottom="0" percent="0" rank="0" text="" dxfId="5">
      <formula>"Easy"</formula>
    </cfRule>
    <cfRule type="cellIs" priority="4" operator="equal" aboveAverage="0" equalAverage="0" bottom="0" percent="0" rank="0" text="" dxfId="6">
      <formula>"Medium"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1"/>
    <col collapsed="false" customWidth="true" hidden="false" outlineLevel="0" max="7" min="4" style="1" width="10"/>
    <col collapsed="false" customWidth="true" hidden="false" outlineLevel="0" max="8" min="8" style="1" width="15"/>
    <col collapsed="false" customWidth="true" hidden="false" outlineLevel="0" max="9" min="9" style="1" width="18"/>
    <col collapsed="false" customWidth="true" hidden="false" outlineLevel="0" max="10" min="10" style="1" width="20"/>
    <col collapsed="false" customWidth="true" hidden="true" outlineLevel="0" max="11" min="11" style="1" width="13"/>
  </cols>
  <sheetData>
    <row r="1" customFormat="false" ht="15.75" hidden="false" customHeight="true" outlineLevel="0" collapsed="false">
      <c r="A1" s="11" t="s">
        <v>184</v>
      </c>
      <c r="B1" s="11"/>
      <c r="C1" s="11"/>
      <c r="D1" s="11"/>
      <c r="E1" s="11"/>
      <c r="F1" s="11"/>
      <c r="G1" s="11"/>
      <c r="H1" s="11"/>
    </row>
    <row r="2" customFormat="false" ht="21.75" hidden="false" customHeight="true" outlineLevel="0" collapsed="false">
      <c r="A2" s="10" t="s">
        <v>185</v>
      </c>
      <c r="B2" s="10"/>
      <c r="C2" s="10"/>
      <c r="D2" s="10"/>
      <c r="E2" s="10"/>
      <c r="F2" s="10"/>
      <c r="G2" s="10"/>
      <c r="H2" s="10"/>
    </row>
    <row r="4" customFormat="false" ht="15" hidden="false" customHeight="true" outlineLevel="0" collapsed="false">
      <c r="A4" s="7" t="s">
        <v>186</v>
      </c>
    </row>
    <row r="5" customFormat="false" ht="15" hidden="false" customHeight="true" outlineLevel="0" collapsed="false">
      <c r="A5" s="7" t="s">
        <v>59</v>
      </c>
      <c r="B5" s="7" t="s">
        <v>187</v>
      </c>
      <c r="C5" s="7" t="s">
        <v>188</v>
      </c>
      <c r="D5" s="7" t="s">
        <v>189</v>
      </c>
      <c r="E5" s="7" t="s">
        <v>190</v>
      </c>
    </row>
    <row r="6" customFormat="false" ht="15" hidden="false" customHeight="true" outlineLevel="0" collapsed="false">
      <c r="A6" s="8" t="n">
        <v>2018</v>
      </c>
      <c r="B6" s="12" t="n">
        <f aca="false">SUMIF('Combined District Data'!$A:$A,A6,'Combined District Data'!$E:$E)</f>
        <v>136384</v>
      </c>
      <c r="C6" s="12" t="n">
        <f aca="false">SUMIF('Combined District Data'!$A:$A,A6,'Combined District Data'!$F:$F)</f>
        <v>116835</v>
      </c>
      <c r="D6" s="9" t="n">
        <f aca="false">B6/(B6+C6)</f>
        <v>0.538600973860571</v>
      </c>
      <c r="E6" s="8" t="str">
        <f aca="false">IF(D6&gt;0.5,"D","R")</f>
        <v>D</v>
      </c>
    </row>
    <row r="7" customFormat="false" ht="15" hidden="false" customHeight="true" outlineLevel="0" collapsed="false">
      <c r="A7" s="8" t="n">
        <v>2020</v>
      </c>
      <c r="B7" s="12" t="n">
        <f aca="false">SUMIF('Combined District Data'!$A:$A,A7,'Combined District Data'!$E:$E)</f>
        <v>190062</v>
      </c>
      <c r="C7" s="12" t="n">
        <f aca="false">SUMIF('Combined District Data'!$A:$A,A7,'Combined District Data'!$F:$F)</f>
        <v>186030</v>
      </c>
      <c r="D7" s="9" t="n">
        <f aca="false">B7/(B7+C7)</f>
        <v>0.50536039054274</v>
      </c>
      <c r="E7" s="8" t="str">
        <f aca="false">IF(D7&gt;0.5,"D","R")</f>
        <v>D</v>
      </c>
    </row>
    <row r="8" customFormat="false" ht="15" hidden="false" customHeight="true" outlineLevel="0" collapsed="false">
      <c r="A8" s="8" t="n">
        <v>2022</v>
      </c>
      <c r="B8" s="12" t="n">
        <f aca="false">SUMIF('Combined District Data'!$A:$A,A8,'Combined District Data'!$E:$E)</f>
        <v>149868</v>
      </c>
      <c r="C8" s="12" t="n">
        <f aca="false">SUMIF('Combined District Data'!$A:$A,A8,'Combined District Data'!$F:$F)</f>
        <v>139318</v>
      </c>
      <c r="D8" s="9" t="n">
        <f aca="false">B8/(B8+C8)</f>
        <v>0.518240855366442</v>
      </c>
      <c r="E8" s="8" t="str">
        <f aca="false">IF(D8&gt;0.5,"D","R")</f>
        <v>D</v>
      </c>
    </row>
    <row r="9" customFormat="false" ht="15" hidden="false" customHeight="true" outlineLevel="0" collapsed="false">
      <c r="A9" s="8" t="n">
        <v>2024</v>
      </c>
      <c r="B9" s="12" t="n">
        <f aca="false">SUMIF('Combined District Data'!$A:$A,A9,'Combined District Data'!$E:$E)</f>
        <v>198281</v>
      </c>
      <c r="C9" s="12" t="n">
        <f aca="false">SUMIF('Combined District Data'!$A:$A,A9,'Combined District Data'!$F:$F)</f>
        <v>196459</v>
      </c>
      <c r="D9" s="9" t="n">
        <f aca="false">B9/(B9+C9)</f>
        <v>0.502307848203881</v>
      </c>
      <c r="E9" s="8" t="str">
        <f aca="false">IF(D9&gt;0.5,"D","R")</f>
        <v>D</v>
      </c>
    </row>
    <row r="12" customFormat="false" ht="15" hidden="false" customHeight="true" outlineLevel="0" collapsed="false">
      <c r="A12" s="7" t="s">
        <v>191</v>
      </c>
    </row>
    <row r="13" customFormat="false" ht="15" hidden="false" customHeight="true" outlineLevel="0" collapsed="false">
      <c r="A13" s="7" t="s">
        <v>60</v>
      </c>
      <c r="B13" s="7" t="s">
        <v>61</v>
      </c>
      <c r="C13" s="7" t="s">
        <v>175</v>
      </c>
      <c r="D13" s="7" t="s">
        <v>192</v>
      </c>
      <c r="E13" s="7" t="s">
        <v>193</v>
      </c>
      <c r="F13" s="7" t="s">
        <v>194</v>
      </c>
      <c r="G13" s="7" t="s">
        <v>195</v>
      </c>
      <c r="H13" s="7" t="s">
        <v>196</v>
      </c>
      <c r="I13" s="7" t="s">
        <v>197</v>
      </c>
      <c r="J13" s="7" t="s">
        <v>198</v>
      </c>
      <c r="K13" s="16" t="s">
        <v>199</v>
      </c>
    </row>
    <row r="14" customFormat="false" ht="15" hidden="false" customHeight="true" outlineLevel="0" collapsed="false">
      <c r="A14" s="8" t="s">
        <v>72</v>
      </c>
      <c r="B14" s="8" t="s">
        <v>73</v>
      </c>
      <c r="C14" s="8" t="s">
        <v>176</v>
      </c>
      <c r="D14" s="8" t="n">
        <f aca="false">IF(IF('Combined District Data'!H4&gt;0.5,"D","R")=$E$6,1,0)</f>
        <v>1</v>
      </c>
      <c r="E14" s="8" t="n">
        <f aca="false">IF(IF('Combined District Data'!H5&gt;0.5,"D","R")=$E$7,1,0)</f>
        <v>0</v>
      </c>
      <c r="F14" s="8" t="n">
        <f aca="false">IF(IF('Combined District Data'!H6&gt;0.5,"D","R")=$E$8,1,0)</f>
        <v>0</v>
      </c>
      <c r="G14" s="8" t="n">
        <f aca="false">IF(IF('Combined District Data'!H7&gt;0.5,"D","R")=$E$9,1,0)</f>
        <v>0</v>
      </c>
      <c r="H14" s="8" t="n">
        <f aca="false">SUM(D14:G14)</f>
        <v>1</v>
      </c>
      <c r="I14" s="14" t="n">
        <f aca="false">AVERAGE(ABS('Combined District Data'!H4-$D$6),ABS('Combined District Data'!H5-$D$7),ABS('Combined District Data'!H6-$D$8),ABS('Combined District Data'!H7-$D$9))</f>
        <v>0.0408748206299481</v>
      </c>
      <c r="J14" s="17" t="str">
        <f aca="false">IF(AND(H14=4,I14=MIN(K14:K99)),"&lt;&lt; MAGIC MUNICIPALITY","")</f>
        <v/>
      </c>
      <c r="K14" s="8" t="str">
        <f aca="false">IF(H14=4,I14,"")</f>
        <v/>
      </c>
    </row>
    <row r="15" customFormat="false" ht="15" hidden="false" customHeight="true" outlineLevel="0" collapsed="false">
      <c r="A15" s="8" t="s">
        <v>74</v>
      </c>
      <c r="B15" s="8" t="s">
        <v>73</v>
      </c>
      <c r="C15" s="8" t="s">
        <v>176</v>
      </c>
      <c r="D15" s="8" t="n">
        <f aca="false">IF(IF('Combined District Data'!H8&gt;0.5,"D","R")=$E$6,1,0)</f>
        <v>1</v>
      </c>
      <c r="E15" s="8" t="n">
        <f aca="false">IF(IF('Combined District Data'!H9&gt;0.5,"D","R")=$E$7,1,0)</f>
        <v>1</v>
      </c>
      <c r="F15" s="8" t="n">
        <f aca="false">IF(IF('Combined District Data'!H10&gt;0.5,"D","R")=$E$8,1,0)</f>
        <v>1</v>
      </c>
      <c r="G15" s="8" t="n">
        <f aca="false">IF(IF('Combined District Data'!H11&gt;0.5,"D","R")=$E$9,1,0)</f>
        <v>1</v>
      </c>
      <c r="H15" s="8" t="n">
        <f aca="false">SUM(D15:G15)</f>
        <v>4</v>
      </c>
      <c r="I15" s="14" t="n">
        <f aca="false">AVERAGE(ABS('Combined District Data'!H8-$D$6),ABS('Combined District Data'!H9-$D$7),ABS('Combined District Data'!H10-$D$8),ABS('Combined District Data'!H11-$D$9))</f>
        <v>0.164138907283544</v>
      </c>
      <c r="J15" s="17" t="str">
        <f aca="false">IF(AND(H15=4,I15=MIN(K14:K99)),"&lt;&lt; MAGIC MUNICIPALITY","")</f>
        <v/>
      </c>
      <c r="K15" s="14" t="n">
        <f aca="false">IF(H15=4,I15,"")</f>
        <v>0.164138907283544</v>
      </c>
    </row>
    <row r="16" customFormat="false" ht="15" hidden="false" customHeight="true" outlineLevel="0" collapsed="false">
      <c r="A16" s="8" t="s">
        <v>75</v>
      </c>
      <c r="B16" s="8" t="s">
        <v>73</v>
      </c>
      <c r="C16" s="8" t="s">
        <v>176</v>
      </c>
      <c r="D16" s="8" t="n">
        <f aca="false">IF(IF('Combined District Data'!H12&gt;0.5,"D","R")=$E$6,1,0)</f>
        <v>1</v>
      </c>
      <c r="E16" s="8" t="n">
        <f aca="false">IF(IF('Combined District Data'!H13&gt;0.5,"D","R")=$E$7,1,0)</f>
        <v>1</v>
      </c>
      <c r="F16" s="8" t="n">
        <f aca="false">IF(IF('Combined District Data'!H14&gt;0.5,"D","R")=$E$8,1,0)</f>
        <v>1</v>
      </c>
      <c r="G16" s="8" t="n">
        <f aca="false">IF(IF('Combined District Data'!H15&gt;0.5,"D","R")=$E$9,1,0)</f>
        <v>1</v>
      </c>
      <c r="H16" s="8" t="n">
        <f aca="false">SUM(D16:G16)</f>
        <v>4</v>
      </c>
      <c r="I16" s="14" t="n">
        <f aca="false">AVERAGE(ABS('Combined District Data'!H12-$D$6),ABS('Combined District Data'!H13-$D$7),ABS('Combined District Data'!H14-$D$8),ABS('Combined District Data'!H15-$D$9))</f>
        <v>0.123461509705852</v>
      </c>
      <c r="J16" s="17" t="str">
        <f aca="false">IF(AND(H16=4,I16=MIN(K14:K99)),"&lt;&lt; MAGIC MUNICIPALITY","")</f>
        <v/>
      </c>
      <c r="K16" s="14" t="n">
        <f aca="false">IF(H16=4,I16,"")</f>
        <v>0.123461509705852</v>
      </c>
    </row>
    <row r="17" customFormat="false" ht="15" hidden="false" customHeight="true" outlineLevel="0" collapsed="false">
      <c r="A17" s="8" t="s">
        <v>76</v>
      </c>
      <c r="B17" s="8" t="s">
        <v>73</v>
      </c>
      <c r="C17" s="8" t="s">
        <v>176</v>
      </c>
      <c r="D17" s="8" t="n">
        <f aca="false">IF(IF('Combined District Data'!H16&gt;0.5,"D","R")=$E$6,1,0)</f>
        <v>1</v>
      </c>
      <c r="E17" s="8" t="n">
        <f aca="false">IF(IF('Combined District Data'!H17&gt;0.5,"D","R")=$E$7,1,0)</f>
        <v>1</v>
      </c>
      <c r="F17" s="8" t="n">
        <f aca="false">IF(IF('Combined District Data'!H18&gt;0.5,"D","R")=$E$8,1,0)</f>
        <v>1</v>
      </c>
      <c r="G17" s="8" t="n">
        <f aca="false">IF(IF('Combined District Data'!H19&gt;0.5,"D","R")=$E$9,1,0)</f>
        <v>1</v>
      </c>
      <c r="H17" s="8" t="n">
        <f aca="false">SUM(D17:G17)</f>
        <v>4</v>
      </c>
      <c r="I17" s="14" t="n">
        <f aca="false">AVERAGE(ABS('Combined District Data'!H16-$D$6),ABS('Combined District Data'!H17-$D$7),ABS('Combined District Data'!H18-$D$8),ABS('Combined District Data'!H19-$D$9))</f>
        <v>0.012656062487146</v>
      </c>
      <c r="J17" s="17" t="str">
        <f aca="false">IF(AND(H17=4,I17=MIN(K14:K99)),"&lt;&lt; MAGIC MUNICIPALITY","")</f>
        <v/>
      </c>
      <c r="K17" s="14" t="n">
        <f aca="false">IF(H17=4,I17,"")</f>
        <v>0.012656062487146</v>
      </c>
    </row>
    <row r="18" customFormat="false" ht="15" hidden="false" customHeight="true" outlineLevel="0" collapsed="false">
      <c r="A18" s="8" t="s">
        <v>77</v>
      </c>
      <c r="B18" s="8" t="s">
        <v>73</v>
      </c>
      <c r="C18" s="8" t="s">
        <v>176</v>
      </c>
      <c r="D18" s="8" t="n">
        <f aca="false">IF(IF('Combined District Data'!H20&gt;0.5,"D","R")=$E$6,1,0)</f>
        <v>1</v>
      </c>
      <c r="E18" s="8" t="n">
        <f aca="false">IF(IF('Combined District Data'!H21&gt;0.5,"D","R")=$E$7,1,0)</f>
        <v>0</v>
      </c>
      <c r="F18" s="8" t="n">
        <f aca="false">IF(IF('Combined District Data'!H22&gt;0.5,"D","R")=$E$8,1,0)</f>
        <v>1</v>
      </c>
      <c r="G18" s="8" t="n">
        <f aca="false">IF(IF('Combined District Data'!H23&gt;0.5,"D","R")=$E$9,1,0)</f>
        <v>0</v>
      </c>
      <c r="H18" s="8" t="n">
        <f aca="false">SUM(D18:G18)</f>
        <v>2</v>
      </c>
      <c r="I18" s="14" t="n">
        <f aca="false">AVERAGE(ABS('Combined District Data'!H20-$D$6),ABS('Combined District Data'!H21-$D$7),ABS('Combined District Data'!H22-$D$8),ABS('Combined District Data'!H23-$D$9))</f>
        <v>0.0240356221195275</v>
      </c>
      <c r="J18" s="17" t="str">
        <f aca="false">IF(AND(H18=4,I18=MIN(K14:K99)),"&lt;&lt; MAGIC MUNICIPALITY","")</f>
        <v/>
      </c>
      <c r="K18" s="8" t="str">
        <f aca="false">IF(H18=4,I18,"")</f>
        <v/>
      </c>
    </row>
    <row r="19" customFormat="false" ht="15" hidden="false" customHeight="true" outlineLevel="0" collapsed="false">
      <c r="A19" s="8" t="s">
        <v>78</v>
      </c>
      <c r="B19" s="8" t="s">
        <v>73</v>
      </c>
      <c r="C19" s="8" t="s">
        <v>176</v>
      </c>
      <c r="D19" s="8" t="n">
        <f aca="false">IF(IF('Combined District Data'!H24&gt;0.5,"D","R")=$E$6,1,0)</f>
        <v>1</v>
      </c>
      <c r="E19" s="8" t="n">
        <f aca="false">IF(IF('Combined District Data'!H25&gt;0.5,"D","R")=$E$7,1,0)</f>
        <v>1</v>
      </c>
      <c r="F19" s="8" t="n">
        <f aca="false">IF(IF('Combined District Data'!H26&gt;0.5,"D","R")=$E$8,1,0)</f>
        <v>1</v>
      </c>
      <c r="G19" s="8" t="n">
        <f aca="false">IF(IF('Combined District Data'!H27&gt;0.5,"D","R")=$E$9,1,0)</f>
        <v>1</v>
      </c>
      <c r="H19" s="8" t="n">
        <f aca="false">SUM(D19:G19)</f>
        <v>4</v>
      </c>
      <c r="I19" s="14" t="n">
        <f aca="false">AVERAGE(ABS('Combined District Data'!H24-$D$6),ABS('Combined District Data'!H25-$D$7),ABS('Combined District Data'!H26-$D$8),ABS('Combined District Data'!H27-$D$9))</f>
        <v>0.00530193577753732</v>
      </c>
      <c r="J19" s="17" t="str">
        <f aca="false">IF(AND(H19=4,I19=MIN(K14:K99)),"&lt;&lt; MAGIC MUNICIPALITY","")</f>
        <v>&lt;&lt; MAGIC MUNICIPALITY</v>
      </c>
      <c r="K19" s="14" t="n">
        <f aca="false">IF(H19=4,I19,"")</f>
        <v>0.00530193577753732</v>
      </c>
    </row>
    <row r="20" customFormat="false" ht="15" hidden="false" customHeight="true" outlineLevel="0" collapsed="false">
      <c r="A20" s="8" t="s">
        <v>79</v>
      </c>
      <c r="B20" s="8" t="s">
        <v>73</v>
      </c>
      <c r="C20" s="8" t="s">
        <v>176</v>
      </c>
      <c r="D20" s="8" t="n">
        <f aca="false">IF(IF('Combined District Data'!H28&gt;0.5,"D","R")=$E$6,1,0)</f>
        <v>1</v>
      </c>
      <c r="E20" s="8" t="n">
        <f aca="false">IF(IF('Combined District Data'!H29&gt;0.5,"D","R")=$E$7,1,0)</f>
        <v>1</v>
      </c>
      <c r="F20" s="8" t="n">
        <f aca="false">IF(IF('Combined District Data'!H30&gt;0.5,"D","R")=$E$8,1,0)</f>
        <v>1</v>
      </c>
      <c r="G20" s="8" t="n">
        <f aca="false">IF(IF('Combined District Data'!H31&gt;0.5,"D","R")=$E$9,1,0)</f>
        <v>1</v>
      </c>
      <c r="H20" s="8" t="n">
        <f aca="false">SUM(D20:G20)</f>
        <v>4</v>
      </c>
      <c r="I20" s="14" t="n">
        <f aca="false">AVERAGE(ABS('Combined District Data'!H28-$D$6),ABS('Combined District Data'!H29-$D$7),ABS('Combined District Data'!H30-$D$8),ABS('Combined District Data'!H31-$D$9))</f>
        <v>0.0232022264266644</v>
      </c>
      <c r="J20" s="17" t="str">
        <f aca="false">IF(AND(H20=4,I20=MIN(K14:K99)),"&lt;&lt; MAGIC MUNICIPALITY","")</f>
        <v/>
      </c>
      <c r="K20" s="14" t="n">
        <f aca="false">IF(H20=4,I20,"")</f>
        <v>0.0232022264266644</v>
      </c>
    </row>
    <row r="21" customFormat="false" ht="15" hidden="false" customHeight="true" outlineLevel="0" collapsed="false">
      <c r="A21" s="8" t="s">
        <v>80</v>
      </c>
      <c r="B21" s="8" t="s">
        <v>73</v>
      </c>
      <c r="C21" s="8" t="s">
        <v>176</v>
      </c>
      <c r="D21" s="8" t="n">
        <f aca="false">IF(IF('Combined District Data'!H32&gt;0.5,"D","R")=$E$6,1,0)</f>
        <v>1</v>
      </c>
      <c r="E21" s="8" t="n">
        <f aca="false">IF(IF('Combined District Data'!H33&gt;0.5,"D","R")=$E$7,1,0)</f>
        <v>1</v>
      </c>
      <c r="F21" s="8" t="n">
        <f aca="false">IF(IF('Combined District Data'!H34&gt;0.5,"D","R")=$E$8,1,0)</f>
        <v>1</v>
      </c>
      <c r="G21" s="8" t="n">
        <f aca="false">IF(IF('Combined District Data'!H35&gt;0.5,"D","R")=$E$9,1,0)</f>
        <v>1</v>
      </c>
      <c r="H21" s="8" t="n">
        <f aca="false">SUM(D21:G21)</f>
        <v>4</v>
      </c>
      <c r="I21" s="14" t="n">
        <f aca="false">AVERAGE(ABS('Combined District Data'!H32-$D$6),ABS('Combined District Data'!H33-$D$7),ABS('Combined District Data'!H34-$D$8),ABS('Combined District Data'!H35-$D$9))</f>
        <v>0.150842259724455</v>
      </c>
      <c r="J21" s="17" t="str">
        <f aca="false">IF(AND(H21=4,I21=MIN(K14:K99)),"&lt;&lt; MAGIC MUNICIPALITY","")</f>
        <v/>
      </c>
      <c r="K21" s="14" t="n">
        <f aca="false">IF(H21=4,I21,"")</f>
        <v>0.150842259724455</v>
      </c>
    </row>
    <row r="22" customFormat="false" ht="15" hidden="false" customHeight="true" outlineLevel="0" collapsed="false">
      <c r="A22" s="8" t="s">
        <v>81</v>
      </c>
      <c r="B22" s="8" t="s">
        <v>73</v>
      </c>
      <c r="C22" s="8" t="s">
        <v>176</v>
      </c>
      <c r="D22" s="8" t="n">
        <f aca="false">IF(IF('Combined District Data'!H36&gt;0.5,"D","R")=$E$6,1,0)</f>
        <v>1</v>
      </c>
      <c r="E22" s="8" t="n">
        <f aca="false">IF(IF('Combined District Data'!H37&gt;0.5,"D","R")=$E$7,1,0)</f>
        <v>1</v>
      </c>
      <c r="F22" s="8" t="n">
        <f aca="false">IF(IF('Combined District Data'!H38&gt;0.5,"D","R")=$E$8,1,0)</f>
        <v>1</v>
      </c>
      <c r="G22" s="8" t="n">
        <f aca="false">IF(IF('Combined District Data'!H39&gt;0.5,"D","R")=$E$9,1,0)</f>
        <v>1</v>
      </c>
      <c r="H22" s="8" t="n">
        <f aca="false">SUM(D22:G22)</f>
        <v>4</v>
      </c>
      <c r="I22" s="14" t="n">
        <f aca="false">AVERAGE(ABS('Combined District Data'!H36-$D$6),ABS('Combined District Data'!H37-$D$7),ABS('Combined District Data'!H38-$D$8),ABS('Combined District Data'!H39-$D$9))</f>
        <v>0.0466984009251739</v>
      </c>
      <c r="J22" s="17" t="str">
        <f aca="false">IF(AND(H22=4,I22=MIN(K14:K99)),"&lt;&lt; MAGIC MUNICIPALITY","")</f>
        <v/>
      </c>
      <c r="K22" s="14" t="n">
        <f aca="false">IF(H22=4,I22,"")</f>
        <v>0.0466984009251739</v>
      </c>
    </row>
    <row r="23" customFormat="false" ht="15" hidden="false" customHeight="true" outlineLevel="0" collapsed="false">
      <c r="A23" s="8" t="s">
        <v>82</v>
      </c>
      <c r="B23" s="8" t="s">
        <v>73</v>
      </c>
      <c r="C23" s="8" t="s">
        <v>176</v>
      </c>
      <c r="D23" s="8" t="n">
        <f aca="false">IF(IF('Combined District Data'!H40&gt;0.5,"D","R")=$E$6,1,0)</f>
        <v>0</v>
      </c>
      <c r="E23" s="8" t="n">
        <f aca="false">IF(IF('Combined District Data'!H41&gt;0.5,"D","R")=$E$7,1,0)</f>
        <v>0</v>
      </c>
      <c r="F23" s="8" t="n">
        <f aca="false">IF(IF('Combined District Data'!H42&gt;0.5,"D","R")=$E$8,1,0)</f>
        <v>0</v>
      </c>
      <c r="G23" s="8" t="n">
        <f aca="false">IF(IF('Combined District Data'!H43&gt;0.5,"D","R")=$E$9,1,0)</f>
        <v>0</v>
      </c>
      <c r="H23" s="8" t="n">
        <f aca="false">SUM(D23:G23)</f>
        <v>0</v>
      </c>
      <c r="I23" s="14" t="n">
        <f aca="false">AVERAGE(ABS('Combined District Data'!H40-$D$6),ABS('Combined District Data'!H41-$D$7),ABS('Combined District Data'!H42-$D$8),ABS('Combined District Data'!H43-$D$9))</f>
        <v>0.190040477598485</v>
      </c>
      <c r="J23" s="17" t="str">
        <f aca="false">IF(AND(H23=4,I23=MIN(K14:K99)),"&lt;&lt; MAGIC MUNICIPALITY","")</f>
        <v/>
      </c>
      <c r="K23" s="8" t="str">
        <f aca="false">IF(H23=4,I23,"")</f>
        <v/>
      </c>
    </row>
    <row r="24" customFormat="false" ht="15" hidden="false" customHeight="true" outlineLevel="0" collapsed="false">
      <c r="A24" s="8" t="s">
        <v>83</v>
      </c>
      <c r="B24" s="8" t="s">
        <v>73</v>
      </c>
      <c r="C24" s="8" t="s">
        <v>176</v>
      </c>
      <c r="D24" s="8" t="n">
        <f aca="false">IF(IF('Combined District Data'!H44&gt;0.5,"D","R")=$E$6,1,0)</f>
        <v>0</v>
      </c>
      <c r="E24" s="8" t="n">
        <f aca="false">IF(IF('Combined District Data'!H45&gt;0.5,"D","R")=$E$7,1,0)</f>
        <v>0</v>
      </c>
      <c r="F24" s="8" t="n">
        <f aca="false">IF(IF('Combined District Data'!H46&gt;0.5,"D","R")=$E$8,1,0)</f>
        <v>1</v>
      </c>
      <c r="G24" s="8" t="n">
        <f aca="false">IF(IF('Combined District Data'!H47&gt;0.5,"D","R")=$E$9,1,0)</f>
        <v>0</v>
      </c>
      <c r="H24" s="8" t="n">
        <f aca="false">SUM(D24:G24)</f>
        <v>1</v>
      </c>
      <c r="I24" s="14" t="n">
        <f aca="false">AVERAGE(ABS('Combined District Data'!H44-$D$6),ABS('Combined District Data'!H45-$D$7),ABS('Combined District Data'!H46-$D$8),ABS('Combined District Data'!H47-$D$9))</f>
        <v>0.0156631117314711</v>
      </c>
      <c r="J24" s="17" t="str">
        <f aca="false">IF(AND(H24=4,I24=MIN(K14:K99)),"&lt;&lt; MAGIC MUNICIPALITY","")</f>
        <v/>
      </c>
      <c r="K24" s="8" t="str">
        <f aca="false">IF(H24=4,I24,"")</f>
        <v/>
      </c>
    </row>
    <row r="25" customFormat="false" ht="15" hidden="false" customHeight="true" outlineLevel="0" collapsed="false">
      <c r="A25" s="8" t="s">
        <v>84</v>
      </c>
      <c r="B25" s="8" t="s">
        <v>73</v>
      </c>
      <c r="C25" s="8" t="s">
        <v>176</v>
      </c>
      <c r="D25" s="8" t="n">
        <f aca="false">IF(IF('Combined District Data'!H48&gt;0.5,"D","R")=$E$6,1,0)</f>
        <v>0</v>
      </c>
      <c r="E25" s="8" t="n">
        <f aca="false">IF(IF('Combined District Data'!H49&gt;0.5,"D","R")=$E$7,1,0)</f>
        <v>0</v>
      </c>
      <c r="F25" s="8" t="n">
        <f aca="false">IF(IF('Combined District Data'!H50&gt;0.5,"D","R")=$E$8,1,0)</f>
        <v>0</v>
      </c>
      <c r="G25" s="8" t="n">
        <f aca="false">IF(IF('Combined District Data'!H51&gt;0.5,"D","R")=$E$9,1,0)</f>
        <v>0</v>
      </c>
      <c r="H25" s="8" t="n">
        <f aca="false">SUM(D25:G25)</f>
        <v>0</v>
      </c>
      <c r="I25" s="14" t="n">
        <f aca="false">AVERAGE(ABS('Combined District Data'!H48-$D$6),ABS('Combined District Data'!H49-$D$7),ABS('Combined District Data'!H50-$D$8),ABS('Combined District Data'!H51-$D$9))</f>
        <v>0.133493352700592</v>
      </c>
      <c r="J25" s="17" t="str">
        <f aca="false">IF(AND(H25=4,I25=MIN(K14:K99)),"&lt;&lt; MAGIC MUNICIPALITY","")</f>
        <v/>
      </c>
      <c r="K25" s="8" t="str">
        <f aca="false">IF(H25=4,I25,"")</f>
        <v/>
      </c>
    </row>
    <row r="26" customFormat="false" ht="15" hidden="false" customHeight="true" outlineLevel="0" collapsed="false">
      <c r="A26" s="8" t="s">
        <v>85</v>
      </c>
      <c r="B26" s="8" t="s">
        <v>73</v>
      </c>
      <c r="C26" s="8" t="s">
        <v>176</v>
      </c>
      <c r="D26" s="8" t="n">
        <f aca="false">IF(IF('Combined District Data'!H52&gt;0.5,"D","R")=$E$6,1,0)</f>
        <v>0</v>
      </c>
      <c r="E26" s="8" t="n">
        <f aca="false">IF(IF('Combined District Data'!H53&gt;0.5,"D","R")=$E$7,1,0)</f>
        <v>0</v>
      </c>
      <c r="F26" s="8" t="n">
        <f aca="false">IF(IF('Combined District Data'!H54&gt;0.5,"D","R")=$E$8,1,0)</f>
        <v>0</v>
      </c>
      <c r="G26" s="8" t="n">
        <f aca="false">IF(IF('Combined District Data'!H55&gt;0.5,"D","R")=$E$9,1,0)</f>
        <v>0</v>
      </c>
      <c r="H26" s="8" t="n">
        <f aca="false">SUM(D26:G26)</f>
        <v>0</v>
      </c>
      <c r="I26" s="14" t="n">
        <f aca="false">AVERAGE(ABS('Combined District Data'!H52-$D$6),ABS('Combined District Data'!H53-$D$7),ABS('Combined District Data'!H54-$D$8),ABS('Combined District Data'!H55-$D$9))</f>
        <v>0.153137794092957</v>
      </c>
      <c r="J26" s="17" t="str">
        <f aca="false">IF(AND(H26=4,I26=MIN(K14:K99)),"&lt;&lt; MAGIC MUNICIPALITY","")</f>
        <v/>
      </c>
      <c r="K26" s="8" t="str">
        <f aca="false">IF(H26=4,I26,"")</f>
        <v/>
      </c>
    </row>
    <row r="27" customFormat="false" ht="15" hidden="false" customHeight="true" outlineLevel="0" collapsed="false">
      <c r="A27" s="8" t="s">
        <v>86</v>
      </c>
      <c r="B27" s="8" t="s">
        <v>73</v>
      </c>
      <c r="C27" s="8" t="s">
        <v>176</v>
      </c>
      <c r="D27" s="8" t="n">
        <f aca="false">IF(IF('Combined District Data'!H56&gt;0.5,"D","R")=$E$6,1,0)</f>
        <v>0</v>
      </c>
      <c r="E27" s="8" t="n">
        <f aca="false">IF(IF('Combined District Data'!H57&gt;0.5,"D","R")=$E$7,1,0)</f>
        <v>0</v>
      </c>
      <c r="F27" s="8" t="n">
        <f aca="false">IF(IF('Combined District Data'!H58&gt;0.5,"D","R")=$E$8,1,0)</f>
        <v>0</v>
      </c>
      <c r="G27" s="8" t="n">
        <f aca="false">IF(IF('Combined District Data'!H59&gt;0.5,"D","R")=$E$9,1,0)</f>
        <v>0</v>
      </c>
      <c r="H27" s="8" t="n">
        <f aca="false">SUM(D27:G27)</f>
        <v>0</v>
      </c>
      <c r="I27" s="14" t="n">
        <f aca="false">AVERAGE(ABS('Combined District Data'!H56-$D$6),ABS('Combined District Data'!H57-$D$7),ABS('Combined District Data'!H58-$D$8),ABS('Combined District Data'!H59-$D$9))</f>
        <v>0.19258376291731</v>
      </c>
      <c r="J27" s="17" t="str">
        <f aca="false">IF(AND(H27=4,I27=MIN(K14:K99)),"&lt;&lt; MAGIC MUNICIPALITY","")</f>
        <v/>
      </c>
      <c r="K27" s="8" t="str">
        <f aca="false">IF(H27=4,I27,"")</f>
        <v/>
      </c>
    </row>
    <row r="28" customFormat="false" ht="15" hidden="false" customHeight="true" outlineLevel="0" collapsed="false">
      <c r="A28" s="8" t="s">
        <v>87</v>
      </c>
      <c r="B28" s="8" t="s">
        <v>73</v>
      </c>
      <c r="C28" s="8" t="s">
        <v>176</v>
      </c>
      <c r="D28" s="8" t="n">
        <f aca="false">IF(IF('Combined District Data'!H60&gt;0.5,"D","R")=$E$6,1,0)</f>
        <v>1</v>
      </c>
      <c r="E28" s="8" t="n">
        <f aca="false">IF(IF('Combined District Data'!H61&gt;0.5,"D","R")=$E$7,1,0)</f>
        <v>1</v>
      </c>
      <c r="F28" s="8" t="n">
        <f aca="false">IF(IF('Combined District Data'!H62&gt;0.5,"D","R")=$E$8,1,0)</f>
        <v>1</v>
      </c>
      <c r="G28" s="8" t="n">
        <f aca="false">IF(IF('Combined District Data'!H63&gt;0.5,"D","R")=$E$9,1,0)</f>
        <v>1</v>
      </c>
      <c r="H28" s="8" t="n">
        <f aca="false">SUM(D28:G28)</f>
        <v>4</v>
      </c>
      <c r="I28" s="14" t="n">
        <f aca="false">AVERAGE(ABS('Combined District Data'!H60-$D$6),ABS('Combined District Data'!H61-$D$7),ABS('Combined District Data'!H62-$D$8),ABS('Combined District Data'!H63-$D$9))</f>
        <v>0.0274397224963121</v>
      </c>
      <c r="J28" s="17" t="str">
        <f aca="false">IF(AND(H28=4,I28=MIN(K14:K99)),"&lt;&lt; MAGIC MUNICIPALITY","")</f>
        <v/>
      </c>
      <c r="K28" s="14" t="n">
        <f aca="false">IF(H28=4,I28,"")</f>
        <v>0.0274397224963121</v>
      </c>
    </row>
    <row r="29" customFormat="false" ht="15" hidden="false" customHeight="true" outlineLevel="0" collapsed="false">
      <c r="A29" s="8" t="s">
        <v>88</v>
      </c>
      <c r="B29" s="8" t="s">
        <v>73</v>
      </c>
      <c r="C29" s="8" t="s">
        <v>176</v>
      </c>
      <c r="D29" s="8" t="n">
        <f aca="false">IF(IF('Combined District Data'!H64&gt;0.5,"D","R")=$E$6,1,0)</f>
        <v>0</v>
      </c>
      <c r="E29" s="8" t="n">
        <f aca="false">IF(IF('Combined District Data'!H65&gt;0.5,"D","R")=$E$7,1,0)</f>
        <v>0</v>
      </c>
      <c r="F29" s="8" t="n">
        <f aca="false">IF(IF('Combined District Data'!H66&gt;0.5,"D","R")=$E$8,1,0)</f>
        <v>0</v>
      </c>
      <c r="G29" s="8" t="n">
        <f aca="false">IF(IF('Combined District Data'!H67&gt;0.5,"D","R")=$E$9,1,0)</f>
        <v>0</v>
      </c>
      <c r="H29" s="8" t="n">
        <f aca="false">SUM(D29:G29)</f>
        <v>0</v>
      </c>
      <c r="I29" s="14" t="n">
        <f aca="false">AVERAGE(ABS('Combined District Data'!H64-$D$6),ABS('Combined District Data'!H65-$D$7),ABS('Combined District Data'!H66-$D$8),ABS('Combined District Data'!H67-$D$9))</f>
        <v>0.10852174036485</v>
      </c>
      <c r="J29" s="17" t="str">
        <f aca="false">IF(AND(H29=4,I29=MIN(K14:K99)),"&lt;&lt; MAGIC MUNICIPALITY","")</f>
        <v/>
      </c>
      <c r="K29" s="8" t="str">
        <f aca="false">IF(H29=4,I29,"")</f>
        <v/>
      </c>
    </row>
    <row r="30" customFormat="false" ht="15" hidden="false" customHeight="true" outlineLevel="0" collapsed="false">
      <c r="A30" s="8" t="s">
        <v>89</v>
      </c>
      <c r="B30" s="8" t="s">
        <v>73</v>
      </c>
      <c r="C30" s="8" t="s">
        <v>176</v>
      </c>
      <c r="D30" s="8" t="n">
        <f aca="false">IF(IF('Combined District Data'!H68&gt;0.5,"D","R")=$E$6,1,0)</f>
        <v>0</v>
      </c>
      <c r="E30" s="8" t="n">
        <f aca="false">IF(IF('Combined District Data'!H69&gt;0.5,"D","R")=$E$7,1,0)</f>
        <v>0</v>
      </c>
      <c r="F30" s="8" t="n">
        <f aca="false">IF(IF('Combined District Data'!H70&gt;0.5,"D","R")=$E$8,1,0)</f>
        <v>1</v>
      </c>
      <c r="G30" s="8" t="n">
        <f aca="false">IF(IF('Combined District Data'!H71&gt;0.5,"D","R")=$E$9,1,0)</f>
        <v>0</v>
      </c>
      <c r="H30" s="8" t="n">
        <f aca="false">SUM(D30:G30)</f>
        <v>1</v>
      </c>
      <c r="I30" s="14" t="n">
        <f aca="false">AVERAGE(ABS('Combined District Data'!H68-$D$6),ABS('Combined District Data'!H69-$D$7),ABS('Combined District Data'!H70-$D$8),ABS('Combined District Data'!H71-$D$9))</f>
        <v>0.0187938700097003</v>
      </c>
      <c r="J30" s="17" t="str">
        <f aca="false">IF(AND(H30=4,I30=MIN(K14:K99)),"&lt;&lt; MAGIC MUNICIPALITY","")</f>
        <v/>
      </c>
      <c r="K30" s="8" t="str">
        <f aca="false">IF(H30=4,I30,"")</f>
        <v/>
      </c>
    </row>
    <row r="31" customFormat="false" ht="15" hidden="false" customHeight="true" outlineLevel="0" collapsed="false">
      <c r="A31" s="8" t="s">
        <v>90</v>
      </c>
      <c r="B31" s="8" t="s">
        <v>73</v>
      </c>
      <c r="C31" s="8" t="s">
        <v>176</v>
      </c>
      <c r="D31" s="8" t="n">
        <f aca="false">IF(IF('Combined District Data'!H72&gt;0.5,"D","R")=$E$6,1,0)</f>
        <v>0</v>
      </c>
      <c r="E31" s="8" t="n">
        <f aca="false">IF(IF('Combined District Data'!H73&gt;0.5,"D","R")=$E$7,1,0)</f>
        <v>0</v>
      </c>
      <c r="F31" s="8" t="n">
        <f aca="false">IF(IF('Combined District Data'!H74&gt;0.5,"D","R")=$E$8,1,0)</f>
        <v>0</v>
      </c>
      <c r="G31" s="8" t="n">
        <f aca="false">IF(IF('Combined District Data'!H75&gt;0.5,"D","R")=$E$9,1,0)</f>
        <v>0</v>
      </c>
      <c r="H31" s="8" t="n">
        <f aca="false">SUM(D31:G31)</f>
        <v>0</v>
      </c>
      <c r="I31" s="14" t="n">
        <f aca="false">AVERAGE(ABS('Combined District Data'!H72-$D$6),ABS('Combined District Data'!H73-$D$7),ABS('Combined District Data'!H74-$D$8),ABS('Combined District Data'!H75-$D$9))</f>
        <v>0.0912865182218438</v>
      </c>
      <c r="J31" s="17" t="str">
        <f aca="false">IF(AND(H31=4,I31=MIN(K14:K99)),"&lt;&lt; MAGIC MUNICIPALITY","")</f>
        <v/>
      </c>
      <c r="K31" s="8" t="str">
        <f aca="false">IF(H31=4,I31,"")</f>
        <v/>
      </c>
    </row>
    <row r="32" customFormat="false" ht="15" hidden="false" customHeight="true" outlineLevel="0" collapsed="false">
      <c r="A32" s="8" t="s">
        <v>91</v>
      </c>
      <c r="B32" s="8" t="s">
        <v>73</v>
      </c>
      <c r="C32" s="8" t="s">
        <v>176</v>
      </c>
      <c r="D32" s="8" t="n">
        <f aca="false">IF(IF('Combined District Data'!H76&gt;0.5,"D","R")=$E$6,1,0)</f>
        <v>1</v>
      </c>
      <c r="E32" s="8" t="n">
        <f aca="false">IF(IF('Combined District Data'!H77&gt;0.5,"D","R")=$E$7,1,0)</f>
        <v>1</v>
      </c>
      <c r="F32" s="8" t="n">
        <f aca="false">IF(IF('Combined District Data'!H78&gt;0.5,"D","R")=$E$8,1,0)</f>
        <v>1</v>
      </c>
      <c r="G32" s="8" t="n">
        <f aca="false">IF(IF('Combined District Data'!H79&gt;0.5,"D","R")=$E$9,1,0)</f>
        <v>1</v>
      </c>
      <c r="H32" s="8" t="n">
        <f aca="false">SUM(D32:G32)</f>
        <v>4</v>
      </c>
      <c r="I32" s="14" t="n">
        <f aca="false">AVERAGE(ABS('Combined District Data'!H76-$D$6),ABS('Combined District Data'!H77-$D$7),ABS('Combined District Data'!H78-$D$8),ABS('Combined District Data'!H79-$D$9))</f>
        <v>0.0289048407771486</v>
      </c>
      <c r="J32" s="17" t="str">
        <f aca="false">IF(AND(H32=4,I32=MIN(K14:K99)),"&lt;&lt; MAGIC MUNICIPALITY","")</f>
        <v/>
      </c>
      <c r="K32" s="14" t="n">
        <f aca="false">IF(H32=4,I32,"")</f>
        <v>0.0289048407771486</v>
      </c>
    </row>
    <row r="33" customFormat="false" ht="15" hidden="false" customHeight="true" outlineLevel="0" collapsed="false">
      <c r="A33" s="8" t="s">
        <v>92</v>
      </c>
      <c r="B33" s="8" t="s">
        <v>73</v>
      </c>
      <c r="C33" s="8" t="s">
        <v>176</v>
      </c>
      <c r="D33" s="8" t="n">
        <f aca="false">IF(IF('Combined District Data'!H80&gt;0.5,"D","R")=$E$6,1,0)</f>
        <v>1</v>
      </c>
      <c r="E33" s="8" t="n">
        <f aca="false">IF(IF('Combined District Data'!H81&gt;0.5,"D","R")=$E$7,1,0)</f>
        <v>1</v>
      </c>
      <c r="F33" s="8" t="n">
        <f aca="false">IF(IF('Combined District Data'!H82&gt;0.5,"D","R")=$E$8,1,0)</f>
        <v>1</v>
      </c>
      <c r="G33" s="8" t="n">
        <f aca="false">IF(IF('Combined District Data'!H83&gt;0.5,"D","R")=$E$9,1,0)</f>
        <v>1</v>
      </c>
      <c r="H33" s="8" t="n">
        <f aca="false">SUM(D33:G33)</f>
        <v>4</v>
      </c>
      <c r="I33" s="14" t="n">
        <f aca="false">AVERAGE(ABS('Combined District Data'!H80-$D$6),ABS('Combined District Data'!H81-$D$7),ABS('Combined District Data'!H82-$D$8),ABS('Combined District Data'!H83-$D$9))</f>
        <v>0.0147777235226665</v>
      </c>
      <c r="J33" s="17" t="str">
        <f aca="false">IF(AND(H33=4,I33=MIN(K14:K99)),"&lt;&lt; MAGIC MUNICIPALITY","")</f>
        <v/>
      </c>
      <c r="K33" s="14" t="n">
        <f aca="false">IF(H33=4,I33,"")</f>
        <v>0.0147777235226665</v>
      </c>
    </row>
    <row r="34" customFormat="false" ht="15" hidden="false" customHeight="true" outlineLevel="0" collapsed="false">
      <c r="A34" s="8" t="s">
        <v>93</v>
      </c>
      <c r="B34" s="8" t="s">
        <v>73</v>
      </c>
      <c r="C34" s="8" t="s">
        <v>176</v>
      </c>
      <c r="D34" s="8" t="n">
        <f aca="false">IF(IF('Combined District Data'!H84&gt;0.5,"D","R")=$E$6,1,0)</f>
        <v>0</v>
      </c>
      <c r="E34" s="8" t="n">
        <f aca="false">IF(IF('Combined District Data'!H85&gt;0.5,"D","R")=$E$7,1,0)</f>
        <v>0</v>
      </c>
      <c r="F34" s="8" t="n">
        <f aca="false">IF(IF('Combined District Data'!H86&gt;0.5,"D","R")=$E$8,1,0)</f>
        <v>0</v>
      </c>
      <c r="G34" s="8" t="n">
        <f aca="false">IF(IF('Combined District Data'!H87&gt;0.5,"D","R")=$E$9,1,0)</f>
        <v>0</v>
      </c>
      <c r="H34" s="8" t="n">
        <f aca="false">SUM(D34:G34)</f>
        <v>0</v>
      </c>
      <c r="I34" s="14" t="n">
        <f aca="false">AVERAGE(ABS('Combined District Data'!H84-$D$6),ABS('Combined District Data'!H85-$D$7),ABS('Combined District Data'!H86-$D$8),ABS('Combined District Data'!H87-$D$9))</f>
        <v>0.0764627669684629</v>
      </c>
      <c r="J34" s="17" t="str">
        <f aca="false">IF(AND(H34=4,I34=MIN(K14:K99)),"&lt;&lt; MAGIC MUNICIPALITY","")</f>
        <v/>
      </c>
      <c r="K34" s="8" t="str">
        <f aca="false">IF(H34=4,I34,"")</f>
        <v/>
      </c>
    </row>
    <row r="35" customFormat="false" ht="15" hidden="false" customHeight="true" outlineLevel="0" collapsed="false">
      <c r="A35" s="8" t="s">
        <v>94</v>
      </c>
      <c r="B35" s="8" t="s">
        <v>73</v>
      </c>
      <c r="C35" s="8" t="s">
        <v>176</v>
      </c>
      <c r="D35" s="8" t="n">
        <f aca="false">IF(IF('Combined District Data'!H88&gt;0.5,"D","R")=$E$6,1,0)</f>
        <v>0</v>
      </c>
      <c r="E35" s="8" t="n">
        <f aca="false">IF(IF('Combined District Data'!H89&gt;0.5,"D","R")=$E$7,1,0)</f>
        <v>0</v>
      </c>
      <c r="F35" s="8" t="n">
        <f aca="false">IF(IF('Combined District Data'!H90&gt;0.5,"D","R")=$E$8,1,0)</f>
        <v>1</v>
      </c>
      <c r="G35" s="8" t="n">
        <f aca="false">IF(IF('Combined District Data'!H91&gt;0.5,"D","R")=$E$9,1,0)</f>
        <v>0</v>
      </c>
      <c r="H35" s="8" t="n">
        <f aca="false">SUM(D35:G35)</f>
        <v>1</v>
      </c>
      <c r="I35" s="14" t="n">
        <f aca="false">AVERAGE(ABS('Combined District Data'!H88-$D$6),ABS('Combined District Data'!H89-$D$7),ABS('Combined District Data'!H90-$D$8),ABS('Combined District Data'!H91-$D$9))</f>
        <v>0.0322670620450701</v>
      </c>
      <c r="J35" s="17" t="str">
        <f aca="false">IF(AND(H35=4,I35=MIN(K14:K99)),"&lt;&lt; MAGIC MUNICIPALITY","")</f>
        <v/>
      </c>
      <c r="K35" s="8" t="str">
        <f aca="false">IF(H35=4,I35,"")</f>
        <v/>
      </c>
    </row>
    <row r="36" customFormat="false" ht="15" hidden="false" customHeight="true" outlineLevel="0" collapsed="false">
      <c r="A36" s="8" t="s">
        <v>95</v>
      </c>
      <c r="B36" s="8" t="s">
        <v>73</v>
      </c>
      <c r="C36" s="8" t="s">
        <v>176</v>
      </c>
      <c r="D36" s="8" t="n">
        <f aca="false">IF(IF('Combined District Data'!H92&gt;0.5,"D","R")=$E$6,1,0)</f>
        <v>0</v>
      </c>
      <c r="E36" s="8" t="n">
        <f aca="false">IF(IF('Combined District Data'!H93&gt;0.5,"D","R")=$E$7,1,0)</f>
        <v>0</v>
      </c>
      <c r="F36" s="8" t="n">
        <f aca="false">IF(IF('Combined District Data'!H94&gt;0.5,"D","R")=$E$8,1,0)</f>
        <v>0</v>
      </c>
      <c r="G36" s="8" t="n">
        <f aca="false">IF(IF('Combined District Data'!H95&gt;0.5,"D","R")=$E$9,1,0)</f>
        <v>0</v>
      </c>
      <c r="H36" s="8" t="n">
        <f aca="false">SUM(D36:G36)</f>
        <v>0</v>
      </c>
      <c r="I36" s="14" t="n">
        <f aca="false">AVERAGE(ABS('Combined District Data'!H92-$D$6),ABS('Combined District Data'!H93-$D$7),ABS('Combined District Data'!H94-$D$8),ABS('Combined District Data'!H95-$D$9))</f>
        <v>0.181390346633554</v>
      </c>
      <c r="J36" s="17" t="str">
        <f aca="false">IF(AND(H36=4,I36=MIN(K14:K99)),"&lt;&lt; MAGIC MUNICIPALITY","")</f>
        <v/>
      </c>
      <c r="K36" s="8" t="str">
        <f aca="false">IF(H36=4,I36,"")</f>
        <v/>
      </c>
    </row>
    <row r="37" customFormat="false" ht="15" hidden="false" customHeight="true" outlineLevel="0" collapsed="false">
      <c r="A37" s="8" t="s">
        <v>96</v>
      </c>
      <c r="B37" s="8" t="s">
        <v>73</v>
      </c>
      <c r="C37" s="8" t="s">
        <v>176</v>
      </c>
      <c r="D37" s="8" t="n">
        <f aca="false">IF(IF('Combined District Data'!H96&gt;0.5,"D","R")=$E$6,1,0)</f>
        <v>0</v>
      </c>
      <c r="E37" s="8" t="n">
        <f aca="false">IF(IF('Combined District Data'!H97&gt;0.5,"D","R")=$E$7,1,0)</f>
        <v>0</v>
      </c>
      <c r="F37" s="8" t="n">
        <f aca="false">IF(IF('Combined District Data'!H98&gt;0.5,"D","R")=$E$8,1,0)</f>
        <v>0</v>
      </c>
      <c r="G37" s="8" t="n">
        <f aca="false">IF(IF('Combined District Data'!H99&gt;0.5,"D","R")=$E$9,1,0)</f>
        <v>0</v>
      </c>
      <c r="H37" s="8" t="n">
        <f aca="false">SUM(D37:G37)</f>
        <v>0</v>
      </c>
      <c r="I37" s="14" t="n">
        <f aca="false">AVERAGE(ABS('Combined District Data'!H96-$D$6),ABS('Combined District Data'!H97-$D$7),ABS('Combined District Data'!H98-$D$8),ABS('Combined District Data'!H99-$D$9))</f>
        <v>0.169635715968855</v>
      </c>
      <c r="J37" s="17" t="str">
        <f aca="false">IF(AND(H37=4,I37=MIN(K14:K99)),"&lt;&lt; MAGIC MUNICIPALITY","")</f>
        <v/>
      </c>
      <c r="K37" s="8" t="str">
        <f aca="false">IF(H37=4,I37,"")</f>
        <v/>
      </c>
    </row>
    <row r="38" customFormat="false" ht="15" hidden="false" customHeight="true" outlineLevel="0" collapsed="false">
      <c r="A38" s="8" t="s">
        <v>97</v>
      </c>
      <c r="B38" s="8" t="s">
        <v>73</v>
      </c>
      <c r="C38" s="8" t="s">
        <v>176</v>
      </c>
      <c r="D38" s="8" t="n">
        <f aca="false">IF(IF('Combined District Data'!H100&gt;0.5,"D","R")=$E$6,1,0)</f>
        <v>1</v>
      </c>
      <c r="E38" s="8" t="n">
        <f aca="false">IF(IF('Combined District Data'!H101&gt;0.5,"D","R")=$E$7,1,0)</f>
        <v>1</v>
      </c>
      <c r="F38" s="8" t="n">
        <f aca="false">IF(IF('Combined District Data'!H102&gt;0.5,"D","R")=$E$8,1,0)</f>
        <v>1</v>
      </c>
      <c r="G38" s="8" t="n">
        <f aca="false">IF(IF('Combined District Data'!H103&gt;0.5,"D","R")=$E$9,1,0)</f>
        <v>1</v>
      </c>
      <c r="H38" s="8" t="n">
        <f aca="false">SUM(D38:G38)</f>
        <v>4</v>
      </c>
      <c r="I38" s="14" t="n">
        <f aca="false">AVERAGE(ABS('Combined District Data'!H100-$D$6),ABS('Combined District Data'!H101-$D$7),ABS('Combined District Data'!H102-$D$8),ABS('Combined District Data'!H103-$D$9))</f>
        <v>0.0118771361278286</v>
      </c>
      <c r="J38" s="17" t="str">
        <f aca="false">IF(AND(H38=4,I38=MIN(K14:K99)),"&lt;&lt; MAGIC MUNICIPALITY","")</f>
        <v/>
      </c>
      <c r="K38" s="14" t="n">
        <f aca="false">IF(H38=4,I38,"")</f>
        <v>0.0118771361278286</v>
      </c>
    </row>
    <row r="39" customFormat="false" ht="15" hidden="false" customHeight="true" outlineLevel="0" collapsed="false">
      <c r="A39" s="8" t="s">
        <v>98</v>
      </c>
      <c r="B39" s="8" t="s">
        <v>99</v>
      </c>
      <c r="C39" s="8" t="s">
        <v>176</v>
      </c>
      <c r="D39" s="8" t="n">
        <f aca="false">IF(IF('Combined District Data'!H104&gt;0.5,"D","R")=$E$6,1,0)</f>
        <v>0</v>
      </c>
      <c r="E39" s="8" t="n">
        <f aca="false">IF(IF('Combined District Data'!H105&gt;0.5,"D","R")=$E$7,1,0)</f>
        <v>0</v>
      </c>
      <c r="F39" s="8" t="n">
        <f aca="false">IF(IF('Combined District Data'!H106&gt;0.5,"D","R")=$E$8,1,0)</f>
        <v>0</v>
      </c>
      <c r="G39" s="8" t="n">
        <f aca="false">IF(IF('Combined District Data'!H107&gt;0.5,"D","R")=$E$9,1,0)</f>
        <v>0</v>
      </c>
      <c r="H39" s="8" t="n">
        <f aca="false">SUM(D39:G39)</f>
        <v>0</v>
      </c>
      <c r="I39" s="14" t="n">
        <f aca="false">AVERAGE(ABS('Combined District Data'!H104-$D$6),ABS('Combined District Data'!H105-$D$7),ABS('Combined District Data'!H106-$D$8),ABS('Combined District Data'!H107-$D$9))</f>
        <v>0.0833732153581279</v>
      </c>
      <c r="J39" s="17" t="str">
        <f aca="false">IF(AND(H39=4,I39=MIN(K14:K99)),"&lt;&lt; MAGIC MUNICIPALITY","")</f>
        <v/>
      </c>
      <c r="K39" s="8" t="str">
        <f aca="false">IF(H39=4,I39,"")</f>
        <v/>
      </c>
    </row>
    <row r="40" customFormat="false" ht="15" hidden="false" customHeight="true" outlineLevel="0" collapsed="false">
      <c r="A40" s="8" t="s">
        <v>100</v>
      </c>
      <c r="B40" s="8" t="s">
        <v>99</v>
      </c>
      <c r="C40" s="8" t="s">
        <v>176</v>
      </c>
      <c r="D40" s="8" t="n">
        <f aca="false">IF(IF('Combined District Data'!H108&gt;0.5,"D","R")=$E$6,1,0)</f>
        <v>0</v>
      </c>
      <c r="E40" s="8" t="n">
        <f aca="false">IF(IF('Combined District Data'!H109&gt;0.5,"D","R")=$E$7,1,0)</f>
        <v>0</v>
      </c>
      <c r="F40" s="8" t="n">
        <f aca="false">IF(IF('Combined District Data'!H110&gt;0.5,"D","R")=$E$8,1,0)</f>
        <v>0</v>
      </c>
      <c r="G40" s="8" t="n">
        <f aca="false">IF(IF('Combined District Data'!H111&gt;0.5,"D","R")=$E$9,1,0)</f>
        <v>0</v>
      </c>
      <c r="H40" s="8" t="n">
        <f aca="false">SUM(D40:G40)</f>
        <v>0</v>
      </c>
      <c r="I40" s="14" t="n">
        <f aca="false">AVERAGE(ABS('Combined District Data'!H108-$D$6),ABS('Combined District Data'!H109-$D$7),ABS('Combined District Data'!H110-$D$8),ABS('Combined District Data'!H111-$D$9))</f>
        <v>0.0832905457088822</v>
      </c>
      <c r="J40" s="17" t="str">
        <f aca="false">IF(AND(H40=4,I40=MIN(K14:K99)),"&lt;&lt; MAGIC MUNICIPALITY","")</f>
        <v/>
      </c>
      <c r="K40" s="8" t="str">
        <f aca="false">IF(H40=4,I40,"")</f>
        <v/>
      </c>
    </row>
    <row r="41" customFormat="false" ht="15" hidden="false" customHeight="true" outlineLevel="0" collapsed="false">
      <c r="A41" s="8" t="s">
        <v>101</v>
      </c>
      <c r="B41" s="8" t="s">
        <v>99</v>
      </c>
      <c r="C41" s="8" t="s">
        <v>176</v>
      </c>
      <c r="D41" s="8" t="n">
        <f aca="false">IF(IF('Combined District Data'!H112&gt;0.5,"D","R")=$E$6,1,0)</f>
        <v>0</v>
      </c>
      <c r="E41" s="8" t="n">
        <f aca="false">IF(IF('Combined District Data'!H113&gt;0.5,"D","R")=$E$7,1,0)</f>
        <v>0</v>
      </c>
      <c r="F41" s="8" t="n">
        <f aca="false">IF(IF('Combined District Data'!H114&gt;0.5,"D","R")=$E$8,1,0)</f>
        <v>0</v>
      </c>
      <c r="G41" s="8" t="n">
        <f aca="false">IF(IF('Combined District Data'!H115&gt;0.5,"D","R")=$E$9,1,0)</f>
        <v>0</v>
      </c>
      <c r="H41" s="8" t="n">
        <f aca="false">SUM(D41:G41)</f>
        <v>0</v>
      </c>
      <c r="I41" s="14" t="n">
        <f aca="false">AVERAGE(ABS('Combined District Data'!H112-$D$6),ABS('Combined District Data'!H113-$D$7),ABS('Combined District Data'!H114-$D$8),ABS('Combined District Data'!H115-$D$9))</f>
        <v>0.0577664189016366</v>
      </c>
      <c r="J41" s="17" t="str">
        <f aca="false">IF(AND(H41=4,I41=MIN(K14:K99)),"&lt;&lt; MAGIC MUNICIPALITY","")</f>
        <v/>
      </c>
      <c r="K41" s="8" t="str">
        <f aca="false">IF(H41=4,I41,"")</f>
        <v/>
      </c>
    </row>
    <row r="42" customFormat="false" ht="15" hidden="false" customHeight="true" outlineLevel="0" collapsed="false">
      <c r="A42" s="8" t="s">
        <v>75</v>
      </c>
      <c r="B42" s="8" t="s">
        <v>99</v>
      </c>
      <c r="C42" s="8" t="s">
        <v>176</v>
      </c>
      <c r="D42" s="8" t="n">
        <f aca="false">IF(IF('Combined District Data'!H116&gt;0.5,"D","R")=$E$6,1,0)</f>
        <v>1</v>
      </c>
      <c r="E42" s="8" t="n">
        <f aca="false">IF(IF('Combined District Data'!H117&gt;0.5,"D","R")=$E$7,1,0)</f>
        <v>1</v>
      </c>
      <c r="F42" s="8" t="n">
        <f aca="false">IF(IF('Combined District Data'!H118&gt;0.5,"D","R")=$E$8,1,0)</f>
        <v>1</v>
      </c>
      <c r="G42" s="8" t="n">
        <f aca="false">IF(IF('Combined District Data'!H119&gt;0.5,"D","R")=$E$9,1,0)</f>
        <v>1</v>
      </c>
      <c r="H42" s="8" t="n">
        <f aca="false">SUM(D42:G42)</f>
        <v>4</v>
      </c>
      <c r="I42" s="14" t="n">
        <f aca="false">AVERAGE(ABS('Combined District Data'!H116-$D$6),ABS('Combined District Data'!H117-$D$7),ABS('Combined District Data'!H118-$D$8),ABS('Combined District Data'!H119-$D$9))</f>
        <v>0.162311985315629</v>
      </c>
      <c r="J42" s="17" t="str">
        <f aca="false">IF(AND(H42=4,I42=MIN(K14:K99)),"&lt;&lt; MAGIC MUNICIPALITY","")</f>
        <v/>
      </c>
      <c r="K42" s="14" t="n">
        <f aca="false">IF(H42=4,I42,"")</f>
        <v>0.162311985315629</v>
      </c>
    </row>
    <row r="43" customFormat="false" ht="15" hidden="false" customHeight="true" outlineLevel="0" collapsed="false">
      <c r="A43" s="8" t="s">
        <v>102</v>
      </c>
      <c r="B43" s="8" t="s">
        <v>99</v>
      </c>
      <c r="C43" s="8" t="s">
        <v>176</v>
      </c>
      <c r="D43" s="8" t="n">
        <f aca="false">IF(IF('Combined District Data'!H120&gt;0.5,"D","R")=$E$6,1,0)</f>
        <v>1</v>
      </c>
      <c r="E43" s="8" t="n">
        <f aca="false">IF(IF('Combined District Data'!H121&gt;0.5,"D","R")=$E$7,1,0)</f>
        <v>1</v>
      </c>
      <c r="F43" s="8" t="n">
        <f aca="false">IF(IF('Combined District Data'!H122&gt;0.5,"D","R")=$E$8,1,0)</f>
        <v>1</v>
      </c>
      <c r="G43" s="8" t="n">
        <f aca="false">IF(IF('Combined District Data'!H123&gt;0.5,"D","R")=$E$9,1,0)</f>
        <v>1</v>
      </c>
      <c r="H43" s="8" t="n">
        <f aca="false">SUM(D43:G43)</f>
        <v>4</v>
      </c>
      <c r="I43" s="14" t="n">
        <f aca="false">AVERAGE(ABS('Combined District Data'!H120-$D$6),ABS('Combined District Data'!H121-$D$7),ABS('Combined District Data'!H122-$D$8),ABS('Combined District Data'!H123-$D$9))</f>
        <v>0.0241056795548229</v>
      </c>
      <c r="J43" s="17" t="str">
        <f aca="false">IF(AND(H43=4,I43=MIN(K14:K99)),"&lt;&lt; MAGIC MUNICIPALITY","")</f>
        <v/>
      </c>
      <c r="K43" s="14" t="n">
        <f aca="false">IF(H43=4,I43,"")</f>
        <v>0.0241056795548229</v>
      </c>
    </row>
    <row r="44" customFormat="false" ht="15" hidden="false" customHeight="true" outlineLevel="0" collapsed="false">
      <c r="A44" s="8" t="s">
        <v>103</v>
      </c>
      <c r="B44" s="8" t="s">
        <v>99</v>
      </c>
      <c r="C44" s="8" t="s">
        <v>176</v>
      </c>
      <c r="D44" s="8" t="n">
        <f aca="false">IF(IF('Combined District Data'!H124&gt;0.5,"D","R")=$E$6,1,0)</f>
        <v>0</v>
      </c>
      <c r="E44" s="8" t="n">
        <f aca="false">IF(IF('Combined District Data'!H125&gt;0.5,"D","R")=$E$7,1,0)</f>
        <v>0</v>
      </c>
      <c r="F44" s="8" t="n">
        <f aca="false">IF(IF('Combined District Data'!H126&gt;0.5,"D","R")=$E$8,1,0)</f>
        <v>0</v>
      </c>
      <c r="G44" s="8" t="n">
        <f aca="false">IF(IF('Combined District Data'!H127&gt;0.5,"D","R")=$E$9,1,0)</f>
        <v>0</v>
      </c>
      <c r="H44" s="8" t="n">
        <f aca="false">SUM(D44:G44)</f>
        <v>0</v>
      </c>
      <c r="I44" s="14" t="n">
        <f aca="false">AVERAGE(ABS('Combined District Data'!H124-$D$6),ABS('Combined District Data'!H125-$D$7),ABS('Combined District Data'!H126-$D$8),ABS('Combined District Data'!H127-$D$9))</f>
        <v>0.134608669108147</v>
      </c>
      <c r="J44" s="17" t="str">
        <f aca="false">IF(AND(H44=4,I44=MIN(K14:K99)),"&lt;&lt; MAGIC MUNICIPALITY","")</f>
        <v/>
      </c>
      <c r="K44" s="8" t="str">
        <f aca="false">IF(H44=4,I44,"")</f>
        <v/>
      </c>
    </row>
    <row r="45" customFormat="false" ht="15" hidden="false" customHeight="true" outlineLevel="0" collapsed="false">
      <c r="A45" s="8" t="s">
        <v>104</v>
      </c>
      <c r="B45" s="8" t="s">
        <v>99</v>
      </c>
      <c r="C45" s="8" t="s">
        <v>176</v>
      </c>
      <c r="D45" s="8" t="n">
        <f aca="false">IF(IF('Combined District Data'!H128&gt;0.5,"D","R")=$E$6,1,0)</f>
        <v>0</v>
      </c>
      <c r="E45" s="8" t="n">
        <f aca="false">IF(IF('Combined District Data'!H129&gt;0.5,"D","R")=$E$7,1,0)</f>
        <v>0</v>
      </c>
      <c r="F45" s="8" t="n">
        <f aca="false">IF(IF('Combined District Data'!H130&gt;0.5,"D","R")=$E$8,1,0)</f>
        <v>0</v>
      </c>
      <c r="G45" s="8" t="n">
        <f aca="false">IF(IF('Combined District Data'!H131&gt;0.5,"D","R")=$E$9,1,0)</f>
        <v>0</v>
      </c>
      <c r="H45" s="8" t="n">
        <f aca="false">SUM(D45:G45)</f>
        <v>0</v>
      </c>
      <c r="I45" s="14" t="n">
        <f aca="false">AVERAGE(ABS('Combined District Data'!H128-$D$6),ABS('Combined District Data'!H129-$D$7),ABS('Combined District Data'!H130-$D$8),ABS('Combined District Data'!H131-$D$9))</f>
        <v>0.15338765409753</v>
      </c>
      <c r="J45" s="17" t="str">
        <f aca="false">IF(AND(H45=4,I45=MIN(K14:K99)),"&lt;&lt; MAGIC MUNICIPALITY","")</f>
        <v/>
      </c>
      <c r="K45" s="8" t="str">
        <f aca="false">IF(H45=4,I45,"")</f>
        <v/>
      </c>
    </row>
    <row r="46" customFormat="false" ht="15" hidden="false" customHeight="true" outlineLevel="0" collapsed="false">
      <c r="A46" s="8" t="s">
        <v>105</v>
      </c>
      <c r="B46" s="8" t="s">
        <v>99</v>
      </c>
      <c r="C46" s="8" t="s">
        <v>176</v>
      </c>
      <c r="D46" s="8" t="n">
        <f aca="false">IF(IF('Combined District Data'!H132&gt;0.5,"D","R")=$E$6,1,0)</f>
        <v>0</v>
      </c>
      <c r="E46" s="8" t="n">
        <f aca="false">IF(IF('Combined District Data'!H133&gt;0.5,"D","R")=$E$7,1,0)</f>
        <v>0</v>
      </c>
      <c r="F46" s="8" t="n">
        <f aca="false">IF(IF('Combined District Data'!H134&gt;0.5,"D","R")=$E$8,1,0)</f>
        <v>0</v>
      </c>
      <c r="G46" s="8" t="n">
        <f aca="false">IF(IF('Combined District Data'!H135&gt;0.5,"D","R")=$E$9,1,0)</f>
        <v>0</v>
      </c>
      <c r="H46" s="8" t="n">
        <f aca="false">SUM(D46:G46)</f>
        <v>0</v>
      </c>
      <c r="I46" s="14" t="n">
        <f aca="false">AVERAGE(ABS('Combined District Data'!H132-$D$6),ABS('Combined District Data'!H133-$D$7),ABS('Combined District Data'!H134-$D$8),ABS('Combined District Data'!H135-$D$9))</f>
        <v>0.0959763789537464</v>
      </c>
      <c r="J46" s="17" t="str">
        <f aca="false">IF(AND(H46=4,I46=MIN(K14:K99)),"&lt;&lt; MAGIC MUNICIPALITY","")</f>
        <v/>
      </c>
      <c r="K46" s="8" t="str">
        <f aca="false">IF(H46=4,I46,"")</f>
        <v/>
      </c>
    </row>
    <row r="47" customFormat="false" ht="15" hidden="false" customHeight="true" outlineLevel="0" collapsed="false">
      <c r="A47" s="8" t="s">
        <v>106</v>
      </c>
      <c r="B47" s="8" t="s">
        <v>99</v>
      </c>
      <c r="C47" s="8" t="s">
        <v>176</v>
      </c>
      <c r="D47" s="8" t="n">
        <f aca="false">IF(IF('Combined District Data'!H136&gt;0.5,"D","R")=$E$6,1,0)</f>
        <v>0</v>
      </c>
      <c r="E47" s="8" t="n">
        <f aca="false">IF(IF('Combined District Data'!H137&gt;0.5,"D","R")=$E$7,1,0)</f>
        <v>0</v>
      </c>
      <c r="F47" s="8" t="n">
        <f aca="false">IF(IF('Combined District Data'!H138&gt;0.5,"D","R")=$E$8,1,0)</f>
        <v>0</v>
      </c>
      <c r="G47" s="8" t="n">
        <f aca="false">IF(IF('Combined District Data'!H139&gt;0.5,"D","R")=$E$9,1,0)</f>
        <v>0</v>
      </c>
      <c r="H47" s="8" t="n">
        <f aca="false">SUM(D47:G47)</f>
        <v>0</v>
      </c>
      <c r="I47" s="14" t="n">
        <f aca="false">AVERAGE(ABS('Combined District Data'!H136-$D$6),ABS('Combined District Data'!H137-$D$7),ABS('Combined District Data'!H138-$D$8),ABS('Combined District Data'!H139-$D$9))</f>
        <v>0.138688149354749</v>
      </c>
      <c r="J47" s="17" t="str">
        <f aca="false">IF(AND(H47=4,I47=MIN(K14:K99)),"&lt;&lt; MAGIC MUNICIPALITY","")</f>
        <v/>
      </c>
      <c r="K47" s="8" t="str">
        <f aca="false">IF(H47=4,I47,"")</f>
        <v/>
      </c>
    </row>
    <row r="48" customFormat="false" ht="15" hidden="false" customHeight="true" outlineLevel="0" collapsed="false">
      <c r="A48" s="8" t="s">
        <v>107</v>
      </c>
      <c r="B48" s="8" t="s">
        <v>99</v>
      </c>
      <c r="C48" s="8" t="s">
        <v>176</v>
      </c>
      <c r="D48" s="8" t="n">
        <f aca="false">IF(IF('Combined District Data'!H140&gt;0.5,"D","R")=$E$6,1,0)</f>
        <v>1</v>
      </c>
      <c r="E48" s="8" t="n">
        <f aca="false">IF(IF('Combined District Data'!H141&gt;0.5,"D","R")=$E$7,1,0)</f>
        <v>1</v>
      </c>
      <c r="F48" s="8" t="n">
        <f aca="false">IF(IF('Combined District Data'!H142&gt;0.5,"D","R")=$E$8,1,0)</f>
        <v>1</v>
      </c>
      <c r="G48" s="8" t="n">
        <f aca="false">IF(IF('Combined District Data'!H143&gt;0.5,"D","R")=$E$9,1,0)</f>
        <v>1</v>
      </c>
      <c r="H48" s="8" t="n">
        <f aca="false">SUM(D48:G48)</f>
        <v>4</v>
      </c>
      <c r="I48" s="14" t="n">
        <f aca="false">AVERAGE(ABS('Combined District Data'!H140-$D$6),ABS('Combined District Data'!H141-$D$7),ABS('Combined District Data'!H142-$D$8),ABS('Combined District Data'!H143-$D$9))</f>
        <v>0.202846173029945</v>
      </c>
      <c r="J48" s="17" t="str">
        <f aca="false">IF(AND(H48=4,I48=MIN(K14:K99)),"&lt;&lt; MAGIC MUNICIPALITY","")</f>
        <v/>
      </c>
      <c r="K48" s="14" t="n">
        <f aca="false">IF(H48=4,I48,"")</f>
        <v>0.202846173029945</v>
      </c>
    </row>
    <row r="49" customFormat="false" ht="15" hidden="false" customHeight="true" outlineLevel="0" collapsed="false">
      <c r="A49" s="8" t="s">
        <v>108</v>
      </c>
      <c r="B49" s="8" t="s">
        <v>99</v>
      </c>
      <c r="C49" s="8" t="s">
        <v>176</v>
      </c>
      <c r="D49" s="8" t="n">
        <f aca="false">IF(IF('Combined District Data'!H144&gt;0.5,"D","R")=$E$6,1,0)</f>
        <v>1</v>
      </c>
      <c r="E49" s="8" t="n">
        <f aca="false">IF(IF('Combined District Data'!H145&gt;0.5,"D","R")=$E$7,1,0)</f>
        <v>1</v>
      </c>
      <c r="F49" s="8" t="n">
        <f aca="false">IF(IF('Combined District Data'!H146&gt;0.5,"D","R")=$E$8,1,0)</f>
        <v>1</v>
      </c>
      <c r="G49" s="8" t="n">
        <f aca="false">IF(IF('Combined District Data'!H147&gt;0.5,"D","R")=$E$9,1,0)</f>
        <v>1</v>
      </c>
      <c r="H49" s="8" t="n">
        <f aca="false">SUM(D49:G49)</f>
        <v>4</v>
      </c>
      <c r="I49" s="14" t="n">
        <f aca="false">AVERAGE(ABS('Combined District Data'!H144-$D$6),ABS('Combined District Data'!H145-$D$7),ABS('Combined District Data'!H146-$D$8),ABS('Combined District Data'!H147-$D$9))</f>
        <v>0.00857445852813438</v>
      </c>
      <c r="J49" s="17" t="str">
        <f aca="false">IF(AND(H49=4,I49=MIN(K14:K99)),"&lt;&lt; MAGIC MUNICIPALITY","")</f>
        <v/>
      </c>
      <c r="K49" s="14" t="n">
        <f aca="false">IF(H49=4,I49,"")</f>
        <v>0.00857445852813438</v>
      </c>
    </row>
    <row r="50" customFormat="false" ht="15" hidden="false" customHeight="true" outlineLevel="0" collapsed="false">
      <c r="A50" s="8" t="s">
        <v>109</v>
      </c>
      <c r="B50" s="8" t="s">
        <v>99</v>
      </c>
      <c r="C50" s="8" t="s">
        <v>176</v>
      </c>
      <c r="D50" s="8" t="n">
        <f aca="false">IF(IF('Combined District Data'!H148&gt;0.5,"D","R")=$E$6,1,0)</f>
        <v>1</v>
      </c>
      <c r="E50" s="8" t="n">
        <f aca="false">IF(IF('Combined District Data'!H149&gt;0.5,"D","R")=$E$7,1,0)</f>
        <v>1</v>
      </c>
      <c r="F50" s="8" t="n">
        <f aca="false">IF(IF('Combined District Data'!H150&gt;0.5,"D","R")=$E$8,1,0)</f>
        <v>1</v>
      </c>
      <c r="G50" s="8" t="n">
        <f aca="false">IF(IF('Combined District Data'!H151&gt;0.5,"D","R")=$E$9,1,0)</f>
        <v>1</v>
      </c>
      <c r="H50" s="8" t="n">
        <f aca="false">SUM(D50:G50)</f>
        <v>4</v>
      </c>
      <c r="I50" s="14" t="n">
        <f aca="false">AVERAGE(ABS('Combined District Data'!H148-$D$6),ABS('Combined District Data'!H149-$D$7),ABS('Combined District Data'!H150-$D$8),ABS('Combined District Data'!H151-$D$9))</f>
        <v>0.0972806631465123</v>
      </c>
      <c r="J50" s="17" t="str">
        <f aca="false">IF(AND(H50=4,I50=MIN(K14:K99)),"&lt;&lt; MAGIC MUNICIPALITY","")</f>
        <v/>
      </c>
      <c r="K50" s="14" t="n">
        <f aca="false">IF(H50=4,I50,"")</f>
        <v>0.0972806631465123</v>
      </c>
    </row>
    <row r="51" customFormat="false" ht="15" hidden="false" customHeight="true" outlineLevel="0" collapsed="false">
      <c r="A51" s="8" t="s">
        <v>110</v>
      </c>
      <c r="B51" s="8" t="s">
        <v>99</v>
      </c>
      <c r="C51" s="8" t="s">
        <v>176</v>
      </c>
      <c r="D51" s="8" t="n">
        <f aca="false">IF(IF('Combined District Data'!H152&gt;0.5,"D","R")=$E$6,1,0)</f>
        <v>1</v>
      </c>
      <c r="E51" s="8" t="n">
        <f aca="false">IF(IF('Combined District Data'!H153&gt;0.5,"D","R")=$E$7,1,0)</f>
        <v>1</v>
      </c>
      <c r="F51" s="8" t="n">
        <f aca="false">IF(IF('Combined District Data'!H154&gt;0.5,"D","R")=$E$8,1,0)</f>
        <v>1</v>
      </c>
      <c r="G51" s="8" t="n">
        <f aca="false">IF(IF('Combined District Data'!H155&gt;0.5,"D","R")=$E$9,1,0)</f>
        <v>1</v>
      </c>
      <c r="H51" s="8" t="n">
        <f aca="false">SUM(D51:G51)</f>
        <v>4</v>
      </c>
      <c r="I51" s="14" t="n">
        <f aca="false">AVERAGE(ABS('Combined District Data'!H152-$D$6),ABS('Combined District Data'!H153-$D$7),ABS('Combined District Data'!H154-$D$8),ABS('Combined District Data'!H155-$D$9))</f>
        <v>0.0311949334743266</v>
      </c>
      <c r="J51" s="17" t="str">
        <f aca="false">IF(AND(H51=4,I51=MIN(K14:K99)),"&lt;&lt; MAGIC MUNICIPALITY","")</f>
        <v/>
      </c>
      <c r="K51" s="14" t="n">
        <f aca="false">IF(H51=4,I51,"")</f>
        <v>0.0311949334743266</v>
      </c>
    </row>
    <row r="52" customFormat="false" ht="15" hidden="false" customHeight="true" outlineLevel="0" collapsed="false">
      <c r="A52" s="8" t="s">
        <v>81</v>
      </c>
      <c r="B52" s="8" t="s">
        <v>99</v>
      </c>
      <c r="C52" s="8" t="s">
        <v>176</v>
      </c>
      <c r="D52" s="8" t="n">
        <f aca="false">IF(IF('Combined District Data'!H156&gt;0.5,"D","R")=$E$6,1,0)</f>
        <v>1</v>
      </c>
      <c r="E52" s="8" t="n">
        <f aca="false">IF(IF('Combined District Data'!H157&gt;0.5,"D","R")=$E$7,1,0)</f>
        <v>1</v>
      </c>
      <c r="F52" s="8" t="n">
        <f aca="false">IF(IF('Combined District Data'!H158&gt;0.5,"D","R")=$E$8,1,0)</f>
        <v>1</v>
      </c>
      <c r="G52" s="8" t="n">
        <f aca="false">IF(IF('Combined District Data'!H159&gt;0.5,"D","R")=$E$9,1,0)</f>
        <v>1</v>
      </c>
      <c r="H52" s="8" t="n">
        <f aca="false">SUM(D52:G52)</f>
        <v>4</v>
      </c>
      <c r="I52" s="14" t="n">
        <f aca="false">AVERAGE(ABS('Combined District Data'!H156-$D$6),ABS('Combined District Data'!H157-$D$7),ABS('Combined District Data'!H158-$D$8),ABS('Combined District Data'!H159-$D$9))</f>
        <v>0.0309128257007407</v>
      </c>
      <c r="J52" s="17" t="str">
        <f aca="false">IF(AND(H52=4,I52=MIN(K14:K99)),"&lt;&lt; MAGIC MUNICIPALITY","")</f>
        <v/>
      </c>
      <c r="K52" s="14" t="n">
        <f aca="false">IF(H52=4,I52,"")</f>
        <v>0.0309128257007407</v>
      </c>
    </row>
    <row r="53" customFormat="false" ht="15" hidden="false" customHeight="true" outlineLevel="0" collapsed="false">
      <c r="A53" s="8" t="s">
        <v>111</v>
      </c>
      <c r="B53" s="8" t="s">
        <v>99</v>
      </c>
      <c r="C53" s="8" t="s">
        <v>176</v>
      </c>
      <c r="D53" s="8" t="n">
        <f aca="false">IF(IF('Combined District Data'!H160&gt;0.5,"D","R")=$E$6,1,0)</f>
        <v>1</v>
      </c>
      <c r="E53" s="8" t="n">
        <f aca="false">IF(IF('Combined District Data'!H161&gt;0.5,"D","R")=$E$7,1,0)</f>
        <v>1</v>
      </c>
      <c r="F53" s="8" t="n">
        <f aca="false">IF(IF('Combined District Data'!H162&gt;0.5,"D","R")=$E$8,1,0)</f>
        <v>1</v>
      </c>
      <c r="G53" s="8" t="n">
        <f aca="false">IF(IF('Combined District Data'!H163&gt;0.5,"D","R")=$E$9,1,0)</f>
        <v>1</v>
      </c>
      <c r="H53" s="8" t="n">
        <f aca="false">SUM(D53:G53)</f>
        <v>4</v>
      </c>
      <c r="I53" s="14" t="n">
        <f aca="false">AVERAGE(ABS('Combined District Data'!H160-$D$6),ABS('Combined District Data'!H161-$D$7),ABS('Combined District Data'!H162-$D$8),ABS('Combined District Data'!H163-$D$9))</f>
        <v>0.00604964440497083</v>
      </c>
      <c r="J53" s="17" t="str">
        <f aca="false">IF(AND(H53=4,I53=MIN(K14:K99)),"&lt;&lt; MAGIC MUNICIPALITY","")</f>
        <v/>
      </c>
      <c r="K53" s="14" t="n">
        <f aca="false">IF(H53=4,I53,"")</f>
        <v>0.00604964440497083</v>
      </c>
    </row>
    <row r="54" customFormat="false" ht="15" hidden="false" customHeight="true" outlineLevel="0" collapsed="false">
      <c r="A54" s="8" t="s">
        <v>73</v>
      </c>
      <c r="B54" s="8" t="s">
        <v>99</v>
      </c>
      <c r="C54" s="8" t="s">
        <v>176</v>
      </c>
      <c r="D54" s="8" t="n">
        <f aca="false">IF(IF('Combined District Data'!H164&gt;0.5,"D","R")=$E$6,1,0)</f>
        <v>0</v>
      </c>
      <c r="E54" s="8" t="n">
        <f aca="false">IF(IF('Combined District Data'!H165&gt;0.5,"D","R")=$E$7,1,0)</f>
        <v>0</v>
      </c>
      <c r="F54" s="8" t="n">
        <f aca="false">IF(IF('Combined District Data'!H166&gt;0.5,"D","R")=$E$8,1,0)</f>
        <v>0</v>
      </c>
      <c r="G54" s="8" t="n">
        <f aca="false">IF(IF('Combined District Data'!H167&gt;0.5,"D","R")=$E$9,1,0)</f>
        <v>0</v>
      </c>
      <c r="H54" s="8" t="n">
        <f aca="false">SUM(D54:G54)</f>
        <v>0</v>
      </c>
      <c r="I54" s="14" t="n">
        <f aca="false">AVERAGE(ABS('Combined District Data'!H164-$D$6),ABS('Combined District Data'!H165-$D$7),ABS('Combined District Data'!H166-$D$8),ABS('Combined District Data'!H167-$D$9))</f>
        <v>0.172251845582577</v>
      </c>
      <c r="J54" s="17" t="str">
        <f aca="false">IF(AND(H54=4,I54=MIN(K14:K99)),"&lt;&lt; MAGIC MUNICIPALITY","")</f>
        <v/>
      </c>
      <c r="K54" s="8" t="str">
        <f aca="false">IF(H54=4,I54,"")</f>
        <v/>
      </c>
    </row>
    <row r="55" customFormat="false" ht="15" hidden="false" customHeight="true" outlineLevel="0" collapsed="false">
      <c r="A55" s="8" t="s">
        <v>112</v>
      </c>
      <c r="B55" s="8" t="s">
        <v>99</v>
      </c>
      <c r="C55" s="8" t="s">
        <v>176</v>
      </c>
      <c r="D55" s="8" t="n">
        <f aca="false">IF(IF('Combined District Data'!H168&gt;0.5,"D","R")=$E$6,1,0)</f>
        <v>0</v>
      </c>
      <c r="E55" s="8" t="n">
        <f aca="false">IF(IF('Combined District Data'!H169&gt;0.5,"D","R")=$E$7,1,0)</f>
        <v>0</v>
      </c>
      <c r="F55" s="8" t="n">
        <f aca="false">IF(IF('Combined District Data'!H170&gt;0.5,"D","R")=$E$8,1,0)</f>
        <v>0</v>
      </c>
      <c r="G55" s="8" t="n">
        <f aca="false">IF(IF('Combined District Data'!H171&gt;0.5,"D","R")=$E$9,1,0)</f>
        <v>0</v>
      </c>
      <c r="H55" s="8" t="n">
        <f aca="false">SUM(D55:G55)</f>
        <v>0</v>
      </c>
      <c r="I55" s="14" t="n">
        <f aca="false">AVERAGE(ABS('Combined District Data'!H168-$D$6),ABS('Combined District Data'!H169-$D$7),ABS('Combined District Data'!H170-$D$8),ABS('Combined District Data'!H171-$D$9))</f>
        <v>0.157521920361452</v>
      </c>
      <c r="J55" s="17" t="str">
        <f aca="false">IF(AND(H55=4,I55=MIN(K14:K99)),"&lt;&lt; MAGIC MUNICIPALITY","")</f>
        <v/>
      </c>
      <c r="K55" s="8" t="str">
        <f aca="false">IF(H55=4,I55,"")</f>
        <v/>
      </c>
    </row>
    <row r="56" customFormat="false" ht="15" hidden="false" customHeight="true" outlineLevel="0" collapsed="false">
      <c r="A56" s="8" t="s">
        <v>113</v>
      </c>
      <c r="B56" s="8" t="s">
        <v>99</v>
      </c>
      <c r="C56" s="8" t="s">
        <v>176</v>
      </c>
      <c r="D56" s="8" t="n">
        <f aca="false">IF(IF('Combined District Data'!H172&gt;0.5,"D","R")=$E$6,1,0)</f>
        <v>0</v>
      </c>
      <c r="E56" s="8" t="n">
        <f aca="false">IF(IF('Combined District Data'!H173&gt;0.5,"D","R")=$E$7,1,0)</f>
        <v>0</v>
      </c>
      <c r="F56" s="8" t="n">
        <f aca="false">IF(IF('Combined District Data'!H174&gt;0.5,"D","R")=$E$8,1,0)</f>
        <v>0</v>
      </c>
      <c r="G56" s="8" t="n">
        <f aca="false">IF(IF('Combined District Data'!H175&gt;0.5,"D","R")=$E$9,1,0)</f>
        <v>0</v>
      </c>
      <c r="H56" s="8" t="n">
        <f aca="false">SUM(D56:G56)</f>
        <v>0</v>
      </c>
      <c r="I56" s="14" t="n">
        <f aca="false">AVERAGE(ABS('Combined District Data'!H172-$D$6),ABS('Combined District Data'!H173-$D$7),ABS('Combined District Data'!H174-$D$8),ABS('Combined District Data'!H175-$D$9))</f>
        <v>0.0701685478257268</v>
      </c>
      <c r="J56" s="17" t="str">
        <f aca="false">IF(AND(H56=4,I56=MIN(K14:K99)),"&lt;&lt; MAGIC MUNICIPALITY","")</f>
        <v/>
      </c>
      <c r="K56" s="8" t="str">
        <f aca="false">IF(H56=4,I56,"")</f>
        <v/>
      </c>
    </row>
    <row r="57" customFormat="false" ht="15" hidden="false" customHeight="true" outlineLevel="0" collapsed="false">
      <c r="A57" s="8" t="s">
        <v>114</v>
      </c>
      <c r="B57" s="8" t="s">
        <v>99</v>
      </c>
      <c r="C57" s="8" t="s">
        <v>176</v>
      </c>
      <c r="D57" s="8" t="n">
        <f aca="false">IF(IF('Combined District Data'!H176&gt;0.5,"D","R")=$E$6,1,0)</f>
        <v>0</v>
      </c>
      <c r="E57" s="8" t="n">
        <f aca="false">IF(IF('Combined District Data'!H177&gt;0.5,"D","R")=$E$7,1,0)</f>
        <v>0</v>
      </c>
      <c r="F57" s="8" t="n">
        <f aca="false">IF(IF('Combined District Data'!H178&gt;0.5,"D","R")=$E$8,1,0)</f>
        <v>0</v>
      </c>
      <c r="G57" s="8" t="n">
        <f aca="false">IF(IF('Combined District Data'!H179&gt;0.5,"D","R")=$E$9,1,0)</f>
        <v>0</v>
      </c>
      <c r="H57" s="8" t="n">
        <f aca="false">SUM(D57:G57)</f>
        <v>0</v>
      </c>
      <c r="I57" s="14" t="n">
        <f aca="false">AVERAGE(ABS('Combined District Data'!H176-$D$6),ABS('Combined District Data'!H177-$D$7),ABS('Combined District Data'!H178-$D$8),ABS('Combined District Data'!H179-$D$9))</f>
        <v>0.0374112793133729</v>
      </c>
      <c r="J57" s="17" t="str">
        <f aca="false">IF(AND(H57=4,I57=MIN(K14:K99)),"&lt;&lt; MAGIC MUNICIPALITY","")</f>
        <v/>
      </c>
      <c r="K57" s="8" t="str">
        <f aca="false">IF(H57=4,I57,"")</f>
        <v/>
      </c>
    </row>
    <row r="58" customFormat="false" ht="15" hidden="false" customHeight="true" outlineLevel="0" collapsed="false">
      <c r="A58" s="8" t="s">
        <v>115</v>
      </c>
      <c r="B58" s="8" t="s">
        <v>99</v>
      </c>
      <c r="C58" s="8" t="s">
        <v>176</v>
      </c>
      <c r="D58" s="8" t="n">
        <f aca="false">IF(IF('Combined District Data'!H180&gt;0.5,"D","R")=$E$6,1,0)</f>
        <v>0</v>
      </c>
      <c r="E58" s="8" t="n">
        <f aca="false">IF(IF('Combined District Data'!H181&gt;0.5,"D","R")=$E$7,1,0)</f>
        <v>0</v>
      </c>
      <c r="F58" s="8" t="n">
        <f aca="false">IF(IF('Combined District Data'!H182&gt;0.5,"D","R")=$E$8,1,0)</f>
        <v>0</v>
      </c>
      <c r="G58" s="8" t="n">
        <f aca="false">IF(IF('Combined District Data'!H183&gt;0.5,"D","R")=$E$9,1,0)</f>
        <v>0</v>
      </c>
      <c r="H58" s="8" t="n">
        <f aca="false">SUM(D58:G58)</f>
        <v>0</v>
      </c>
      <c r="I58" s="14" t="n">
        <f aca="false">AVERAGE(ABS('Combined District Data'!H180-$D$6),ABS('Combined District Data'!H181-$D$7),ABS('Combined District Data'!H182-$D$8),ABS('Combined District Data'!H183-$D$9))</f>
        <v>0.176281428713951</v>
      </c>
      <c r="J58" s="17" t="str">
        <f aca="false">IF(AND(H58=4,I58=MIN(K14:K99)),"&lt;&lt; MAGIC MUNICIPALITY","")</f>
        <v/>
      </c>
      <c r="K58" s="8" t="str">
        <f aca="false">IF(H58=4,I58,"")</f>
        <v/>
      </c>
    </row>
    <row r="59" customFormat="false" ht="15" hidden="false" customHeight="true" outlineLevel="0" collapsed="false">
      <c r="A59" s="8" t="s">
        <v>116</v>
      </c>
      <c r="B59" s="8" t="s">
        <v>99</v>
      </c>
      <c r="C59" s="8" t="s">
        <v>176</v>
      </c>
      <c r="D59" s="8" t="n">
        <f aca="false">IF(IF('Combined District Data'!H184&gt;0.5,"D","R")=$E$6,1,0)</f>
        <v>1</v>
      </c>
      <c r="E59" s="8" t="n">
        <f aca="false">IF(IF('Combined District Data'!H185&gt;0.5,"D","R")=$E$7,1,0)</f>
        <v>0</v>
      </c>
      <c r="F59" s="8" t="n">
        <f aca="false">IF(IF('Combined District Data'!H186&gt;0.5,"D","R")=$E$8,1,0)</f>
        <v>1</v>
      </c>
      <c r="G59" s="8" t="n">
        <f aca="false">IF(IF('Combined District Data'!H187&gt;0.5,"D","R")=$E$9,1,0)</f>
        <v>0</v>
      </c>
      <c r="H59" s="8" t="n">
        <f aca="false">SUM(D59:G59)</f>
        <v>2</v>
      </c>
      <c r="I59" s="14" t="n">
        <f aca="false">AVERAGE(ABS('Combined District Data'!H184-$D$6),ABS('Combined District Data'!H185-$D$7),ABS('Combined District Data'!H186-$D$8),ABS('Combined District Data'!H187-$D$9))</f>
        <v>0.0267164025999875</v>
      </c>
      <c r="J59" s="17" t="str">
        <f aca="false">IF(AND(H59=4,I59=MIN(K14:K99)),"&lt;&lt; MAGIC MUNICIPALITY","")</f>
        <v/>
      </c>
      <c r="K59" s="8" t="str">
        <f aca="false">IF(H59=4,I59,"")</f>
        <v/>
      </c>
    </row>
    <row r="60" customFormat="false" ht="15" hidden="false" customHeight="true" outlineLevel="0" collapsed="false">
      <c r="A60" s="8" t="s">
        <v>117</v>
      </c>
      <c r="B60" s="8" t="s">
        <v>99</v>
      </c>
      <c r="C60" s="8" t="s">
        <v>176</v>
      </c>
      <c r="D60" s="8" t="n">
        <f aca="false">IF(IF('Combined District Data'!H188&gt;0.5,"D","R")=$E$6,1,0)</f>
        <v>0</v>
      </c>
      <c r="E60" s="8" t="n">
        <f aca="false">IF(IF('Combined District Data'!H189&gt;0.5,"D","R")=$E$7,1,0)</f>
        <v>0</v>
      </c>
      <c r="F60" s="8" t="n">
        <f aca="false">IF(IF('Combined District Data'!H190&gt;0.5,"D","R")=$E$8,1,0)</f>
        <v>1</v>
      </c>
      <c r="G60" s="8" t="n">
        <f aca="false">IF(IF('Combined District Data'!H191&gt;0.5,"D","R")=$E$9,1,0)</f>
        <v>0</v>
      </c>
      <c r="H60" s="8" t="n">
        <f aca="false">SUM(D60:G60)</f>
        <v>1</v>
      </c>
      <c r="I60" s="14" t="n">
        <f aca="false">AVERAGE(ABS('Combined District Data'!H188-$D$6),ABS('Combined District Data'!H189-$D$7),ABS('Combined District Data'!H190-$D$8),ABS('Combined District Data'!H191-$D$9))</f>
        <v>0.0304710597996937</v>
      </c>
      <c r="J60" s="17" t="str">
        <f aca="false">IF(AND(H60=4,I60=MIN(K14:K99)),"&lt;&lt; MAGIC MUNICIPALITY","")</f>
        <v/>
      </c>
      <c r="K60" s="8" t="str">
        <f aca="false">IF(H60=4,I60,"")</f>
        <v/>
      </c>
    </row>
    <row r="61" customFormat="false" ht="15" hidden="false" customHeight="true" outlineLevel="0" collapsed="false">
      <c r="A61" s="8" t="s">
        <v>99</v>
      </c>
      <c r="B61" s="8" t="s">
        <v>99</v>
      </c>
      <c r="C61" s="8" t="s">
        <v>176</v>
      </c>
      <c r="D61" s="8" t="n">
        <f aca="false">IF(IF('Combined District Data'!H192&gt;0.5,"D","R")=$E$6,1,0)</f>
        <v>0</v>
      </c>
      <c r="E61" s="8" t="n">
        <f aca="false">IF(IF('Combined District Data'!H193&gt;0.5,"D","R")=$E$7,1,0)</f>
        <v>0</v>
      </c>
      <c r="F61" s="8" t="n">
        <f aca="false">IF(IF('Combined District Data'!H194&gt;0.5,"D","R")=$E$8,1,0)</f>
        <v>0</v>
      </c>
      <c r="G61" s="8" t="n">
        <f aca="false">IF(IF('Combined District Data'!H195&gt;0.5,"D","R")=$E$9,1,0)</f>
        <v>0</v>
      </c>
      <c r="H61" s="8" t="n">
        <f aca="false">SUM(D61:G61)</f>
        <v>0</v>
      </c>
      <c r="I61" s="14" t="n">
        <f aca="false">AVERAGE(ABS('Combined District Data'!H192-$D$6),ABS('Combined District Data'!H193-$D$7),ABS('Combined District Data'!H194-$D$8),ABS('Combined District Data'!H195-$D$9))</f>
        <v>0.044415790620248</v>
      </c>
      <c r="J61" s="17" t="str">
        <f aca="false">IF(AND(H61=4,I61=MIN(K14:K99)),"&lt;&lt; MAGIC MUNICIPALITY","")</f>
        <v/>
      </c>
      <c r="K61" s="8" t="str">
        <f aca="false">IF(H61=4,I61,"")</f>
        <v/>
      </c>
    </row>
    <row r="62" customFormat="false" ht="15" hidden="false" customHeight="true" outlineLevel="0" collapsed="false">
      <c r="A62" s="8" t="s">
        <v>118</v>
      </c>
      <c r="B62" s="8" t="s">
        <v>99</v>
      </c>
      <c r="C62" s="8" t="s">
        <v>176</v>
      </c>
      <c r="D62" s="8" t="n">
        <f aca="false">IF(IF('Combined District Data'!H196&gt;0.5,"D","R")=$E$6,1,0)</f>
        <v>1</v>
      </c>
      <c r="E62" s="8" t="n">
        <f aca="false">IF(IF('Combined District Data'!H197&gt;0.5,"D","R")=$E$7,1,0)</f>
        <v>1</v>
      </c>
      <c r="F62" s="8" t="n">
        <f aca="false">IF(IF('Combined District Data'!H198&gt;0.5,"D","R")=$E$8,1,0)</f>
        <v>1</v>
      </c>
      <c r="G62" s="8" t="n">
        <f aca="false">IF(IF('Combined District Data'!H199&gt;0.5,"D","R")=$E$9,1,0)</f>
        <v>1</v>
      </c>
      <c r="H62" s="8" t="n">
        <f aca="false">SUM(D62:G62)</f>
        <v>4</v>
      </c>
      <c r="I62" s="14" t="n">
        <f aca="false">AVERAGE(ABS('Combined District Data'!H196-$D$6),ABS('Combined District Data'!H197-$D$7),ABS('Combined District Data'!H198-$D$8),ABS('Combined District Data'!H199-$D$9))</f>
        <v>0.00632476709817945</v>
      </c>
      <c r="J62" s="17" t="str">
        <f aca="false">IF(AND(H62=4,I62=MIN(K14:K99)),"&lt;&lt; MAGIC MUNICIPALITY","")</f>
        <v/>
      </c>
      <c r="K62" s="14" t="n">
        <f aca="false">IF(H62=4,I62,"")</f>
        <v>0.00632476709817945</v>
      </c>
    </row>
    <row r="63" customFormat="false" ht="15" hidden="false" customHeight="true" outlineLevel="0" collapsed="false">
      <c r="A63" s="8" t="s">
        <v>119</v>
      </c>
      <c r="B63" s="8" t="s">
        <v>99</v>
      </c>
      <c r="C63" s="8" t="s">
        <v>176</v>
      </c>
      <c r="D63" s="8" t="n">
        <f aca="false">IF(IF('Combined District Data'!H200&gt;0.5,"D","R")=$E$6,1,0)</f>
        <v>0</v>
      </c>
      <c r="E63" s="8" t="n">
        <f aca="false">IF(IF('Combined District Data'!H201&gt;0.5,"D","R")=$E$7,1,0)</f>
        <v>0</v>
      </c>
      <c r="F63" s="8" t="n">
        <f aca="false">IF(IF('Combined District Data'!H202&gt;0.5,"D","R")=$E$8,1,0)</f>
        <v>0</v>
      </c>
      <c r="G63" s="8" t="n">
        <f aca="false">IF(IF('Combined District Data'!H203&gt;0.5,"D","R")=$E$9,1,0)</f>
        <v>0</v>
      </c>
      <c r="H63" s="8" t="n">
        <f aca="false">SUM(D63:G63)</f>
        <v>0</v>
      </c>
      <c r="I63" s="14" t="n">
        <f aca="false">AVERAGE(ABS('Combined District Data'!H200-$D$6),ABS('Combined District Data'!H201-$D$7),ABS('Combined District Data'!H202-$D$8),ABS('Combined District Data'!H203-$D$9))</f>
        <v>0.128416095240003</v>
      </c>
      <c r="J63" s="17" t="str">
        <f aca="false">IF(AND(H63=4,I63=MIN(K14:K99)),"&lt;&lt; MAGIC MUNICIPALITY","")</f>
        <v/>
      </c>
      <c r="K63" s="8" t="str">
        <f aca="false">IF(H63=4,I63,"")</f>
        <v/>
      </c>
    </row>
    <row r="64" customFormat="false" ht="15" hidden="false" customHeight="true" outlineLevel="0" collapsed="false">
      <c r="A64" s="8" t="s">
        <v>120</v>
      </c>
      <c r="B64" s="8" t="s">
        <v>99</v>
      </c>
      <c r="C64" s="8" t="s">
        <v>176</v>
      </c>
      <c r="D64" s="8" t="n">
        <f aca="false">IF(IF('Combined District Data'!H204&gt;0.5,"D","R")=$E$6,1,0)</f>
        <v>0</v>
      </c>
      <c r="E64" s="8" t="n">
        <f aca="false">IF(IF('Combined District Data'!H205&gt;0.5,"D","R")=$E$7,1,0)</f>
        <v>0</v>
      </c>
      <c r="F64" s="8" t="n">
        <f aca="false">IF(IF('Combined District Data'!H206&gt;0.5,"D","R")=$E$8,1,0)</f>
        <v>0</v>
      </c>
      <c r="G64" s="8" t="n">
        <f aca="false">IF(IF('Combined District Data'!H207&gt;0.5,"D","R")=$E$9,1,0)</f>
        <v>0</v>
      </c>
      <c r="H64" s="8" t="n">
        <f aca="false">SUM(D64:G64)</f>
        <v>0</v>
      </c>
      <c r="I64" s="14" t="n">
        <f aca="false">AVERAGE(ABS('Combined District Data'!H204-$D$6),ABS('Combined District Data'!H205-$D$7),ABS('Combined District Data'!H206-$D$8),ABS('Combined District Data'!H207-$D$9))</f>
        <v>0.15761714982437</v>
      </c>
      <c r="J64" s="17" t="str">
        <f aca="false">IF(AND(H64=4,I64=MIN(K14:K99)),"&lt;&lt; MAGIC MUNICIPALITY","")</f>
        <v/>
      </c>
      <c r="K64" s="8" t="str">
        <f aca="false">IF(H64=4,I64,"")</f>
        <v/>
      </c>
    </row>
    <row r="65" customFormat="false" ht="15" hidden="false" customHeight="true" outlineLevel="0" collapsed="false">
      <c r="A65" s="8" t="s">
        <v>121</v>
      </c>
      <c r="B65" s="8" t="s">
        <v>99</v>
      </c>
      <c r="C65" s="8" t="s">
        <v>176</v>
      </c>
      <c r="D65" s="8" t="n">
        <f aca="false">IF(IF('Combined District Data'!H208&gt;0.5,"D","R")=$E$6,1,0)</f>
        <v>0</v>
      </c>
      <c r="E65" s="8" t="n">
        <f aca="false">IF(IF('Combined District Data'!H209&gt;0.5,"D","R")=$E$7,1,0)</f>
        <v>0</v>
      </c>
      <c r="F65" s="8" t="n">
        <f aca="false">IF(IF('Combined District Data'!H210&gt;0.5,"D","R")=$E$8,1,0)</f>
        <v>0</v>
      </c>
      <c r="G65" s="8" t="n">
        <f aca="false">IF(IF('Combined District Data'!H211&gt;0.5,"D","R")=$E$9,1,0)</f>
        <v>0</v>
      </c>
      <c r="H65" s="8" t="n">
        <f aca="false">SUM(D65:G65)</f>
        <v>0</v>
      </c>
      <c r="I65" s="14" t="n">
        <f aca="false">AVERAGE(ABS('Combined District Data'!H208-$D$6),ABS('Combined District Data'!H209-$D$7),ABS('Combined District Data'!H210-$D$8),ABS('Combined District Data'!H211-$D$9))</f>
        <v>0.170817897276831</v>
      </c>
      <c r="J65" s="17" t="str">
        <f aca="false">IF(AND(H65=4,I65=MIN(K14:K99)),"&lt;&lt; MAGIC MUNICIPALITY","")</f>
        <v/>
      </c>
      <c r="K65" s="8" t="str">
        <f aca="false">IF(H65=4,I65,"")</f>
        <v/>
      </c>
    </row>
    <row r="66" customFormat="false" ht="15" hidden="false" customHeight="true" outlineLevel="0" collapsed="false">
      <c r="A66" s="8" t="s">
        <v>122</v>
      </c>
      <c r="B66" s="8" t="s">
        <v>99</v>
      </c>
      <c r="C66" s="8" t="s">
        <v>176</v>
      </c>
      <c r="D66" s="8" t="n">
        <f aca="false">IF(IF('Combined District Data'!H212&gt;0.5,"D","R")=$E$6,1,0)</f>
        <v>0</v>
      </c>
      <c r="E66" s="8" t="n">
        <f aca="false">IF(IF('Combined District Data'!H213&gt;0.5,"D","R")=$E$7,1,0)</f>
        <v>0</v>
      </c>
      <c r="F66" s="8" t="n">
        <f aca="false">IF(IF('Combined District Data'!H214&gt;0.5,"D","R")=$E$8,1,0)</f>
        <v>0</v>
      </c>
      <c r="G66" s="8" t="n">
        <f aca="false">IF(IF('Combined District Data'!H215&gt;0.5,"D","R")=$E$9,1,0)</f>
        <v>0</v>
      </c>
      <c r="H66" s="8" t="n">
        <f aca="false">SUM(D66:G66)</f>
        <v>0</v>
      </c>
      <c r="I66" s="14" t="n">
        <f aca="false">AVERAGE(ABS('Combined District Data'!H212-$D$6),ABS('Combined District Data'!H213-$D$7),ABS('Combined District Data'!H214-$D$8),ABS('Combined District Data'!H215-$D$9))</f>
        <v>0.134750730136347</v>
      </c>
      <c r="J66" s="17" t="str">
        <f aca="false">IF(AND(H66=4,I66=MIN(K14:K99)),"&lt;&lt; MAGIC MUNICIPALITY","")</f>
        <v/>
      </c>
      <c r="K66" s="8" t="str">
        <f aca="false">IF(H66=4,I66,"")</f>
        <v/>
      </c>
    </row>
    <row r="67" customFormat="false" ht="15" hidden="false" customHeight="true" outlineLevel="0" collapsed="false">
      <c r="A67" s="8" t="s">
        <v>123</v>
      </c>
      <c r="B67" s="8" t="s">
        <v>99</v>
      </c>
      <c r="C67" s="8" t="s">
        <v>176</v>
      </c>
      <c r="D67" s="8" t="n">
        <f aca="false">IF(IF('Combined District Data'!H216&gt;0.5,"D","R")=$E$6,1,0)</f>
        <v>0</v>
      </c>
      <c r="E67" s="8" t="n">
        <f aca="false">IF(IF('Combined District Data'!H217&gt;0.5,"D","R")=$E$7,1,0)</f>
        <v>0</v>
      </c>
      <c r="F67" s="8" t="n">
        <f aca="false">IF(IF('Combined District Data'!H218&gt;0.5,"D","R")=$E$8,1,0)</f>
        <v>0</v>
      </c>
      <c r="G67" s="8" t="n">
        <f aca="false">IF(IF('Combined District Data'!H219&gt;0.5,"D","R")=$E$9,1,0)</f>
        <v>0</v>
      </c>
      <c r="H67" s="8" t="n">
        <f aca="false">SUM(D67:G67)</f>
        <v>0</v>
      </c>
      <c r="I67" s="14" t="n">
        <f aca="false">AVERAGE(ABS('Combined District Data'!H216-$D$6),ABS('Combined District Data'!H217-$D$7),ABS('Combined District Data'!H218-$D$8),ABS('Combined District Data'!H219-$D$9))</f>
        <v>0.101126506448056</v>
      </c>
      <c r="J67" s="17" t="str">
        <f aca="false">IF(AND(H67=4,I67=MIN(K14:K99)),"&lt;&lt; MAGIC MUNICIPALITY","")</f>
        <v/>
      </c>
      <c r="K67" s="8" t="str">
        <f aca="false">IF(H67=4,I67,"")</f>
        <v/>
      </c>
    </row>
    <row r="68" customFormat="false" ht="15" hidden="false" customHeight="true" outlineLevel="0" collapsed="false">
      <c r="A68" s="8" t="s">
        <v>124</v>
      </c>
      <c r="B68" s="8" t="s">
        <v>99</v>
      </c>
      <c r="C68" s="8" t="s">
        <v>176</v>
      </c>
      <c r="D68" s="8" t="n">
        <f aca="false">IF(IF('Combined District Data'!H220&gt;0.5,"D","R")=$E$6,1,0)</f>
        <v>0</v>
      </c>
      <c r="E68" s="8" t="n">
        <f aca="false">IF(IF('Combined District Data'!H221&gt;0.5,"D","R")=$E$7,1,0)</f>
        <v>0</v>
      </c>
      <c r="F68" s="8" t="n">
        <f aca="false">IF(IF('Combined District Data'!H222&gt;0.5,"D","R")=$E$8,1,0)</f>
        <v>0</v>
      </c>
      <c r="G68" s="8" t="n">
        <f aca="false">IF(IF('Combined District Data'!H223&gt;0.5,"D","R")=$E$9,1,0)</f>
        <v>0</v>
      </c>
      <c r="H68" s="8" t="n">
        <f aca="false">SUM(D68:G68)</f>
        <v>0</v>
      </c>
      <c r="I68" s="14" t="n">
        <f aca="false">AVERAGE(ABS('Combined District Data'!H220-$D$6),ABS('Combined District Data'!H221-$D$7),ABS('Combined District Data'!H222-$D$8),ABS('Combined District Data'!H223-$D$9))</f>
        <v>0.0965055184313989</v>
      </c>
      <c r="J68" s="17" t="str">
        <f aca="false">IF(AND(H68=4,I68=MIN(K14:K99)),"&lt;&lt; MAGIC MUNICIPALITY","")</f>
        <v/>
      </c>
      <c r="K68" s="8" t="str">
        <f aca="false">IF(H68=4,I68,"")</f>
        <v/>
      </c>
    </row>
    <row r="69" customFormat="false" ht="15" hidden="false" customHeight="true" outlineLevel="0" collapsed="false">
      <c r="A69" s="8" t="s">
        <v>125</v>
      </c>
      <c r="B69" s="8" t="s">
        <v>99</v>
      </c>
      <c r="C69" s="8" t="s">
        <v>176</v>
      </c>
      <c r="D69" s="8" t="n">
        <f aca="false">IF(IF('Combined District Data'!H224&gt;0.5,"D","R")=$E$6,1,0)</f>
        <v>0</v>
      </c>
      <c r="E69" s="8" t="n">
        <f aca="false">IF(IF('Combined District Data'!H225&gt;0.5,"D","R")=$E$7,1,0)</f>
        <v>0</v>
      </c>
      <c r="F69" s="8" t="n">
        <f aca="false">IF(IF('Combined District Data'!H226&gt;0.5,"D","R")=$E$8,1,0)</f>
        <v>0</v>
      </c>
      <c r="G69" s="8" t="n">
        <f aca="false">IF(IF('Combined District Data'!H227&gt;0.5,"D","R")=$E$9,1,0)</f>
        <v>0</v>
      </c>
      <c r="H69" s="8" t="n">
        <f aca="false">SUM(D69:G69)</f>
        <v>0</v>
      </c>
      <c r="I69" s="14" t="n">
        <f aca="false">AVERAGE(ABS('Combined District Data'!H224-$D$6),ABS('Combined District Data'!H225-$D$7),ABS('Combined District Data'!H226-$D$8),ABS('Combined District Data'!H227-$D$9))</f>
        <v>0.187123299605583</v>
      </c>
      <c r="J69" s="17" t="str">
        <f aca="false">IF(AND(H69=4,I69=MIN(K14:K99)),"&lt;&lt; MAGIC MUNICIPALITY","")</f>
        <v/>
      </c>
      <c r="K69" s="8" t="str">
        <f aca="false">IF(H69=4,I69,"")</f>
        <v/>
      </c>
    </row>
    <row r="70" customFormat="false" ht="15" hidden="false" customHeight="true" outlineLevel="0" collapsed="false">
      <c r="A70" s="8" t="s">
        <v>126</v>
      </c>
      <c r="B70" s="8" t="s">
        <v>99</v>
      </c>
      <c r="C70" s="8" t="s">
        <v>176</v>
      </c>
      <c r="D70" s="8" t="n">
        <f aca="false">IF(IF('Combined District Data'!H228&gt;0.5,"D","R")=$E$6,1,0)</f>
        <v>0</v>
      </c>
      <c r="E70" s="8" t="n">
        <f aca="false">IF(IF('Combined District Data'!H229&gt;0.5,"D","R")=$E$7,1,0)</f>
        <v>0</v>
      </c>
      <c r="F70" s="8" t="n">
        <f aca="false">IF(IF('Combined District Data'!H230&gt;0.5,"D","R")=$E$8,1,0)</f>
        <v>0</v>
      </c>
      <c r="G70" s="8" t="n">
        <f aca="false">IF(IF('Combined District Data'!H231&gt;0.5,"D","R")=$E$9,1,0)</f>
        <v>0</v>
      </c>
      <c r="H70" s="8" t="n">
        <f aca="false">SUM(D70:G70)</f>
        <v>0</v>
      </c>
      <c r="I70" s="14" t="n">
        <f aca="false">AVERAGE(ABS('Combined District Data'!H228-$D$6),ABS('Combined District Data'!H229-$D$7),ABS('Combined District Data'!H230-$D$8),ABS('Combined District Data'!H231-$D$9))</f>
        <v>0.0346731120983543</v>
      </c>
      <c r="J70" s="17" t="str">
        <f aca="false">IF(AND(H70=4,I70=MIN(K14:K99)),"&lt;&lt; MAGIC MUNICIPALITY","")</f>
        <v/>
      </c>
      <c r="K70" s="8" t="str">
        <f aca="false">IF(H70=4,I70,"")</f>
        <v/>
      </c>
    </row>
    <row r="71" customFormat="false" ht="15" hidden="false" customHeight="true" outlineLevel="0" collapsed="false">
      <c r="A71" s="8" t="s">
        <v>127</v>
      </c>
      <c r="B71" s="8" t="s">
        <v>99</v>
      </c>
      <c r="C71" s="8" t="s">
        <v>176</v>
      </c>
      <c r="D71" s="8" t="n">
        <f aca="false">IF(IF('Combined District Data'!H232&gt;0.5,"D","R")=$E$6,1,0)</f>
        <v>0</v>
      </c>
      <c r="E71" s="8" t="n">
        <f aca="false">IF(IF('Combined District Data'!H233&gt;0.5,"D","R")=$E$7,1,0)</f>
        <v>0</v>
      </c>
      <c r="F71" s="8" t="n">
        <f aca="false">IF(IF('Combined District Data'!H234&gt;0.5,"D","R")=$E$8,1,0)</f>
        <v>0</v>
      </c>
      <c r="G71" s="8" t="n">
        <f aca="false">IF(IF('Combined District Data'!H235&gt;0.5,"D","R")=$E$9,1,0)</f>
        <v>0</v>
      </c>
      <c r="H71" s="8" t="n">
        <f aca="false">SUM(D71:G71)</f>
        <v>0</v>
      </c>
      <c r="I71" s="14" t="n">
        <f aca="false">AVERAGE(ABS('Combined District Data'!H232-$D$6),ABS('Combined District Data'!H233-$D$7),ABS('Combined District Data'!H234-$D$8),ABS('Combined District Data'!H235-$D$9))</f>
        <v>0.116552236512721</v>
      </c>
      <c r="J71" s="17" t="str">
        <f aca="false">IF(AND(H71=4,I71=MIN(K14:K99)),"&lt;&lt; MAGIC MUNICIPALITY","")</f>
        <v/>
      </c>
      <c r="K71" s="8" t="str">
        <f aca="false">IF(H71=4,I71,"")</f>
        <v/>
      </c>
    </row>
    <row r="72" customFormat="false" ht="15" hidden="false" customHeight="true" outlineLevel="0" collapsed="false">
      <c r="A72" s="8" t="s">
        <v>95</v>
      </c>
      <c r="B72" s="8" t="s">
        <v>99</v>
      </c>
      <c r="C72" s="8" t="s">
        <v>176</v>
      </c>
      <c r="D72" s="8" t="n">
        <f aca="false">IF(IF('Combined District Data'!H236&gt;0.5,"D","R")=$E$6,1,0)</f>
        <v>0</v>
      </c>
      <c r="E72" s="8" t="n">
        <f aca="false">IF(IF('Combined District Data'!H237&gt;0.5,"D","R")=$E$7,1,0)</f>
        <v>0</v>
      </c>
      <c r="F72" s="8" t="n">
        <f aca="false">IF(IF('Combined District Data'!H238&gt;0.5,"D","R")=$E$8,1,0)</f>
        <v>0</v>
      </c>
      <c r="G72" s="8" t="n">
        <f aca="false">IF(IF('Combined District Data'!H239&gt;0.5,"D","R")=$E$9,1,0)</f>
        <v>0</v>
      </c>
      <c r="H72" s="8" t="n">
        <f aca="false">SUM(D72:G72)</f>
        <v>0</v>
      </c>
      <c r="I72" s="14" t="n">
        <f aca="false">AVERAGE(ABS('Combined District Data'!H236-$D$6),ABS('Combined District Data'!H237-$D$7),ABS('Combined District Data'!H238-$D$8),ABS('Combined District Data'!H239-$D$9))</f>
        <v>0.163977964799516</v>
      </c>
      <c r="J72" s="17" t="str">
        <f aca="false">IF(AND(H72=4,I72=MIN(K14:K99)),"&lt;&lt; MAGIC MUNICIPALITY","")</f>
        <v/>
      </c>
      <c r="K72" s="8" t="str">
        <f aca="false">IF(H72=4,I72,"")</f>
        <v/>
      </c>
    </row>
    <row r="73" customFormat="false" ht="15" hidden="false" customHeight="true" outlineLevel="0" collapsed="false">
      <c r="A73" s="8" t="s">
        <v>128</v>
      </c>
      <c r="B73" s="8" t="s">
        <v>99</v>
      </c>
      <c r="C73" s="8" t="s">
        <v>176</v>
      </c>
      <c r="D73" s="8" t="n">
        <f aca="false">IF(IF('Combined District Data'!H240&gt;0.5,"D","R")=$E$6,1,0)</f>
        <v>1</v>
      </c>
      <c r="E73" s="8" t="n">
        <f aca="false">IF(IF('Combined District Data'!H241&gt;0.5,"D","R")=$E$7,1,0)</f>
        <v>0</v>
      </c>
      <c r="F73" s="8" t="n">
        <f aca="false">IF(IF('Combined District Data'!H242&gt;0.5,"D","R")=$E$8,1,0)</f>
        <v>0</v>
      </c>
      <c r="G73" s="8" t="n">
        <f aca="false">IF(IF('Combined District Data'!H243&gt;0.5,"D","R")=$E$9,1,0)</f>
        <v>0</v>
      </c>
      <c r="H73" s="8" t="n">
        <f aca="false">SUM(D73:G73)</f>
        <v>1</v>
      </c>
      <c r="I73" s="14" t="n">
        <f aca="false">AVERAGE(ABS('Combined District Data'!H240-$D$6),ABS('Combined District Data'!H241-$D$7),ABS('Combined District Data'!H242-$D$8),ABS('Combined District Data'!H243-$D$9))</f>
        <v>0.0404528586670177</v>
      </c>
      <c r="J73" s="17" t="str">
        <f aca="false">IF(AND(H73=4,I73=MIN(K14:K99)),"&lt;&lt; MAGIC MUNICIPALITY","")</f>
        <v/>
      </c>
      <c r="K73" s="8" t="str">
        <f aca="false">IF(H73=4,I73,"")</f>
        <v/>
      </c>
    </row>
    <row r="74" customFormat="false" ht="15" hidden="false" customHeight="true" outlineLevel="0" collapsed="false">
      <c r="A74" s="8" t="s">
        <v>129</v>
      </c>
      <c r="B74" s="8" t="s">
        <v>99</v>
      </c>
      <c r="C74" s="8" t="s">
        <v>176</v>
      </c>
      <c r="D74" s="8" t="n">
        <f aca="false">IF(IF('Combined District Data'!H244&gt;0.5,"D","R")=$E$6,1,0)</f>
        <v>0</v>
      </c>
      <c r="E74" s="8" t="n">
        <f aca="false">IF(IF('Combined District Data'!H245&gt;0.5,"D","R")=$E$7,1,0)</f>
        <v>0</v>
      </c>
      <c r="F74" s="8" t="n">
        <f aca="false">IF(IF('Combined District Data'!H246&gt;0.5,"D","R")=$E$8,1,0)</f>
        <v>0</v>
      </c>
      <c r="G74" s="8" t="n">
        <f aca="false">IF(IF('Combined District Data'!H247&gt;0.5,"D","R")=$E$9,1,0)</f>
        <v>0</v>
      </c>
      <c r="H74" s="8" t="n">
        <f aca="false">SUM(D74:G74)</f>
        <v>0</v>
      </c>
      <c r="I74" s="14" t="n">
        <f aca="false">AVERAGE(ABS('Combined District Data'!H244-$D$6),ABS('Combined District Data'!H245-$D$7),ABS('Combined District Data'!H246-$D$8),ABS('Combined District Data'!H247-$D$9))</f>
        <v>0.0800369971786108</v>
      </c>
      <c r="J74" s="17" t="str">
        <f aca="false">IF(AND(H74=4,I74=MIN(K14:K99)),"&lt;&lt; MAGIC MUNICIPALITY","")</f>
        <v/>
      </c>
      <c r="K74" s="8" t="str">
        <f aca="false">IF(H74=4,I74,"")</f>
        <v/>
      </c>
    </row>
    <row r="75" customFormat="false" ht="15" hidden="false" customHeight="true" outlineLevel="0" collapsed="false">
      <c r="A75" s="8" t="s">
        <v>130</v>
      </c>
      <c r="B75" s="8" t="s">
        <v>99</v>
      </c>
      <c r="C75" s="8" t="s">
        <v>176</v>
      </c>
      <c r="D75" s="8" t="n">
        <f aca="false">IF(IF('Combined District Data'!H248&gt;0.5,"D","R")=$E$6,1,0)</f>
        <v>1</v>
      </c>
      <c r="E75" s="8" t="n">
        <f aca="false">IF(IF('Combined District Data'!H249&gt;0.5,"D","R")=$E$7,1,0)</f>
        <v>1</v>
      </c>
      <c r="F75" s="8" t="n">
        <f aca="false">IF(IF('Combined District Data'!H250&gt;0.5,"D","R")=$E$8,1,0)</f>
        <v>1</v>
      </c>
      <c r="G75" s="8" t="n">
        <f aca="false">IF(IF('Combined District Data'!H251&gt;0.5,"D","R")=$E$9,1,0)</f>
        <v>1</v>
      </c>
      <c r="H75" s="8" t="n">
        <f aca="false">SUM(D75:G75)</f>
        <v>4</v>
      </c>
      <c r="I75" s="14" t="n">
        <f aca="false">AVERAGE(ABS('Combined District Data'!H248-$D$6),ABS('Combined District Data'!H249-$D$7),ABS('Combined District Data'!H250-$D$8),ABS('Combined District Data'!H251-$D$9))</f>
        <v>0.0532667847742772</v>
      </c>
      <c r="J75" s="17" t="str">
        <f aca="false">IF(AND(H75=4,I75=MIN(K14:K99)),"&lt;&lt; MAGIC MUNICIPALITY","")</f>
        <v/>
      </c>
      <c r="K75" s="14" t="n">
        <f aca="false">IF(H75=4,I75,"")</f>
        <v>0.0532667847742772</v>
      </c>
    </row>
    <row r="76" customFormat="false" ht="15" hidden="false" customHeight="true" outlineLevel="0" collapsed="false">
      <c r="A76" s="8" t="s">
        <v>131</v>
      </c>
      <c r="B76" s="8" t="s">
        <v>99</v>
      </c>
      <c r="C76" s="8" t="s">
        <v>176</v>
      </c>
      <c r="D76" s="8" t="n">
        <f aca="false">IF(IF('Combined District Data'!H252&gt;0.5,"D","R")=$E$6,1,0)</f>
        <v>0</v>
      </c>
      <c r="E76" s="8" t="n">
        <f aca="false">IF(IF('Combined District Data'!H253&gt;0.5,"D","R")=$E$7,1,0)</f>
        <v>0</v>
      </c>
      <c r="F76" s="8" t="n">
        <f aca="false">IF(IF('Combined District Data'!H254&gt;0.5,"D","R")=$E$8,1,0)</f>
        <v>0</v>
      </c>
      <c r="G76" s="8" t="n">
        <f aca="false">IF(IF('Combined District Data'!H255&gt;0.5,"D","R")=$E$9,1,0)</f>
        <v>0</v>
      </c>
      <c r="H76" s="8" t="n">
        <f aca="false">SUM(D76:G76)</f>
        <v>0</v>
      </c>
      <c r="I76" s="14" t="n">
        <f aca="false">AVERAGE(ABS('Combined District Data'!H252-$D$6),ABS('Combined District Data'!H253-$D$7),ABS('Combined District Data'!H254-$D$8),ABS('Combined District Data'!H255-$D$9))</f>
        <v>0.0900311045736307</v>
      </c>
      <c r="J76" s="17" t="str">
        <f aca="false">IF(AND(H76=4,I76=MIN(K14:K99)),"&lt;&lt; MAGIC MUNICIPALITY","")</f>
        <v/>
      </c>
      <c r="K76" s="8" t="str">
        <f aca="false">IF(H76=4,I76,"")</f>
        <v/>
      </c>
    </row>
    <row r="77" customFormat="false" ht="15" hidden="false" customHeight="true" outlineLevel="0" collapsed="false">
      <c r="A77" s="8" t="s">
        <v>138</v>
      </c>
      <c r="B77" s="8" t="s">
        <v>139</v>
      </c>
      <c r="C77" s="8" t="s">
        <v>177</v>
      </c>
      <c r="D77" s="8" t="n">
        <f aca="false">IF(IF('Combined District Data'!H256&gt;0.5,"D","R")=$E$6,1,0)</f>
        <v>1</v>
      </c>
      <c r="E77" s="8" t="n">
        <f aca="false">IF(IF('Combined District Data'!H257&gt;0.5,"D","R")=$E$7,1,0)</f>
        <v>1</v>
      </c>
      <c r="F77" s="8" t="n">
        <f aca="false">IF(IF('Combined District Data'!H258&gt;0.5,"D","R")=$E$8,1,0)</f>
        <v>1</v>
      </c>
      <c r="G77" s="8" t="n">
        <f aca="false">IF(IF('Combined District Data'!H259&gt;0.5,"D","R")=$E$9,1,0)</f>
        <v>1</v>
      </c>
      <c r="H77" s="8" t="n">
        <f aca="false">SUM(D77:G77)</f>
        <v>4</v>
      </c>
      <c r="I77" s="14" t="n">
        <f aca="false">AVERAGE(ABS('Combined District Data'!H256-$D$6),ABS('Combined District Data'!H257-$D$7),ABS('Combined District Data'!H258-$D$8),ABS('Combined District Data'!H259-$D$9))</f>
        <v>0.0124077936859196</v>
      </c>
      <c r="J77" s="17" t="str">
        <f aca="false">IF(AND(H77=4,I77=MIN(K14:K99)),"&lt;&lt; MAGIC MUNICIPALITY","")</f>
        <v/>
      </c>
      <c r="K77" s="14" t="n">
        <f aca="false">IF(H77=4,I77,"")</f>
        <v>0.0124077936859196</v>
      </c>
    </row>
    <row r="78" customFormat="false" ht="15" hidden="false" customHeight="true" outlineLevel="0" collapsed="false">
      <c r="A78" s="8" t="s">
        <v>140</v>
      </c>
      <c r="B78" s="8" t="s">
        <v>139</v>
      </c>
      <c r="C78" s="8" t="s">
        <v>177</v>
      </c>
      <c r="D78" s="8" t="n">
        <f aca="false">IF(IF('Combined District Data'!H260&gt;0.5,"D","R")=$E$6,1,0)</f>
        <v>0</v>
      </c>
      <c r="E78" s="8" t="n">
        <f aca="false">IF(IF('Combined District Data'!H261&gt;0.5,"D","R")=$E$7,1,0)</f>
        <v>0</v>
      </c>
      <c r="F78" s="8" t="n">
        <f aca="false">IF(IF('Combined District Data'!H262&gt;0.5,"D","R")=$E$8,1,0)</f>
        <v>0</v>
      </c>
      <c r="G78" s="8" t="n">
        <f aca="false">IF(IF('Combined District Data'!H263&gt;0.5,"D","R")=$E$9,1,0)</f>
        <v>0</v>
      </c>
      <c r="H78" s="8" t="n">
        <f aca="false">SUM(D78:G78)</f>
        <v>0</v>
      </c>
      <c r="I78" s="14" t="n">
        <f aca="false">AVERAGE(ABS('Combined District Data'!H260-$D$6),ABS('Combined District Data'!H261-$D$7),ABS('Combined District Data'!H262-$D$8),ABS('Combined District Data'!H263-$D$9))</f>
        <v>0.135802462850035</v>
      </c>
      <c r="J78" s="17" t="str">
        <f aca="false">IF(AND(H78=4,I78=MIN(K14:K99)),"&lt;&lt; MAGIC MUNICIPALITY","")</f>
        <v/>
      </c>
      <c r="K78" s="8" t="str">
        <f aca="false">IF(H78=4,I78,"")</f>
        <v/>
      </c>
    </row>
    <row r="79" customFormat="false" ht="15" hidden="false" customHeight="true" outlineLevel="0" collapsed="false">
      <c r="A79" s="8" t="s">
        <v>141</v>
      </c>
      <c r="B79" s="8" t="s">
        <v>139</v>
      </c>
      <c r="C79" s="8" t="s">
        <v>177</v>
      </c>
      <c r="D79" s="8" t="n">
        <f aca="false">IF(IF('Combined District Data'!H264&gt;0.5,"D","R")=$E$6,1,0)</f>
        <v>0</v>
      </c>
      <c r="E79" s="8" t="n">
        <f aca="false">IF(IF('Combined District Data'!H265&gt;0.5,"D","R")=$E$7,1,0)</f>
        <v>0</v>
      </c>
      <c r="F79" s="8" t="n">
        <f aca="false">IF(IF('Combined District Data'!H266&gt;0.5,"D","R")=$E$8,1,0)</f>
        <v>0</v>
      </c>
      <c r="G79" s="8" t="n">
        <f aca="false">IF(IF('Combined District Data'!H267&gt;0.5,"D","R")=$E$9,1,0)</f>
        <v>0</v>
      </c>
      <c r="H79" s="8" t="n">
        <f aca="false">SUM(D79:G79)</f>
        <v>0</v>
      </c>
      <c r="I79" s="14" t="n">
        <f aca="false">AVERAGE(ABS('Combined District Data'!H264-$D$6),ABS('Combined District Data'!H265-$D$7),ABS('Combined District Data'!H266-$D$8),ABS('Combined District Data'!H267-$D$9))</f>
        <v>0.153835258539839</v>
      </c>
      <c r="J79" s="17" t="str">
        <f aca="false">IF(AND(H79=4,I79=MIN(K14:K99)),"&lt;&lt; MAGIC MUNICIPALITY","")</f>
        <v/>
      </c>
      <c r="K79" s="8" t="str">
        <f aca="false">IF(H79=4,I79,"")</f>
        <v/>
      </c>
    </row>
    <row r="80" customFormat="false" ht="15" hidden="false" customHeight="true" outlineLevel="0" collapsed="false">
      <c r="A80" s="8" t="s">
        <v>142</v>
      </c>
      <c r="B80" s="8" t="s">
        <v>139</v>
      </c>
      <c r="C80" s="8" t="s">
        <v>177</v>
      </c>
      <c r="D80" s="8" t="n">
        <f aca="false">IF(IF('Combined District Data'!H268&gt;0.5,"D","R")=$E$6,1,0)</f>
        <v>0</v>
      </c>
      <c r="E80" s="8" t="n">
        <f aca="false">IF(IF('Combined District Data'!H269&gt;0.5,"D","R")=$E$7,1,0)</f>
        <v>0</v>
      </c>
      <c r="F80" s="8" t="n">
        <f aca="false">IF(IF('Combined District Data'!H270&gt;0.5,"D","R")=$E$8,1,0)</f>
        <v>0</v>
      </c>
      <c r="G80" s="8" t="n">
        <f aca="false">IF(IF('Combined District Data'!H271&gt;0.5,"D","R")=$E$9,1,0)</f>
        <v>0</v>
      </c>
      <c r="H80" s="8" t="n">
        <f aca="false">SUM(D80:G80)</f>
        <v>0</v>
      </c>
      <c r="I80" s="14" t="n">
        <f aca="false">AVERAGE(ABS('Combined District Data'!H268-$D$6),ABS('Combined District Data'!H269-$D$7),ABS('Combined District Data'!H270-$D$8),ABS('Combined District Data'!H271-$D$9))</f>
        <v>0.196955237504663</v>
      </c>
      <c r="J80" s="17" t="str">
        <f aca="false">IF(AND(H80=4,I80=MIN(K14:K99)),"&lt;&lt; MAGIC MUNICIPALITY","")</f>
        <v/>
      </c>
      <c r="K80" s="8" t="str">
        <f aca="false">IF(H80=4,I80,"")</f>
        <v/>
      </c>
    </row>
    <row r="81" customFormat="false" ht="15" hidden="false" customHeight="true" outlineLevel="0" collapsed="false">
      <c r="A81" s="8" t="s">
        <v>143</v>
      </c>
      <c r="B81" s="8" t="s">
        <v>139</v>
      </c>
      <c r="C81" s="8" t="s">
        <v>177</v>
      </c>
      <c r="D81" s="8" t="n">
        <f aca="false">IF(IF('Combined District Data'!H272&gt;0.5,"D","R")=$E$6,1,0)</f>
        <v>0</v>
      </c>
      <c r="E81" s="8" t="n">
        <f aca="false">IF(IF('Combined District Data'!H273&gt;0.5,"D","R")=$E$7,1,0)</f>
        <v>0</v>
      </c>
      <c r="F81" s="8" t="n">
        <f aca="false">IF(IF('Combined District Data'!H274&gt;0.5,"D","R")=$E$8,1,0)</f>
        <v>0</v>
      </c>
      <c r="G81" s="8" t="n">
        <f aca="false">IF(IF('Combined District Data'!H275&gt;0.5,"D","R")=$E$9,1,0)</f>
        <v>0</v>
      </c>
      <c r="H81" s="8" t="n">
        <f aca="false">SUM(D81:G81)</f>
        <v>0</v>
      </c>
      <c r="I81" s="14" t="n">
        <f aca="false">AVERAGE(ABS('Combined District Data'!H272-$D$6),ABS('Combined District Data'!H273-$D$7),ABS('Combined District Data'!H274-$D$8),ABS('Combined District Data'!H275-$D$9))</f>
        <v>0.105824543131113</v>
      </c>
      <c r="J81" s="17" t="str">
        <f aca="false">IF(AND(H81=4,I81=MIN(K14:K99)),"&lt;&lt; MAGIC MUNICIPALITY","")</f>
        <v/>
      </c>
      <c r="K81" s="8" t="str">
        <f aca="false">IF(H81=4,I81,"")</f>
        <v/>
      </c>
    </row>
    <row r="82" customFormat="false" ht="15" hidden="false" customHeight="true" outlineLevel="0" collapsed="false">
      <c r="A82" s="8" t="s">
        <v>144</v>
      </c>
      <c r="B82" s="8" t="s">
        <v>139</v>
      </c>
      <c r="C82" s="8" t="s">
        <v>177</v>
      </c>
      <c r="D82" s="8" t="n">
        <f aca="false">IF(IF('Combined District Data'!H276&gt;0.5,"D","R")=$E$6,1,0)</f>
        <v>0</v>
      </c>
      <c r="E82" s="8" t="n">
        <f aca="false">IF(IF('Combined District Data'!H277&gt;0.5,"D","R")=$E$7,1,0)</f>
        <v>0</v>
      </c>
      <c r="F82" s="8" t="n">
        <f aca="false">IF(IF('Combined District Data'!H278&gt;0.5,"D","R")=$E$8,1,0)</f>
        <v>0</v>
      </c>
      <c r="G82" s="8" t="n">
        <f aca="false">IF(IF('Combined District Data'!H279&gt;0.5,"D","R")=$E$9,1,0)</f>
        <v>0</v>
      </c>
      <c r="H82" s="8" t="n">
        <f aca="false">SUM(D82:G82)</f>
        <v>0</v>
      </c>
      <c r="I82" s="14" t="n">
        <f aca="false">AVERAGE(ABS('Combined District Data'!H276-$D$6),ABS('Combined District Data'!H277-$D$7),ABS('Combined District Data'!H278-$D$8),ABS('Combined District Data'!H279-$D$9))</f>
        <v>0.189607776170034</v>
      </c>
      <c r="J82" s="17" t="str">
        <f aca="false">IF(AND(H82=4,I82=MIN(K14:K99)),"&lt;&lt; MAGIC MUNICIPALITY","")</f>
        <v/>
      </c>
      <c r="K82" s="8" t="str">
        <f aca="false">IF(H82=4,I82,"")</f>
        <v/>
      </c>
    </row>
    <row r="83" customFormat="false" ht="15" hidden="false" customHeight="true" outlineLevel="0" collapsed="false">
      <c r="A83" s="8" t="s">
        <v>145</v>
      </c>
      <c r="B83" s="8" t="s">
        <v>139</v>
      </c>
      <c r="C83" s="8" t="s">
        <v>177</v>
      </c>
      <c r="D83" s="8" t="n">
        <f aca="false">IF(IF('Combined District Data'!H280&gt;0.5,"D","R")=$E$6,1,0)</f>
        <v>0</v>
      </c>
      <c r="E83" s="8" t="n">
        <f aca="false">IF(IF('Combined District Data'!H281&gt;0.5,"D","R")=$E$7,1,0)</f>
        <v>0</v>
      </c>
      <c r="F83" s="8" t="n">
        <f aca="false">IF(IF('Combined District Data'!H282&gt;0.5,"D","R")=$E$8,1,0)</f>
        <v>0</v>
      </c>
      <c r="G83" s="8" t="n">
        <f aca="false">IF(IF('Combined District Data'!H283&gt;0.5,"D","R")=$E$9,1,0)</f>
        <v>0</v>
      </c>
      <c r="H83" s="8" t="n">
        <f aca="false">SUM(D83:G83)</f>
        <v>0</v>
      </c>
      <c r="I83" s="14" t="n">
        <f aca="false">AVERAGE(ABS('Combined District Data'!H280-$D$6),ABS('Combined District Data'!H281-$D$7),ABS('Combined District Data'!H282-$D$8),ABS('Combined District Data'!H283-$D$9))</f>
        <v>0.041382560132135</v>
      </c>
      <c r="J83" s="17" t="str">
        <f aca="false">IF(AND(H83=4,I83=MIN(K14:K99)),"&lt;&lt; MAGIC MUNICIPALITY","")</f>
        <v/>
      </c>
      <c r="K83" s="8" t="str">
        <f aca="false">IF(H83=4,I83,"")</f>
        <v/>
      </c>
    </row>
    <row r="84" customFormat="false" ht="15" hidden="false" customHeight="true" outlineLevel="0" collapsed="false">
      <c r="A84" s="8" t="s">
        <v>146</v>
      </c>
      <c r="B84" s="8" t="s">
        <v>139</v>
      </c>
      <c r="C84" s="8" t="s">
        <v>177</v>
      </c>
      <c r="D84" s="8" t="n">
        <f aca="false">IF(IF('Combined District Data'!H284&gt;0.5,"D","R")=$E$6,1,0)</f>
        <v>0</v>
      </c>
      <c r="E84" s="8" t="n">
        <f aca="false">IF(IF('Combined District Data'!H285&gt;0.5,"D","R")=$E$7,1,0)</f>
        <v>0</v>
      </c>
      <c r="F84" s="8" t="n">
        <f aca="false">IF(IF('Combined District Data'!H286&gt;0.5,"D","R")=$E$8,1,0)</f>
        <v>0</v>
      </c>
      <c r="G84" s="8" t="n">
        <f aca="false">IF(IF('Combined District Data'!H287&gt;0.5,"D","R")=$E$9,1,0)</f>
        <v>0</v>
      </c>
      <c r="H84" s="8" t="n">
        <f aca="false">SUM(D84:G84)</f>
        <v>0</v>
      </c>
      <c r="I84" s="14" t="n">
        <f aca="false">AVERAGE(ABS('Combined District Data'!H284-$D$6),ABS('Combined District Data'!H285-$D$7),ABS('Combined District Data'!H286-$D$8),ABS('Combined District Data'!H287-$D$9))</f>
        <v>0.156601289159334</v>
      </c>
      <c r="J84" s="17" t="str">
        <f aca="false">IF(AND(H84=4,I84=MIN(K14:K99)),"&lt;&lt; MAGIC MUNICIPALITY","")</f>
        <v/>
      </c>
      <c r="K84" s="8" t="str">
        <f aca="false">IF(H84=4,I84,"")</f>
        <v/>
      </c>
    </row>
    <row r="85" customFormat="false" ht="15" hidden="false" customHeight="true" outlineLevel="0" collapsed="false">
      <c r="A85" s="8" t="s">
        <v>147</v>
      </c>
      <c r="B85" s="8" t="s">
        <v>139</v>
      </c>
      <c r="C85" s="8" t="s">
        <v>177</v>
      </c>
      <c r="D85" s="8" t="n">
        <f aca="false">IF(IF('Combined District Data'!H288&gt;0.5,"D","R")=$E$6,1,0)</f>
        <v>0</v>
      </c>
      <c r="E85" s="8" t="n">
        <f aca="false">IF(IF('Combined District Data'!H289&gt;0.5,"D","R")=$E$7,1,0)</f>
        <v>0</v>
      </c>
      <c r="F85" s="8" t="n">
        <f aca="false">IF(IF('Combined District Data'!H290&gt;0.5,"D","R")=$E$8,1,0)</f>
        <v>0</v>
      </c>
      <c r="G85" s="8" t="n">
        <f aca="false">IF(IF('Combined District Data'!H291&gt;0.5,"D","R")=$E$9,1,0)</f>
        <v>0</v>
      </c>
      <c r="H85" s="8" t="n">
        <f aca="false">SUM(D85:G85)</f>
        <v>0</v>
      </c>
      <c r="I85" s="14" t="n">
        <f aca="false">AVERAGE(ABS('Combined District Data'!H288-$D$6),ABS('Combined District Data'!H289-$D$7),ABS('Combined District Data'!H290-$D$8),ABS('Combined District Data'!H291-$D$9))</f>
        <v>0.0343264853772907</v>
      </c>
      <c r="J85" s="17" t="str">
        <f aca="false">IF(AND(H85=4,I85=MIN(K14:K99)),"&lt;&lt; MAGIC MUNICIPALITY","")</f>
        <v/>
      </c>
      <c r="K85" s="8" t="str">
        <f aca="false">IF(H85=4,I85,"")</f>
        <v/>
      </c>
    </row>
    <row r="86" customFormat="false" ht="15" hidden="false" customHeight="true" outlineLevel="0" collapsed="false">
      <c r="A86" s="8" t="s">
        <v>148</v>
      </c>
      <c r="B86" s="8" t="s">
        <v>139</v>
      </c>
      <c r="C86" s="8" t="s">
        <v>177</v>
      </c>
      <c r="D86" s="8" t="n">
        <f aca="false">IF(IF('Combined District Data'!H292&gt;0.5,"D","R")=$E$6,1,0)</f>
        <v>0</v>
      </c>
      <c r="E86" s="8" t="n">
        <f aca="false">IF(IF('Combined District Data'!H293&gt;0.5,"D","R")=$E$7,1,0)</f>
        <v>0</v>
      </c>
      <c r="F86" s="8" t="n">
        <f aca="false">IF(IF('Combined District Data'!H294&gt;0.5,"D","R")=$E$8,1,0)</f>
        <v>0</v>
      </c>
      <c r="G86" s="8" t="n">
        <f aca="false">IF(IF('Combined District Data'!H295&gt;0.5,"D","R")=$E$9,1,0)</f>
        <v>0</v>
      </c>
      <c r="H86" s="8" t="n">
        <f aca="false">SUM(D86:G86)</f>
        <v>0</v>
      </c>
      <c r="I86" s="14" t="n">
        <f aca="false">AVERAGE(ABS('Combined District Data'!H292-$D$6),ABS('Combined District Data'!H293-$D$7),ABS('Combined District Data'!H294-$D$8),ABS('Combined District Data'!H295-$D$9))</f>
        <v>0.214332564919885</v>
      </c>
      <c r="J86" s="17" t="str">
        <f aca="false">IF(AND(H86=4,I86=MIN(K14:K99)),"&lt;&lt; MAGIC MUNICIPALITY","")</f>
        <v/>
      </c>
      <c r="K86" s="8" t="str">
        <f aca="false">IF(H86=4,I86,"")</f>
        <v/>
      </c>
    </row>
    <row r="87" customFormat="false" ht="15" hidden="false" customHeight="true" outlineLevel="0" collapsed="false">
      <c r="A87" s="8" t="s">
        <v>149</v>
      </c>
      <c r="B87" s="8" t="s">
        <v>139</v>
      </c>
      <c r="C87" s="8" t="s">
        <v>177</v>
      </c>
      <c r="D87" s="8" t="n">
        <f aca="false">IF(IF('Combined District Data'!H296&gt;0.5,"D","R")=$E$6,1,0)</f>
        <v>0</v>
      </c>
      <c r="E87" s="8" t="n">
        <f aca="false">IF(IF('Combined District Data'!H297&gt;0.5,"D","R")=$E$7,1,0)</f>
        <v>0</v>
      </c>
      <c r="F87" s="8" t="n">
        <f aca="false">IF(IF('Combined District Data'!H298&gt;0.5,"D","R")=$E$8,1,0)</f>
        <v>0</v>
      </c>
      <c r="G87" s="8" t="n">
        <f aca="false">IF(IF('Combined District Data'!H299&gt;0.5,"D","R")=$E$9,1,0)</f>
        <v>0</v>
      </c>
      <c r="H87" s="8" t="n">
        <f aca="false">SUM(D87:G87)</f>
        <v>0</v>
      </c>
      <c r="I87" s="14" t="n">
        <f aca="false">AVERAGE(ABS('Combined District Data'!H296-$D$6),ABS('Combined District Data'!H297-$D$7),ABS('Combined District Data'!H298-$D$8),ABS('Combined District Data'!H299-$D$9))</f>
        <v>0.293410401706461</v>
      </c>
      <c r="J87" s="17" t="str">
        <f aca="false">IF(AND(H87=4,I87=MIN(K14:K99)),"&lt;&lt; MAGIC MUNICIPALITY","")</f>
        <v/>
      </c>
      <c r="K87" s="8" t="str">
        <f aca="false">IF(H87=4,I87,"")</f>
        <v/>
      </c>
    </row>
    <row r="88" customFormat="false" ht="15" hidden="false" customHeight="true" outlineLevel="0" collapsed="false">
      <c r="A88" s="8" t="s">
        <v>150</v>
      </c>
      <c r="B88" s="8" t="s">
        <v>139</v>
      </c>
      <c r="C88" s="8" t="s">
        <v>177</v>
      </c>
      <c r="D88" s="8" t="n">
        <f aca="false">IF(IF('Combined District Data'!H300&gt;0.5,"D","R")=$E$6,1,0)</f>
        <v>0</v>
      </c>
      <c r="E88" s="8" t="n">
        <f aca="false">IF(IF('Combined District Data'!H301&gt;0.5,"D","R")=$E$7,1,0)</f>
        <v>0</v>
      </c>
      <c r="F88" s="8" t="n">
        <f aca="false">IF(IF('Combined District Data'!H302&gt;0.5,"D","R")=$E$8,1,0)</f>
        <v>0</v>
      </c>
      <c r="G88" s="8" t="n">
        <f aca="false">IF(IF('Combined District Data'!H303&gt;0.5,"D","R")=$E$9,1,0)</f>
        <v>0</v>
      </c>
      <c r="H88" s="8" t="n">
        <f aca="false">SUM(D88:G88)</f>
        <v>0</v>
      </c>
      <c r="I88" s="14" t="n">
        <f aca="false">AVERAGE(ABS('Combined District Data'!H300-$D$6),ABS('Combined District Data'!H301-$D$7),ABS('Combined District Data'!H302-$D$8),ABS('Combined District Data'!H303-$D$9))</f>
        <v>0.0937795154313409</v>
      </c>
      <c r="J88" s="17" t="str">
        <f aca="false">IF(AND(H88=4,I88=MIN(K14:K99)),"&lt;&lt; MAGIC MUNICIPALITY","")</f>
        <v/>
      </c>
      <c r="K88" s="8" t="str">
        <f aca="false">IF(H88=4,I88,"")</f>
        <v/>
      </c>
    </row>
    <row r="89" customFormat="false" ht="15" hidden="false" customHeight="true" outlineLevel="0" collapsed="false">
      <c r="A89" s="8" t="s">
        <v>151</v>
      </c>
      <c r="B89" s="8" t="s">
        <v>139</v>
      </c>
      <c r="C89" s="8" t="s">
        <v>177</v>
      </c>
      <c r="D89" s="8" t="n">
        <f aca="false">IF(IF('Combined District Data'!H304&gt;0.5,"D","R")=$E$6,1,0)</f>
        <v>0</v>
      </c>
      <c r="E89" s="8" t="n">
        <f aca="false">IF(IF('Combined District Data'!H305&gt;0.5,"D","R")=$E$7,1,0)</f>
        <v>0</v>
      </c>
      <c r="F89" s="8" t="n">
        <f aca="false">IF(IF('Combined District Data'!H306&gt;0.5,"D","R")=$E$8,1,0)</f>
        <v>0</v>
      </c>
      <c r="G89" s="8" t="n">
        <f aca="false">IF(IF('Combined District Data'!H307&gt;0.5,"D","R")=$E$9,1,0)</f>
        <v>0</v>
      </c>
      <c r="H89" s="8" t="n">
        <f aca="false">SUM(D89:G89)</f>
        <v>0</v>
      </c>
      <c r="I89" s="14" t="n">
        <f aca="false">AVERAGE(ABS('Combined District Data'!H304-$D$6),ABS('Combined District Data'!H305-$D$7),ABS('Combined District Data'!H306-$D$8),ABS('Combined District Data'!H307-$D$9))</f>
        <v>0.17453527953437</v>
      </c>
      <c r="J89" s="17" t="str">
        <f aca="false">IF(AND(H89=4,I89=MIN(K14:K99)),"&lt;&lt; MAGIC MUNICIPALITY","")</f>
        <v/>
      </c>
      <c r="K89" s="8" t="str">
        <f aca="false">IF(H89=4,I89,"")</f>
        <v/>
      </c>
    </row>
    <row r="90" customFormat="false" ht="15" hidden="false" customHeight="true" outlineLevel="0" collapsed="false">
      <c r="A90" s="8" t="s">
        <v>152</v>
      </c>
      <c r="B90" s="8" t="s">
        <v>139</v>
      </c>
      <c r="C90" s="8" t="s">
        <v>177</v>
      </c>
      <c r="D90" s="8" t="n">
        <f aca="false">IF(IF('Combined District Data'!H308&gt;0.5,"D","R")=$E$6,1,0)</f>
        <v>0</v>
      </c>
      <c r="E90" s="8" t="n">
        <f aca="false">IF(IF('Combined District Data'!H309&gt;0.5,"D","R")=$E$7,1,0)</f>
        <v>0</v>
      </c>
      <c r="F90" s="8" t="n">
        <f aca="false">IF(IF('Combined District Data'!H310&gt;0.5,"D","R")=$E$8,1,0)</f>
        <v>0</v>
      </c>
      <c r="G90" s="8" t="n">
        <f aca="false">IF(IF('Combined District Data'!H311&gt;0.5,"D","R")=$E$9,1,0)</f>
        <v>0</v>
      </c>
      <c r="H90" s="8" t="n">
        <f aca="false">SUM(D90:G90)</f>
        <v>0</v>
      </c>
      <c r="I90" s="14" t="n">
        <f aca="false">AVERAGE(ABS('Combined District Data'!H308-$D$6),ABS('Combined District Data'!H309-$D$7),ABS('Combined District Data'!H310-$D$8),ABS('Combined District Data'!H311-$D$9))</f>
        <v>0.193309708296609</v>
      </c>
      <c r="J90" s="17" t="str">
        <f aca="false">IF(AND(H90=4,I90=MIN(K14:K99)),"&lt;&lt; MAGIC MUNICIPALITY","")</f>
        <v/>
      </c>
      <c r="K90" s="8" t="str">
        <f aca="false">IF(H90=4,I90,"")</f>
        <v/>
      </c>
    </row>
    <row r="91" customFormat="false" ht="15" hidden="false" customHeight="true" outlineLevel="0" collapsed="false">
      <c r="A91" s="8" t="s">
        <v>153</v>
      </c>
      <c r="B91" s="8" t="s">
        <v>139</v>
      </c>
      <c r="C91" s="8" t="s">
        <v>177</v>
      </c>
      <c r="D91" s="8" t="n">
        <f aca="false">IF(IF('Combined District Data'!H312&gt;0.5,"D","R")=$E$6,1,0)</f>
        <v>0</v>
      </c>
      <c r="E91" s="8" t="n">
        <f aca="false">IF(IF('Combined District Data'!H313&gt;0.5,"D","R")=$E$7,1,0)</f>
        <v>0</v>
      </c>
      <c r="F91" s="8" t="n">
        <f aca="false">IF(IF('Combined District Data'!H314&gt;0.5,"D","R")=$E$8,1,0)</f>
        <v>0</v>
      </c>
      <c r="G91" s="8" t="n">
        <f aca="false">IF(IF('Combined District Data'!H315&gt;0.5,"D","R")=$E$9,1,0)</f>
        <v>0</v>
      </c>
      <c r="H91" s="8" t="n">
        <f aca="false">SUM(D91:G91)</f>
        <v>0</v>
      </c>
      <c r="I91" s="14" t="n">
        <f aca="false">AVERAGE(ABS('Combined District Data'!H312-$D$6),ABS('Combined District Data'!H313-$D$7),ABS('Combined District Data'!H314-$D$8),ABS('Combined District Data'!H315-$D$9))</f>
        <v>0.0627816793761117</v>
      </c>
      <c r="J91" s="17" t="str">
        <f aca="false">IF(AND(H91=4,I91=MIN(K14:K99)),"&lt;&lt; MAGIC MUNICIPALITY","")</f>
        <v/>
      </c>
      <c r="K91" s="8" t="str">
        <f aca="false">IF(H91=4,I91,"")</f>
        <v/>
      </c>
    </row>
    <row r="92" customFormat="false" ht="15" hidden="false" customHeight="true" outlineLevel="0" collapsed="false">
      <c r="A92" s="8" t="s">
        <v>154</v>
      </c>
      <c r="B92" s="8" t="s">
        <v>139</v>
      </c>
      <c r="C92" s="8" t="s">
        <v>177</v>
      </c>
      <c r="D92" s="8" t="n">
        <f aca="false">IF(IF('Combined District Data'!H316&gt;0.5,"D","R")=$E$6,1,0)</f>
        <v>0</v>
      </c>
      <c r="E92" s="8" t="n">
        <f aca="false">IF(IF('Combined District Data'!H317&gt;0.5,"D","R")=$E$7,1,0)</f>
        <v>0</v>
      </c>
      <c r="F92" s="8" t="n">
        <f aca="false">IF(IF('Combined District Data'!H318&gt;0.5,"D","R")=$E$8,1,0)</f>
        <v>0</v>
      </c>
      <c r="G92" s="8" t="n">
        <f aca="false">IF(IF('Combined District Data'!H319&gt;0.5,"D","R")=$E$9,1,0)</f>
        <v>0</v>
      </c>
      <c r="H92" s="8" t="n">
        <f aca="false">SUM(D92:G92)</f>
        <v>0</v>
      </c>
      <c r="I92" s="14" t="n">
        <f aca="false">AVERAGE(ABS('Combined District Data'!H316-$D$6),ABS('Combined District Data'!H317-$D$7),ABS('Combined District Data'!H318-$D$8),ABS('Combined District Data'!H319-$D$9))</f>
        <v>0.283093200236066</v>
      </c>
      <c r="J92" s="17" t="str">
        <f aca="false">IF(AND(H92=4,I92=MIN(K14:K99)),"&lt;&lt; MAGIC MUNICIPALITY","")</f>
        <v/>
      </c>
      <c r="K92" s="8" t="str">
        <f aca="false">IF(H92=4,I92,"")</f>
        <v/>
      </c>
    </row>
    <row r="93" customFormat="false" ht="15" hidden="false" customHeight="true" outlineLevel="0" collapsed="false">
      <c r="A93" s="8" t="s">
        <v>155</v>
      </c>
      <c r="B93" s="8" t="s">
        <v>139</v>
      </c>
      <c r="C93" s="8" t="s">
        <v>177</v>
      </c>
      <c r="D93" s="8" t="n">
        <f aca="false">IF(IF('Combined District Data'!H320&gt;0.5,"D","R")=$E$6,1,0)</f>
        <v>0</v>
      </c>
      <c r="E93" s="8" t="n">
        <f aca="false">IF(IF('Combined District Data'!H321&gt;0.5,"D","R")=$E$7,1,0)</f>
        <v>0</v>
      </c>
      <c r="F93" s="8" t="n">
        <f aca="false">IF(IF('Combined District Data'!H322&gt;0.5,"D","R")=$E$8,1,0)</f>
        <v>0</v>
      </c>
      <c r="G93" s="8" t="n">
        <f aca="false">IF(IF('Combined District Data'!H323&gt;0.5,"D","R")=$E$9,1,0)</f>
        <v>0</v>
      </c>
      <c r="H93" s="8" t="n">
        <f aca="false">SUM(D93:G93)</f>
        <v>0</v>
      </c>
      <c r="I93" s="14" t="n">
        <f aca="false">AVERAGE(ABS('Combined District Data'!H320-$D$6),ABS('Combined District Data'!H321-$D$7),ABS('Combined District Data'!H322-$D$8),ABS('Combined District Data'!H323-$D$9))</f>
        <v>0.097978565769995</v>
      </c>
      <c r="J93" s="17" t="str">
        <f aca="false">IF(AND(H93=4,I93=MIN(K14:K99)),"&lt;&lt; MAGIC MUNICIPALITY","")</f>
        <v/>
      </c>
      <c r="K93" s="8" t="str">
        <f aca="false">IF(H93=4,I93,"")</f>
        <v/>
      </c>
    </row>
    <row r="94" customFormat="false" ht="15" hidden="false" customHeight="true" outlineLevel="0" collapsed="false">
      <c r="A94" s="8" t="s">
        <v>156</v>
      </c>
      <c r="B94" s="8" t="s">
        <v>139</v>
      </c>
      <c r="C94" s="8" t="s">
        <v>177</v>
      </c>
      <c r="D94" s="8" t="n">
        <f aca="false">IF(IF('Combined District Data'!H324&gt;0.5,"D","R")=$E$6,1,0)</f>
        <v>0</v>
      </c>
      <c r="E94" s="8" t="n">
        <f aca="false">IF(IF('Combined District Data'!H325&gt;0.5,"D","R")=$E$7,1,0)</f>
        <v>0</v>
      </c>
      <c r="F94" s="8" t="n">
        <f aca="false">IF(IF('Combined District Data'!H326&gt;0.5,"D","R")=$E$8,1,0)</f>
        <v>0</v>
      </c>
      <c r="G94" s="8" t="n">
        <f aca="false">IF(IF('Combined District Data'!H327&gt;0.5,"D","R")=$E$9,1,0)</f>
        <v>0</v>
      </c>
      <c r="H94" s="8" t="n">
        <f aca="false">SUM(D94:G94)</f>
        <v>0</v>
      </c>
      <c r="I94" s="14" t="n">
        <f aca="false">AVERAGE(ABS('Combined District Data'!H324-$D$6),ABS('Combined District Data'!H325-$D$7),ABS('Combined District Data'!H326-$D$8),ABS('Combined District Data'!H327-$D$9))</f>
        <v>0.133515555833802</v>
      </c>
      <c r="J94" s="17" t="str">
        <f aca="false">IF(AND(H94=4,I94=MIN(K14:K99)),"&lt;&lt; MAGIC MUNICIPALITY","")</f>
        <v/>
      </c>
      <c r="K94" s="8" t="str">
        <f aca="false">IF(H94=4,I94,"")</f>
        <v/>
      </c>
    </row>
    <row r="95" customFormat="false" ht="15" hidden="false" customHeight="true" outlineLevel="0" collapsed="false">
      <c r="A95" s="8" t="s">
        <v>157</v>
      </c>
      <c r="B95" s="8" t="s">
        <v>139</v>
      </c>
      <c r="C95" s="8" t="s">
        <v>177</v>
      </c>
      <c r="D95" s="8" t="n">
        <f aca="false">IF(IF('Combined District Data'!H328&gt;0.5,"D","R")=$E$6,1,0)</f>
        <v>0</v>
      </c>
      <c r="E95" s="8" t="n">
        <f aca="false">IF(IF('Combined District Data'!H329&gt;0.5,"D","R")=$E$7,1,0)</f>
        <v>0</v>
      </c>
      <c r="F95" s="8" t="n">
        <f aca="false">IF(IF('Combined District Data'!H330&gt;0.5,"D","R")=$E$8,1,0)</f>
        <v>0</v>
      </c>
      <c r="G95" s="8" t="n">
        <f aca="false">IF(IF('Combined District Data'!H331&gt;0.5,"D","R")=$E$9,1,0)</f>
        <v>0</v>
      </c>
      <c r="H95" s="8" t="n">
        <f aca="false">SUM(D95:G95)</f>
        <v>0</v>
      </c>
      <c r="I95" s="14" t="n">
        <f aca="false">AVERAGE(ABS('Combined District Data'!H328-$D$6),ABS('Combined District Data'!H329-$D$7),ABS('Combined District Data'!H330-$D$8),ABS('Combined District Data'!H331-$D$9))</f>
        <v>0.117129269505359</v>
      </c>
      <c r="J95" s="17" t="str">
        <f aca="false">IF(AND(H95=4,I95=MIN(K14:K99)),"&lt;&lt; MAGIC MUNICIPALITY","")</f>
        <v/>
      </c>
      <c r="K95" s="8" t="str">
        <f aca="false">IF(H95=4,I95,"")</f>
        <v/>
      </c>
    </row>
    <row r="96" customFormat="false" ht="15" hidden="false" customHeight="true" outlineLevel="0" collapsed="false">
      <c r="A96" s="8" t="s">
        <v>158</v>
      </c>
      <c r="B96" s="8" t="s">
        <v>139</v>
      </c>
      <c r="C96" s="8" t="s">
        <v>177</v>
      </c>
      <c r="D96" s="8" t="n">
        <f aca="false">IF(IF('Combined District Data'!H332&gt;0.5,"D","R")=$E$6,1,0)</f>
        <v>1</v>
      </c>
      <c r="E96" s="8" t="n">
        <f aca="false">IF(IF('Combined District Data'!H333&gt;0.5,"D","R")=$E$7,1,0)</f>
        <v>0</v>
      </c>
      <c r="F96" s="8" t="n">
        <f aca="false">IF(IF('Combined District Data'!H334&gt;0.5,"D","R")=$E$8,1,0)</f>
        <v>1</v>
      </c>
      <c r="G96" s="8" t="n">
        <f aca="false">IF(IF('Combined District Data'!H335&gt;0.5,"D","R")=$E$9,1,0)</f>
        <v>0</v>
      </c>
      <c r="H96" s="8" t="n">
        <f aca="false">SUM(D96:G96)</f>
        <v>2</v>
      </c>
      <c r="I96" s="14" t="n">
        <f aca="false">AVERAGE(ABS('Combined District Data'!H332-$D$6),ABS('Combined District Data'!H333-$D$7),ABS('Combined District Data'!H334-$D$8),ABS('Combined District Data'!H335-$D$9))</f>
        <v>0.0243086519613547</v>
      </c>
      <c r="J96" s="17" t="str">
        <f aca="false">IF(AND(H96=4,I96=MIN(K14:K99)),"&lt;&lt; MAGIC MUNICIPALITY","")</f>
        <v/>
      </c>
      <c r="K96" s="8" t="str">
        <f aca="false">IF(H96=4,I96,"")</f>
        <v/>
      </c>
    </row>
    <row r="97" customFormat="false" ht="15" hidden="false" customHeight="true" outlineLevel="0" collapsed="false">
      <c r="A97" s="8" t="s">
        <v>159</v>
      </c>
      <c r="B97" s="8" t="s">
        <v>139</v>
      </c>
      <c r="C97" s="8" t="s">
        <v>177</v>
      </c>
      <c r="D97" s="8" t="n">
        <f aca="false">IF(IF('Combined District Data'!H336&gt;0.5,"D","R")=$E$6,1,0)</f>
        <v>0</v>
      </c>
      <c r="E97" s="8" t="n">
        <f aca="false">IF(IF('Combined District Data'!H337&gt;0.5,"D","R")=$E$7,1,0)</f>
        <v>0</v>
      </c>
      <c r="F97" s="8" t="n">
        <f aca="false">IF(IF('Combined District Data'!H338&gt;0.5,"D","R")=$E$8,1,0)</f>
        <v>0</v>
      </c>
      <c r="G97" s="8" t="n">
        <f aca="false">IF(IF('Combined District Data'!H339&gt;0.5,"D","R")=$E$9,1,0)</f>
        <v>0</v>
      </c>
      <c r="H97" s="8" t="n">
        <f aca="false">SUM(D97:G97)</f>
        <v>0</v>
      </c>
      <c r="I97" s="14" t="n">
        <f aca="false">AVERAGE(ABS('Combined District Data'!H336-$D$6),ABS('Combined District Data'!H337-$D$7),ABS('Combined District Data'!H338-$D$8),ABS('Combined District Data'!H339-$D$9))</f>
        <v>0.186388169630962</v>
      </c>
      <c r="J97" s="17" t="str">
        <f aca="false">IF(AND(H97=4,I97=MIN(K14:K99)),"&lt;&lt; MAGIC MUNICIPALITY","")</f>
        <v/>
      </c>
      <c r="K97" s="8" t="str">
        <f aca="false">IF(H97=4,I97,"")</f>
        <v/>
      </c>
    </row>
    <row r="98" customFormat="false" ht="15" hidden="false" customHeight="true" outlineLevel="0" collapsed="false">
      <c r="A98" s="8" t="s">
        <v>160</v>
      </c>
      <c r="B98" s="8" t="s">
        <v>139</v>
      </c>
      <c r="C98" s="8" t="s">
        <v>177</v>
      </c>
      <c r="D98" s="8" t="n">
        <f aca="false">IF(IF('Combined District Data'!H340&gt;0.5,"D","R")=$E$6,1,0)</f>
        <v>0</v>
      </c>
      <c r="E98" s="8" t="n">
        <f aca="false">IF(IF('Combined District Data'!H341&gt;0.5,"D","R")=$E$7,1,0)</f>
        <v>0</v>
      </c>
      <c r="F98" s="8" t="n">
        <f aca="false">IF(IF('Combined District Data'!H342&gt;0.5,"D","R")=$E$8,1,0)</f>
        <v>0</v>
      </c>
      <c r="G98" s="8" t="n">
        <f aca="false">IF(IF('Combined District Data'!H343&gt;0.5,"D","R")=$E$9,1,0)</f>
        <v>0</v>
      </c>
      <c r="H98" s="8" t="n">
        <f aca="false">SUM(D98:G98)</f>
        <v>0</v>
      </c>
      <c r="I98" s="14" t="n">
        <f aca="false">AVERAGE(ABS('Combined District Data'!H340-$D$6),ABS('Combined District Data'!H341-$D$7),ABS('Combined District Data'!H342-$D$8),ABS('Combined District Data'!H343-$D$9))</f>
        <v>0.168088489273497</v>
      </c>
      <c r="J98" s="17" t="str">
        <f aca="false">IF(AND(H98=4,I98=MIN(K14:K99)),"&lt;&lt; MAGIC MUNICIPALITY","")</f>
        <v/>
      </c>
      <c r="K98" s="8" t="str">
        <f aca="false">IF(H98=4,I98,"")</f>
        <v/>
      </c>
    </row>
    <row r="99" customFormat="false" ht="15" hidden="false" customHeight="true" outlineLevel="0" collapsed="false">
      <c r="A99" s="8" t="s">
        <v>161</v>
      </c>
      <c r="B99" s="8" t="s">
        <v>139</v>
      </c>
      <c r="C99" s="8" t="s">
        <v>177</v>
      </c>
      <c r="D99" s="8" t="n">
        <f aca="false">IF(IF('Combined District Data'!H344&gt;0.5,"D","R")=$E$6,1,0)</f>
        <v>0</v>
      </c>
      <c r="E99" s="8" t="n">
        <f aca="false">IF(IF('Combined District Data'!H345&gt;0.5,"D","R")=$E$7,1,0)</f>
        <v>0</v>
      </c>
      <c r="F99" s="8" t="n">
        <f aca="false">IF(IF('Combined District Data'!H346&gt;0.5,"D","R")=$E$8,1,0)</f>
        <v>0</v>
      </c>
      <c r="G99" s="8" t="n">
        <f aca="false">IF(IF('Combined District Data'!H347&gt;0.5,"D","R")=$E$9,1,0)</f>
        <v>0</v>
      </c>
      <c r="H99" s="8" t="n">
        <f aca="false">SUM(D99:G99)</f>
        <v>0</v>
      </c>
      <c r="I99" s="14" t="n">
        <f aca="false">AVERAGE(ABS('Combined District Data'!H344-$D$6),ABS('Combined District Data'!H345-$D$7),ABS('Combined District Data'!H346-$D$8),ABS('Combined District Data'!H347-$D$9))</f>
        <v>0.106290280357323</v>
      </c>
      <c r="J99" s="17" t="str">
        <f aca="false">IF(AND(H99=4,I99=MIN(K14:K99)),"&lt;&lt; MAGIC MUNICIPALITY","")</f>
        <v/>
      </c>
      <c r="K99" s="8" t="str">
        <f aca="false">IF(H99=4,I99,"")</f>
        <v/>
      </c>
    </row>
  </sheetData>
  <mergeCells count="2">
    <mergeCell ref="A1:H1"/>
    <mergeCell ref="A2:H2"/>
  </mergeCells>
  <conditionalFormatting sqref="J14:J99">
    <cfRule type="expression" priority="2" aboveAverage="0" equalAverage="0" bottom="0" percent="0" rank="0" text="" dxfId="5">
      <formula>J14&lt;&gt;""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1"/>
    <col collapsed="false" customWidth="true" hidden="false" outlineLevel="0" max="4" min="4" style="1" width="9"/>
    <col collapsed="false" customWidth="true" hidden="false" outlineLevel="0" max="5" min="5" style="1" width="11"/>
    <col collapsed="false" customWidth="true" hidden="false" outlineLevel="0" max="6" min="6" style="1" width="16"/>
    <col collapsed="false" customWidth="true" hidden="false" outlineLevel="0" max="7" min="7" style="1" width="15"/>
    <col collapsed="false" customWidth="true" hidden="false" outlineLevel="0" max="8" min="8" style="1" width="18"/>
    <col collapsed="false" customWidth="true" hidden="true" outlineLevel="0" max="15" min="10" style="1" width="13"/>
  </cols>
  <sheetData>
    <row r="1" customFormat="false" ht="15.75" hidden="false" customHeight="true" outlineLevel="0" collapsed="false">
      <c r="A1" s="11" t="s">
        <v>200</v>
      </c>
      <c r="B1" s="11"/>
      <c r="C1" s="11"/>
      <c r="D1" s="11"/>
      <c r="E1" s="11"/>
      <c r="F1" s="11"/>
      <c r="G1" s="11"/>
      <c r="H1" s="11"/>
    </row>
    <row r="2" customFormat="false" ht="30" hidden="false" customHeight="true" outlineLevel="0" collapsed="false">
      <c r="A2" s="10" t="s">
        <v>201</v>
      </c>
      <c r="B2" s="10"/>
      <c r="C2" s="10"/>
      <c r="D2" s="10"/>
      <c r="E2" s="10"/>
      <c r="F2" s="10"/>
      <c r="G2" s="10"/>
      <c r="H2" s="10"/>
    </row>
    <row r="4" customFormat="false" ht="15" hidden="false" customHeight="true" outlineLevel="0" collapsed="false">
      <c r="A4" s="7" t="s">
        <v>202</v>
      </c>
    </row>
    <row r="5" customFormat="false" ht="15" hidden="false" customHeight="true" outlineLevel="0" collapsed="false">
      <c r="A5" s="7" t="n">
        <v>2018</v>
      </c>
      <c r="B5" s="7" t="n">
        <v>2020</v>
      </c>
      <c r="C5" s="7" t="n">
        <v>2022</v>
      </c>
      <c r="D5" s="7" t="n">
        <v>2024</v>
      </c>
    </row>
    <row r="6" customFormat="false" ht="15" hidden="false" customHeight="true" outlineLevel="0" collapsed="false">
      <c r="A6" s="9" t="n">
        <f aca="false">'Magic Municipality'!D6</f>
        <v>0.538600973860571</v>
      </c>
      <c r="B6" s="9" t="n">
        <f aca="false">'Magic Municipality'!D7</f>
        <v>0.50536039054274</v>
      </c>
      <c r="C6" s="9" t="n">
        <f aca="false">'Magic Municipality'!D8</f>
        <v>0.518240855366442</v>
      </c>
      <c r="D6" s="9" t="n">
        <f aca="false">'Magic Municipality'!D9</f>
        <v>0.502307848203881</v>
      </c>
    </row>
    <row r="8" customFormat="false" ht="15" hidden="false" customHeight="true" outlineLevel="0" collapsed="false">
      <c r="A8" s="7" t="s">
        <v>60</v>
      </c>
      <c r="B8" s="7" t="s">
        <v>61</v>
      </c>
      <c r="C8" s="7" t="s">
        <v>175</v>
      </c>
      <c r="D8" s="7" t="s">
        <v>203</v>
      </c>
      <c r="E8" s="7" t="s">
        <v>204</v>
      </c>
      <c r="F8" s="7" t="s">
        <v>205</v>
      </c>
      <c r="G8" s="7" t="s">
        <v>179</v>
      </c>
      <c r="H8" s="7" t="s">
        <v>206</v>
      </c>
      <c r="N8" s="16" t="s">
        <v>207</v>
      </c>
      <c r="O8" s="16" t="s">
        <v>208</v>
      </c>
    </row>
    <row r="9" customFormat="false" ht="15" hidden="false" customHeight="true" outlineLevel="0" collapsed="false">
      <c r="A9" s="8" t="s">
        <v>72</v>
      </c>
      <c r="B9" s="8" t="s">
        <v>73</v>
      </c>
      <c r="C9" s="8" t="s">
        <v>176</v>
      </c>
      <c r="D9" s="18" t="n">
        <f aca="false">SLOPE(J9:M9,$A$6:$D$6)</f>
        <v>1.60907434168113</v>
      </c>
      <c r="E9" s="18" t="n">
        <f aca="false">RSQ(J9:M9,$A$6:$D$6)</f>
        <v>0.852939278642981</v>
      </c>
      <c r="F9" s="18" t="n">
        <f aca="false">ABS(D9-1)</f>
        <v>0.609074341681135</v>
      </c>
      <c r="G9" s="9" t="n">
        <f aca="false">AVERAGE(J9:M9)</f>
        <v>0.47525269636346</v>
      </c>
      <c r="H9" s="7" t="str">
        <f aca="false">IF(O9&lt;=30,"YES","")</f>
        <v/>
      </c>
      <c r="J9" s="9" t="n">
        <f aca="false">'Combined District Data'!H4</f>
        <v>0.506696428571429</v>
      </c>
      <c r="K9" s="9" t="n">
        <f aca="false">'Combined District Data'!H5</f>
        <v>0.467005076142132</v>
      </c>
      <c r="L9" s="9" t="n">
        <f aca="false">'Combined District Data'!H6</f>
        <v>0.487660414610069</v>
      </c>
      <c r="M9" s="9" t="n">
        <f aca="false">'Combined District Data'!H7</f>
        <v>0.439648866130212</v>
      </c>
      <c r="N9" s="8" t="n">
        <f aca="false">F9+(1-E9)</f>
        <v>0.756135063038154</v>
      </c>
      <c r="O9" s="8" t="n">
        <f aca="false">RANK(N9,$N$9:$N$94,1)</f>
        <v>31</v>
      </c>
    </row>
    <row r="10" customFormat="false" ht="15" hidden="false" customHeight="true" outlineLevel="0" collapsed="false">
      <c r="A10" s="8" t="s">
        <v>74</v>
      </c>
      <c r="B10" s="8" t="s">
        <v>73</v>
      </c>
      <c r="C10" s="8" t="s">
        <v>176</v>
      </c>
      <c r="D10" s="18" t="n">
        <f aca="false">SLOPE(J10:M10,$A$6:$D$6)</f>
        <v>1.37899613200492</v>
      </c>
      <c r="E10" s="18" t="n">
        <f aca="false">RSQ(J10:M10,$A$6:$D$6)</f>
        <v>0.728985685185297</v>
      </c>
      <c r="F10" s="18" t="n">
        <f aca="false">ABS(D10-1)</f>
        <v>0.378996132004919</v>
      </c>
      <c r="G10" s="9" t="n">
        <f aca="false">AVERAGE(J10:M10)</f>
        <v>0.680266424276953</v>
      </c>
      <c r="H10" s="7" t="str">
        <f aca="false">IF(O10&lt;=30,"YES","")</f>
        <v>YES</v>
      </c>
      <c r="J10" s="9" t="n">
        <f aca="false">'Combined District Data'!H8</f>
        <v>0.710555416830164</v>
      </c>
      <c r="K10" s="9" t="n">
        <f aca="false">'Combined District Data'!H9</f>
        <v>0.6835901198337</v>
      </c>
      <c r="L10" s="9" t="n">
        <f aca="false">'Combined District Data'!H10</f>
        <v>0.681297939841773</v>
      </c>
      <c r="M10" s="9" t="n">
        <f aca="false">'Combined District Data'!H11</f>
        <v>0.645622220602172</v>
      </c>
      <c r="N10" s="8" t="n">
        <f aca="false">F10+(1-E10)</f>
        <v>0.650010446819622</v>
      </c>
      <c r="O10" s="8" t="n">
        <f aca="false">RANK(N10,$N$9:$N$94,1)</f>
        <v>22</v>
      </c>
    </row>
    <row r="11" customFormat="false" ht="15" hidden="false" customHeight="true" outlineLevel="0" collapsed="false">
      <c r="A11" s="8" t="s">
        <v>75</v>
      </c>
      <c r="B11" s="8" t="s">
        <v>73</v>
      </c>
      <c r="C11" s="8" t="s">
        <v>176</v>
      </c>
      <c r="D11" s="18" t="n">
        <f aca="false">SLOPE(J11:M11,$A$6:$D$6)</f>
        <v>0.198428024872532</v>
      </c>
      <c r="E11" s="18" t="n">
        <f aca="false">RSQ(J11:M11,$A$6:$D$6)</f>
        <v>0.0744403827399207</v>
      </c>
      <c r="F11" s="18" t="n">
        <f aca="false">ABS(D11-1)</f>
        <v>0.801571975127469</v>
      </c>
      <c r="G11" s="9" t="n">
        <f aca="false">AVERAGE(J11:M11)</f>
        <v>0.63958902669926</v>
      </c>
      <c r="H11" s="7" t="str">
        <f aca="false">IF(O11&lt;=30,"YES","")</f>
        <v/>
      </c>
      <c r="J11" s="9" t="n">
        <f aca="false">'Combined District Data'!H12</f>
        <v>0.637029005150447</v>
      </c>
      <c r="K11" s="9" t="n">
        <f aca="false">'Combined District Data'!H13</f>
        <v>0.631153133833707</v>
      </c>
      <c r="L11" s="9" t="n">
        <f aca="false">'Combined District Data'!H14</f>
        <v>0.657204410087441</v>
      </c>
      <c r="M11" s="9" t="n">
        <f aca="false">'Combined District Data'!H15</f>
        <v>0.632969557725445</v>
      </c>
      <c r="N11" s="8" t="n">
        <f aca="false">F11+(1-E11)</f>
        <v>1.72713159238755</v>
      </c>
      <c r="O11" s="8" t="n">
        <f aca="false">RANK(N11,$N$9:$N$94,1)</f>
        <v>68</v>
      </c>
    </row>
    <row r="12" customFormat="false" ht="15" hidden="false" customHeight="true" outlineLevel="0" collapsed="false">
      <c r="A12" s="8" t="s">
        <v>76</v>
      </c>
      <c r="B12" s="8" t="s">
        <v>73</v>
      </c>
      <c r="C12" s="8" t="s">
        <v>176</v>
      </c>
      <c r="D12" s="18" t="n">
        <f aca="false">SLOPE(J12:M12,$A$6:$D$6)</f>
        <v>1.15226277835993</v>
      </c>
      <c r="E12" s="18" t="n">
        <f aca="false">RSQ(J12:M12,$A$6:$D$6)</f>
        <v>0.947113221027926</v>
      </c>
      <c r="F12" s="18" t="n">
        <f aca="false">ABS(D12-1)</f>
        <v>0.152262778359926</v>
      </c>
      <c r="G12" s="9" t="n">
        <f aca="false">AVERAGE(J12:M12)</f>
        <v>0.528783579480555</v>
      </c>
      <c r="H12" s="7" t="str">
        <f aca="false">IF(O12&lt;=30,"YES","")</f>
        <v>YES</v>
      </c>
      <c r="J12" s="9" t="n">
        <f aca="false">'Combined District Data'!H16</f>
        <v>0.551941747572816</v>
      </c>
      <c r="K12" s="9" t="n">
        <f aca="false">'Combined District Data'!H17</f>
        <v>0.513970110461339</v>
      </c>
      <c r="L12" s="9" t="n">
        <f aca="false">'Combined District Data'!H18</f>
        <v>0.537914691943128</v>
      </c>
      <c r="M12" s="9" t="n">
        <f aca="false">'Combined District Data'!H19</f>
        <v>0.511307767944936</v>
      </c>
      <c r="N12" s="8" t="n">
        <f aca="false">F12+(1-E12)</f>
        <v>0.205149557332</v>
      </c>
      <c r="O12" s="8" t="n">
        <f aca="false">RANK(N12,$N$9:$N$94,1)</f>
        <v>5</v>
      </c>
    </row>
    <row r="13" customFormat="false" ht="15" hidden="false" customHeight="true" outlineLevel="0" collapsed="false">
      <c r="A13" s="8" t="s">
        <v>77</v>
      </c>
      <c r="B13" s="8" t="s">
        <v>73</v>
      </c>
      <c r="C13" s="8" t="s">
        <v>176</v>
      </c>
      <c r="D13" s="18" t="n">
        <f aca="false">SLOPE(J13:M13,$A$6:$D$6)</f>
        <v>1.07518814029507</v>
      </c>
      <c r="E13" s="18" t="n">
        <f aca="false">RSQ(J13:M13,$A$6:$D$6)</f>
        <v>0.727605119041549</v>
      </c>
      <c r="F13" s="18" t="n">
        <f aca="false">ABS(D13-1)</f>
        <v>0.0751881402950743</v>
      </c>
      <c r="G13" s="9" t="n">
        <f aca="false">AVERAGE(J13:M13)</f>
        <v>0.492091894873881</v>
      </c>
      <c r="H13" s="7" t="str">
        <f aca="false">IF(O13&lt;=30,"YES","")</f>
        <v>YES</v>
      </c>
      <c r="J13" s="9" t="n">
        <f aca="false">'Combined District Data'!H20</f>
        <v>0.51044776119403</v>
      </c>
      <c r="K13" s="9" t="n">
        <f aca="false">'Combined District Data'!H21</f>
        <v>0.470903010033445</v>
      </c>
      <c r="L13" s="9" t="n">
        <f aca="false">'Combined District Data'!H22</f>
        <v>0.509433962264151</v>
      </c>
      <c r="M13" s="9" t="n">
        <f aca="false">'Combined District Data'!H23</f>
        <v>0.477582846003899</v>
      </c>
      <c r="N13" s="8" t="n">
        <f aca="false">F13+(1-E13)</f>
        <v>0.347583021253525</v>
      </c>
      <c r="O13" s="8" t="n">
        <f aca="false">RANK(N13,$N$9:$N$94,1)</f>
        <v>12</v>
      </c>
    </row>
    <row r="14" customFormat="false" ht="15" hidden="false" customHeight="true" outlineLevel="0" collapsed="false">
      <c r="A14" s="8" t="s">
        <v>78</v>
      </c>
      <c r="B14" s="8" t="s">
        <v>73</v>
      </c>
      <c r="C14" s="8" t="s">
        <v>176</v>
      </c>
      <c r="D14" s="18" t="n">
        <f aca="false">SLOPE(J14:M14,$A$6:$D$6)</f>
        <v>1.0690080202328</v>
      </c>
      <c r="E14" s="18" t="n">
        <f aca="false">RSQ(J14:M14,$A$6:$D$6)</f>
        <v>0.817843466141155</v>
      </c>
      <c r="F14" s="18" t="n">
        <f aca="false">ABS(D14-1)</f>
        <v>0.0690080202328012</v>
      </c>
      <c r="G14" s="9" t="n">
        <f aca="false">AVERAGE(J14:M14)</f>
        <v>0.518089116524169</v>
      </c>
      <c r="H14" s="7" t="str">
        <f aca="false">IF(O14&lt;=30,"YES","")</f>
        <v>YES</v>
      </c>
      <c r="J14" s="9" t="n">
        <f aca="false">'Combined District Data'!H24</f>
        <v>0.537021969080553</v>
      </c>
      <c r="K14" s="9" t="n">
        <f aca="false">'Combined District Data'!H25</f>
        <v>0.502288329519451</v>
      </c>
      <c r="L14" s="9" t="n">
        <f aca="false">'Combined District Data'!H26</f>
        <v>0.532767925983038</v>
      </c>
      <c r="M14" s="9" t="n">
        <f aca="false">'Combined District Data'!H27</f>
        <v>0.500278241513634</v>
      </c>
      <c r="N14" s="8" t="n">
        <f aca="false">F14+(1-E14)</f>
        <v>0.251164554091647</v>
      </c>
      <c r="O14" s="8" t="n">
        <f aca="false">RANK(N14,$N$9:$N$94,1)</f>
        <v>8</v>
      </c>
    </row>
    <row r="15" customFormat="false" ht="15" hidden="false" customHeight="true" outlineLevel="0" collapsed="false">
      <c r="A15" s="8" t="s">
        <v>79</v>
      </c>
      <c r="B15" s="8" t="s">
        <v>73</v>
      </c>
      <c r="C15" s="8" t="s">
        <v>176</v>
      </c>
      <c r="D15" s="18" t="n">
        <f aca="false">SLOPE(J15:M15,$A$6:$D$6)</f>
        <v>0.201322949653025</v>
      </c>
      <c r="E15" s="18" t="n">
        <f aca="false">RSQ(J15:M15,$A$6:$D$6)</f>
        <v>0.0523536363131124</v>
      </c>
      <c r="F15" s="18" t="n">
        <f aca="false">ABS(D15-1)</f>
        <v>0.798677050346975</v>
      </c>
      <c r="G15" s="9" t="n">
        <f aca="false">AVERAGE(J15:M15)</f>
        <v>0.536331225855214</v>
      </c>
      <c r="H15" s="7" t="str">
        <f aca="false">IF(O15&lt;=30,"YES","")</f>
        <v/>
      </c>
      <c r="J15" s="9" t="n">
        <f aca="false">'Combined District Data'!H28</f>
        <v>0.532603938730853</v>
      </c>
      <c r="K15" s="9" t="n">
        <f aca="false">'Combined District Data'!H29</f>
        <v>0.524339360222531</v>
      </c>
      <c r="L15" s="9" t="n">
        <f aca="false">'Combined District Data'!H30</f>
        <v>0.557435090479937</v>
      </c>
      <c r="M15" s="9" t="n">
        <f aca="false">'Combined District Data'!H31</f>
        <v>0.530946513987535</v>
      </c>
      <c r="N15" s="8" t="n">
        <f aca="false">F15+(1-E15)</f>
        <v>1.74632341403386</v>
      </c>
      <c r="O15" s="8" t="n">
        <f aca="false">RANK(N15,$N$9:$N$94,1)</f>
        <v>70</v>
      </c>
    </row>
    <row r="16" customFormat="false" ht="15" hidden="false" customHeight="true" outlineLevel="0" collapsed="false">
      <c r="A16" s="8" t="s">
        <v>80</v>
      </c>
      <c r="B16" s="8" t="s">
        <v>73</v>
      </c>
      <c r="C16" s="8" t="s">
        <v>176</v>
      </c>
      <c r="D16" s="18" t="n">
        <f aca="false">SLOPE(J16:M16,$A$6:$D$6)</f>
        <v>0.407969756651092</v>
      </c>
      <c r="E16" s="18" t="n">
        <f aca="false">RSQ(J16:M16,$A$6:$D$6)</f>
        <v>0.122685896226671</v>
      </c>
      <c r="F16" s="18" t="n">
        <f aca="false">ABS(D16-1)</f>
        <v>0.592030243348908</v>
      </c>
      <c r="G16" s="9" t="n">
        <f aca="false">AVERAGE(J16:M16)</f>
        <v>0.666969776717864</v>
      </c>
      <c r="H16" s="7" t="str">
        <f aca="false">IF(O16&lt;=30,"YES","")</f>
        <v/>
      </c>
      <c r="J16" s="9" t="n">
        <f aca="false">'Combined District Data'!H32</f>
        <v>0.665636588380717</v>
      </c>
      <c r="K16" s="9" t="n">
        <f aca="false">'Combined District Data'!H33</f>
        <v>0.667718665464382</v>
      </c>
      <c r="L16" s="9" t="n">
        <f aca="false">'Combined District Data'!H34</f>
        <v>0.690768237572628</v>
      </c>
      <c r="M16" s="9" t="n">
        <f aca="false">'Combined District Data'!H35</f>
        <v>0.643755615453729</v>
      </c>
      <c r="N16" s="8" t="n">
        <f aca="false">F16+(1-E16)</f>
        <v>1.46934434712224</v>
      </c>
      <c r="O16" s="8" t="n">
        <f aca="false">RANK(N16,$N$9:$N$94,1)</f>
        <v>62</v>
      </c>
    </row>
    <row r="17" customFormat="false" ht="15" hidden="false" customHeight="true" outlineLevel="0" collapsed="false">
      <c r="A17" s="8" t="s">
        <v>81</v>
      </c>
      <c r="B17" s="8" t="s">
        <v>73</v>
      </c>
      <c r="C17" s="8" t="s">
        <v>176</v>
      </c>
      <c r="D17" s="18" t="n">
        <f aca="false">SLOPE(J17:M17,$A$6:$D$6)</f>
        <v>0.959491042797205</v>
      </c>
      <c r="E17" s="18" t="n">
        <f aca="false">RSQ(J17:M17,$A$6:$D$6)</f>
        <v>0.5598814764565</v>
      </c>
      <c r="F17" s="18" t="n">
        <f aca="false">ABS(D17-1)</f>
        <v>0.0405089572027948</v>
      </c>
      <c r="G17" s="9" t="n">
        <f aca="false">AVERAGE(J17:M17)</f>
        <v>0.562825917918583</v>
      </c>
      <c r="H17" s="7" t="str">
        <f aca="false">IF(O17&lt;=30,"YES","")</f>
        <v>YES</v>
      </c>
      <c r="J17" s="9" t="n">
        <f aca="false">'Combined District Data'!H36</f>
        <v>0.584493041749503</v>
      </c>
      <c r="K17" s="9" t="n">
        <f aca="false">'Combined District Data'!H37</f>
        <v>0.571227080394922</v>
      </c>
      <c r="L17" s="9" t="n">
        <f aca="false">'Combined District Data'!H38</f>
        <v>0.561027837259101</v>
      </c>
      <c r="M17" s="9" t="n">
        <f aca="false">'Combined District Data'!H39</f>
        <v>0.534555712270804</v>
      </c>
      <c r="N17" s="8" t="n">
        <f aca="false">F17+(1-E17)</f>
        <v>0.480627480746294</v>
      </c>
      <c r="O17" s="8" t="n">
        <f aca="false">RANK(N17,$N$9:$N$94,1)</f>
        <v>15</v>
      </c>
    </row>
    <row r="18" customFormat="false" ht="15" hidden="false" customHeight="true" outlineLevel="0" collapsed="false">
      <c r="A18" s="8" t="s">
        <v>82</v>
      </c>
      <c r="B18" s="8" t="s">
        <v>73</v>
      </c>
      <c r="C18" s="8" t="s">
        <v>176</v>
      </c>
      <c r="D18" s="18" t="n">
        <f aca="false">SLOPE(J18:M18,$A$6:$D$6)</f>
        <v>1.09427640075224</v>
      </c>
      <c r="E18" s="18" t="n">
        <f aca="false">RSQ(J18:M18,$A$6:$D$6)</f>
        <v>0.962156915131654</v>
      </c>
      <c r="F18" s="18" t="n">
        <f aca="false">ABS(D18-1)</f>
        <v>0.0942764007522443</v>
      </c>
      <c r="G18" s="9" t="n">
        <f aca="false">AVERAGE(J18:M18)</f>
        <v>0.326087039394923</v>
      </c>
      <c r="H18" s="7" t="str">
        <f aca="false">IF(O18&lt;=30,"YES","")</f>
        <v>YES</v>
      </c>
      <c r="J18" s="9" t="n">
        <f aca="false">'Combined District Data'!H40</f>
        <v>0.349228611500701</v>
      </c>
      <c r="K18" s="9" t="n">
        <f aca="false">'Combined District Data'!H41</f>
        <v>0.310149407521896</v>
      </c>
      <c r="L18" s="9" t="n">
        <f aca="false">'Combined District Data'!H42</f>
        <v>0.3325</v>
      </c>
      <c r="M18" s="9" t="n">
        <f aca="false">'Combined District Data'!H43</f>
        <v>0.312470138557095</v>
      </c>
      <c r="N18" s="8" t="n">
        <f aca="false">F18+(1-E18)</f>
        <v>0.132119485620591</v>
      </c>
      <c r="O18" s="8" t="n">
        <f aca="false">RANK(N18,$N$9:$N$94,1)</f>
        <v>1</v>
      </c>
    </row>
    <row r="19" customFormat="false" ht="15" hidden="false" customHeight="true" outlineLevel="0" collapsed="false">
      <c r="A19" s="8" t="s">
        <v>83</v>
      </c>
      <c r="B19" s="8" t="s">
        <v>73</v>
      </c>
      <c r="C19" s="8" t="s">
        <v>176</v>
      </c>
      <c r="D19" s="18" t="n">
        <f aca="false">SLOPE(J19:M19,$A$6:$D$6)</f>
        <v>0.201332103105944</v>
      </c>
      <c r="E19" s="18" t="n">
        <f aca="false">RSQ(J19:M19,$A$6:$D$6)</f>
        <v>0.0568423656438873</v>
      </c>
      <c r="F19" s="18" t="n">
        <f aca="false">ABS(D19-1)</f>
        <v>0.798667896894056</v>
      </c>
      <c r="G19" s="9" t="n">
        <f aca="false">AVERAGE(J19:M19)</f>
        <v>0.503300976262349</v>
      </c>
      <c r="H19" s="7" t="str">
        <f aca="false">IF(O19&lt;=30,"YES","")</f>
        <v/>
      </c>
      <c r="J19" s="9" t="n">
        <f aca="false">'Combined District Data'!H44</f>
        <v>0.499551259924059</v>
      </c>
      <c r="K19" s="9" t="n">
        <f aca="false">'Combined District Data'!H45</f>
        <v>0.494140230349566</v>
      </c>
      <c r="L19" s="9" t="n">
        <f aca="false">'Combined District Data'!H46</f>
        <v>0.523913997367266</v>
      </c>
      <c r="M19" s="9" t="n">
        <f aca="false">'Combined District Data'!H47</f>
        <v>0.495598417408506</v>
      </c>
      <c r="N19" s="8" t="n">
        <f aca="false">F19+(1-E19)</f>
        <v>1.74182553125017</v>
      </c>
      <c r="O19" s="8" t="n">
        <f aca="false">RANK(N19,$N$9:$N$94,1)</f>
        <v>69</v>
      </c>
    </row>
    <row r="20" customFormat="false" ht="15" hidden="false" customHeight="true" outlineLevel="0" collapsed="false">
      <c r="A20" s="8" t="s">
        <v>84</v>
      </c>
      <c r="B20" s="8" t="s">
        <v>73</v>
      </c>
      <c r="C20" s="8" t="s">
        <v>176</v>
      </c>
      <c r="D20" s="18" t="n">
        <f aca="false">SLOPE(J20:M20,$A$6:$D$6)</f>
        <v>0.402637844556325</v>
      </c>
      <c r="E20" s="18" t="n">
        <f aca="false">RSQ(J20:M20,$A$6:$D$6)</f>
        <v>0.303302047490902</v>
      </c>
      <c r="F20" s="18" t="n">
        <f aca="false">ABS(D20-1)</f>
        <v>0.597362155443675</v>
      </c>
      <c r="G20" s="9" t="n">
        <f aca="false">AVERAGE(J20:M20)</f>
        <v>0.382634164292816</v>
      </c>
      <c r="H20" s="7" t="str">
        <f aca="false">IF(O20&lt;=30,"YES","")</f>
        <v/>
      </c>
      <c r="J20" s="9" t="n">
        <f aca="false">'Combined District Data'!H48</f>
        <v>0.388421052631579</v>
      </c>
      <c r="K20" s="9" t="n">
        <f aca="false">'Combined District Data'!H49</f>
        <v>0.365659777424483</v>
      </c>
      <c r="L20" s="9" t="n">
        <f aca="false">'Combined District Data'!H50</f>
        <v>0.39333641832485</v>
      </c>
      <c r="M20" s="9" t="n">
        <f aca="false">'Combined District Data'!H51</f>
        <v>0.383119408790354</v>
      </c>
      <c r="N20" s="8" t="n">
        <f aca="false">F20+(1-E20)</f>
        <v>1.29406010795277</v>
      </c>
      <c r="O20" s="8" t="n">
        <f aca="false">RANK(N20,$N$9:$N$94,1)</f>
        <v>60</v>
      </c>
    </row>
    <row r="21" customFormat="false" ht="15" hidden="false" customHeight="true" outlineLevel="0" collapsed="false">
      <c r="A21" s="8" t="s">
        <v>85</v>
      </c>
      <c r="B21" s="8" t="s">
        <v>73</v>
      </c>
      <c r="C21" s="8" t="s">
        <v>176</v>
      </c>
      <c r="D21" s="18" t="n">
        <f aca="false">SLOPE(J21:M21,$A$6:$D$6)</f>
        <v>0.2731366468079</v>
      </c>
      <c r="E21" s="18" t="n">
        <f aca="false">RSQ(J21:M21,$A$6:$D$6)</f>
        <v>0.236056624302635</v>
      </c>
      <c r="F21" s="18" t="n">
        <f aca="false">ABS(D21-1)</f>
        <v>0.7268633531921</v>
      </c>
      <c r="G21" s="9" t="n">
        <f aca="false">AVERAGE(J21:M21)</f>
        <v>0.362989722900452</v>
      </c>
      <c r="H21" s="7" t="str">
        <f aca="false">IF(O21&lt;=30,"YES","")</f>
        <v/>
      </c>
      <c r="J21" s="9" t="n">
        <f aca="false">'Combined District Data'!H52</f>
        <v>0.364038972542073</v>
      </c>
      <c r="K21" s="9" t="n">
        <f aca="false">'Combined District Data'!H53</f>
        <v>0.358198924731183</v>
      </c>
      <c r="L21" s="9" t="n">
        <f aca="false">'Combined District Data'!H54</f>
        <v>0.375513557929334</v>
      </c>
      <c r="M21" s="9" t="n">
        <f aca="false">'Combined District Data'!H55</f>
        <v>0.354207436399217</v>
      </c>
      <c r="N21" s="8" t="n">
        <f aca="false">F21+(1-E21)</f>
        <v>1.49080672888947</v>
      </c>
      <c r="O21" s="8" t="n">
        <f aca="false">RANK(N21,$N$9:$N$94,1)</f>
        <v>63</v>
      </c>
    </row>
    <row r="22" customFormat="false" ht="15" hidden="false" customHeight="true" outlineLevel="0" collapsed="false">
      <c r="A22" s="8" t="s">
        <v>86</v>
      </c>
      <c r="B22" s="8" t="s">
        <v>73</v>
      </c>
      <c r="C22" s="8" t="s">
        <v>176</v>
      </c>
      <c r="D22" s="18" t="n">
        <f aca="false">SLOPE(J22:M22,$A$6:$D$6)</f>
        <v>0.23066854637454</v>
      </c>
      <c r="E22" s="18" t="n">
        <f aca="false">RSQ(J22:M22,$A$6:$D$6)</f>
        <v>0.216278122482494</v>
      </c>
      <c r="F22" s="18" t="n">
        <f aca="false">ABS(D22-1)</f>
        <v>0.76933145362546</v>
      </c>
      <c r="G22" s="9" t="n">
        <f aca="false">AVERAGE(J22:M22)</f>
        <v>0.323543754076099</v>
      </c>
      <c r="H22" s="7" t="str">
        <f aca="false">IF(O22&lt;=30,"YES","")</f>
        <v/>
      </c>
      <c r="J22" s="9" t="n">
        <f aca="false">'Combined District Data'!H56</f>
        <v>0.324310255075482</v>
      </c>
      <c r="K22" s="9" t="n">
        <f aca="false">'Combined District Data'!H57</f>
        <v>0.321795359452263</v>
      </c>
      <c r="L22" s="9" t="n">
        <f aca="false">'Combined District Data'!H58</f>
        <v>0.333952624245239</v>
      </c>
      <c r="M22" s="9" t="n">
        <f aca="false">'Combined District Data'!H59</f>
        <v>0.314116777531412</v>
      </c>
      <c r="N22" s="8" t="n">
        <f aca="false">F22+(1-E22)</f>
        <v>1.55305333114297</v>
      </c>
      <c r="O22" s="8" t="n">
        <f aca="false">RANK(N22,$N$9:$N$94,1)</f>
        <v>64</v>
      </c>
    </row>
    <row r="23" customFormat="false" ht="15" hidden="false" customHeight="true" outlineLevel="0" collapsed="false">
      <c r="A23" s="8" t="s">
        <v>87</v>
      </c>
      <c r="B23" s="8" t="s">
        <v>73</v>
      </c>
      <c r="C23" s="8" t="s">
        <v>176</v>
      </c>
      <c r="D23" s="18" t="n">
        <f aca="false">SLOPE(J23:M23,$A$6:$D$6)</f>
        <v>-0.132534221259287</v>
      </c>
      <c r="E23" s="18" t="n">
        <f aca="false">RSQ(J23:M23,$A$6:$D$6)</f>
        <v>0.0249636720844848</v>
      </c>
      <c r="F23" s="18" t="n">
        <f aca="false">ABS(D23-1)</f>
        <v>1.13253422125929</v>
      </c>
      <c r="G23" s="9" t="n">
        <f aca="false">AVERAGE(J23:M23)</f>
        <v>0.537004395144986</v>
      </c>
      <c r="H23" s="7" t="str">
        <f aca="false">IF(O23&lt;=30,"YES","")</f>
        <v/>
      </c>
      <c r="J23" s="9" t="n">
        <f aca="false">'Combined District Data'!H60</f>
        <v>0.525475285171103</v>
      </c>
      <c r="K23" s="9" t="n">
        <f aca="false">'Combined District Data'!H61</f>
        <v>0.536887452880991</v>
      </c>
      <c r="L23" s="9" t="n">
        <f aca="false">'Combined District Data'!H62</f>
        <v>0.556497175141243</v>
      </c>
      <c r="M23" s="9" t="n">
        <f aca="false">'Combined District Data'!H63</f>
        <v>0.529157667386609</v>
      </c>
      <c r="N23" s="8" t="n">
        <f aca="false">F23+(1-E23)</f>
        <v>2.1075705491748</v>
      </c>
      <c r="O23" s="8" t="n">
        <f aca="false">RANK(N23,$N$9:$N$94,1)</f>
        <v>81</v>
      </c>
    </row>
    <row r="24" customFormat="false" ht="15" hidden="false" customHeight="true" outlineLevel="0" collapsed="false">
      <c r="A24" s="8" t="s">
        <v>88</v>
      </c>
      <c r="B24" s="8" t="s">
        <v>73</v>
      </c>
      <c r="C24" s="8" t="s">
        <v>176</v>
      </c>
      <c r="D24" s="18" t="n">
        <f aca="false">SLOPE(J24:M24,$A$6:$D$6)</f>
        <v>0.0977602304099209</v>
      </c>
      <c r="E24" s="18" t="n">
        <f aca="false">RSQ(J24:M24,$A$6:$D$6)</f>
        <v>0.0274355449395347</v>
      </c>
      <c r="F24" s="18" t="n">
        <f aca="false">ABS(D24-1)</f>
        <v>0.902239769590079</v>
      </c>
      <c r="G24" s="9" t="n">
        <f aca="false">AVERAGE(J24:M24)</f>
        <v>0.407605776628559</v>
      </c>
      <c r="H24" s="7" t="str">
        <f aca="false">IF(O24&lt;=30,"YES","")</f>
        <v/>
      </c>
      <c r="J24" s="9" t="n">
        <f aca="false">'Combined District Data'!H64</f>
        <v>0.404246037516359</v>
      </c>
      <c r="K24" s="9" t="n">
        <f aca="false">'Combined District Data'!H65</f>
        <v>0.399631109744851</v>
      </c>
      <c r="L24" s="9" t="n">
        <f aca="false">'Combined District Data'!H66</f>
        <v>0.421796034728521</v>
      </c>
      <c r="M24" s="9" t="n">
        <f aca="false">'Combined District Data'!H67</f>
        <v>0.404749924524504</v>
      </c>
      <c r="N24" s="8" t="n">
        <f aca="false">F24+(1-E24)</f>
        <v>1.87480422465054</v>
      </c>
      <c r="O24" s="8" t="n">
        <f aca="false">RANK(N24,$N$9:$N$94,1)</f>
        <v>72</v>
      </c>
    </row>
    <row r="25" customFormat="false" ht="15" hidden="false" customHeight="true" outlineLevel="0" collapsed="false">
      <c r="A25" s="8" t="s">
        <v>89</v>
      </c>
      <c r="B25" s="8" t="s">
        <v>73</v>
      </c>
      <c r="C25" s="8" t="s">
        <v>176</v>
      </c>
      <c r="D25" s="18" t="n">
        <f aca="false">SLOPE(J25:M25,$A$6:$D$6)</f>
        <v>0.0325107679464487</v>
      </c>
      <c r="E25" s="18" t="n">
        <f aca="false">RSQ(J25:M25,$A$6:$D$6)</f>
        <v>0.00504441765693665</v>
      </c>
      <c r="F25" s="18" t="n">
        <f aca="false">ABS(D25-1)</f>
        <v>0.967489232053551</v>
      </c>
      <c r="G25" s="9" t="n">
        <f aca="false">AVERAGE(J25:M25)</f>
        <v>0.497333646983708</v>
      </c>
      <c r="H25" s="7" t="str">
        <f aca="false">IF(O25&lt;=30,"YES","")</f>
        <v/>
      </c>
      <c r="J25" s="9" t="n">
        <f aca="false">'Combined District Data'!H68</f>
        <v>0.493465147453083</v>
      </c>
      <c r="K25" s="9" t="n">
        <f aca="false">'Combined District Data'!H69</f>
        <v>0.49302496328928</v>
      </c>
      <c r="L25" s="9" t="n">
        <f aca="false">'Combined District Data'!H70</f>
        <v>0.508636934673367</v>
      </c>
      <c r="M25" s="9" t="n">
        <f aca="false">'Combined District Data'!H71</f>
        <v>0.494207542519103</v>
      </c>
      <c r="N25" s="8" t="n">
        <f aca="false">F25+(1-E25)</f>
        <v>1.96244481439661</v>
      </c>
      <c r="O25" s="8" t="n">
        <f aca="false">RANK(N25,$N$9:$N$94,1)</f>
        <v>75</v>
      </c>
    </row>
    <row r="26" customFormat="false" ht="15" hidden="false" customHeight="true" outlineLevel="0" collapsed="false">
      <c r="A26" s="8" t="s">
        <v>90</v>
      </c>
      <c r="B26" s="8" t="s">
        <v>73</v>
      </c>
      <c r="C26" s="8" t="s">
        <v>176</v>
      </c>
      <c r="D26" s="18" t="n">
        <f aca="false">SLOPE(J26:M26,$A$6:$D$6)</f>
        <v>1.26373929471911</v>
      </c>
      <c r="E26" s="18" t="n">
        <f aca="false">RSQ(J26:M26,$A$6:$D$6)</f>
        <v>0.568259364977346</v>
      </c>
      <c r="F26" s="18" t="n">
        <f aca="false">ABS(D26-1)</f>
        <v>0.263739294719106</v>
      </c>
      <c r="G26" s="9" t="n">
        <f aca="false">AVERAGE(J26:M26)</f>
        <v>0.424840998771565</v>
      </c>
      <c r="H26" s="7" t="str">
        <f aca="false">IF(O26&lt;=30,"YES","")</f>
        <v>YES</v>
      </c>
      <c r="J26" s="9" t="n">
        <f aca="false">'Combined District Data'!H72</f>
        <v>0.443801652892562</v>
      </c>
      <c r="K26" s="9" t="n">
        <f aca="false">'Combined District Data'!H73</f>
        <v>0.394306800210859</v>
      </c>
      <c r="L26" s="9" t="n">
        <f aca="false">'Combined District Data'!H74</f>
        <v>0.452257586972613</v>
      </c>
      <c r="M26" s="9" t="n">
        <f aca="false">'Combined District Data'!H75</f>
        <v>0.408997955010225</v>
      </c>
      <c r="N26" s="8" t="n">
        <f aca="false">F26+(1-E26)</f>
        <v>0.69547992974176</v>
      </c>
      <c r="O26" s="8" t="n">
        <f aca="false">RANK(N26,$N$9:$N$94,1)</f>
        <v>27</v>
      </c>
    </row>
    <row r="27" customFormat="false" ht="15" hidden="false" customHeight="true" outlineLevel="0" collapsed="false">
      <c r="A27" s="8" t="s">
        <v>91</v>
      </c>
      <c r="B27" s="8" t="s">
        <v>73</v>
      </c>
      <c r="C27" s="8" t="s">
        <v>176</v>
      </c>
      <c r="D27" s="18" t="n">
        <f aca="false">SLOPE(J27:M27,$A$6:$D$6)</f>
        <v>0.523533516459772</v>
      </c>
      <c r="E27" s="18" t="n">
        <f aca="false">RSQ(J27:M27,$A$6:$D$6)</f>
        <v>0.360214353426664</v>
      </c>
      <c r="F27" s="18" t="n">
        <f aca="false">ABS(D27-1)</f>
        <v>0.476466483540228</v>
      </c>
      <c r="G27" s="9" t="n">
        <f aca="false">AVERAGE(J27:M27)</f>
        <v>0.545032357770557</v>
      </c>
      <c r="H27" s="7" t="str">
        <f aca="false">IF(O27&lt;=30,"YES","")</f>
        <v/>
      </c>
      <c r="J27" s="9" t="n">
        <f aca="false">'Combined District Data'!H76</f>
        <v>0.549895707541992</v>
      </c>
      <c r="K27" s="9" t="n">
        <f aca="false">'Combined District Data'!H77</f>
        <v>0.532417757904823</v>
      </c>
      <c r="L27" s="9" t="n">
        <f aca="false">'Combined District Data'!H78</f>
        <v>0.563197944460915</v>
      </c>
      <c r="M27" s="9" t="n">
        <f aca="false">'Combined District Data'!H79</f>
        <v>0.534618021174499</v>
      </c>
      <c r="N27" s="8" t="n">
        <f aca="false">F27+(1-E27)</f>
        <v>1.11625213011356</v>
      </c>
      <c r="O27" s="8" t="n">
        <f aca="false">RANK(N27,$N$9:$N$94,1)</f>
        <v>55</v>
      </c>
    </row>
    <row r="28" customFormat="false" ht="15" hidden="false" customHeight="true" outlineLevel="0" collapsed="false">
      <c r="A28" s="8" t="s">
        <v>92</v>
      </c>
      <c r="B28" s="8" t="s">
        <v>73</v>
      </c>
      <c r="C28" s="8" t="s">
        <v>176</v>
      </c>
      <c r="D28" s="18" t="n">
        <f aca="false">SLOPE(J28:M28,$A$6:$D$6)</f>
        <v>0.106597613105591</v>
      </c>
      <c r="E28" s="18" t="n">
        <f aca="false">RSQ(J28:M28,$A$6:$D$6)</f>
        <v>0.0377375855397402</v>
      </c>
      <c r="F28" s="18" t="n">
        <f aca="false">ABS(D28-1)</f>
        <v>0.893402386894409</v>
      </c>
      <c r="G28" s="9" t="n">
        <f aca="false">AVERAGE(J28:M28)</f>
        <v>0.520031154632172</v>
      </c>
      <c r="H28" s="7" t="str">
        <f aca="false">IF(O28&lt;=30,"YES","")</f>
        <v/>
      </c>
      <c r="J28" s="9" t="n">
        <f aca="false">'Combined District Data'!H80</f>
        <v>0.516852802092766</v>
      </c>
      <c r="K28" s="9" t="n">
        <f aca="false">'Combined District Data'!H81</f>
        <v>0.516682751964704</v>
      </c>
      <c r="L28" s="9" t="n">
        <f aca="false">'Combined District Data'!H82</f>
        <v>0.533374755902716</v>
      </c>
      <c r="M28" s="9" t="n">
        <f aca="false">'Combined District Data'!H83</f>
        <v>0.513214308568503</v>
      </c>
      <c r="N28" s="8" t="n">
        <f aca="false">F28+(1-E28)</f>
        <v>1.85566480135467</v>
      </c>
      <c r="O28" s="8" t="n">
        <f aca="false">RANK(N28,$N$9:$N$94,1)</f>
        <v>71</v>
      </c>
    </row>
    <row r="29" customFormat="false" ht="15" hidden="false" customHeight="true" outlineLevel="0" collapsed="false">
      <c r="A29" s="8" t="s">
        <v>93</v>
      </c>
      <c r="B29" s="8" t="s">
        <v>73</v>
      </c>
      <c r="C29" s="8" t="s">
        <v>176</v>
      </c>
      <c r="D29" s="18" t="n">
        <f aca="false">SLOPE(J29:M29,$A$6:$D$6)</f>
        <v>0.444772773895057</v>
      </c>
      <c r="E29" s="18" t="n">
        <f aca="false">RSQ(J29:M29,$A$6:$D$6)</f>
        <v>0.417618789520482</v>
      </c>
      <c r="F29" s="18" t="n">
        <f aca="false">ABS(D29-1)</f>
        <v>0.555227226104943</v>
      </c>
      <c r="G29" s="9" t="n">
        <f aca="false">AVERAGE(J29:M29)</f>
        <v>0.439664750024946</v>
      </c>
      <c r="H29" s="7" t="str">
        <f aca="false">IF(O29&lt;=30,"YES","")</f>
        <v/>
      </c>
      <c r="J29" s="9" t="n">
        <f aca="false">'Combined District Data'!H84</f>
        <v>0.444533547179898</v>
      </c>
      <c r="K29" s="9" t="n">
        <f aca="false">'Combined District Data'!H85</f>
        <v>0.42920610392119</v>
      </c>
      <c r="L29" s="9" t="n">
        <f aca="false">'Combined District Data'!H86</f>
        <v>0.453369031682285</v>
      </c>
      <c r="M29" s="9" t="n">
        <f aca="false">'Combined District Data'!H87</f>
        <v>0.43155031731641</v>
      </c>
      <c r="N29" s="8" t="n">
        <f aca="false">F29+(1-E29)</f>
        <v>1.13760843658446</v>
      </c>
      <c r="O29" s="8" t="n">
        <f aca="false">RANK(N29,$N$9:$N$94,1)</f>
        <v>56</v>
      </c>
    </row>
    <row r="30" customFormat="false" ht="15" hidden="false" customHeight="true" outlineLevel="0" collapsed="false">
      <c r="A30" s="8" t="s">
        <v>94</v>
      </c>
      <c r="B30" s="8" t="s">
        <v>73</v>
      </c>
      <c r="C30" s="8" t="s">
        <v>176</v>
      </c>
      <c r="D30" s="18" t="n">
        <f aca="false">SLOPE(J30:M30,$A$6:$D$6)</f>
        <v>0.0714865516975399</v>
      </c>
      <c r="E30" s="18" t="n">
        <f aca="false">RSQ(J30:M30,$A$6:$D$6)</f>
        <v>0.00631350711509188</v>
      </c>
      <c r="F30" s="18" t="n">
        <f aca="false">ABS(D30-1)</f>
        <v>0.92851344830246</v>
      </c>
      <c r="G30" s="9" t="n">
        <f aca="false">AVERAGE(J30:M30)</f>
        <v>0.483860454948338</v>
      </c>
      <c r="H30" s="7" t="str">
        <f aca="false">IF(O30&lt;=30,"YES","")</f>
        <v/>
      </c>
      <c r="J30" s="9" t="n">
        <f aca="false">'Combined District Data'!H88</f>
        <v>0.478888014686599</v>
      </c>
      <c r="K30" s="9" t="n">
        <f aca="false">'Combined District Data'!H89</f>
        <v>0.466854041480907</v>
      </c>
      <c r="L30" s="9" t="n">
        <f aca="false">'Combined District Data'!H90</f>
        <v>0.502108262108262</v>
      </c>
      <c r="M30" s="9" t="n">
        <f aca="false">'Combined District Data'!H91</f>
        <v>0.487591501517586</v>
      </c>
      <c r="N30" s="8" t="n">
        <f aca="false">F30+(1-E30)</f>
        <v>1.92219994118737</v>
      </c>
      <c r="O30" s="8" t="n">
        <f aca="false">RANK(N30,$N$9:$N$94,1)</f>
        <v>74</v>
      </c>
    </row>
    <row r="31" customFormat="false" ht="15" hidden="false" customHeight="true" outlineLevel="0" collapsed="false">
      <c r="A31" s="8" t="s">
        <v>95</v>
      </c>
      <c r="B31" s="8" t="s">
        <v>73</v>
      </c>
      <c r="C31" s="8" t="s">
        <v>176</v>
      </c>
      <c r="D31" s="18" t="n">
        <f aca="false">SLOPE(J31:M31,$A$6:$D$6)</f>
        <v>0.652372861721929</v>
      </c>
      <c r="E31" s="18" t="n">
        <f aca="false">RSQ(J31:M31,$A$6:$D$6)</f>
        <v>0.551040350687186</v>
      </c>
      <c r="F31" s="18" t="n">
        <f aca="false">ABS(D31-1)</f>
        <v>0.347627138278071</v>
      </c>
      <c r="G31" s="9" t="n">
        <f aca="false">AVERAGE(J31:M31)</f>
        <v>0.334737170359855</v>
      </c>
      <c r="H31" s="7" t="str">
        <f aca="false">IF(O31&lt;=30,"YES","")</f>
        <v/>
      </c>
      <c r="J31" s="9" t="n">
        <f aca="false">'Combined District Data'!H92</f>
        <v>0.343406593406593</v>
      </c>
      <c r="K31" s="9" t="n">
        <f aca="false">'Combined District Data'!H93</f>
        <v>0.323181937516409</v>
      </c>
      <c r="L31" s="9" t="n">
        <f aca="false">'Combined District Data'!H94</f>
        <v>0.350632069194943</v>
      </c>
      <c r="M31" s="9" t="n">
        <f aca="false">'Combined District Data'!H95</f>
        <v>0.321728081321474</v>
      </c>
      <c r="N31" s="8" t="n">
        <f aca="false">F31+(1-E31)</f>
        <v>0.796586787590886</v>
      </c>
      <c r="O31" s="8" t="n">
        <f aca="false">RANK(N31,$N$9:$N$94,1)</f>
        <v>35</v>
      </c>
    </row>
    <row r="32" customFormat="false" ht="15" hidden="false" customHeight="true" outlineLevel="0" collapsed="false">
      <c r="A32" s="8" t="s">
        <v>96</v>
      </c>
      <c r="B32" s="8" t="s">
        <v>73</v>
      </c>
      <c r="C32" s="8" t="s">
        <v>176</v>
      </c>
      <c r="D32" s="18" t="n">
        <f aca="false">SLOPE(J32:M32,$A$6:$D$6)</f>
        <v>0.0875806894847678</v>
      </c>
      <c r="E32" s="18" t="n">
        <f aca="false">RSQ(J32:M32,$A$6:$D$6)</f>
        <v>0.0114774593342061</v>
      </c>
      <c r="F32" s="18" t="n">
        <f aca="false">ABS(D32-1)</f>
        <v>0.912419310515232</v>
      </c>
      <c r="G32" s="9" t="n">
        <f aca="false">AVERAGE(J32:M32)</f>
        <v>0.346491801024553</v>
      </c>
      <c r="H32" s="7" t="str">
        <f aca="false">IF(O32&lt;=30,"YES","")</f>
        <v/>
      </c>
      <c r="J32" s="9" t="n">
        <f aca="false">'Combined District Data'!H96</f>
        <v>0.341787941787942</v>
      </c>
      <c r="K32" s="9" t="n">
        <f aca="false">'Combined District Data'!H97</f>
        <v>0.332301021988232</v>
      </c>
      <c r="L32" s="9" t="n">
        <f aca="false">'Combined District Data'!H98</f>
        <v>0.364413075780089</v>
      </c>
      <c r="M32" s="9" t="n">
        <f aca="false">'Combined District Data'!H99</f>
        <v>0.347465164541951</v>
      </c>
      <c r="N32" s="8" t="n">
        <f aca="false">F32+(1-E32)</f>
        <v>1.90094185118103</v>
      </c>
      <c r="O32" s="8" t="n">
        <f aca="false">RANK(N32,$N$9:$N$94,1)</f>
        <v>73</v>
      </c>
    </row>
    <row r="33" customFormat="false" ht="15" hidden="false" customHeight="true" outlineLevel="0" collapsed="false">
      <c r="A33" s="8" t="s">
        <v>97</v>
      </c>
      <c r="B33" s="8" t="s">
        <v>73</v>
      </c>
      <c r="C33" s="8" t="s">
        <v>176</v>
      </c>
      <c r="D33" s="18" t="n">
        <f aca="false">SLOPE(J33:M33,$A$6:$D$6)</f>
        <v>0.59571784529149</v>
      </c>
      <c r="E33" s="18" t="n">
        <f aca="false">RSQ(J33:M33,$A$6:$D$6)</f>
        <v>0.703442007519151</v>
      </c>
      <c r="F33" s="18" t="n">
        <f aca="false">ABS(D33-1)</f>
        <v>0.40428215470851</v>
      </c>
      <c r="G33" s="9" t="n">
        <f aca="false">AVERAGE(J33:M33)</f>
        <v>0.527707894442816</v>
      </c>
      <c r="H33" s="7" t="str">
        <f aca="false">IF(O33&lt;=30,"YES","")</f>
        <v>YES</v>
      </c>
      <c r="J33" s="9" t="n">
        <f aca="false">'Combined District Data'!H100</f>
        <v>0.538007456503728</v>
      </c>
      <c r="K33" s="9" t="n">
        <f aca="false">'Combined District Data'!H101</f>
        <v>0.525618436817253</v>
      </c>
      <c r="L33" s="9" t="n">
        <f aca="false">'Combined District Data'!H102</f>
        <v>0.535172949863972</v>
      </c>
      <c r="M33" s="9" t="n">
        <f aca="false">'Combined District Data'!H103</f>
        <v>0.51203273458631</v>
      </c>
      <c r="N33" s="8" t="n">
        <f aca="false">F33+(1-E33)</f>
        <v>0.700840147189359</v>
      </c>
      <c r="O33" s="8" t="n">
        <f aca="false">RANK(N33,$N$9:$N$94,1)</f>
        <v>28</v>
      </c>
    </row>
    <row r="34" customFormat="false" ht="15" hidden="false" customHeight="true" outlineLevel="0" collapsed="false">
      <c r="A34" s="8" t="s">
        <v>98</v>
      </c>
      <c r="B34" s="8" t="s">
        <v>99</v>
      </c>
      <c r="C34" s="8" t="s">
        <v>176</v>
      </c>
      <c r="D34" s="18" t="n">
        <f aca="false">SLOPE(J34:M34,$A$6:$D$6)</f>
        <v>-0.238112333068872</v>
      </c>
      <c r="E34" s="18" t="n">
        <f aca="false">RSQ(J34:M34,$A$6:$D$6)</f>
        <v>0.0829760895368469</v>
      </c>
      <c r="F34" s="18" t="n">
        <f aca="false">ABS(D34-1)</f>
        <v>1.23811233306887</v>
      </c>
      <c r="G34" s="9" t="n">
        <f aca="false">AVERAGE(J34:M34)</f>
        <v>0.432754301635281</v>
      </c>
      <c r="H34" s="7" t="str">
        <f aca="false">IF(O34&lt;=30,"YES","")</f>
        <v/>
      </c>
      <c r="J34" s="9" t="n">
        <f aca="false">'Combined District Data'!H104</f>
        <v>0.419205909510619</v>
      </c>
      <c r="K34" s="9" t="n">
        <f aca="false">'Combined District Data'!H105</f>
        <v>0.432106216053108</v>
      </c>
      <c r="L34" s="9" t="n">
        <f aca="false">'Combined District Data'!H106</f>
        <v>0.451538461538462</v>
      </c>
      <c r="M34" s="9" t="n">
        <f aca="false">'Combined District Data'!H107</f>
        <v>0.428166619438935</v>
      </c>
      <c r="N34" s="8" t="n">
        <f aca="false">F34+(1-E34)</f>
        <v>2.15513624353203</v>
      </c>
      <c r="O34" s="8" t="n">
        <f aca="false">RANK(N34,$N$9:$N$94,1)</f>
        <v>83</v>
      </c>
    </row>
    <row r="35" customFormat="false" ht="15" hidden="false" customHeight="true" outlineLevel="0" collapsed="false">
      <c r="A35" s="8" t="s">
        <v>100</v>
      </c>
      <c r="B35" s="8" t="s">
        <v>99</v>
      </c>
      <c r="C35" s="8" t="s">
        <v>176</v>
      </c>
      <c r="D35" s="18" t="n">
        <f aca="false">SLOPE(J35:M35,$A$6:$D$6)</f>
        <v>1.3042045638723</v>
      </c>
      <c r="E35" s="18" t="n">
        <f aca="false">RSQ(J35:M35,$A$6:$D$6)</f>
        <v>0.981142691613137</v>
      </c>
      <c r="F35" s="18" t="n">
        <f aca="false">ABS(D35-1)</f>
        <v>0.304204563872296</v>
      </c>
      <c r="G35" s="9" t="n">
        <f aca="false">AVERAGE(J35:M35)</f>
        <v>0.432836971284526</v>
      </c>
      <c r="H35" s="7" t="str">
        <f aca="false">IF(O35&lt;=30,"YES","")</f>
        <v>YES</v>
      </c>
      <c r="J35" s="9" t="n">
        <f aca="false">'Combined District Data'!H108</f>
        <v>0.460275771503611</v>
      </c>
      <c r="K35" s="9" t="n">
        <f aca="false">'Combined District Data'!H109</f>
        <v>0.418292154312961</v>
      </c>
      <c r="L35" s="9" t="n">
        <f aca="false">'Combined District Data'!H110</f>
        <v>0.43995171997586</v>
      </c>
      <c r="M35" s="9" t="n">
        <f aca="false">'Combined District Data'!H111</f>
        <v>0.412828239345674</v>
      </c>
      <c r="N35" s="8" t="n">
        <f aca="false">F35+(1-E35)</f>
        <v>0.323061872259159</v>
      </c>
      <c r="O35" s="8" t="n">
        <f aca="false">RANK(N35,$N$9:$N$94,1)</f>
        <v>11</v>
      </c>
    </row>
    <row r="36" customFormat="false" ht="15" hidden="false" customHeight="true" outlineLevel="0" collapsed="false">
      <c r="A36" s="8" t="s">
        <v>101</v>
      </c>
      <c r="B36" s="8" t="s">
        <v>99</v>
      </c>
      <c r="C36" s="8" t="s">
        <v>176</v>
      </c>
      <c r="D36" s="18" t="n">
        <f aca="false">SLOPE(J36:M36,$A$6:$D$6)</f>
        <v>-0.0929949395812235</v>
      </c>
      <c r="E36" s="18" t="n">
        <f aca="false">RSQ(J36:M36,$A$6:$D$6)</f>
        <v>0.129715246477978</v>
      </c>
      <c r="F36" s="18" t="n">
        <f aca="false">ABS(D36-1)</f>
        <v>1.09299493958122</v>
      </c>
      <c r="G36" s="9" t="n">
        <f aca="false">AVERAGE(J36:M36)</f>
        <v>0.458361098091772</v>
      </c>
      <c r="H36" s="7" t="str">
        <f aca="false">IF(O36&lt;=30,"YES","")</f>
        <v/>
      </c>
      <c r="J36" s="9" t="n">
        <f aca="false">'Combined District Data'!H112</f>
        <v>0.454882571075402</v>
      </c>
      <c r="K36" s="9" t="n">
        <f aca="false">'Combined District Data'!H113</f>
        <v>0.45447409733124</v>
      </c>
      <c r="L36" s="9" t="n">
        <f aca="false">'Combined District Data'!H114</f>
        <v>0.462264150943396</v>
      </c>
      <c r="M36" s="9" t="n">
        <f aca="false">'Combined District Data'!H115</f>
        <v>0.46182357301705</v>
      </c>
      <c r="N36" s="8" t="n">
        <f aca="false">F36+(1-E36)</f>
        <v>1.96327969310325</v>
      </c>
      <c r="O36" s="8" t="n">
        <f aca="false">RANK(N36,$N$9:$N$94,1)</f>
        <v>76</v>
      </c>
    </row>
    <row r="37" customFormat="false" ht="15" hidden="false" customHeight="true" outlineLevel="0" collapsed="false">
      <c r="A37" s="8" t="s">
        <v>75</v>
      </c>
      <c r="B37" s="8" t="s">
        <v>99</v>
      </c>
      <c r="C37" s="8" t="s">
        <v>176</v>
      </c>
      <c r="D37" s="18" t="n">
        <f aca="false">SLOPE(J37:M37,$A$6:$D$6)</f>
        <v>0.517405629030559</v>
      </c>
      <c r="E37" s="18" t="n">
        <f aca="false">RSQ(J37:M37,$A$6:$D$6)</f>
        <v>0.814837264153468</v>
      </c>
      <c r="F37" s="18" t="n">
        <f aca="false">ABS(D37-1)</f>
        <v>0.482594370969441</v>
      </c>
      <c r="G37" s="9" t="n">
        <f aca="false">AVERAGE(J37:M37)</f>
        <v>0.678439502309038</v>
      </c>
      <c r="H37" s="7" t="str">
        <f aca="false">IF(O37&lt;=30,"YES","")</f>
        <v>YES</v>
      </c>
      <c r="J37" s="9" t="n">
        <f aca="false">'Combined District Data'!H116</f>
        <v>0.687521270561543</v>
      </c>
      <c r="K37" s="9" t="n">
        <f aca="false">'Combined District Data'!H117</f>
        <v>0.672409648208991</v>
      </c>
      <c r="L37" s="9" t="n">
        <f aca="false">'Combined District Data'!H118</f>
        <v>0.685420581408202</v>
      </c>
      <c r="M37" s="9" t="n">
        <f aca="false">'Combined District Data'!H119</f>
        <v>0.668406509057415</v>
      </c>
      <c r="N37" s="8" t="n">
        <f aca="false">F37+(1-E37)</f>
        <v>0.667757106815973</v>
      </c>
      <c r="O37" s="8" t="n">
        <f aca="false">RANK(N37,$N$9:$N$94,1)</f>
        <v>23</v>
      </c>
    </row>
    <row r="38" customFormat="false" ht="15" hidden="false" customHeight="true" outlineLevel="0" collapsed="false">
      <c r="A38" s="8" t="s">
        <v>102</v>
      </c>
      <c r="B38" s="8" t="s">
        <v>99</v>
      </c>
      <c r="C38" s="8" t="s">
        <v>176</v>
      </c>
      <c r="D38" s="18" t="n">
        <f aca="false">SLOPE(J38:M38,$A$6:$D$6)</f>
        <v>-0.0994828265843821</v>
      </c>
      <c r="E38" s="18" t="n">
        <f aca="false">RSQ(J38:M38,$A$6:$D$6)</f>
        <v>0.0496635527025597</v>
      </c>
      <c r="F38" s="18" t="n">
        <f aca="false">ABS(D38-1)</f>
        <v>1.09948282658438</v>
      </c>
      <c r="G38" s="9" t="n">
        <f aca="false">AVERAGE(J38:M38)</f>
        <v>0.535524149306662</v>
      </c>
      <c r="H38" s="7" t="str">
        <f aca="false">IF(O38&lt;=30,"YES","")</f>
        <v/>
      </c>
      <c r="J38" s="9" t="n">
        <f aca="false">'Combined District Data'!H120</f>
        <v>0.529182879377432</v>
      </c>
      <c r="K38" s="9" t="n">
        <f aca="false">'Combined District Data'!H121</f>
        <v>0.531199167154662</v>
      </c>
      <c r="L38" s="9" t="n">
        <f aca="false">'Combined District Data'!H122</f>
        <v>0.545699583435433</v>
      </c>
      <c r="M38" s="9" t="n">
        <f aca="false">'Combined District Data'!H123</f>
        <v>0.536014967259121</v>
      </c>
      <c r="N38" s="8" t="n">
        <f aca="false">F38+(1-E38)</f>
        <v>2.04981927388182</v>
      </c>
      <c r="O38" s="8" t="n">
        <f aca="false">RANK(N38,$N$9:$N$94,1)</f>
        <v>78</v>
      </c>
    </row>
    <row r="39" customFormat="false" ht="15" hidden="false" customHeight="true" outlineLevel="0" collapsed="false">
      <c r="A39" s="8" t="s">
        <v>103</v>
      </c>
      <c r="B39" s="8" t="s">
        <v>99</v>
      </c>
      <c r="C39" s="8" t="s">
        <v>176</v>
      </c>
      <c r="D39" s="18" t="n">
        <f aca="false">SLOPE(J39:M39,$A$6:$D$6)</f>
        <v>0.011841447789127</v>
      </c>
      <c r="E39" s="18" t="n">
        <f aca="false">RSQ(J39:M39,$A$6:$D$6)</f>
        <v>0.000305517033511905</v>
      </c>
      <c r="F39" s="18" t="n">
        <f aca="false">ABS(D39-1)</f>
        <v>0.988158552210873</v>
      </c>
      <c r="G39" s="9" t="n">
        <f aca="false">AVERAGE(J39:M39)</f>
        <v>0.381518847885262</v>
      </c>
      <c r="H39" s="7" t="str">
        <f aca="false">IF(O39&lt;=30,"YES","")</f>
        <v/>
      </c>
      <c r="J39" s="9" t="n">
        <f aca="false">'Combined District Data'!H124</f>
        <v>0.376995046780407</v>
      </c>
      <c r="K39" s="9" t="n">
        <f aca="false">'Combined District Data'!H125</f>
        <v>0.368823419727764</v>
      </c>
      <c r="L39" s="9" t="n">
        <f aca="false">'Combined District Data'!H126</f>
        <v>0.394862468742896</v>
      </c>
      <c r="M39" s="9" t="n">
        <f aca="false">'Combined District Data'!H127</f>
        <v>0.385394456289979</v>
      </c>
      <c r="N39" s="8" t="n">
        <f aca="false">F39+(1-E39)</f>
        <v>1.98785303517736</v>
      </c>
      <c r="O39" s="8" t="n">
        <f aca="false">RANK(N39,$N$9:$N$94,1)</f>
        <v>77</v>
      </c>
    </row>
    <row r="40" customFormat="false" ht="15" hidden="false" customHeight="true" outlineLevel="0" collapsed="false">
      <c r="A40" s="8" t="s">
        <v>104</v>
      </c>
      <c r="B40" s="8" t="s">
        <v>99</v>
      </c>
      <c r="C40" s="8" t="s">
        <v>176</v>
      </c>
      <c r="D40" s="18" t="n">
        <f aca="false">SLOPE(J40:M40,$A$6:$D$6)</f>
        <v>3.0376208385726</v>
      </c>
      <c r="E40" s="18" t="n">
        <f aca="false">RSQ(J40:M40,$A$6:$D$6)</f>
        <v>0.985632306106179</v>
      </c>
      <c r="F40" s="18" t="n">
        <f aca="false">ABS(D40-1)</f>
        <v>2.0376208385726</v>
      </c>
      <c r="G40" s="9" t="n">
        <f aca="false">AVERAGE(J40:M40)</f>
        <v>0.362739862895878</v>
      </c>
      <c r="H40" s="7" t="str">
        <f aca="false">IF(O40&lt;=30,"YES","")</f>
        <v/>
      </c>
      <c r="J40" s="9" t="n">
        <f aca="false">'Combined District Data'!H128</f>
        <v>0.434782608695652</v>
      </c>
      <c r="K40" s="9" t="n">
        <f aca="false">'Combined District Data'!H129</f>
        <v>0.330508474576271</v>
      </c>
      <c r="L40" s="9" t="n">
        <f aca="false">'Combined District Data'!H130</f>
        <v>0.36046511627907</v>
      </c>
      <c r="M40" s="9" t="n">
        <f aca="false">'Combined District Data'!H131</f>
        <v>0.32520325203252</v>
      </c>
      <c r="N40" s="8" t="n">
        <f aca="false">F40+(1-E40)</f>
        <v>2.05198853246642</v>
      </c>
      <c r="O40" s="8" t="n">
        <f aca="false">RANK(N40,$N$9:$N$94,1)</f>
        <v>79</v>
      </c>
    </row>
    <row r="41" customFormat="false" ht="15" hidden="false" customHeight="true" outlineLevel="0" collapsed="false">
      <c r="A41" s="8" t="s">
        <v>105</v>
      </c>
      <c r="B41" s="8" t="s">
        <v>99</v>
      </c>
      <c r="C41" s="8" t="s">
        <v>176</v>
      </c>
      <c r="D41" s="18" t="n">
        <f aca="false">SLOPE(J41:M41,$A$6:$D$6)</f>
        <v>-0.381808158045619</v>
      </c>
      <c r="E41" s="18" t="n">
        <f aca="false">RSQ(J41:M41,$A$6:$D$6)</f>
        <v>0.115802117256768</v>
      </c>
      <c r="F41" s="18" t="n">
        <f aca="false">ABS(D41-1)</f>
        <v>1.38180815804562</v>
      </c>
      <c r="G41" s="9" t="n">
        <f aca="false">AVERAGE(J41:M41)</f>
        <v>0.420151138039662</v>
      </c>
      <c r="H41" s="7" t="str">
        <f aca="false">IF(O41&lt;=30,"YES","")</f>
        <v/>
      </c>
      <c r="J41" s="9" t="n">
        <f aca="false">'Combined District Data'!H132</f>
        <v>0.403846153846154</v>
      </c>
      <c r="K41" s="9" t="n">
        <f aca="false">'Combined District Data'!H133</f>
        <v>0.405135045015005</v>
      </c>
      <c r="L41" s="9" t="n">
        <f aca="false">'Combined District Data'!H134</f>
        <v>0.440603893524037</v>
      </c>
      <c r="M41" s="9" t="n">
        <f aca="false">'Combined District Data'!H135</f>
        <v>0.431019459773453</v>
      </c>
      <c r="N41" s="8" t="n">
        <f aca="false">F41+(1-E41)</f>
        <v>2.26600604078885</v>
      </c>
      <c r="O41" s="8" t="n">
        <f aca="false">RANK(N41,$N$9:$N$94,1)</f>
        <v>85</v>
      </c>
    </row>
    <row r="42" customFormat="false" ht="15" hidden="false" customHeight="true" outlineLevel="0" collapsed="false">
      <c r="A42" s="8" t="s">
        <v>106</v>
      </c>
      <c r="B42" s="8" t="s">
        <v>99</v>
      </c>
      <c r="C42" s="8" t="s">
        <v>176</v>
      </c>
      <c r="D42" s="18" t="n">
        <f aca="false">SLOPE(J42:M42,$A$6:$D$6)</f>
        <v>-0.0859726315799665</v>
      </c>
      <c r="E42" s="18" t="n">
        <f aca="false">RSQ(J42:M42,$A$6:$D$6)</f>
        <v>0.00179668946475343</v>
      </c>
      <c r="F42" s="18" t="n">
        <f aca="false">ABS(D42-1)</f>
        <v>1.08597263157997</v>
      </c>
      <c r="G42" s="9" t="n">
        <f aca="false">AVERAGE(J42:M42)</f>
        <v>0.37743936763866</v>
      </c>
      <c r="H42" s="7" t="str">
        <f aca="false">IF(O42&lt;=30,"YES","")</f>
        <v/>
      </c>
      <c r="J42" s="9" t="n">
        <f aca="false">'Combined District Data'!H136</f>
        <v>0.373563218390805</v>
      </c>
      <c r="K42" s="9" t="n">
        <f aca="false">'Combined District Data'!H137</f>
        <v>0.333333333333333</v>
      </c>
      <c r="L42" s="9" t="n">
        <f aca="false">'Combined District Data'!H138</f>
        <v>0.39031339031339</v>
      </c>
      <c r="M42" s="9" t="n">
        <f aca="false">'Combined District Data'!H139</f>
        <v>0.41254752851711</v>
      </c>
      <c r="N42" s="8" t="n">
        <f aca="false">F42+(1-E42)</f>
        <v>2.08417594211521</v>
      </c>
      <c r="O42" s="8" t="n">
        <f aca="false">RANK(N42,$N$9:$N$94,1)</f>
        <v>80</v>
      </c>
    </row>
    <row r="43" customFormat="false" ht="15" hidden="false" customHeight="true" outlineLevel="0" collapsed="false">
      <c r="A43" s="8" t="s">
        <v>107</v>
      </c>
      <c r="B43" s="8" t="s">
        <v>99</v>
      </c>
      <c r="C43" s="8" t="s">
        <v>176</v>
      </c>
      <c r="D43" s="18" t="n">
        <f aca="false">SLOPE(J43:M43,$A$6:$D$6)</f>
        <v>1.18071504310115</v>
      </c>
      <c r="E43" s="18" t="n">
        <f aca="false">RSQ(J43:M43,$A$6:$D$6)</f>
        <v>0.828487906642783</v>
      </c>
      <c r="F43" s="18" t="n">
        <f aca="false">ABS(D43-1)</f>
        <v>0.180715043101151</v>
      </c>
      <c r="G43" s="9" t="n">
        <f aca="false">AVERAGE(J43:M43)</f>
        <v>0.718973690023353</v>
      </c>
      <c r="H43" s="7" t="str">
        <f aca="false">IF(O43&lt;=30,"YES","")</f>
        <v>YES</v>
      </c>
      <c r="J43" s="9" t="n">
        <f aca="false">'Combined District Data'!H140</f>
        <v>0.739944420067281</v>
      </c>
      <c r="K43" s="9" t="n">
        <f aca="false">'Combined District Data'!H141</f>
        <v>0.704256384576865</v>
      </c>
      <c r="L43" s="9" t="n">
        <f aca="false">'Combined District Data'!H142</f>
        <v>0.734526998449175</v>
      </c>
      <c r="M43" s="9" t="n">
        <f aca="false">'Combined District Data'!H143</f>
        <v>0.697166957000092</v>
      </c>
      <c r="N43" s="8" t="n">
        <f aca="false">F43+(1-E43)</f>
        <v>0.352227136458368</v>
      </c>
      <c r="O43" s="8" t="n">
        <f aca="false">RANK(N43,$N$9:$N$94,1)</f>
        <v>13</v>
      </c>
    </row>
    <row r="44" customFormat="false" ht="15" hidden="false" customHeight="true" outlineLevel="0" collapsed="false">
      <c r="A44" s="8" t="s">
        <v>108</v>
      </c>
      <c r="B44" s="8" t="s">
        <v>99</v>
      </c>
      <c r="C44" s="8" t="s">
        <v>176</v>
      </c>
      <c r="D44" s="18" t="n">
        <f aca="false">SLOPE(J44:M44,$A$6:$D$6)</f>
        <v>0.449488532489614</v>
      </c>
      <c r="E44" s="18" t="n">
        <f aca="false">RSQ(J44:M44,$A$6:$D$6)</f>
        <v>0.857470154154751</v>
      </c>
      <c r="F44" s="18" t="n">
        <f aca="false">ABS(D44-1)</f>
        <v>0.550511467510386</v>
      </c>
      <c r="G44" s="9" t="n">
        <f aca="false">AVERAGE(J44:M44)</f>
        <v>0.52006370091494</v>
      </c>
      <c r="H44" s="7" t="str">
        <f aca="false">IF(O44&lt;=30,"YES","")</f>
        <v>YES</v>
      </c>
      <c r="J44" s="9" t="n">
        <f aca="false">'Combined District Data'!H144</f>
        <v>0.529324424647365</v>
      </c>
      <c r="K44" s="9" t="n">
        <f aca="false">'Combined District Data'!H145</f>
        <v>0.511316350350147</v>
      </c>
      <c r="L44" s="9" t="n">
        <f aca="false">'Combined District Data'!H146</f>
        <v>0.52367758186398</v>
      </c>
      <c r="M44" s="9" t="n">
        <f aca="false">'Combined District Data'!H147</f>
        <v>0.515936446798267</v>
      </c>
      <c r="N44" s="8" t="n">
        <f aca="false">F44+(1-E44)</f>
        <v>0.693041313355635</v>
      </c>
      <c r="O44" s="8" t="n">
        <f aca="false">RANK(N44,$N$9:$N$94,1)</f>
        <v>26</v>
      </c>
    </row>
    <row r="45" customFormat="false" ht="15" hidden="false" customHeight="true" outlineLevel="0" collapsed="false">
      <c r="A45" s="8" t="s">
        <v>109</v>
      </c>
      <c r="B45" s="8" t="s">
        <v>99</v>
      </c>
      <c r="C45" s="8" t="s">
        <v>176</v>
      </c>
      <c r="D45" s="18" t="n">
        <f aca="false">SLOPE(J45:M45,$A$6:$D$6)</f>
        <v>0.804709228363632</v>
      </c>
      <c r="E45" s="18" t="n">
        <f aca="false">RSQ(J45:M45,$A$6:$D$6)</f>
        <v>0.337038624311606</v>
      </c>
      <c r="F45" s="18" t="n">
        <f aca="false">ABS(D45-1)</f>
        <v>0.195290771636368</v>
      </c>
      <c r="G45" s="9" t="n">
        <f aca="false">AVERAGE(J45:M45)</f>
        <v>0.613408180139921</v>
      </c>
      <c r="H45" s="7" t="str">
        <f aca="false">IF(O45&lt;=30,"YES","")</f>
        <v/>
      </c>
      <c r="J45" s="9" t="n">
        <f aca="false">'Combined District Data'!H148</f>
        <v>0.63963963963964</v>
      </c>
      <c r="K45" s="9" t="n">
        <f aca="false">'Combined District Data'!H149</f>
        <v>0.625407166123778</v>
      </c>
      <c r="L45" s="9" t="n">
        <f aca="false">'Combined District Data'!H150</f>
        <v>0.592592592592593</v>
      </c>
      <c r="M45" s="9" t="n">
        <f aca="false">'Combined District Data'!H151</f>
        <v>0.595993322203673</v>
      </c>
      <c r="N45" s="8" t="n">
        <f aca="false">F45+(1-E45)</f>
        <v>0.858252147324762</v>
      </c>
      <c r="O45" s="8" t="n">
        <f aca="false">RANK(N45,$N$9:$N$94,1)</f>
        <v>40</v>
      </c>
    </row>
    <row r="46" customFormat="false" ht="15" hidden="false" customHeight="true" outlineLevel="0" collapsed="false">
      <c r="A46" s="8" t="s">
        <v>110</v>
      </c>
      <c r="B46" s="8" t="s">
        <v>99</v>
      </c>
      <c r="C46" s="8" t="s">
        <v>176</v>
      </c>
      <c r="D46" s="18" t="n">
        <f aca="false">SLOPE(J46:M46,$A$6:$D$6)</f>
        <v>2.97242091236871</v>
      </c>
      <c r="E46" s="18" t="n">
        <f aca="false">RSQ(J46:M46,$A$6:$D$6)</f>
        <v>0.737487999908749</v>
      </c>
      <c r="F46" s="18" t="n">
        <f aca="false">ABS(D46-1)</f>
        <v>1.97242091236871</v>
      </c>
      <c r="G46" s="9" t="n">
        <f aca="false">AVERAGE(J46:M46)</f>
        <v>0.542084757543842</v>
      </c>
      <c r="H46" s="7" t="str">
        <f aca="false">IF(O46&lt;=30,"YES","")</f>
        <v/>
      </c>
      <c r="J46" s="9" t="n">
        <f aca="false">'Combined District Data'!H152</f>
        <v>0.626086956521739</v>
      </c>
      <c r="K46" s="9" t="n">
        <f aca="false">'Combined District Data'!H153</f>
        <v>0.502487562189055</v>
      </c>
      <c r="L46" s="9" t="n">
        <f aca="false">'Combined District Data'!H154</f>
        <v>0.51063829787234</v>
      </c>
      <c r="M46" s="9" t="n">
        <f aca="false">'Combined District Data'!H155</f>
        <v>0.529126213592233</v>
      </c>
      <c r="N46" s="8" t="n">
        <f aca="false">F46+(1-E46)</f>
        <v>2.23493291245996</v>
      </c>
      <c r="O46" s="8" t="n">
        <f aca="false">RANK(N46,$N$9:$N$94,1)</f>
        <v>84</v>
      </c>
    </row>
    <row r="47" customFormat="false" ht="15" hidden="false" customHeight="true" outlineLevel="0" collapsed="false">
      <c r="A47" s="8" t="s">
        <v>81</v>
      </c>
      <c r="B47" s="8" t="s">
        <v>99</v>
      </c>
      <c r="C47" s="8" t="s">
        <v>176</v>
      </c>
      <c r="D47" s="18" t="n">
        <f aca="false">SLOPE(J47:M47,$A$6:$D$6)</f>
        <v>-0.487793726880895</v>
      </c>
      <c r="E47" s="18" t="n">
        <f aca="false">RSQ(J47:M47,$A$6:$D$6)</f>
        <v>0.333494785376137</v>
      </c>
      <c r="F47" s="18" t="n">
        <f aca="false">ABS(D47-1)</f>
        <v>1.4877937268809</v>
      </c>
      <c r="G47" s="9" t="n">
        <f aca="false">AVERAGE(J47:M47)</f>
        <v>0.538377251932706</v>
      </c>
      <c r="H47" s="7" t="str">
        <f aca="false">IF(O47&lt;=30,"YES","")</f>
        <v/>
      </c>
      <c r="J47" s="9" t="n">
        <f aca="false">'Combined District Data'!H156</f>
        <v>0.521274792337684</v>
      </c>
      <c r="K47" s="9" t="n">
        <f aca="false">'Combined District Data'!H157</f>
        <v>0.533719904197655</v>
      </c>
      <c r="L47" s="9" t="n">
        <f aca="false">'Combined District Data'!H158</f>
        <v>0.553231055323106</v>
      </c>
      <c r="M47" s="9" t="n">
        <f aca="false">'Combined District Data'!H159</f>
        <v>0.545283255872378</v>
      </c>
      <c r="N47" s="8" t="n">
        <f aca="false">F47+(1-E47)</f>
        <v>2.15429894150476</v>
      </c>
      <c r="O47" s="8" t="n">
        <f aca="false">RANK(N47,$N$9:$N$94,1)</f>
        <v>82</v>
      </c>
    </row>
    <row r="48" customFormat="false" ht="15" hidden="false" customHeight="true" outlineLevel="0" collapsed="false">
      <c r="A48" s="8" t="s">
        <v>111</v>
      </c>
      <c r="B48" s="8" t="s">
        <v>99</v>
      </c>
      <c r="C48" s="8" t="s">
        <v>176</v>
      </c>
      <c r="D48" s="18" t="n">
        <f aca="false">SLOPE(J48:M48,$A$6:$D$6)</f>
        <v>1.10825274507437</v>
      </c>
      <c r="E48" s="18" t="n">
        <f aca="false">RSQ(J48:M48,$A$6:$D$6)</f>
        <v>0.902826056944008</v>
      </c>
      <c r="F48" s="18" t="n">
        <f aca="false">ABS(D48-1)</f>
        <v>0.10825274507437</v>
      </c>
      <c r="G48" s="9" t="n">
        <f aca="false">AVERAGE(J48:M48)</f>
        <v>0.522177161398379</v>
      </c>
      <c r="H48" s="7" t="str">
        <f aca="false">IF(O48&lt;=30,"YES","")</f>
        <v>YES</v>
      </c>
      <c r="J48" s="9" t="n">
        <f aca="false">'Combined District Data'!H160</f>
        <v>0.543630017452007</v>
      </c>
      <c r="K48" s="9" t="n">
        <f aca="false">'Combined District Data'!H161</f>
        <v>0.505838967424708</v>
      </c>
      <c r="L48" s="9" t="n">
        <f aca="false">'Combined District Data'!H162</f>
        <v>0.53322969296541</v>
      </c>
      <c r="M48" s="9" t="n">
        <f aca="false">'Combined District Data'!H163</f>
        <v>0.506009967751393</v>
      </c>
      <c r="N48" s="8" t="n">
        <f aca="false">F48+(1-E48)</f>
        <v>0.205426688130362</v>
      </c>
      <c r="O48" s="8" t="n">
        <f aca="false">RANK(N48,$N$9:$N$94,1)</f>
        <v>6</v>
      </c>
    </row>
    <row r="49" customFormat="false" ht="15" hidden="false" customHeight="true" outlineLevel="0" collapsed="false">
      <c r="A49" s="8" t="s">
        <v>73</v>
      </c>
      <c r="B49" s="8" t="s">
        <v>99</v>
      </c>
      <c r="C49" s="8" t="s">
        <v>176</v>
      </c>
      <c r="D49" s="18" t="n">
        <f aca="false">SLOPE(J49:M49,$A$6:$D$6)</f>
        <v>0.524880548127607</v>
      </c>
      <c r="E49" s="18" t="n">
        <f aca="false">RSQ(J49:M49,$A$6:$D$6)</f>
        <v>0.705992347921871</v>
      </c>
      <c r="F49" s="18" t="n">
        <f aca="false">ABS(D49-1)</f>
        <v>0.475119451872393</v>
      </c>
      <c r="G49" s="9" t="n">
        <f aca="false">AVERAGE(J49:M49)</f>
        <v>0.343875671410832</v>
      </c>
      <c r="H49" s="7" t="str">
        <f aca="false">IF(O49&lt;=30,"YES","")</f>
        <v/>
      </c>
      <c r="J49" s="9" t="n">
        <f aca="false">'Combined District Data'!H164</f>
        <v>0.352444038373687</v>
      </c>
      <c r="K49" s="9" t="n">
        <f aca="false">'Combined District Data'!H165</f>
        <v>0.334167318217357</v>
      </c>
      <c r="L49" s="9" t="n">
        <f aca="false">'Combined District Data'!H166</f>
        <v>0.353113983548766</v>
      </c>
      <c r="M49" s="9" t="n">
        <f aca="false">'Combined District Data'!H167</f>
        <v>0.335777345503516</v>
      </c>
      <c r="N49" s="8" t="n">
        <f aca="false">F49+(1-E49)</f>
        <v>0.769127103950522</v>
      </c>
      <c r="O49" s="8" t="n">
        <f aca="false">RANK(N49,$N$9:$N$94,1)</f>
        <v>33</v>
      </c>
    </row>
    <row r="50" customFormat="false" ht="15" hidden="false" customHeight="true" outlineLevel="0" collapsed="false">
      <c r="A50" s="8" t="s">
        <v>112</v>
      </c>
      <c r="B50" s="8" t="s">
        <v>99</v>
      </c>
      <c r="C50" s="8" t="s">
        <v>176</v>
      </c>
      <c r="D50" s="18" t="n">
        <f aca="false">SLOPE(J50:M50,$A$6:$D$6)</f>
        <v>1.92532118931563</v>
      </c>
      <c r="E50" s="18" t="n">
        <f aca="false">RSQ(J50:M50,$A$6:$D$6)</f>
        <v>0.947599179132717</v>
      </c>
      <c r="F50" s="18" t="n">
        <f aca="false">ABS(D50-1)</f>
        <v>0.92532118931563</v>
      </c>
      <c r="G50" s="9" t="n">
        <f aca="false">AVERAGE(J50:M50)</f>
        <v>0.358605596631957</v>
      </c>
      <c r="H50" s="7" t="str">
        <f aca="false">IF(O50&lt;=30,"YES","")</f>
        <v/>
      </c>
      <c r="J50" s="9" t="n">
        <f aca="false">'Combined District Data'!H168</f>
        <v>0.401694915254237</v>
      </c>
      <c r="K50" s="9" t="n">
        <f aca="false">'Combined District Data'!H169</f>
        <v>0.327868852459016</v>
      </c>
      <c r="L50" s="9" t="n">
        <f aca="false">'Combined District Data'!H170</f>
        <v>0.365</v>
      </c>
      <c r="M50" s="9" t="n">
        <f aca="false">'Combined District Data'!H171</f>
        <v>0.339858618814573</v>
      </c>
      <c r="N50" s="8" t="n">
        <f aca="false">F50+(1-E50)</f>
        <v>0.977722010182913</v>
      </c>
      <c r="O50" s="8" t="n">
        <f aca="false">RANK(N50,$N$9:$N$94,1)</f>
        <v>51</v>
      </c>
    </row>
    <row r="51" customFormat="false" ht="15" hidden="false" customHeight="true" outlineLevel="0" collapsed="false">
      <c r="A51" s="8" t="s">
        <v>113</v>
      </c>
      <c r="B51" s="8" t="s">
        <v>99</v>
      </c>
      <c r="C51" s="8" t="s">
        <v>176</v>
      </c>
      <c r="D51" s="18" t="n">
        <f aca="false">SLOPE(J51:M51,$A$6:$D$6)</f>
        <v>-0.877803365501007</v>
      </c>
      <c r="E51" s="18" t="n">
        <f aca="false">RSQ(J51:M51,$A$6:$D$6)</f>
        <v>0.232396403912449</v>
      </c>
      <c r="F51" s="18" t="n">
        <f aca="false">ABS(D51-1)</f>
        <v>1.87780336550101</v>
      </c>
      <c r="G51" s="9" t="n">
        <f aca="false">AVERAGE(J51:M51)</f>
        <v>0.445958969167682</v>
      </c>
      <c r="H51" s="7" t="str">
        <f aca="false">IF(O51&lt;=30,"YES","")</f>
        <v/>
      </c>
      <c r="J51" s="9" t="n">
        <f aca="false">'Combined District Data'!H172</f>
        <v>0.430247718383312</v>
      </c>
      <c r="K51" s="9" t="n">
        <f aca="false">'Combined District Data'!H173</f>
        <v>0.422817281728173</v>
      </c>
      <c r="L51" s="9" t="n">
        <f aca="false">'Combined District Data'!H174</f>
        <v>0.441200324412003</v>
      </c>
      <c r="M51" s="9" t="n">
        <f aca="false">'Combined District Data'!H175</f>
        <v>0.489570552147239</v>
      </c>
      <c r="N51" s="8" t="n">
        <f aca="false">F51+(1-E51)</f>
        <v>2.64540696158856</v>
      </c>
      <c r="O51" s="8" t="n">
        <f aca="false">RANK(N51,$N$9:$N$94,1)</f>
        <v>86</v>
      </c>
    </row>
    <row r="52" customFormat="false" ht="15" hidden="false" customHeight="true" outlineLevel="0" collapsed="false">
      <c r="A52" s="8" t="s">
        <v>114</v>
      </c>
      <c r="B52" s="8" t="s">
        <v>99</v>
      </c>
      <c r="C52" s="8" t="s">
        <v>176</v>
      </c>
      <c r="D52" s="18" t="n">
        <f aca="false">SLOPE(J52:M52,$A$6:$D$6)</f>
        <v>0.212133338024553</v>
      </c>
      <c r="E52" s="18" t="n">
        <f aca="false">RSQ(J52:M52,$A$6:$D$6)</f>
        <v>0.11771334220913</v>
      </c>
      <c r="F52" s="18" t="n">
        <f aca="false">ABS(D52-1)</f>
        <v>0.787866661975447</v>
      </c>
      <c r="G52" s="9" t="n">
        <f aca="false">AVERAGE(J52:M52)</f>
        <v>0.478716237680036</v>
      </c>
      <c r="H52" s="7" t="str">
        <f aca="false">IF(O52&lt;=30,"YES","")</f>
        <v/>
      </c>
      <c r="J52" s="9" t="n">
        <f aca="false">'Combined District Data'!H176</f>
        <v>0.47834274952919</v>
      </c>
      <c r="K52" s="9" t="n">
        <f aca="false">'Combined District Data'!H177</f>
        <v>0.467990556867102</v>
      </c>
      <c r="L52" s="9" t="n">
        <f aca="false">'Combined District Data'!H178</f>
        <v>0.492491985827569</v>
      </c>
      <c r="M52" s="9" t="n">
        <f aca="false">'Combined District Data'!H179</f>
        <v>0.476039658496282</v>
      </c>
      <c r="N52" s="8" t="n">
        <f aca="false">F52+(1-E52)</f>
        <v>1.67015331976632</v>
      </c>
      <c r="O52" s="8" t="n">
        <f aca="false">RANK(N52,$N$9:$N$94,1)</f>
        <v>67</v>
      </c>
    </row>
    <row r="53" customFormat="false" ht="15" hidden="false" customHeight="true" outlineLevel="0" collapsed="false">
      <c r="A53" s="8" t="s">
        <v>115</v>
      </c>
      <c r="B53" s="8" t="s">
        <v>99</v>
      </c>
      <c r="C53" s="8" t="s">
        <v>176</v>
      </c>
      <c r="D53" s="18" t="n">
        <f aca="false">SLOPE(J53:M53,$A$6:$D$6)</f>
        <v>0.481630046986842</v>
      </c>
      <c r="E53" s="18" t="n">
        <f aca="false">RSQ(J53:M53,$A$6:$D$6)</f>
        <v>0.651977945176123</v>
      </c>
      <c r="F53" s="18" t="n">
        <f aca="false">ABS(D53-1)</f>
        <v>0.518369953013158</v>
      </c>
      <c r="G53" s="9" t="n">
        <f aca="false">AVERAGE(J53:M53)</f>
        <v>0.339846088279458</v>
      </c>
      <c r="H53" s="7" t="str">
        <f aca="false">IF(O53&lt;=30,"YES","")</f>
        <v/>
      </c>
      <c r="J53" s="9" t="n">
        <f aca="false">'Combined District Data'!H180</f>
        <v>0.347095179233622</v>
      </c>
      <c r="K53" s="9" t="n">
        <f aca="false">'Combined District Data'!H181</f>
        <v>0.331892826274849</v>
      </c>
      <c r="L53" s="9" t="n">
        <f aca="false">'Combined District Data'!H182</f>
        <v>0.349537037037037</v>
      </c>
      <c r="M53" s="9" t="n">
        <f aca="false">'Combined District Data'!H183</f>
        <v>0.330859310572324</v>
      </c>
      <c r="N53" s="8" t="n">
        <f aca="false">F53+(1-E53)</f>
        <v>0.866392007837034</v>
      </c>
      <c r="O53" s="8" t="n">
        <f aca="false">RANK(N53,$N$9:$N$94,1)</f>
        <v>42</v>
      </c>
    </row>
    <row r="54" customFormat="false" ht="15" hidden="false" customHeight="true" outlineLevel="0" collapsed="false">
      <c r="A54" s="8" t="s">
        <v>116</v>
      </c>
      <c r="B54" s="8" t="s">
        <v>99</v>
      </c>
      <c r="C54" s="8" t="s">
        <v>176</v>
      </c>
      <c r="D54" s="18" t="n">
        <f aca="false">SLOPE(J54:M54,$A$6:$D$6)</f>
        <v>1.51303108334904</v>
      </c>
      <c r="E54" s="18" t="n">
        <f aca="false">RSQ(J54:M54,$A$6:$D$6)</f>
        <v>0.634048916127309</v>
      </c>
      <c r="F54" s="18" t="n">
        <f aca="false">ABS(D54-1)</f>
        <v>0.513031083349038</v>
      </c>
      <c r="G54" s="9" t="n">
        <f aca="false">AVERAGE(J54:M54)</f>
        <v>0.489411114393421</v>
      </c>
      <c r="H54" s="7" t="str">
        <f aca="false">IF(O54&lt;=30,"YES","")</f>
        <v/>
      </c>
      <c r="J54" s="9" t="n">
        <f aca="false">'Combined District Data'!H184</f>
        <v>0.512261580381471</v>
      </c>
      <c r="K54" s="9" t="n">
        <f aca="false">'Combined District Data'!H185</f>
        <v>0.478023740776388</v>
      </c>
      <c r="L54" s="9" t="n">
        <f aca="false">'Combined District Data'!H186</f>
        <v>0.517073170731707</v>
      </c>
      <c r="M54" s="9" t="n">
        <f aca="false">'Combined District Data'!H187</f>
        <v>0.450285965684118</v>
      </c>
      <c r="N54" s="8" t="n">
        <f aca="false">F54+(1-E54)</f>
        <v>0.878982167221729</v>
      </c>
      <c r="O54" s="8" t="n">
        <f aca="false">RANK(N54,$N$9:$N$94,1)</f>
        <v>45</v>
      </c>
    </row>
    <row r="55" customFormat="false" ht="15" hidden="false" customHeight="true" outlineLevel="0" collapsed="false">
      <c r="A55" s="8" t="s">
        <v>117</v>
      </c>
      <c r="B55" s="8" t="s">
        <v>99</v>
      </c>
      <c r="C55" s="8" t="s">
        <v>176</v>
      </c>
      <c r="D55" s="18" t="n">
        <f aca="false">SLOPE(J55:M55,$A$6:$D$6)</f>
        <v>0.309412707658384</v>
      </c>
      <c r="E55" s="18" t="n">
        <f aca="false">RSQ(J55:M55,$A$6:$D$6)</f>
        <v>0.0989687598919829</v>
      </c>
      <c r="F55" s="18" t="n">
        <f aca="false">ABS(D55-1)</f>
        <v>0.690587292341616</v>
      </c>
      <c r="G55" s="9" t="n">
        <f aca="false">AVERAGE(J55:M55)</f>
        <v>0.485656457193715</v>
      </c>
      <c r="H55" s="7" t="str">
        <f aca="false">IF(O55&lt;=30,"YES","")</f>
        <v/>
      </c>
      <c r="J55" s="9" t="n">
        <f aca="false">'Combined District Data'!H188</f>
        <v>0.486388384754991</v>
      </c>
      <c r="K55" s="9" t="n">
        <f aca="false">'Combined District Data'!H189</f>
        <v>0.464421855146125</v>
      </c>
      <c r="L55" s="9" t="n">
        <f aca="false">'Combined District Data'!H190</f>
        <v>0.503912363067293</v>
      </c>
      <c r="M55" s="9" t="n">
        <f aca="false">'Combined District Data'!H191</f>
        <v>0.487903225806452</v>
      </c>
      <c r="N55" s="8" t="n">
        <f aca="false">F55+(1-E55)</f>
        <v>1.59161853244963</v>
      </c>
      <c r="O55" s="8" t="n">
        <f aca="false">RANK(N55,$N$9:$N$94,1)</f>
        <v>66</v>
      </c>
    </row>
    <row r="56" customFormat="false" ht="15" hidden="false" customHeight="true" outlineLevel="0" collapsed="false">
      <c r="A56" s="8" t="s">
        <v>99</v>
      </c>
      <c r="B56" s="8" t="s">
        <v>99</v>
      </c>
      <c r="C56" s="8" t="s">
        <v>176</v>
      </c>
      <c r="D56" s="18" t="n">
        <f aca="false">SLOPE(J56:M56,$A$6:$D$6)</f>
        <v>0.942475992644181</v>
      </c>
      <c r="E56" s="18" t="n">
        <f aca="false">RSQ(J56:M56,$A$6:$D$6)</f>
        <v>0.429482796776082</v>
      </c>
      <c r="F56" s="18" t="n">
        <f aca="false">ABS(D56-1)</f>
        <v>0.057524007355819</v>
      </c>
      <c r="G56" s="9" t="n">
        <f aca="false">AVERAGE(J56:M56)</f>
        <v>0.471711726373161</v>
      </c>
      <c r="H56" s="7" t="str">
        <f aca="false">IF(O56&lt;=30,"YES","")</f>
        <v>YES</v>
      </c>
      <c r="J56" s="9" t="n">
        <f aca="false">'Combined District Data'!H192</f>
        <v>0.483445648989159</v>
      </c>
      <c r="K56" s="9" t="n">
        <f aca="false">'Combined District Data'!H193</f>
        <v>0.445263754963131</v>
      </c>
      <c r="L56" s="9" t="n">
        <f aca="false">'Combined District Data'!H194</f>
        <v>0.49834479246244</v>
      </c>
      <c r="M56" s="9" t="n">
        <f aca="false">'Combined District Data'!H195</f>
        <v>0.459792709077913</v>
      </c>
      <c r="N56" s="8" t="n">
        <f aca="false">F56+(1-E56)</f>
        <v>0.628041210579737</v>
      </c>
      <c r="O56" s="8" t="n">
        <f aca="false">RANK(N56,$N$9:$N$94,1)</f>
        <v>21</v>
      </c>
    </row>
    <row r="57" customFormat="false" ht="15" hidden="false" customHeight="true" outlineLevel="0" collapsed="false">
      <c r="A57" s="8" t="s">
        <v>118</v>
      </c>
      <c r="B57" s="8" t="s">
        <v>99</v>
      </c>
      <c r="C57" s="8" t="s">
        <v>176</v>
      </c>
      <c r="D57" s="18" t="n">
        <f aca="false">SLOPE(J57:M57,$A$6:$D$6)</f>
        <v>0.656011682451702</v>
      </c>
      <c r="E57" s="18" t="n">
        <f aca="false">RSQ(J57:M57,$A$6:$D$6)</f>
        <v>0.790890628732334</v>
      </c>
      <c r="F57" s="18" t="n">
        <f aca="false">ABS(D57-1)</f>
        <v>0.343988317548298</v>
      </c>
      <c r="G57" s="9" t="n">
        <f aca="false">AVERAGE(J57:M57)</f>
        <v>0.515819231707031</v>
      </c>
      <c r="H57" s="7" t="str">
        <f aca="false">IF(O57&lt;=30,"YES","")</f>
        <v>YES</v>
      </c>
      <c r="J57" s="9" t="n">
        <f aca="false">'Combined District Data'!H196</f>
        <v>0.528144239226033</v>
      </c>
      <c r="K57" s="9" t="n">
        <f aca="false">'Combined District Data'!H197</f>
        <v>0.502551020408163</v>
      </c>
      <c r="L57" s="9" t="n">
        <f aca="false">'Combined District Data'!H198</f>
        <v>0.523901871424416</v>
      </c>
      <c r="M57" s="9" t="n">
        <f aca="false">'Combined District Data'!H199</f>
        <v>0.508679795769511</v>
      </c>
      <c r="N57" s="8" t="n">
        <f aca="false">F57+(1-E57)</f>
        <v>0.553097688815965</v>
      </c>
      <c r="O57" s="8" t="n">
        <f aca="false">RANK(N57,$N$9:$N$94,1)</f>
        <v>19</v>
      </c>
    </row>
    <row r="58" customFormat="false" ht="15" hidden="false" customHeight="true" outlineLevel="0" collapsed="false">
      <c r="A58" s="8" t="s">
        <v>119</v>
      </c>
      <c r="B58" s="8" t="s">
        <v>99</v>
      </c>
      <c r="C58" s="8" t="s">
        <v>176</v>
      </c>
      <c r="D58" s="18" t="n">
        <f aca="false">SLOPE(J58:M58,$A$6:$D$6)</f>
        <v>0.584653595381968</v>
      </c>
      <c r="E58" s="18" t="n">
        <f aca="false">RSQ(J58:M58,$A$6:$D$6)</f>
        <v>0.71194964109372</v>
      </c>
      <c r="F58" s="18" t="n">
        <f aca="false">ABS(D58-1)</f>
        <v>0.415346404618032</v>
      </c>
      <c r="G58" s="9" t="n">
        <f aca="false">AVERAGE(J58:M58)</f>
        <v>0.387711421753406</v>
      </c>
      <c r="H58" s="7" t="str">
        <f aca="false">IF(O58&lt;=30,"YES","")</f>
        <v>YES</v>
      </c>
      <c r="J58" s="9" t="n">
        <f aca="false">'Combined District Data'!H200</f>
        <v>0.397372742200328</v>
      </c>
      <c r="K58" s="9" t="n">
        <f aca="false">'Combined District Data'!H201</f>
        <v>0.383701188455009</v>
      </c>
      <c r="L58" s="9" t="n">
        <f aca="false">'Combined District Data'!H202</f>
        <v>0.396431342125679</v>
      </c>
      <c r="M58" s="9" t="n">
        <f aca="false">'Combined District Data'!H203</f>
        <v>0.373340414232608</v>
      </c>
      <c r="N58" s="8" t="n">
        <f aca="false">F58+(1-E58)</f>
        <v>0.703396763524312</v>
      </c>
      <c r="O58" s="8" t="n">
        <f aca="false">RANK(N58,$N$9:$N$94,1)</f>
        <v>29</v>
      </c>
    </row>
    <row r="59" customFormat="false" ht="15" hidden="false" customHeight="true" outlineLevel="0" collapsed="false">
      <c r="A59" s="8" t="s">
        <v>120</v>
      </c>
      <c r="B59" s="8" t="s">
        <v>99</v>
      </c>
      <c r="C59" s="8" t="s">
        <v>176</v>
      </c>
      <c r="D59" s="18" t="n">
        <f aca="false">SLOPE(J59:M59,$A$6:$D$6)</f>
        <v>0.993437850148437</v>
      </c>
      <c r="E59" s="18" t="n">
        <f aca="false">RSQ(J59:M59,$A$6:$D$6)</f>
        <v>0.841554733122332</v>
      </c>
      <c r="F59" s="18" t="n">
        <f aca="false">ABS(D59-1)</f>
        <v>0.00656214985156334</v>
      </c>
      <c r="G59" s="9" t="n">
        <f aca="false">AVERAGE(J59:M59)</f>
        <v>0.358510367169038</v>
      </c>
      <c r="H59" s="7" t="str">
        <f aca="false">IF(O59&lt;=30,"YES","")</f>
        <v>YES</v>
      </c>
      <c r="J59" s="9" t="n">
        <f aca="false">'Combined District Data'!H204</f>
        <v>0.385140257771039</v>
      </c>
      <c r="K59" s="9" t="n">
        <f aca="false">'Combined District Data'!H205</f>
        <v>0.351851851851852</v>
      </c>
      <c r="L59" s="9" t="n">
        <f aca="false">'Combined District Data'!H206</f>
        <v>0.350032530904359</v>
      </c>
      <c r="M59" s="9" t="n">
        <f aca="false">'Combined District Data'!H207</f>
        <v>0.347016828148904</v>
      </c>
      <c r="N59" s="8" t="n">
        <f aca="false">F59+(1-E59)</f>
        <v>0.165007416729231</v>
      </c>
      <c r="O59" s="8" t="n">
        <f aca="false">RANK(N59,$N$9:$N$94,1)</f>
        <v>2</v>
      </c>
    </row>
    <row r="60" customFormat="false" ht="15" hidden="false" customHeight="true" outlineLevel="0" collapsed="false">
      <c r="A60" s="8" t="s">
        <v>121</v>
      </c>
      <c r="B60" s="8" t="s">
        <v>99</v>
      </c>
      <c r="C60" s="8" t="s">
        <v>176</v>
      </c>
      <c r="D60" s="18" t="n">
        <f aca="false">SLOPE(J60:M60,$A$6:$D$6)</f>
        <v>0.678705086392837</v>
      </c>
      <c r="E60" s="18" t="n">
        <f aca="false">RSQ(J60:M60,$A$6:$D$6)</f>
        <v>0.33660821658933</v>
      </c>
      <c r="F60" s="18" t="n">
        <f aca="false">ABS(D60-1)</f>
        <v>0.321294913607163</v>
      </c>
      <c r="G60" s="9" t="n">
        <f aca="false">AVERAGE(J60:M60)</f>
        <v>0.345309619716578</v>
      </c>
      <c r="H60" s="7" t="str">
        <f aca="false">IF(O60&lt;=30,"YES","")</f>
        <v/>
      </c>
      <c r="J60" s="9" t="n">
        <f aca="false">'Combined District Data'!H208</f>
        <v>0.366863905325444</v>
      </c>
      <c r="K60" s="9" t="n">
        <f aca="false">'Combined District Data'!H209</f>
        <v>0.324110671936759</v>
      </c>
      <c r="L60" s="9" t="n">
        <f aca="false">'Combined District Data'!H210</f>
        <v>0.335051546391753</v>
      </c>
      <c r="M60" s="9" t="n">
        <f aca="false">'Combined District Data'!H211</f>
        <v>0.355212355212355</v>
      </c>
      <c r="N60" s="8" t="n">
        <f aca="false">F60+(1-E60)</f>
        <v>0.984686697017833</v>
      </c>
      <c r="O60" s="8" t="n">
        <f aca="false">RANK(N60,$N$9:$N$94,1)</f>
        <v>52</v>
      </c>
    </row>
    <row r="61" customFormat="false" ht="15" hidden="false" customHeight="true" outlineLevel="0" collapsed="false">
      <c r="A61" s="8" t="s">
        <v>122</v>
      </c>
      <c r="B61" s="8" t="s">
        <v>99</v>
      </c>
      <c r="C61" s="8" t="s">
        <v>176</v>
      </c>
      <c r="D61" s="18" t="n">
        <f aca="false">SLOPE(J61:M61,$A$6:$D$6)</f>
        <v>1.27586038711517</v>
      </c>
      <c r="E61" s="18" t="n">
        <f aca="false">RSQ(J61:M61,$A$6:$D$6)</f>
        <v>0.991458329308069</v>
      </c>
      <c r="F61" s="18" t="n">
        <f aca="false">ABS(D61-1)</f>
        <v>0.27586038711517</v>
      </c>
      <c r="G61" s="9" t="n">
        <f aca="false">AVERAGE(J61:M61)</f>
        <v>0.381376786857062</v>
      </c>
      <c r="H61" s="7" t="str">
        <f aca="false">IF(O61&lt;=30,"YES","")</f>
        <v>YES</v>
      </c>
      <c r="J61" s="9" t="n">
        <f aca="false">'Combined District Data'!H212</f>
        <v>0.411167512690355</v>
      </c>
      <c r="K61" s="9" t="n">
        <f aca="false">'Combined District Data'!H213</f>
        <v>0.366962305986696</v>
      </c>
      <c r="L61" s="9" t="n">
        <f aca="false">'Combined District Data'!H214</f>
        <v>0.381656804733728</v>
      </c>
      <c r="M61" s="9" t="n">
        <f aca="false">'Combined District Data'!H215</f>
        <v>0.365720524017467</v>
      </c>
      <c r="N61" s="8" t="n">
        <f aca="false">F61+(1-E61)</f>
        <v>0.284402057807101</v>
      </c>
      <c r="O61" s="8" t="n">
        <f aca="false">RANK(N61,$N$9:$N$94,1)</f>
        <v>10</v>
      </c>
    </row>
    <row r="62" customFormat="false" ht="15" hidden="false" customHeight="true" outlineLevel="0" collapsed="false">
      <c r="A62" s="8" t="s">
        <v>123</v>
      </c>
      <c r="B62" s="8" t="s">
        <v>99</v>
      </c>
      <c r="C62" s="8" t="s">
        <v>176</v>
      </c>
      <c r="D62" s="18" t="n">
        <f aca="false">SLOPE(J62:M62,$A$6:$D$6)</f>
        <v>0.797856476352361</v>
      </c>
      <c r="E62" s="18" t="n">
        <f aca="false">RSQ(J62:M62,$A$6:$D$6)</f>
        <v>0.973093349680381</v>
      </c>
      <c r="F62" s="18" t="n">
        <f aca="false">ABS(D62-1)</f>
        <v>0.202143523647639</v>
      </c>
      <c r="G62" s="9" t="n">
        <f aca="false">AVERAGE(J62:M62)</f>
        <v>0.415001010545352</v>
      </c>
      <c r="H62" s="7" t="str">
        <f aca="false">IF(O62&lt;=30,"YES","")</f>
        <v>YES</v>
      </c>
      <c r="J62" s="9" t="n">
        <f aca="false">'Combined District Data'!H216</f>
        <v>0.434250764525994</v>
      </c>
      <c r="K62" s="9" t="n">
        <f aca="false">'Combined District Data'!H217</f>
        <v>0.407692307692308</v>
      </c>
      <c r="L62" s="9" t="n">
        <f aca="false">'Combined District Data'!H218</f>
        <v>0.41343669250646</v>
      </c>
      <c r="M62" s="9" t="n">
        <f aca="false">'Combined District Data'!H219</f>
        <v>0.404624277456647</v>
      </c>
      <c r="N62" s="8" t="n">
        <f aca="false">F62+(1-E62)</f>
        <v>0.229050173967258</v>
      </c>
      <c r="O62" s="8" t="n">
        <f aca="false">RANK(N62,$N$9:$N$94,1)</f>
        <v>7</v>
      </c>
    </row>
    <row r="63" customFormat="false" ht="15" hidden="false" customHeight="true" outlineLevel="0" collapsed="false">
      <c r="A63" s="8" t="s">
        <v>124</v>
      </c>
      <c r="B63" s="8" t="s">
        <v>99</v>
      </c>
      <c r="C63" s="8" t="s">
        <v>176</v>
      </c>
      <c r="D63" s="18" t="n">
        <f aca="false">SLOPE(J63:M63,$A$6:$D$6)</f>
        <v>0.272138378627932</v>
      </c>
      <c r="E63" s="18" t="n">
        <f aca="false">RSQ(J63:M63,$A$6:$D$6)</f>
        <v>0.148919052942998</v>
      </c>
      <c r="F63" s="18" t="n">
        <f aca="false">ABS(D63-1)</f>
        <v>0.727861621372068</v>
      </c>
      <c r="G63" s="9" t="n">
        <f aca="false">AVERAGE(J63:M63)</f>
        <v>0.41962199856201</v>
      </c>
      <c r="H63" s="7" t="str">
        <f aca="false">IF(O63&lt;=30,"YES","")</f>
        <v/>
      </c>
      <c r="J63" s="9" t="n">
        <f aca="false">'Combined District Data'!H220</f>
        <v>0.421052631578947</v>
      </c>
      <c r="K63" s="9" t="n">
        <f aca="false">'Combined District Data'!H221</f>
        <v>0.404761904761905</v>
      </c>
      <c r="L63" s="9" t="n">
        <f aca="false">'Combined District Data'!H222</f>
        <v>0.433155080213904</v>
      </c>
      <c r="M63" s="9" t="n">
        <f aca="false">'Combined District Data'!H223</f>
        <v>0.419518377693283</v>
      </c>
      <c r="N63" s="8" t="n">
        <f aca="false">F63+(1-E63)</f>
        <v>1.57894256842907</v>
      </c>
      <c r="O63" s="8" t="n">
        <f aca="false">RANK(N63,$N$9:$N$94,1)</f>
        <v>65</v>
      </c>
    </row>
    <row r="64" customFormat="false" ht="15" hidden="false" customHeight="true" outlineLevel="0" collapsed="false">
      <c r="A64" s="8" t="s">
        <v>125</v>
      </c>
      <c r="B64" s="8" t="s">
        <v>99</v>
      </c>
      <c r="C64" s="8" t="s">
        <v>176</v>
      </c>
      <c r="D64" s="18" t="n">
        <f aca="false">SLOPE(J64:M64,$A$6:$D$6)</f>
        <v>1.16160101886903</v>
      </c>
      <c r="E64" s="18" t="n">
        <f aca="false">RSQ(J64:M64,$A$6:$D$6)</f>
        <v>0.995615214303465</v>
      </c>
      <c r="F64" s="18" t="n">
        <f aca="false">ABS(D64-1)</f>
        <v>0.161601018869028</v>
      </c>
      <c r="G64" s="9" t="n">
        <f aca="false">AVERAGE(J64:M64)</f>
        <v>0.329004217387826</v>
      </c>
      <c r="H64" s="7" t="str">
        <f aca="false">IF(O64&lt;=30,"YES","")</f>
        <v>YES</v>
      </c>
      <c r="J64" s="9" t="n">
        <f aca="false">'Combined District Data'!H224</f>
        <v>0.355907250644093</v>
      </c>
      <c r="K64" s="9" t="n">
        <f aca="false">'Combined District Data'!H225</f>
        <v>0.316714773025453</v>
      </c>
      <c r="L64" s="9" t="n">
        <f aca="false">'Combined District Data'!H226</f>
        <v>0.3296</v>
      </c>
      <c r="M64" s="9" t="n">
        <f aca="false">'Combined District Data'!H227</f>
        <v>0.313794845881759</v>
      </c>
      <c r="N64" s="8" t="n">
        <f aca="false">F64+(1-E64)</f>
        <v>0.165985804565563</v>
      </c>
      <c r="O64" s="8" t="n">
        <f aca="false">RANK(N64,$N$9:$N$94,1)</f>
        <v>3</v>
      </c>
    </row>
    <row r="65" customFormat="false" ht="15" hidden="false" customHeight="true" outlineLevel="0" collapsed="false">
      <c r="A65" s="8" t="s">
        <v>126</v>
      </c>
      <c r="B65" s="8" t="s">
        <v>99</v>
      </c>
      <c r="C65" s="8" t="s">
        <v>176</v>
      </c>
      <c r="D65" s="18" t="n">
        <f aca="false">SLOPE(J65:M65,$A$6:$D$6)</f>
        <v>0.410804756676793</v>
      </c>
      <c r="E65" s="18" t="n">
        <f aca="false">RSQ(J65:M65,$A$6:$D$6)</f>
        <v>0.247172550629514</v>
      </c>
      <c r="F65" s="18" t="n">
        <f aca="false">ABS(D65-1)</f>
        <v>0.589195243323207</v>
      </c>
      <c r="G65" s="9" t="n">
        <f aca="false">AVERAGE(J65:M65)</f>
        <v>0.481454404895054</v>
      </c>
      <c r="H65" s="7" t="str">
        <f aca="false">IF(O65&lt;=30,"YES","")</f>
        <v/>
      </c>
      <c r="J65" s="9" t="n">
        <f aca="false">'Combined District Data'!H228</f>
        <v>0.48481353325644</v>
      </c>
      <c r="K65" s="9" t="n">
        <f aca="false">'Combined District Data'!H229</f>
        <v>0.465316455696203</v>
      </c>
      <c r="L65" s="9" t="n">
        <f aca="false">'Combined District Data'!H230</f>
        <v>0.497944988934556</v>
      </c>
      <c r="M65" s="9" t="n">
        <f aca="false">'Combined District Data'!H231</f>
        <v>0.477742641693019</v>
      </c>
      <c r="N65" s="8" t="n">
        <f aca="false">F65+(1-E65)</f>
        <v>1.34202269269369</v>
      </c>
      <c r="O65" s="8" t="n">
        <f aca="false">RANK(N65,$N$9:$N$94,1)</f>
        <v>61</v>
      </c>
    </row>
    <row r="66" customFormat="false" ht="15" hidden="false" customHeight="true" outlineLevel="0" collapsed="false">
      <c r="A66" s="8" t="s">
        <v>127</v>
      </c>
      <c r="B66" s="8" t="s">
        <v>99</v>
      </c>
      <c r="C66" s="8" t="s">
        <v>176</v>
      </c>
      <c r="D66" s="18" t="n">
        <f aca="false">SLOPE(J66:M66,$A$6:$D$6)</f>
        <v>0.589791606897672</v>
      </c>
      <c r="E66" s="18" t="n">
        <f aca="false">RSQ(J66:M66,$A$6:$D$6)</f>
        <v>0.333041973018717</v>
      </c>
      <c r="F66" s="18" t="n">
        <f aca="false">ABS(D66-1)</f>
        <v>0.410208393102328</v>
      </c>
      <c r="G66" s="9" t="n">
        <f aca="false">AVERAGE(J66:M66)</f>
        <v>0.399575280480687</v>
      </c>
      <c r="H66" s="7" t="str">
        <f aca="false">IF(O66&lt;=30,"YES","")</f>
        <v/>
      </c>
      <c r="J66" s="9" t="n">
        <f aca="false">'Combined District Data'!H232</f>
        <v>0.40453074433657</v>
      </c>
      <c r="K66" s="9" t="n">
        <f aca="false">'Combined District Data'!H233</f>
        <v>0.385162601626016</v>
      </c>
      <c r="L66" s="9" t="n">
        <f aca="false">'Combined District Data'!H234</f>
        <v>0.421270718232044</v>
      </c>
      <c r="M66" s="9" t="n">
        <f aca="false">'Combined District Data'!H235</f>
        <v>0.387337057728119</v>
      </c>
      <c r="N66" s="8" t="n">
        <f aca="false">F66+(1-E66)</f>
        <v>1.07716642008361</v>
      </c>
      <c r="O66" s="8" t="n">
        <f aca="false">RANK(N66,$N$9:$N$94,1)</f>
        <v>53</v>
      </c>
    </row>
    <row r="67" customFormat="false" ht="15" hidden="false" customHeight="true" outlineLevel="0" collapsed="false">
      <c r="A67" s="8" t="s">
        <v>95</v>
      </c>
      <c r="B67" s="8" t="s">
        <v>99</v>
      </c>
      <c r="C67" s="8" t="s">
        <v>176</v>
      </c>
      <c r="D67" s="18" t="n">
        <f aca="false">SLOPE(J67:M67,$A$6:$D$6)</f>
        <v>1.16494212556409</v>
      </c>
      <c r="E67" s="18" t="n">
        <f aca="false">RSQ(J67:M67,$A$6:$D$6)</f>
        <v>0.975294879558756</v>
      </c>
      <c r="F67" s="18" t="n">
        <f aca="false">ABS(D67-1)</f>
        <v>0.164942125564095</v>
      </c>
      <c r="G67" s="9" t="n">
        <f aca="false">AVERAGE(J67:M67)</f>
        <v>0.352149552193892</v>
      </c>
      <c r="H67" s="7" t="str">
        <f aca="false">IF(O67&lt;=30,"YES","")</f>
        <v>YES</v>
      </c>
      <c r="J67" s="9" t="n">
        <f aca="false">'Combined District Data'!H236</f>
        <v>0.378265412748171</v>
      </c>
      <c r="K67" s="9" t="n">
        <f aca="false">'Combined District Data'!H237</f>
        <v>0.343656343656344</v>
      </c>
      <c r="L67" s="9" t="n">
        <f aca="false">'Combined District Data'!H238</f>
        <v>0.353982300884956</v>
      </c>
      <c r="M67" s="9" t="n">
        <f aca="false">'Combined District Data'!H239</f>
        <v>0.332694151486098</v>
      </c>
      <c r="N67" s="8" t="n">
        <f aca="false">F67+(1-E67)</f>
        <v>0.189647246005339</v>
      </c>
      <c r="O67" s="8" t="n">
        <f aca="false">RANK(N67,$N$9:$N$94,1)</f>
        <v>4</v>
      </c>
    </row>
    <row r="68" customFormat="false" ht="15" hidden="false" customHeight="true" outlineLevel="0" collapsed="false">
      <c r="A68" s="8" t="s">
        <v>128</v>
      </c>
      <c r="B68" s="8" t="s">
        <v>99</v>
      </c>
      <c r="C68" s="8" t="s">
        <v>176</v>
      </c>
      <c r="D68" s="18" t="n">
        <f aca="false">SLOPE(J68:M68,$A$6:$D$6)</f>
        <v>1.62027069347115</v>
      </c>
      <c r="E68" s="18" t="n">
        <f aca="false">RSQ(J68:M68,$A$6:$D$6)</f>
        <v>0.654613439810596</v>
      </c>
      <c r="F68" s="18" t="n">
        <f aca="false">ABS(D68-1)</f>
        <v>0.62027069347115</v>
      </c>
      <c r="G68" s="9" t="n">
        <f aca="false">AVERAGE(J68:M68)</f>
        <v>0.475674658326391</v>
      </c>
      <c r="H68" s="7" t="str">
        <f aca="false">IF(O68&lt;=30,"YES","")</f>
        <v/>
      </c>
      <c r="J68" s="9" t="n">
        <f aca="false">'Combined District Data'!H240</f>
        <v>0.513513513513514</v>
      </c>
      <c r="K68" s="9" t="n">
        <f aca="false">'Combined District Data'!H241</f>
        <v>0.43304347826087</v>
      </c>
      <c r="L68" s="9" t="n">
        <f aca="false">'Combined District Data'!H242</f>
        <v>0.480676328502416</v>
      </c>
      <c r="M68" s="9" t="n">
        <f aca="false">'Combined District Data'!H243</f>
        <v>0.475465313028765</v>
      </c>
      <c r="N68" s="8" t="n">
        <f aca="false">F68+(1-E68)</f>
        <v>0.965657253660554</v>
      </c>
      <c r="O68" s="8" t="n">
        <f aca="false">RANK(N68,$N$9:$N$94,1)</f>
        <v>50</v>
      </c>
    </row>
    <row r="69" customFormat="false" ht="15" hidden="false" customHeight="true" outlineLevel="0" collapsed="false">
      <c r="A69" s="8" t="s">
        <v>129</v>
      </c>
      <c r="B69" s="8" t="s">
        <v>99</v>
      </c>
      <c r="C69" s="8" t="s">
        <v>176</v>
      </c>
      <c r="D69" s="18" t="n">
        <f aca="false">SLOPE(J69:M69,$A$6:$D$6)</f>
        <v>0.385986338903276</v>
      </c>
      <c r="E69" s="18" t="n">
        <f aca="false">RSQ(J69:M69,$A$6:$D$6)</f>
        <v>0.691715657011054</v>
      </c>
      <c r="F69" s="18" t="n">
        <f aca="false">ABS(D69-1)</f>
        <v>0.614013661096724</v>
      </c>
      <c r="G69" s="9" t="n">
        <f aca="false">AVERAGE(J69:M69)</f>
        <v>0.436090519814798</v>
      </c>
      <c r="H69" s="7" t="str">
        <f aca="false">IF(O69&lt;=30,"YES","")</f>
        <v/>
      </c>
      <c r="J69" s="9" t="n">
        <f aca="false">'Combined District Data'!H244</f>
        <v>0.444292080905039</v>
      </c>
      <c r="K69" s="9" t="n">
        <f aca="false">'Combined District Data'!H245</f>
        <v>0.426193921852388</v>
      </c>
      <c r="L69" s="9" t="n">
        <f aca="false">'Combined District Data'!H246</f>
        <v>0.439083232810615</v>
      </c>
      <c r="M69" s="9" t="n">
        <f aca="false">'Combined District Data'!H247</f>
        <v>0.434792843691149</v>
      </c>
      <c r="N69" s="8" t="n">
        <f aca="false">F69+(1-E69)</f>
        <v>0.92229800408567</v>
      </c>
      <c r="O69" s="8" t="n">
        <f aca="false">RANK(N69,$N$9:$N$94,1)</f>
        <v>48</v>
      </c>
    </row>
    <row r="70" customFormat="false" ht="15" hidden="false" customHeight="true" outlineLevel="0" collapsed="false">
      <c r="A70" s="8" t="s">
        <v>130</v>
      </c>
      <c r="B70" s="8" t="s">
        <v>99</v>
      </c>
      <c r="C70" s="8" t="s">
        <v>176</v>
      </c>
      <c r="D70" s="18" t="n">
        <f aca="false">SLOPE(J70:M70,$A$6:$D$6)</f>
        <v>1.05528809800832</v>
      </c>
      <c r="E70" s="18" t="n">
        <f aca="false">RSQ(J70:M70,$A$6:$D$6)</f>
        <v>0.804083684816238</v>
      </c>
      <c r="F70" s="18" t="n">
        <f aca="false">ABS(D70-1)</f>
        <v>0.0552880980083206</v>
      </c>
      <c r="G70" s="9" t="n">
        <f aca="false">AVERAGE(J70:M70)</f>
        <v>0.569394301767686</v>
      </c>
      <c r="H70" s="7" t="str">
        <f aca="false">IF(O70&lt;=30,"YES","")</f>
        <v>YES</v>
      </c>
      <c r="J70" s="9" t="n">
        <f aca="false">'Combined District Data'!H248</f>
        <v>0.587930221593588</v>
      </c>
      <c r="K70" s="9" t="n">
        <f aca="false">'Combined District Data'!H249</f>
        <v>0.553003533568905</v>
      </c>
      <c r="L70" s="9" t="n">
        <f aca="false">'Combined District Data'!H250</f>
        <v>0.584387265590929</v>
      </c>
      <c r="M70" s="9" t="n">
        <f aca="false">'Combined District Data'!H251</f>
        <v>0.552256186317322</v>
      </c>
      <c r="N70" s="8" t="n">
        <f aca="false">F70+(1-E70)</f>
        <v>0.251204413192082</v>
      </c>
      <c r="O70" s="8" t="n">
        <f aca="false">RANK(N70,$N$9:$N$94,1)</f>
        <v>9</v>
      </c>
    </row>
    <row r="71" customFormat="false" ht="15" hidden="false" customHeight="true" outlineLevel="0" collapsed="false">
      <c r="A71" s="8" t="s">
        <v>131</v>
      </c>
      <c r="B71" s="8" t="s">
        <v>99</v>
      </c>
      <c r="C71" s="8" t="s">
        <v>176</v>
      </c>
      <c r="D71" s="18" t="n">
        <f aca="false">SLOPE(J71:M71,$A$6:$D$6)</f>
        <v>0.827863855686808</v>
      </c>
      <c r="E71" s="18" t="n">
        <f aca="false">RSQ(J71:M71,$A$6:$D$6)</f>
        <v>0.284575044380526</v>
      </c>
      <c r="F71" s="18" t="n">
        <f aca="false">ABS(D71-1)</f>
        <v>0.172136144313192</v>
      </c>
      <c r="G71" s="9" t="n">
        <f aca="false">AVERAGE(J71:M71)</f>
        <v>0.426096412419778</v>
      </c>
      <c r="H71" s="7" t="str">
        <f aca="false">IF(O71&lt;=30,"YES","")</f>
        <v/>
      </c>
      <c r="J71" s="9" t="n">
        <f aca="false">'Combined District Data'!H252</f>
        <v>0.436670687575392</v>
      </c>
      <c r="K71" s="9" t="n">
        <f aca="false">'Combined District Data'!H253</f>
        <v>0.391070053887606</v>
      </c>
      <c r="L71" s="9" t="n">
        <f aca="false">'Combined District Data'!H254</f>
        <v>0.451141552511416</v>
      </c>
      <c r="M71" s="9" t="n">
        <f aca="false">'Combined District Data'!H255</f>
        <v>0.425503355704698</v>
      </c>
      <c r="N71" s="8" t="n">
        <f aca="false">F71+(1-E71)</f>
        <v>0.887561099932666</v>
      </c>
      <c r="O71" s="8" t="n">
        <f aca="false">RANK(N71,$N$9:$N$94,1)</f>
        <v>47</v>
      </c>
    </row>
    <row r="72" customFormat="false" ht="15" hidden="false" customHeight="true" outlineLevel="0" collapsed="false">
      <c r="A72" s="8" t="s">
        <v>138</v>
      </c>
      <c r="B72" s="8" t="s">
        <v>139</v>
      </c>
      <c r="C72" s="8" t="s">
        <v>177</v>
      </c>
      <c r="D72" s="18" t="n">
        <f aca="false">SLOPE(J72:M72,$A$6:$D$6)</f>
        <v>0.728205739120115</v>
      </c>
      <c r="E72" s="18" t="n">
        <f aca="false">RSQ(J72:M72,$A$6:$D$6)</f>
        <v>0.811991849470089</v>
      </c>
      <c r="F72" s="18" t="n">
        <f aca="false">ABS(D72-1)</f>
        <v>0.271794260879885</v>
      </c>
      <c r="G72" s="9" t="n">
        <f aca="false">AVERAGE(J72:M72)</f>
        <v>0.528535310679328</v>
      </c>
      <c r="H72" s="7" t="str">
        <f aca="false">IF(O72&lt;=30,"YES","")</f>
        <v>YES</v>
      </c>
      <c r="J72" s="9" t="n">
        <f aca="false">'Combined District Data'!H256</f>
        <v>0.541379310344828</v>
      </c>
      <c r="K72" s="9" t="n">
        <f aca="false">'Combined District Data'!H257</f>
        <v>0.517587939698493</v>
      </c>
      <c r="L72" s="9" t="n">
        <f aca="false">'Combined District Data'!H258</f>
        <v>0.538690476190476</v>
      </c>
      <c r="M72" s="9" t="n">
        <f aca="false">'Combined District Data'!H259</f>
        <v>0.516483516483517</v>
      </c>
      <c r="N72" s="8" t="n">
        <f aca="false">F72+(1-E72)</f>
        <v>0.459802411409797</v>
      </c>
      <c r="O72" s="8" t="n">
        <f aca="false">RANK(N72,$N$9:$N$94,1)</f>
        <v>14</v>
      </c>
    </row>
    <row r="73" customFormat="false" ht="15" hidden="false" customHeight="true" outlineLevel="0" collapsed="false">
      <c r="A73" s="8" t="s">
        <v>140</v>
      </c>
      <c r="B73" s="8" t="s">
        <v>139</v>
      </c>
      <c r="C73" s="8" t="s">
        <v>177</v>
      </c>
      <c r="D73" s="18" t="n">
        <f aca="false">SLOPE(J73:M73,$A$6:$D$6)</f>
        <v>0.655846473028604</v>
      </c>
      <c r="E73" s="18" t="n">
        <f aca="false">RSQ(J73:M73,$A$6:$D$6)</f>
        <v>0.578737734528854</v>
      </c>
      <c r="F73" s="18" t="n">
        <f aca="false">ABS(D73-1)</f>
        <v>0.344153526971396</v>
      </c>
      <c r="G73" s="9" t="n">
        <f aca="false">AVERAGE(J73:M73)</f>
        <v>0.380325054143373</v>
      </c>
      <c r="H73" s="7" t="str">
        <f aca="false">IF(O73&lt;=30,"YES","")</f>
        <v/>
      </c>
      <c r="J73" s="9" t="n">
        <f aca="false">'Combined District Data'!H260</f>
        <v>0.390697674418605</v>
      </c>
      <c r="K73" s="9" t="n">
        <f aca="false">'Combined District Data'!H261</f>
        <v>0.363636363636364</v>
      </c>
      <c r="L73" s="9" t="n">
        <f aca="false">'Combined District Data'!H262</f>
        <v>0.393501805054152</v>
      </c>
      <c r="M73" s="9" t="n">
        <f aca="false">'Combined District Data'!H263</f>
        <v>0.373464373464373</v>
      </c>
      <c r="N73" s="8" t="n">
        <f aca="false">F73+(1-E73)</f>
        <v>0.765415792442542</v>
      </c>
      <c r="O73" s="8" t="n">
        <f aca="false">RANK(N73,$N$9:$N$94,1)</f>
        <v>32</v>
      </c>
    </row>
    <row r="74" customFormat="false" ht="15" hidden="false" customHeight="true" outlineLevel="0" collapsed="false">
      <c r="A74" s="8" t="s">
        <v>141</v>
      </c>
      <c r="B74" s="8" t="s">
        <v>139</v>
      </c>
      <c r="C74" s="8" t="s">
        <v>177</v>
      </c>
      <c r="D74" s="18" t="n">
        <f aca="false">SLOPE(J74:M74,$A$6:$D$6)</f>
        <v>0.612749691944187</v>
      </c>
      <c r="E74" s="18" t="n">
        <f aca="false">RSQ(J74:M74,$A$6:$D$6)</f>
        <v>0.543635789618006</v>
      </c>
      <c r="F74" s="18" t="n">
        <f aca="false">ABS(D74-1)</f>
        <v>0.387250308055813</v>
      </c>
      <c r="G74" s="9" t="n">
        <f aca="false">AVERAGE(J74:M74)</f>
        <v>0.36229225845357</v>
      </c>
      <c r="H74" s="7" t="str">
        <f aca="false">IF(O74&lt;=30,"YES","")</f>
        <v/>
      </c>
      <c r="J74" s="9" t="n">
        <f aca="false">'Combined District Data'!H264</f>
        <v>0.371900826446281</v>
      </c>
      <c r="K74" s="9" t="n">
        <f aca="false">'Combined District Data'!H265</f>
        <v>0.345609065155807</v>
      </c>
      <c r="L74" s="9" t="n">
        <f aca="false">'Combined District Data'!H266</f>
        <v>0.375</v>
      </c>
      <c r="M74" s="9" t="n">
        <f aca="false">'Combined District Data'!H267</f>
        <v>0.35665914221219</v>
      </c>
      <c r="N74" s="8" t="n">
        <f aca="false">F74+(1-E74)</f>
        <v>0.843614518437806</v>
      </c>
      <c r="O74" s="8" t="n">
        <f aca="false">RANK(N74,$N$9:$N$94,1)</f>
        <v>39</v>
      </c>
    </row>
    <row r="75" customFormat="false" ht="15" hidden="false" customHeight="true" outlineLevel="0" collapsed="false">
      <c r="A75" s="8" t="s">
        <v>142</v>
      </c>
      <c r="B75" s="8" t="s">
        <v>139</v>
      </c>
      <c r="C75" s="8" t="s">
        <v>177</v>
      </c>
      <c r="D75" s="18" t="n">
        <f aca="false">SLOPE(J75:M75,$A$6:$D$6)</f>
        <v>0.618218381691361</v>
      </c>
      <c r="E75" s="18" t="n">
        <f aca="false">RSQ(J75:M75,$A$6:$D$6)</f>
        <v>0.450957082602846</v>
      </c>
      <c r="F75" s="18" t="n">
        <f aca="false">ABS(D75-1)</f>
        <v>0.381781618308639</v>
      </c>
      <c r="G75" s="9" t="n">
        <f aca="false">AVERAGE(J75:M75)</f>
        <v>0.319172279488746</v>
      </c>
      <c r="H75" s="7" t="str">
        <f aca="false">IF(O75&lt;=30,"YES","")</f>
        <v/>
      </c>
      <c r="J75" s="9" t="n">
        <f aca="false">'Combined District Data'!H268</f>
        <v>0.32824427480916</v>
      </c>
      <c r="K75" s="9" t="n">
        <f aca="false">'Combined District Data'!H269</f>
        <v>0.29985549132948</v>
      </c>
      <c r="L75" s="9" t="n">
        <f aca="false">'Combined District Data'!H270</f>
        <v>0.333887043189369</v>
      </c>
      <c r="M75" s="9" t="n">
        <f aca="false">'Combined District Data'!H271</f>
        <v>0.314702308626974</v>
      </c>
      <c r="N75" s="8" t="n">
        <f aca="false">F75+(1-E75)</f>
        <v>0.930824535705793</v>
      </c>
      <c r="O75" s="8" t="n">
        <f aca="false">RANK(N75,$N$9:$N$94,1)</f>
        <v>49</v>
      </c>
    </row>
    <row r="76" customFormat="false" ht="15" hidden="false" customHeight="true" outlineLevel="0" collapsed="false">
      <c r="A76" s="8" t="s">
        <v>143</v>
      </c>
      <c r="B76" s="8" t="s">
        <v>139</v>
      </c>
      <c r="C76" s="8" t="s">
        <v>177</v>
      </c>
      <c r="D76" s="18" t="n">
        <f aca="false">SLOPE(J76:M76,$A$6:$D$6)</f>
        <v>0.50827941480024</v>
      </c>
      <c r="E76" s="18" t="n">
        <f aca="false">RSQ(J76:M76,$A$6:$D$6)</f>
        <v>0.275691764553828</v>
      </c>
      <c r="F76" s="18" t="n">
        <f aca="false">ABS(D76-1)</f>
        <v>0.49172058519976</v>
      </c>
      <c r="G76" s="9" t="n">
        <f aca="false">AVERAGE(J76:M76)</f>
        <v>0.410302973862296</v>
      </c>
      <c r="H76" s="7" t="str">
        <f aca="false">IF(O76&lt;=30,"YES","")</f>
        <v/>
      </c>
      <c r="J76" s="9" t="n">
        <f aca="false">'Combined District Data'!H272</f>
        <v>0.415384615384615</v>
      </c>
      <c r="K76" s="9" t="n">
        <f aca="false">'Combined District Data'!H273</f>
        <v>0.390476190476191</v>
      </c>
      <c r="L76" s="9" t="n">
        <f aca="false">'Combined District Data'!H274</f>
        <v>0.428571428571429</v>
      </c>
      <c r="M76" s="9" t="n">
        <f aca="false">'Combined District Data'!H275</f>
        <v>0.406779661016949</v>
      </c>
      <c r="N76" s="8" t="n">
        <f aca="false">F76+(1-E76)</f>
        <v>1.21602882064593</v>
      </c>
      <c r="O76" s="8" t="n">
        <f aca="false">RANK(N76,$N$9:$N$94,1)</f>
        <v>59</v>
      </c>
    </row>
    <row r="77" customFormat="false" ht="15" hidden="false" customHeight="true" outlineLevel="0" collapsed="false">
      <c r="A77" s="8" t="s">
        <v>144</v>
      </c>
      <c r="B77" s="8" t="s">
        <v>139</v>
      </c>
      <c r="C77" s="8" t="s">
        <v>177</v>
      </c>
      <c r="D77" s="18" t="n">
        <f aca="false">SLOPE(J77:M77,$A$6:$D$6)</f>
        <v>0.639702213674155</v>
      </c>
      <c r="E77" s="18" t="n">
        <f aca="false">RSQ(J77:M77,$A$6:$D$6)</f>
        <v>0.487423947510251</v>
      </c>
      <c r="F77" s="18" t="n">
        <f aca="false">ABS(D77-1)</f>
        <v>0.360297786325845</v>
      </c>
      <c r="G77" s="9" t="n">
        <f aca="false">AVERAGE(J77:M77)</f>
        <v>0.326519740823374</v>
      </c>
      <c r="H77" s="7" t="str">
        <f aca="false">IF(O77&lt;=30,"YES","")</f>
        <v/>
      </c>
      <c r="J77" s="9" t="n">
        <f aca="false">'Combined District Data'!H276</f>
        <v>0.336322869955157</v>
      </c>
      <c r="K77" s="9" t="n">
        <f aca="false">'Combined District Data'!H277</f>
        <v>0.307355090112031</v>
      </c>
      <c r="L77" s="9" t="n">
        <f aca="false">'Combined District Data'!H278</f>
        <v>0.340640809443508</v>
      </c>
      <c r="M77" s="9" t="n">
        <f aca="false">'Combined District Data'!H279</f>
        <v>0.321760193782802</v>
      </c>
      <c r="N77" s="8" t="n">
        <f aca="false">F77+(1-E77)</f>
        <v>0.872873838815594</v>
      </c>
      <c r="O77" s="8" t="n">
        <f aca="false">RANK(N77,$N$9:$N$94,1)</f>
        <v>44</v>
      </c>
    </row>
    <row r="78" customFormat="false" ht="15" hidden="false" customHeight="true" outlineLevel="0" collapsed="false">
      <c r="A78" s="8" t="s">
        <v>145</v>
      </c>
      <c r="B78" s="8" t="s">
        <v>139</v>
      </c>
      <c r="C78" s="8" t="s">
        <v>177</v>
      </c>
      <c r="D78" s="18" t="n">
        <f aca="false">SLOPE(J78:M78,$A$6:$D$6)</f>
        <v>0.711775391149023</v>
      </c>
      <c r="E78" s="18" t="n">
        <f aca="false">RSQ(J78:M78,$A$6:$D$6)</f>
        <v>0.739393494279845</v>
      </c>
      <c r="F78" s="18" t="n">
        <f aca="false">ABS(D78-1)</f>
        <v>0.288224608850977</v>
      </c>
      <c r="G78" s="9" t="n">
        <f aca="false">AVERAGE(J78:M78)</f>
        <v>0.474744956861274</v>
      </c>
      <c r="H78" s="7" t="str">
        <f aca="false">IF(O78&lt;=30,"YES","")</f>
        <v>YES</v>
      </c>
      <c r="J78" s="9" t="n">
        <f aca="false">'Combined District Data'!H280</f>
        <v>0.486886348352387</v>
      </c>
      <c r="K78" s="9" t="n">
        <f aca="false">'Combined District Data'!H281</f>
        <v>0.461322081575246</v>
      </c>
      <c r="L78" s="9" t="n">
        <f aca="false">'Combined District Data'!H282</f>
        <v>0.486132914704343</v>
      </c>
      <c r="M78" s="9" t="n">
        <f aca="false">'Combined District Data'!H283</f>
        <v>0.464638482813117</v>
      </c>
      <c r="N78" s="8" t="n">
        <f aca="false">F78+(1-E78)</f>
        <v>0.548831114571133</v>
      </c>
      <c r="O78" s="8" t="n">
        <f aca="false">RANK(N78,$N$9:$N$94,1)</f>
        <v>18</v>
      </c>
    </row>
    <row r="79" customFormat="false" ht="15" hidden="false" customHeight="true" outlineLevel="0" collapsed="false">
      <c r="A79" s="8" t="s">
        <v>146</v>
      </c>
      <c r="B79" s="8" t="s">
        <v>139</v>
      </c>
      <c r="C79" s="8" t="s">
        <v>177</v>
      </c>
      <c r="D79" s="18" t="n">
        <f aca="false">SLOPE(J79:M79,$A$6:$D$6)</f>
        <v>0.64409319885465</v>
      </c>
      <c r="E79" s="18" t="n">
        <f aca="false">RSQ(J79:M79,$A$6:$D$6)</f>
        <v>0.524437007333207</v>
      </c>
      <c r="F79" s="18" t="n">
        <f aca="false">ABS(D79-1)</f>
        <v>0.35590680114535</v>
      </c>
      <c r="G79" s="9" t="n">
        <f aca="false">AVERAGE(J79:M79)</f>
        <v>0.359526227834075</v>
      </c>
      <c r="H79" s="7" t="str">
        <f aca="false">IF(O79&lt;=30,"YES","")</f>
        <v/>
      </c>
      <c r="J79" s="9" t="n">
        <f aca="false">'Combined District Data'!H284</f>
        <v>0.369426751592357</v>
      </c>
      <c r="K79" s="9" t="n">
        <f aca="false">'Combined District Data'!H285</f>
        <v>0.341623036649215</v>
      </c>
      <c r="L79" s="9" t="n">
        <f aca="false">'Combined District Data'!H286</f>
        <v>0.373408769448373</v>
      </c>
      <c r="M79" s="9" t="n">
        <f aca="false">'Combined District Data'!H287</f>
        <v>0.353646353646354</v>
      </c>
      <c r="N79" s="8" t="n">
        <f aca="false">F79+(1-E79)</f>
        <v>0.831469793812143</v>
      </c>
      <c r="O79" s="8" t="n">
        <f aca="false">RANK(N79,$N$9:$N$94,1)</f>
        <v>38</v>
      </c>
    </row>
    <row r="80" customFormat="false" ht="15" hidden="false" customHeight="true" outlineLevel="0" collapsed="false">
      <c r="A80" s="8" t="s">
        <v>147</v>
      </c>
      <c r="B80" s="8" t="s">
        <v>139</v>
      </c>
      <c r="C80" s="8" t="s">
        <v>177</v>
      </c>
      <c r="D80" s="18" t="n">
        <f aca="false">SLOPE(J80:M80,$A$6:$D$6)</f>
        <v>0.721579968425411</v>
      </c>
      <c r="E80" s="18" t="n">
        <f aca="false">RSQ(J80:M80,$A$6:$D$6)</f>
        <v>0.74327495955647</v>
      </c>
      <c r="F80" s="18" t="n">
        <f aca="false">ABS(D80-1)</f>
        <v>0.278420031574589</v>
      </c>
      <c r="G80" s="9" t="n">
        <f aca="false">AVERAGE(J80:M80)</f>
        <v>0.481801031616118</v>
      </c>
      <c r="H80" s="7" t="str">
        <f aca="false">IF(O80&lt;=30,"YES","")</f>
        <v>YES</v>
      </c>
      <c r="J80" s="9" t="n">
        <f aca="false">'Combined District Data'!H288</f>
        <v>0.494082840236686</v>
      </c>
      <c r="K80" s="9" t="n">
        <f aca="false">'Combined District Data'!H289</f>
        <v>0.468500443655723</v>
      </c>
      <c r="L80" s="9" t="n">
        <f aca="false">'Combined District Data'!H290</f>
        <v>0.493348115299335</v>
      </c>
      <c r="M80" s="9" t="n">
        <f aca="false">'Combined District Data'!H291</f>
        <v>0.471272727272727</v>
      </c>
      <c r="N80" s="8" t="n">
        <f aca="false">F80+(1-E80)</f>
        <v>0.535145072018119</v>
      </c>
      <c r="O80" s="8" t="n">
        <f aca="false">RANK(N80,$N$9:$N$94,1)</f>
        <v>17</v>
      </c>
    </row>
    <row r="81" customFormat="false" ht="15" hidden="false" customHeight="true" outlineLevel="0" collapsed="false">
      <c r="A81" s="8" t="s">
        <v>148</v>
      </c>
      <c r="B81" s="8" t="s">
        <v>139</v>
      </c>
      <c r="C81" s="8" t="s">
        <v>177</v>
      </c>
      <c r="D81" s="18" t="n">
        <f aca="false">SLOPE(J81:M81,$A$6:$D$6)</f>
        <v>0.671303279344776</v>
      </c>
      <c r="E81" s="18" t="n">
        <f aca="false">RSQ(J81:M81,$A$6:$D$6)</f>
        <v>0.504818353689544</v>
      </c>
      <c r="F81" s="18" t="n">
        <f aca="false">ABS(D81-1)</f>
        <v>0.328696720655224</v>
      </c>
      <c r="G81" s="9" t="n">
        <f aca="false">AVERAGE(J81:M81)</f>
        <v>0.301794952073524</v>
      </c>
      <c r="H81" s="7" t="str">
        <f aca="false">IF(O81&lt;=30,"YES","")</f>
        <v/>
      </c>
      <c r="J81" s="9" t="n">
        <f aca="false">'Combined District Data'!H292</f>
        <v>0.313432835820896</v>
      </c>
      <c r="K81" s="9" t="n">
        <f aca="false">'Combined District Data'!H293</f>
        <v>0.280701754385965</v>
      </c>
      <c r="L81" s="9" t="n">
        <f aca="false">'Combined District Data'!H294</f>
        <v>0.313725490196078</v>
      </c>
      <c r="M81" s="9" t="n">
        <f aca="false">'Combined District Data'!H295</f>
        <v>0.299319727891156</v>
      </c>
      <c r="N81" s="8" t="n">
        <f aca="false">F81+(1-E81)</f>
        <v>0.82387836696568</v>
      </c>
      <c r="O81" s="8" t="n">
        <f aca="false">RANK(N81,$N$9:$N$94,1)</f>
        <v>36</v>
      </c>
    </row>
    <row r="82" customFormat="false" ht="15" hidden="false" customHeight="true" outlineLevel="0" collapsed="false">
      <c r="A82" s="8" t="s">
        <v>149</v>
      </c>
      <c r="B82" s="8" t="s">
        <v>139</v>
      </c>
      <c r="C82" s="8" t="s">
        <v>177</v>
      </c>
      <c r="D82" s="18" t="n">
        <f aca="false">SLOPE(J82:M82,$A$6:$D$6)</f>
        <v>0.533873204583548</v>
      </c>
      <c r="E82" s="18" t="n">
        <f aca="false">RSQ(J82:M82,$A$6:$D$6)</f>
        <v>0.27194816807832</v>
      </c>
      <c r="F82" s="18" t="n">
        <f aca="false">ABS(D82-1)</f>
        <v>0.466126795416452</v>
      </c>
      <c r="G82" s="9" t="n">
        <f aca="false">AVERAGE(J82:M82)</f>
        <v>0.222717115286948</v>
      </c>
      <c r="H82" s="7" t="str">
        <f aca="false">IF(O82&lt;=30,"YES","")</f>
        <v/>
      </c>
      <c r="J82" s="9" t="n">
        <f aca="false">'Combined District Data'!H296</f>
        <v>0.229050279329609</v>
      </c>
      <c r="K82" s="9" t="n">
        <f aca="false">'Combined District Data'!H297</f>
        <v>0.2</v>
      </c>
      <c r="L82" s="9" t="n">
        <f aca="false">'Combined District Data'!H298</f>
        <v>0.24</v>
      </c>
      <c r="M82" s="9" t="n">
        <f aca="false">'Combined District Data'!H299</f>
        <v>0.221818181818182</v>
      </c>
      <c r="N82" s="8" t="n">
        <f aca="false">F82+(1-E82)</f>
        <v>1.19417862733813</v>
      </c>
      <c r="O82" s="8" t="n">
        <f aca="false">RANK(N82,$N$9:$N$94,1)</f>
        <v>58</v>
      </c>
    </row>
    <row r="83" customFormat="false" ht="15" hidden="false" customHeight="true" outlineLevel="0" collapsed="false">
      <c r="A83" s="8" t="s">
        <v>150</v>
      </c>
      <c r="B83" s="8" t="s">
        <v>139</v>
      </c>
      <c r="C83" s="8" t="s">
        <v>177</v>
      </c>
      <c r="D83" s="18" t="n">
        <f aca="false">SLOPE(J83:M83,$A$6:$D$6)</f>
        <v>0.679087704818321</v>
      </c>
      <c r="E83" s="18" t="n">
        <f aca="false">RSQ(J83:M83,$A$6:$D$6)</f>
        <v>0.644270538905155</v>
      </c>
      <c r="F83" s="18" t="n">
        <f aca="false">ABS(D83-1)</f>
        <v>0.320912295181679</v>
      </c>
      <c r="G83" s="9" t="n">
        <f aca="false">AVERAGE(J83:M83)</f>
        <v>0.422348001562068</v>
      </c>
      <c r="H83" s="7" t="str">
        <f aca="false">IF(O83&lt;=30,"YES","")</f>
        <v>YES</v>
      </c>
      <c r="J83" s="9" t="n">
        <f aca="false">'Combined District Data'!H300</f>
        <v>0.433361994840929</v>
      </c>
      <c r="K83" s="9" t="n">
        <f aca="false">'Combined District Data'!H301</f>
        <v>0.407074973600845</v>
      </c>
      <c r="L83" s="9" t="n">
        <f aca="false">'Combined District Data'!H302</f>
        <v>0.434983498349835</v>
      </c>
      <c r="M83" s="9" t="n">
        <f aca="false">'Combined District Data'!H303</f>
        <v>0.413971539456662</v>
      </c>
      <c r="N83" s="8" t="n">
        <f aca="false">F83+(1-E83)</f>
        <v>0.676641756276524</v>
      </c>
      <c r="O83" s="8" t="n">
        <f aca="false">RANK(N83,$N$9:$N$94,1)</f>
        <v>25</v>
      </c>
    </row>
    <row r="84" customFormat="false" ht="15" hidden="false" customHeight="true" outlineLevel="0" collapsed="false">
      <c r="A84" s="8" t="s">
        <v>151</v>
      </c>
      <c r="B84" s="8" t="s">
        <v>139</v>
      </c>
      <c r="C84" s="8" t="s">
        <v>177</v>
      </c>
      <c r="D84" s="18" t="n">
        <f aca="false">SLOPE(J84:M84,$A$6:$D$6)</f>
        <v>0.64123472658988</v>
      </c>
      <c r="E84" s="18" t="n">
        <f aca="false">RSQ(J84:M84,$A$6:$D$6)</f>
        <v>0.496161256300793</v>
      </c>
      <c r="F84" s="18" t="n">
        <f aca="false">ABS(D84-1)</f>
        <v>0.35876527341012</v>
      </c>
      <c r="G84" s="9" t="n">
        <f aca="false">AVERAGE(J84:M84)</f>
        <v>0.341592237459038</v>
      </c>
      <c r="H84" s="7" t="str">
        <f aca="false">IF(O84&lt;=30,"YES","")</f>
        <v/>
      </c>
      <c r="J84" s="9" t="n">
        <f aca="false">'Combined District Data'!H304</f>
        <v>0.351262349066959</v>
      </c>
      <c r="K84" s="9" t="n">
        <f aca="false">'Combined District Data'!H305</f>
        <v>0.322990126939351</v>
      </c>
      <c r="L84" s="9" t="n">
        <f aca="false">'Combined District Data'!H306</f>
        <v>0.355987055016181</v>
      </c>
      <c r="M84" s="9" t="n">
        <f aca="false">'Combined District Data'!H307</f>
        <v>0.336129418813661</v>
      </c>
      <c r="N84" s="8" t="n">
        <f aca="false">F84+(1-E84)</f>
        <v>0.862604017109327</v>
      </c>
      <c r="O84" s="8" t="n">
        <f aca="false">RANK(N84,$N$9:$N$94,1)</f>
        <v>41</v>
      </c>
    </row>
    <row r="85" customFormat="false" ht="15" hidden="false" customHeight="true" outlineLevel="0" collapsed="false">
      <c r="A85" s="8" t="s">
        <v>152</v>
      </c>
      <c r="B85" s="8" t="s">
        <v>139</v>
      </c>
      <c r="C85" s="8" t="s">
        <v>177</v>
      </c>
      <c r="D85" s="18" t="n">
        <f aca="false">SLOPE(J85:M85,$A$6:$D$6)</f>
        <v>0.639532079126405</v>
      </c>
      <c r="E85" s="18" t="n">
        <f aca="false">RSQ(J85:M85,$A$6:$D$6)</f>
        <v>0.477283765287246</v>
      </c>
      <c r="F85" s="18" t="n">
        <f aca="false">ABS(D85-1)</f>
        <v>0.360467920873595</v>
      </c>
      <c r="G85" s="9" t="n">
        <f aca="false">AVERAGE(J85:M85)</f>
        <v>0.3228178086968</v>
      </c>
      <c r="H85" s="7" t="str">
        <f aca="false">IF(O85&lt;=30,"YES","")</f>
        <v/>
      </c>
      <c r="J85" s="9" t="n">
        <f aca="false">'Combined District Data'!H308</f>
        <v>0.332539682539683</v>
      </c>
      <c r="K85" s="9" t="n">
        <f aca="false">'Combined District Data'!H309</f>
        <v>0.30338266384778</v>
      </c>
      <c r="L85" s="9" t="n">
        <f aca="false">'Combined District Data'!H310</f>
        <v>0.337167070217918</v>
      </c>
      <c r="M85" s="9" t="n">
        <f aca="false">'Combined District Data'!H311</f>
        <v>0.318181818181818</v>
      </c>
      <c r="N85" s="8" t="n">
        <f aca="false">F85+(1-E85)</f>
        <v>0.883184155586349</v>
      </c>
      <c r="O85" s="8" t="n">
        <f aca="false">RANK(N85,$N$9:$N$94,1)</f>
        <v>46</v>
      </c>
    </row>
    <row r="86" customFormat="false" ht="15" hidden="false" customHeight="true" outlineLevel="0" collapsed="false">
      <c r="A86" s="8" t="s">
        <v>153</v>
      </c>
      <c r="B86" s="8" t="s">
        <v>139</v>
      </c>
      <c r="C86" s="8" t="s">
        <v>177</v>
      </c>
      <c r="D86" s="18" t="n">
        <f aca="false">SLOPE(J86:M86,$A$6:$D$6)</f>
        <v>0.706264913718974</v>
      </c>
      <c r="E86" s="18" t="n">
        <f aca="false">RSQ(J86:M86,$A$6:$D$6)</f>
        <v>0.701188262168846</v>
      </c>
      <c r="F86" s="18" t="n">
        <f aca="false">ABS(D86-1)</f>
        <v>0.293735086281026</v>
      </c>
      <c r="G86" s="9" t="n">
        <f aca="false">AVERAGE(J86:M86)</f>
        <v>0.453345837617297</v>
      </c>
      <c r="H86" s="7" t="str">
        <f aca="false">IF(O86&lt;=30,"YES","")</f>
        <v>YES</v>
      </c>
      <c r="J86" s="9" t="n">
        <f aca="false">'Combined District Data'!H312</f>
        <v>0.465174129353234</v>
      </c>
      <c r="K86" s="9" t="n">
        <f aca="false">'Combined District Data'!H313</f>
        <v>0.438925081433225</v>
      </c>
      <c r="L86" s="9" t="n">
        <f aca="false">'Combined District Data'!H314</f>
        <v>0.465355805243446</v>
      </c>
      <c r="M86" s="9" t="n">
        <f aca="false">'Combined District Data'!H315</f>
        <v>0.443928334439283</v>
      </c>
      <c r="N86" s="8" t="n">
        <f aca="false">F86+(1-E86)</f>
        <v>0.59254682411218</v>
      </c>
      <c r="O86" s="8" t="n">
        <f aca="false">RANK(N86,$N$9:$N$94,1)</f>
        <v>20</v>
      </c>
    </row>
    <row r="87" customFormat="false" ht="15" hidden="false" customHeight="true" outlineLevel="0" collapsed="false">
      <c r="A87" s="8" t="s">
        <v>154</v>
      </c>
      <c r="B87" s="8" t="s">
        <v>139</v>
      </c>
      <c r="C87" s="8" t="s">
        <v>177</v>
      </c>
      <c r="D87" s="18" t="n">
        <f aca="false">SLOPE(J87:M87,$A$6:$D$6)</f>
        <v>0.575399974328512</v>
      </c>
      <c r="E87" s="18" t="n">
        <f aca="false">RSQ(J87:M87,$A$6:$D$6)</f>
        <v>0.319417502794385</v>
      </c>
      <c r="F87" s="18" t="n">
        <f aca="false">ABS(D87-1)</f>
        <v>0.424600025671488</v>
      </c>
      <c r="G87" s="9" t="n">
        <f aca="false">AVERAGE(J87:M87)</f>
        <v>0.233034316757342</v>
      </c>
      <c r="H87" s="7" t="str">
        <f aca="false">IF(O87&lt;=30,"YES","")</f>
        <v/>
      </c>
      <c r="J87" s="9" t="n">
        <f aca="false">'Combined District Data'!H316</f>
        <v>0.240654205607477</v>
      </c>
      <c r="K87" s="9" t="n">
        <f aca="false">'Combined District Data'!H317</f>
        <v>0.210344827586207</v>
      </c>
      <c r="L87" s="9" t="n">
        <f aca="false">'Combined District Data'!H318</f>
        <v>0.24950884086444</v>
      </c>
      <c r="M87" s="9" t="n">
        <f aca="false">'Combined District Data'!H319</f>
        <v>0.231629392971246</v>
      </c>
      <c r="N87" s="8" t="n">
        <f aca="false">F87+(1-E87)</f>
        <v>1.1051825228771</v>
      </c>
      <c r="O87" s="8" t="n">
        <f aca="false">RANK(N87,$N$9:$N$94,1)</f>
        <v>54</v>
      </c>
    </row>
    <row r="88" customFormat="false" ht="15" hidden="false" customHeight="true" outlineLevel="0" collapsed="false">
      <c r="A88" s="8" t="s">
        <v>155</v>
      </c>
      <c r="B88" s="8" t="s">
        <v>139</v>
      </c>
      <c r="C88" s="8" t="s">
        <v>177</v>
      </c>
      <c r="D88" s="18" t="n">
        <f aca="false">SLOPE(J88:M88,$A$6:$D$6)</f>
        <v>0.687526868123371</v>
      </c>
      <c r="E88" s="18" t="n">
        <f aca="false">RSQ(J88:M88,$A$6:$D$6)</f>
        <v>0.643278866538235</v>
      </c>
      <c r="F88" s="18" t="n">
        <f aca="false">ABS(D88-1)</f>
        <v>0.312473131876629</v>
      </c>
      <c r="G88" s="9" t="n">
        <f aca="false">AVERAGE(J88:M88)</f>
        <v>0.418148951223414</v>
      </c>
      <c r="H88" s="7" t="str">
        <f aca="false">IF(O88&lt;=30,"YES","")</f>
        <v>YES</v>
      </c>
      <c r="J88" s="9" t="n">
        <f aca="false">'Combined District Data'!H320</f>
        <v>0.429365079365079</v>
      </c>
      <c r="K88" s="9" t="n">
        <f aca="false">'Combined District Data'!H321</f>
        <v>0.402479732951836</v>
      </c>
      <c r="L88" s="9" t="n">
        <f aca="false">'Combined District Data'!H322</f>
        <v>0.430832356389215</v>
      </c>
      <c r="M88" s="9" t="n">
        <f aca="false">'Combined District Data'!H323</f>
        <v>0.409918636187524</v>
      </c>
      <c r="N88" s="8" t="n">
        <f aca="false">F88+(1-E88)</f>
        <v>0.669194265338394</v>
      </c>
      <c r="O88" s="8" t="n">
        <f aca="false">RANK(N88,$N$9:$N$94,1)</f>
        <v>24</v>
      </c>
    </row>
    <row r="89" customFormat="false" ht="15" hidden="false" customHeight="true" outlineLevel="0" collapsed="false">
      <c r="A89" s="8" t="s">
        <v>156</v>
      </c>
      <c r="B89" s="8" t="s">
        <v>139</v>
      </c>
      <c r="C89" s="8" t="s">
        <v>177</v>
      </c>
      <c r="D89" s="18" t="n">
        <f aca="false">SLOPE(J89:M89,$A$6:$D$6)</f>
        <v>0.638998100527964</v>
      </c>
      <c r="E89" s="18" t="n">
        <f aca="false">RSQ(J89:M89,$A$6:$D$6)</f>
        <v>0.534175115492415</v>
      </c>
      <c r="F89" s="18" t="n">
        <f aca="false">ABS(D89-1)</f>
        <v>0.361001899472036</v>
      </c>
      <c r="G89" s="9" t="n">
        <f aca="false">AVERAGE(J89:M89)</f>
        <v>0.382611961159607</v>
      </c>
      <c r="H89" s="7" t="str">
        <f aca="false">IF(O89&lt;=30,"YES","")</f>
        <v/>
      </c>
      <c r="J89" s="9" t="n">
        <f aca="false">'Combined District Data'!H324</f>
        <v>0.392307692307692</v>
      </c>
      <c r="K89" s="9" t="n">
        <f aca="false">'Combined District Data'!H325</f>
        <v>0.365482233502538</v>
      </c>
      <c r="L89" s="9" t="n">
        <f aca="false">'Combined District Data'!H326</f>
        <v>0.396551724137931</v>
      </c>
      <c r="M89" s="9" t="n">
        <f aca="false">'Combined District Data'!H327</f>
        <v>0.376106194690265</v>
      </c>
      <c r="N89" s="8" t="n">
        <f aca="false">F89+(1-E89)</f>
        <v>0.826826783979621</v>
      </c>
      <c r="O89" s="8" t="n">
        <f aca="false">RANK(N89,$N$9:$N$94,1)</f>
        <v>37</v>
      </c>
    </row>
    <row r="90" customFormat="false" ht="15" hidden="false" customHeight="true" outlineLevel="0" collapsed="false">
      <c r="A90" s="8" t="s">
        <v>157</v>
      </c>
      <c r="B90" s="8" t="s">
        <v>139</v>
      </c>
      <c r="C90" s="8" t="s">
        <v>177</v>
      </c>
      <c r="D90" s="18" t="n">
        <f aca="false">SLOPE(J90:M90,$A$6:$D$6)</f>
        <v>0.66276883774472</v>
      </c>
      <c r="E90" s="18" t="n">
        <f aca="false">RSQ(J90:M90,$A$6:$D$6)</f>
        <v>0.600445227679433</v>
      </c>
      <c r="F90" s="18" t="n">
        <f aca="false">ABS(D90-1)</f>
        <v>0.33723116225528</v>
      </c>
      <c r="G90" s="9" t="n">
        <f aca="false">AVERAGE(J90:M90)</f>
        <v>0.398998247488049</v>
      </c>
      <c r="H90" s="7" t="str">
        <f aca="false">IF(O90&lt;=30,"YES","")</f>
        <v>YES</v>
      </c>
      <c r="J90" s="9" t="n">
        <f aca="false">'Combined District Data'!H328</f>
        <v>0.409541984732824</v>
      </c>
      <c r="K90" s="9" t="n">
        <f aca="false">'Combined District Data'!H329</f>
        <v>0.382846631409519</v>
      </c>
      <c r="L90" s="9" t="n">
        <f aca="false">'Combined District Data'!H330</f>
        <v>0.412037037037037</v>
      </c>
      <c r="M90" s="9" t="n">
        <f aca="false">'Combined District Data'!H331</f>
        <v>0.391567336772816</v>
      </c>
      <c r="N90" s="8" t="n">
        <f aca="false">F90+(1-E90)</f>
        <v>0.736785934575847</v>
      </c>
      <c r="O90" s="8" t="n">
        <f aca="false">RANK(N90,$N$9:$N$94,1)</f>
        <v>30</v>
      </c>
    </row>
    <row r="91" customFormat="false" ht="15" hidden="false" customHeight="true" outlineLevel="0" collapsed="false">
      <c r="A91" s="8" t="s">
        <v>158</v>
      </c>
      <c r="B91" s="8" t="s">
        <v>139</v>
      </c>
      <c r="C91" s="8" t="s">
        <v>177</v>
      </c>
      <c r="D91" s="18" t="n">
        <f aca="false">SLOPE(J91:M91,$A$6:$D$6)</f>
        <v>0.712828234234451</v>
      </c>
      <c r="E91" s="18" t="n">
        <f aca="false">RSQ(J91:M91,$A$6:$D$6)</f>
        <v>0.757031943473505</v>
      </c>
      <c r="F91" s="18" t="n">
        <f aca="false">ABS(D91-1)</f>
        <v>0.28717176576555</v>
      </c>
      <c r="G91" s="9" t="n">
        <f aca="false">AVERAGE(J91:M91)</f>
        <v>0.491818865032054</v>
      </c>
      <c r="H91" s="7" t="str">
        <f aca="false">IF(O91&lt;=30,"YES","")</f>
        <v>YES</v>
      </c>
      <c r="J91" s="9" t="n">
        <f aca="false">'Combined District Data'!H332</f>
        <v>0.503937007874016</v>
      </c>
      <c r="K91" s="9" t="n">
        <f aca="false">'Combined District Data'!H333</f>
        <v>0.479568234387047</v>
      </c>
      <c r="L91" s="9" t="n">
        <f aca="false">'Combined District Data'!H334</f>
        <v>0.503089143865843</v>
      </c>
      <c r="M91" s="9" t="n">
        <f aca="false">'Combined District Data'!H335</f>
        <v>0.48068107400131</v>
      </c>
      <c r="N91" s="8" t="n">
        <f aca="false">F91+(1-E91)</f>
        <v>0.530139822292044</v>
      </c>
      <c r="O91" s="8" t="n">
        <f aca="false">RANK(N91,$N$9:$N$94,1)</f>
        <v>16</v>
      </c>
    </row>
    <row r="92" customFormat="false" ht="15" hidden="false" customHeight="true" outlineLevel="0" collapsed="false">
      <c r="A92" s="8" t="s">
        <v>159</v>
      </c>
      <c r="B92" s="8" t="s">
        <v>139</v>
      </c>
      <c r="C92" s="8" t="s">
        <v>177</v>
      </c>
      <c r="D92" s="18" t="n">
        <f aca="false">SLOPE(J92:M92,$A$6:$D$6)</f>
        <v>0.643118624369839</v>
      </c>
      <c r="E92" s="18" t="n">
        <f aca="false">RSQ(J92:M92,$A$6:$D$6)</f>
        <v>0.488053476006622</v>
      </c>
      <c r="F92" s="18" t="n">
        <f aca="false">ABS(D92-1)</f>
        <v>0.356881375630161</v>
      </c>
      <c r="G92" s="9" t="n">
        <f aca="false">AVERAGE(J92:M92)</f>
        <v>0.329739347362447</v>
      </c>
      <c r="H92" s="7" t="str">
        <f aca="false">IF(O92&lt;=30,"YES","")</f>
        <v/>
      </c>
      <c r="J92" s="9" t="n">
        <f aca="false">'Combined District Data'!H336</f>
        <v>0.339518900343643</v>
      </c>
      <c r="K92" s="9" t="n">
        <f aca="false">'Combined District Data'!H337</f>
        <v>0.310619469026549</v>
      </c>
      <c r="L92" s="9" t="n">
        <f aca="false">'Combined District Data'!H338</f>
        <v>0.344080604534005</v>
      </c>
      <c r="M92" s="9" t="n">
        <f aca="false">'Combined District Data'!H339</f>
        <v>0.32473841554559</v>
      </c>
      <c r="N92" s="8" t="n">
        <f aca="false">F92+(1-E92)</f>
        <v>0.868827899623539</v>
      </c>
      <c r="O92" s="8" t="n">
        <f aca="false">RANK(N92,$N$9:$N$94,1)</f>
        <v>43</v>
      </c>
    </row>
    <row r="93" customFormat="false" ht="15" hidden="false" customHeight="true" outlineLevel="0" collapsed="false">
      <c r="A93" s="8" t="s">
        <v>160</v>
      </c>
      <c r="B93" s="8" t="s">
        <v>139</v>
      </c>
      <c r="C93" s="8" t="s">
        <v>177</v>
      </c>
      <c r="D93" s="18" t="n">
        <f aca="false">SLOPE(J93:M93,$A$6:$D$6)</f>
        <v>0.66929087073101</v>
      </c>
      <c r="E93" s="18" t="n">
        <f aca="false">RSQ(J93:M93,$A$6:$D$6)</f>
        <v>0.540443406045607</v>
      </c>
      <c r="F93" s="18" t="n">
        <f aca="false">ABS(D93-1)</f>
        <v>0.330709129268991</v>
      </c>
      <c r="G93" s="9" t="n">
        <f aca="false">AVERAGE(J93:M93)</f>
        <v>0.348039027719912</v>
      </c>
      <c r="H93" s="7" t="str">
        <f aca="false">IF(O93&lt;=30,"YES","")</f>
        <v/>
      </c>
      <c r="J93" s="9" t="n">
        <f aca="false">'Combined District Data'!H340</f>
        <v>0.358578052550232</v>
      </c>
      <c r="K93" s="9" t="n">
        <f aca="false">'Combined District Data'!H341</f>
        <v>0.329614604462475</v>
      </c>
      <c r="L93" s="9" t="n">
        <f aca="false">'Combined District Data'!H342</f>
        <v>0.361858190709046</v>
      </c>
      <c r="M93" s="9" t="n">
        <f aca="false">'Combined District Data'!H343</f>
        <v>0.342105263157895</v>
      </c>
      <c r="N93" s="8" t="n">
        <f aca="false">F93+(1-E93)</f>
        <v>0.790265723223383</v>
      </c>
      <c r="O93" s="8" t="n">
        <f aca="false">RANK(N93,$N$9:$N$94,1)</f>
        <v>34</v>
      </c>
    </row>
    <row r="94" customFormat="false" ht="15" hidden="false" customHeight="true" outlineLevel="0" collapsed="false">
      <c r="A94" s="8" t="s">
        <v>161</v>
      </c>
      <c r="B94" s="8" t="s">
        <v>139</v>
      </c>
      <c r="C94" s="8" t="s">
        <v>177</v>
      </c>
      <c r="D94" s="18" t="n">
        <f aca="false">SLOPE(J94:M94,$A$6:$D$6)</f>
        <v>0.435752979953628</v>
      </c>
      <c r="E94" s="18" t="n">
        <f aca="false">RSQ(J94:M94,$A$6:$D$6)</f>
        <v>0.374554214212245</v>
      </c>
      <c r="F94" s="18" t="n">
        <f aca="false">ABS(D94-1)</f>
        <v>0.564247020046372</v>
      </c>
      <c r="G94" s="9" t="n">
        <f aca="false">AVERAGE(J94:M94)</f>
        <v>0.409837236636085</v>
      </c>
      <c r="H94" s="7" t="str">
        <f aca="false">IF(O94&lt;=30,"YES","")</f>
        <v/>
      </c>
      <c r="J94" s="9" t="n">
        <f aca="false">'Combined District Data'!H344</f>
        <v>0.414285714285714</v>
      </c>
      <c r="K94" s="9" t="n">
        <f aca="false">'Combined District Data'!H345</f>
        <v>0.398305084745763</v>
      </c>
      <c r="L94" s="9" t="n">
        <f aca="false">'Combined District Data'!H346</f>
        <v>0.424242424242424</v>
      </c>
      <c r="M94" s="9" t="n">
        <f aca="false">'Combined District Data'!H347</f>
        <v>0.40251572327044</v>
      </c>
      <c r="N94" s="8" t="n">
        <f aca="false">F94+(1-E94)</f>
        <v>1.18969280583413</v>
      </c>
      <c r="O94" s="8" t="n">
        <f aca="false">RANK(N94,$N$9:$N$94,1)</f>
        <v>57</v>
      </c>
    </row>
  </sheetData>
  <mergeCells count="2">
    <mergeCell ref="A1:H1"/>
    <mergeCell ref="A2:H2"/>
  </mergeCells>
  <conditionalFormatting sqref="H9:H94">
    <cfRule type="expression" priority="2" aboveAverage="0" equalAverage="0" bottom="0" percent="0" rank="0" text="" dxfId="5">
      <formula>H9="YES"</formula>
    </cfRule>
  </conditionalFormatting>
  <conditionalFormatting sqref="F9:F94">
    <cfRule type="colorScale" priority="3">
      <colorScale>
        <cfvo type="min" val="0"/>
        <cfvo type="max" val="0"/>
        <color rgb="FFC6EFCE"/>
        <color rgb="FFFFC7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4" min="3" style="1" width="18"/>
  </cols>
  <sheetData>
    <row r="1" customFormat="false" ht="15" hidden="false" customHeight="true" outlineLevel="0" collapsed="false">
      <c r="A1" s="7" t="s">
        <v>60</v>
      </c>
      <c r="B1" s="7" t="s">
        <v>209</v>
      </c>
      <c r="C1" s="7" t="s">
        <v>210</v>
      </c>
      <c r="D1" s="7" t="s">
        <v>211</v>
      </c>
    </row>
    <row r="2" customFormat="false" ht="15" hidden="false" customHeight="true" outlineLevel="0" collapsed="false">
      <c r="A2" s="8" t="s">
        <v>138</v>
      </c>
      <c r="B2" s="8" t="n">
        <v>0.0544</v>
      </c>
      <c r="C2" s="8" t="n">
        <v>290</v>
      </c>
      <c r="D2" s="8" t="n">
        <v>336</v>
      </c>
    </row>
    <row r="3" customFormat="false" ht="15" hidden="false" customHeight="true" outlineLevel="0" collapsed="false">
      <c r="A3" s="8" t="s">
        <v>140</v>
      </c>
      <c r="B3" s="8" t="n">
        <v>-0.2367</v>
      </c>
      <c r="C3" s="8" t="n">
        <v>215</v>
      </c>
      <c r="D3" s="8" t="n">
        <v>277</v>
      </c>
    </row>
    <row r="4" customFormat="false" ht="15" hidden="false" customHeight="true" outlineLevel="0" collapsed="false">
      <c r="A4" s="8" t="s">
        <v>141</v>
      </c>
      <c r="B4" s="8" t="n">
        <v>-0.2708</v>
      </c>
      <c r="C4" s="8" t="n">
        <v>242</v>
      </c>
      <c r="D4" s="8" t="n">
        <v>320</v>
      </c>
    </row>
    <row r="5" customFormat="false" ht="15" hidden="false" customHeight="true" outlineLevel="0" collapsed="false">
      <c r="A5" s="8" t="s">
        <v>142</v>
      </c>
      <c r="B5" s="8" t="n">
        <v>-0.3559</v>
      </c>
      <c r="C5" s="8" t="n">
        <v>917</v>
      </c>
      <c r="D5" s="8" t="n">
        <v>1204</v>
      </c>
    </row>
    <row r="6" customFormat="false" ht="15" hidden="false" customHeight="true" outlineLevel="0" collapsed="false">
      <c r="A6" s="8" t="s">
        <v>143</v>
      </c>
      <c r="B6" s="8" t="n">
        <v>-0.1758</v>
      </c>
      <c r="C6" s="8" t="n">
        <v>65</v>
      </c>
      <c r="D6" s="8" t="n">
        <v>84</v>
      </c>
    </row>
    <row r="7" customFormat="false" ht="15" hidden="false" customHeight="true" outlineLevel="0" collapsed="false">
      <c r="A7" s="8" t="s">
        <v>144</v>
      </c>
      <c r="B7" s="8" t="n">
        <v>-0.3415</v>
      </c>
      <c r="C7" s="8" t="n">
        <v>1338</v>
      </c>
      <c r="D7" s="8" t="n">
        <v>1779</v>
      </c>
    </row>
    <row r="8" customFormat="false" ht="15" hidden="false" customHeight="true" outlineLevel="0" collapsed="false">
      <c r="A8" s="8" t="s">
        <v>145</v>
      </c>
      <c r="B8" s="8" t="n">
        <v>-0.0499</v>
      </c>
      <c r="C8" s="8" t="n">
        <v>1487</v>
      </c>
      <c r="D8" s="8" t="n">
        <v>1911</v>
      </c>
    </row>
    <row r="9" customFormat="false" ht="15" hidden="false" customHeight="true" outlineLevel="0" collapsed="false">
      <c r="A9" s="8" t="s">
        <v>146</v>
      </c>
      <c r="B9" s="8" t="n">
        <v>-0.2766</v>
      </c>
      <c r="C9" s="8" t="n">
        <v>471</v>
      </c>
      <c r="D9" s="8" t="n">
        <v>707</v>
      </c>
    </row>
    <row r="10" customFormat="false" ht="15" hidden="false" customHeight="true" outlineLevel="0" collapsed="false">
      <c r="A10" s="8" t="s">
        <v>147</v>
      </c>
      <c r="B10" s="8" t="n">
        <v>-0.0367</v>
      </c>
      <c r="C10" s="8" t="n">
        <v>676</v>
      </c>
      <c r="D10" s="8" t="n">
        <v>902</v>
      </c>
    </row>
    <row r="11" customFormat="false" ht="15" hidden="false" customHeight="true" outlineLevel="0" collapsed="false">
      <c r="A11" s="8" t="s">
        <v>148</v>
      </c>
      <c r="B11" s="8" t="n">
        <v>-0.388</v>
      </c>
      <c r="C11" s="8" t="n">
        <v>67</v>
      </c>
      <c r="D11" s="8" t="n">
        <v>102</v>
      </c>
    </row>
    <row r="12" customFormat="false" ht="15" hidden="false" customHeight="true" outlineLevel="0" collapsed="false">
      <c r="A12" s="8" t="s">
        <v>149</v>
      </c>
      <c r="B12" s="8" t="n">
        <v>-0.5436</v>
      </c>
      <c r="C12" s="8" t="n">
        <v>179</v>
      </c>
      <c r="D12" s="8" t="n">
        <v>225</v>
      </c>
    </row>
    <row r="13" customFormat="false" ht="15" hidden="false" customHeight="true" outlineLevel="0" collapsed="false">
      <c r="A13" s="8" t="s">
        <v>150</v>
      </c>
      <c r="B13" s="8" t="n">
        <v>-0.1529</v>
      </c>
      <c r="C13" s="8" t="n">
        <v>1163</v>
      </c>
      <c r="D13" s="8" t="n">
        <v>1515</v>
      </c>
    </row>
    <row r="14" customFormat="false" ht="15" hidden="false" customHeight="true" outlineLevel="0" collapsed="false">
      <c r="A14" s="8" t="s">
        <v>151</v>
      </c>
      <c r="B14" s="8" t="n">
        <v>-0.3117</v>
      </c>
      <c r="C14" s="8" t="n">
        <v>911</v>
      </c>
      <c r="D14" s="8" t="n">
        <v>1236</v>
      </c>
    </row>
    <row r="15" customFormat="false" ht="15" hidden="false" customHeight="true" outlineLevel="0" collapsed="false">
      <c r="A15" s="8" t="s">
        <v>152</v>
      </c>
      <c r="B15" s="8" t="n">
        <v>-0.3487</v>
      </c>
      <c r="C15" s="8" t="n">
        <v>1260</v>
      </c>
      <c r="D15" s="8" t="n">
        <v>1652</v>
      </c>
    </row>
    <row r="16" customFormat="false" ht="15" hidden="false" customHeight="true" outlineLevel="0" collapsed="false">
      <c r="A16" s="8" t="s">
        <v>153</v>
      </c>
      <c r="B16" s="8" t="n">
        <v>-0.0922</v>
      </c>
      <c r="C16" s="8" t="n">
        <v>804</v>
      </c>
      <c r="D16" s="8" t="n">
        <v>1068</v>
      </c>
    </row>
    <row r="17" customFormat="false" ht="15" hidden="false" customHeight="true" outlineLevel="0" collapsed="false">
      <c r="A17" s="8" t="s">
        <v>154</v>
      </c>
      <c r="B17" s="8" t="n">
        <v>-0.5241</v>
      </c>
      <c r="C17" s="8" t="n">
        <v>428</v>
      </c>
      <c r="D17" s="8" t="n">
        <v>509</v>
      </c>
    </row>
    <row r="18" customFormat="false" ht="15" hidden="false" customHeight="true" outlineLevel="0" collapsed="false">
      <c r="A18" s="8" t="s">
        <v>155</v>
      </c>
      <c r="B18" s="8" t="n">
        <v>-0.1615</v>
      </c>
      <c r="C18" s="8" t="n">
        <v>1260</v>
      </c>
      <c r="D18" s="8" t="n">
        <v>1706</v>
      </c>
    </row>
    <row r="19" customFormat="false" ht="15" hidden="false" customHeight="true" outlineLevel="0" collapsed="false">
      <c r="A19" s="8" t="s">
        <v>156</v>
      </c>
      <c r="B19" s="8" t="n">
        <v>-0.2345</v>
      </c>
      <c r="C19" s="8" t="n">
        <v>130</v>
      </c>
      <c r="D19" s="8" t="n">
        <v>174</v>
      </c>
    </row>
    <row r="20" customFormat="false" ht="15" hidden="false" customHeight="true" outlineLevel="0" collapsed="false">
      <c r="A20" s="8" t="s">
        <v>157</v>
      </c>
      <c r="B20" s="8" t="n">
        <v>-0.1988</v>
      </c>
      <c r="C20" s="8" t="n">
        <v>2620</v>
      </c>
      <c r="D20" s="8" t="n">
        <v>3888</v>
      </c>
    </row>
    <row r="21" customFormat="false" ht="15" hidden="false" customHeight="true" outlineLevel="0" collapsed="false">
      <c r="A21" s="8" t="s">
        <v>158</v>
      </c>
      <c r="B21" s="8" t="n">
        <v>-0.0164</v>
      </c>
      <c r="C21" s="8" t="n">
        <v>889</v>
      </c>
      <c r="D21" s="8" t="n">
        <v>1133</v>
      </c>
    </row>
    <row r="22" customFormat="false" ht="15" hidden="false" customHeight="true" outlineLevel="0" collapsed="false">
      <c r="A22" s="8" t="s">
        <v>159</v>
      </c>
      <c r="B22" s="8" t="n">
        <v>-0.3354</v>
      </c>
      <c r="C22" s="8" t="n">
        <v>1455</v>
      </c>
      <c r="D22" s="8" t="n">
        <v>1985</v>
      </c>
    </row>
    <row r="23" customFormat="false" ht="15" hidden="false" customHeight="true" outlineLevel="0" collapsed="false">
      <c r="A23" s="8" t="s">
        <v>160</v>
      </c>
      <c r="B23" s="8" t="n">
        <v>-0.2992</v>
      </c>
      <c r="C23" s="8" t="n">
        <v>647</v>
      </c>
      <c r="D23" s="8" t="n">
        <v>818</v>
      </c>
    </row>
    <row r="24" customFormat="false" ht="15" hidden="false" customHeight="true" outlineLevel="0" collapsed="false">
      <c r="A24" s="8" t="s">
        <v>161</v>
      </c>
      <c r="B24" s="8" t="n">
        <v>-0.177</v>
      </c>
      <c r="C24" s="8" t="n">
        <v>70</v>
      </c>
      <c r="D24" s="8" t="n">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3"/>
    <col collapsed="false" customWidth="true" hidden="false" outlineLevel="0" max="4" min="4" style="1" width="18"/>
    <col collapsed="false" customWidth="true" hidden="false" outlineLevel="0" max="7" min="5" style="1" width="16"/>
    <col collapsed="false" customWidth="true" hidden="false" outlineLevel="0" max="8" min="8" style="1" width="14"/>
    <col collapsed="false" customWidth="true" hidden="true" outlineLevel="0" max="13" min="10" style="1" width="13"/>
  </cols>
  <sheetData>
    <row r="1" customFormat="false" ht="15.75" hidden="false" customHeight="true" outlineLevel="0" collapsed="false">
      <c r="A1" s="11" t="s">
        <v>212</v>
      </c>
      <c r="B1" s="11"/>
      <c r="C1" s="11"/>
      <c r="D1" s="11"/>
      <c r="E1" s="11"/>
      <c r="F1" s="11"/>
      <c r="G1" s="11"/>
      <c r="H1" s="11"/>
    </row>
    <row r="2" customFormat="false" ht="39.75" hidden="false" customHeight="true" outlineLevel="0" collapsed="false">
      <c r="A2" s="10" t="s">
        <v>213</v>
      </c>
      <c r="B2" s="10"/>
      <c r="C2" s="10"/>
      <c r="D2" s="10"/>
      <c r="E2" s="10"/>
      <c r="F2" s="10"/>
      <c r="G2" s="10"/>
      <c r="H2" s="10"/>
    </row>
    <row r="4" customFormat="false" ht="15" hidden="false" customHeight="true" outlineLevel="0" collapsed="false">
      <c r="A4" s="7" t="s">
        <v>60</v>
      </c>
      <c r="B4" s="7" t="s">
        <v>61</v>
      </c>
      <c r="C4" s="7" t="s">
        <v>175</v>
      </c>
      <c r="D4" s="7" t="s">
        <v>214</v>
      </c>
      <c r="E4" s="7" t="s">
        <v>215</v>
      </c>
      <c r="F4" s="7" t="s">
        <v>216</v>
      </c>
      <c r="G4" s="7" t="s">
        <v>217</v>
      </c>
      <c r="H4" s="7" t="s">
        <v>218</v>
      </c>
    </row>
    <row r="5" customFormat="false" ht="15" hidden="false" customHeight="true" outlineLevel="0" collapsed="false">
      <c r="A5" s="8" t="s">
        <v>72</v>
      </c>
      <c r="B5" s="8" t="s">
        <v>73</v>
      </c>
      <c r="C5" s="8" t="s">
        <v>219</v>
      </c>
      <c r="D5" s="12" t="n">
        <f aca="false">MAX(0, 2*'House Vote Data (Actual)'!G4 - 'House Vote Data (Actual)'!G2)</f>
        <v>1130</v>
      </c>
      <c r="E5" s="9" t="n">
        <f aca="false">MIN(1,MAX(0, SLOPE(J5:M5,{2018,2020,2022,2024})*2026 + INTERCEPT(J5:M5,{2018,2020,2022,2024})))</f>
        <v>0.430130859149536</v>
      </c>
      <c r="F5" s="12" t="n">
        <f aca="false">ROUND(D5*E5,0)</f>
        <v>486</v>
      </c>
      <c r="G5" s="12" t="n">
        <f aca="false">ROUND(D5*(1-E5),0)</f>
        <v>644</v>
      </c>
      <c r="H5" s="8" t="str">
        <f aca="false">IF(E5&gt;0.5,"Democrat","Republican")</f>
        <v>Republican</v>
      </c>
      <c r="J5" s="9" t="n">
        <f aca="false">'House Vote Data (Actual)'!H2</f>
        <v>0.506696428571429</v>
      </c>
      <c r="K5" s="9" t="n">
        <f aca="false">'House Vote Data (Actual)'!H3</f>
        <v>0.467005076142132</v>
      </c>
      <c r="L5" s="9" t="n">
        <f aca="false">'House Vote Data (Actual)'!H4</f>
        <v>0.487660414610069</v>
      </c>
      <c r="M5" s="9" t="n">
        <f aca="false">'House Vote Data (Actual)'!H5</f>
        <v>0.439648866130212</v>
      </c>
    </row>
    <row r="6" customFormat="false" ht="15" hidden="false" customHeight="true" outlineLevel="0" collapsed="false">
      <c r="A6" s="8" t="s">
        <v>74</v>
      </c>
      <c r="B6" s="8" t="s">
        <v>73</v>
      </c>
      <c r="C6" s="8" t="s">
        <v>219</v>
      </c>
      <c r="D6" s="12" t="n">
        <f aca="false">MAX(0, 2*'House Vote Data (Actual)'!G8 - 'House Vote Data (Actual)'!G6)</f>
        <v>21769</v>
      </c>
      <c r="E6" s="9" t="n">
        <f aca="false">MIN(1,MAX(0, SLOPE(J6:M6,{2018,2020,2022,2024})*2026 + INTERCEPT(J6:M6,{2018,2020,2022,2024})))</f>
        <v>0.630993482107975</v>
      </c>
      <c r="F6" s="12" t="n">
        <f aca="false">ROUND(D6*E6,0)</f>
        <v>13736</v>
      </c>
      <c r="G6" s="12" t="n">
        <f aca="false">ROUND(D6*(1-E6),0)</f>
        <v>8033</v>
      </c>
      <c r="H6" s="8" t="str">
        <f aca="false">IF(E6&gt;0.5,"Democrat","Republican")</f>
        <v>Democrat</v>
      </c>
      <c r="J6" s="9" t="n">
        <f aca="false">'House Vote Data (Actual)'!H6</f>
        <v>0.710555416830164</v>
      </c>
      <c r="K6" s="9" t="n">
        <f aca="false">'House Vote Data (Actual)'!H7</f>
        <v>0.6835901198337</v>
      </c>
      <c r="L6" s="9" t="n">
        <f aca="false">'House Vote Data (Actual)'!H8</f>
        <v>0.681297939841773</v>
      </c>
      <c r="M6" s="9" t="n">
        <f aca="false">'House Vote Data (Actual)'!H9</f>
        <v>0.645622220602172</v>
      </c>
    </row>
    <row r="7" customFormat="false" ht="15" hidden="false" customHeight="true" outlineLevel="0" collapsed="false">
      <c r="A7" s="8" t="s">
        <v>75</v>
      </c>
      <c r="B7" s="8" t="s">
        <v>73</v>
      </c>
      <c r="C7" s="8" t="s">
        <v>219</v>
      </c>
      <c r="D7" s="12" t="n">
        <f aca="false">MAX(0, 2*'House Vote Data (Actual)'!G12 - 'House Vote Data (Actual)'!G10)</f>
        <v>8404</v>
      </c>
      <c r="E7" s="9" t="n">
        <f aca="false">MIN(1,MAX(0, SLOPE(J7:M7,{2018,2020,2022,2024})*2026 + INTERCEPT(J7:M7,{2018,2020,2022,2024})))</f>
        <v>0.643057260193942</v>
      </c>
      <c r="F7" s="12" t="n">
        <f aca="false">ROUND(D7*E7,0)</f>
        <v>5404</v>
      </c>
      <c r="G7" s="12" t="n">
        <f aca="false">ROUND(D7*(1-E7),0)</f>
        <v>3000</v>
      </c>
      <c r="H7" s="8" t="str">
        <f aca="false">IF(E7&gt;0.5,"Democrat","Republican")</f>
        <v>Democrat</v>
      </c>
      <c r="J7" s="9" t="n">
        <f aca="false">'House Vote Data (Actual)'!H10</f>
        <v>0.637029005150447</v>
      </c>
      <c r="K7" s="9" t="n">
        <f aca="false">'House Vote Data (Actual)'!H11</f>
        <v>0.631153133833707</v>
      </c>
      <c r="L7" s="9" t="n">
        <f aca="false">'House Vote Data (Actual)'!H12</f>
        <v>0.657204410087441</v>
      </c>
      <c r="M7" s="9" t="n">
        <f aca="false">'House Vote Data (Actual)'!H13</f>
        <v>0.632969557725445</v>
      </c>
    </row>
    <row r="8" customFormat="false" ht="15" hidden="false" customHeight="true" outlineLevel="0" collapsed="false">
      <c r="A8" s="8" t="s">
        <v>76</v>
      </c>
      <c r="B8" s="8" t="s">
        <v>73</v>
      </c>
      <c r="C8" s="8" t="s">
        <v>219</v>
      </c>
      <c r="D8" s="12" t="n">
        <f aca="false">MAX(0, 2*'House Vote Data (Actual)'!G16 - 'House Vote Data (Actual)'!G14)</f>
        <v>2160</v>
      </c>
      <c r="E8" s="9" t="n">
        <f aca="false">MIN(1,MAX(0, SLOPE(J8:M8,{2018,2020,2022,2024})*2026 + INTERCEPT(J8:M8,{2018,2020,2022,2024})))</f>
        <v>0.504294240130092</v>
      </c>
      <c r="F8" s="12" t="n">
        <f aca="false">ROUND(D8*E8,0)</f>
        <v>1089</v>
      </c>
      <c r="G8" s="12" t="n">
        <f aca="false">ROUND(D8*(1-E8),0)</f>
        <v>1071</v>
      </c>
      <c r="H8" s="8" t="str">
        <f aca="false">IF(E8&gt;0.5,"Democrat","Republican")</f>
        <v>Democrat</v>
      </c>
      <c r="J8" s="9" t="n">
        <f aca="false">'House Vote Data (Actual)'!H14</f>
        <v>0.551941747572816</v>
      </c>
      <c r="K8" s="9" t="n">
        <f aca="false">'House Vote Data (Actual)'!H15</f>
        <v>0.513970110461339</v>
      </c>
      <c r="L8" s="9" t="n">
        <f aca="false">'House Vote Data (Actual)'!H16</f>
        <v>0.537914691943128</v>
      </c>
      <c r="M8" s="9" t="n">
        <f aca="false">'House Vote Data (Actual)'!H17</f>
        <v>0.511307767944936</v>
      </c>
    </row>
    <row r="9" customFormat="false" ht="15" hidden="false" customHeight="true" outlineLevel="0" collapsed="false">
      <c r="A9" s="8" t="s">
        <v>77</v>
      </c>
      <c r="B9" s="8" t="s">
        <v>73</v>
      </c>
      <c r="C9" s="8" t="s">
        <v>219</v>
      </c>
      <c r="D9" s="12" t="n">
        <f aca="false">MAX(0, 2*'House Vote Data (Actual)'!G20 - 'House Vote Data (Actual)'!G18)</f>
        <v>1433</v>
      </c>
      <c r="E9" s="9" t="n">
        <f aca="false">MIN(1,MAX(0, SLOPE(J9:M9,{2018,2020,2022,2024})*2026 + INTERCEPT(J9:M9,{2018,2020,2022,2024})))</f>
        <v>0.477075946538959</v>
      </c>
      <c r="F9" s="12" t="n">
        <f aca="false">ROUND(D9*E9,0)</f>
        <v>684</v>
      </c>
      <c r="G9" s="12" t="n">
        <f aca="false">ROUND(D9*(1-E9),0)</f>
        <v>749</v>
      </c>
      <c r="H9" s="8" t="str">
        <f aca="false">IF(E9&gt;0.5,"Democrat","Republican")</f>
        <v>Republican</v>
      </c>
      <c r="J9" s="9" t="n">
        <f aca="false">'House Vote Data (Actual)'!H18</f>
        <v>0.51044776119403</v>
      </c>
      <c r="K9" s="9" t="n">
        <f aca="false">'House Vote Data (Actual)'!H19</f>
        <v>0.470903010033445</v>
      </c>
      <c r="L9" s="9" t="n">
        <f aca="false">'House Vote Data (Actual)'!H20</f>
        <v>0.509433962264151</v>
      </c>
      <c r="M9" s="9" t="n">
        <f aca="false">'House Vote Data (Actual)'!H21</f>
        <v>0.477582846003899</v>
      </c>
    </row>
    <row r="10" customFormat="false" ht="15" hidden="false" customHeight="true" outlineLevel="0" collapsed="false">
      <c r="A10" s="8" t="s">
        <v>78</v>
      </c>
      <c r="B10" s="8" t="s">
        <v>73</v>
      </c>
      <c r="C10" s="8" t="s">
        <v>219</v>
      </c>
      <c r="D10" s="12" t="n">
        <f aca="false">MAX(0, 2*'House Vote Data (Actual)'!G24 - 'House Vote Data (Actual)'!G22)</f>
        <v>1365</v>
      </c>
      <c r="E10" s="9" t="n">
        <f aca="false">MIN(1,MAX(0, SLOPE(J10:M10,{2018,2020,2022,2024})*2026 + INTERCEPT(J10:M10,{2018,2020,2022,2024})))</f>
        <v>0.498151219964878</v>
      </c>
      <c r="F10" s="12" t="n">
        <f aca="false">ROUND(D10*E10,0)</f>
        <v>680</v>
      </c>
      <c r="G10" s="12" t="n">
        <f aca="false">ROUND(D10*(1-E10),0)</f>
        <v>685</v>
      </c>
      <c r="H10" s="8" t="str">
        <f aca="false">IF(E10&gt;0.5,"Democrat","Republican")</f>
        <v>Republican</v>
      </c>
      <c r="J10" s="9" t="n">
        <f aca="false">'House Vote Data (Actual)'!H22</f>
        <v>0.537021969080553</v>
      </c>
      <c r="K10" s="9" t="n">
        <f aca="false">'House Vote Data (Actual)'!H23</f>
        <v>0.502288329519451</v>
      </c>
      <c r="L10" s="9" t="n">
        <f aca="false">'House Vote Data (Actual)'!H24</f>
        <v>0.532767925983038</v>
      </c>
      <c r="M10" s="9" t="n">
        <f aca="false">'House Vote Data (Actual)'!H25</f>
        <v>0.500278241513634</v>
      </c>
    </row>
    <row r="11" customFormat="false" ht="15" hidden="false" customHeight="true" outlineLevel="0" collapsed="false">
      <c r="A11" s="8" t="s">
        <v>79</v>
      </c>
      <c r="B11" s="8" t="s">
        <v>73</v>
      </c>
      <c r="C11" s="8" t="s">
        <v>219</v>
      </c>
      <c r="D11" s="12" t="n">
        <f aca="false">MAX(0, 2*'House Vote Data (Actual)'!G28 - 'House Vote Data (Actual)'!G26)</f>
        <v>5598</v>
      </c>
      <c r="E11" s="9" t="n">
        <f aca="false">MIN(1,MAX(0, SLOPE(J11:M11,{2018,2020,2022,2024})*2026 + INTERCEPT(J11:M11,{2018,2020,2022,2024})))</f>
        <v>0.543362089862077</v>
      </c>
      <c r="F11" s="12" t="n">
        <f aca="false">ROUND(D11*E11,0)</f>
        <v>3042</v>
      </c>
      <c r="G11" s="12" t="n">
        <f aca="false">ROUND(D11*(1-E11),0)</f>
        <v>2556</v>
      </c>
      <c r="H11" s="8" t="str">
        <f aca="false">IF(E11&gt;0.5,"Democrat","Republican")</f>
        <v>Democrat</v>
      </c>
      <c r="J11" s="9" t="n">
        <f aca="false">'House Vote Data (Actual)'!H26</f>
        <v>0.532603938730853</v>
      </c>
      <c r="K11" s="9" t="n">
        <f aca="false">'House Vote Data (Actual)'!H27</f>
        <v>0.524339360222531</v>
      </c>
      <c r="L11" s="9" t="n">
        <f aca="false">'House Vote Data (Actual)'!H28</f>
        <v>0.557435090479937</v>
      </c>
      <c r="M11" s="9" t="n">
        <f aca="false">'House Vote Data (Actual)'!H29</f>
        <v>0.530946513987535</v>
      </c>
    </row>
    <row r="12" customFormat="false" ht="15" hidden="false" customHeight="true" outlineLevel="0" collapsed="false">
      <c r="A12" s="8" t="s">
        <v>80</v>
      </c>
      <c r="B12" s="8" t="s">
        <v>73</v>
      </c>
      <c r="C12" s="8" t="s">
        <v>219</v>
      </c>
      <c r="D12" s="12" t="n">
        <f aca="false">MAX(0, 2*'House Vote Data (Actual)'!G32 - 'House Vote Data (Actual)'!G30)</f>
        <v>1480</v>
      </c>
      <c r="E12" s="9" t="n">
        <f aca="false">MIN(1,MAX(0, SLOPE(J12:M12,{2018,2020,2022,2024})*2026 + INTERCEPT(J12:M12,{2018,2020,2022,2024})))</f>
        <v>0.656321440049684</v>
      </c>
      <c r="F12" s="12" t="n">
        <f aca="false">ROUND(D12*E12,0)</f>
        <v>971</v>
      </c>
      <c r="G12" s="12" t="n">
        <f aca="false">ROUND(D12*(1-E12),0)</f>
        <v>509</v>
      </c>
      <c r="H12" s="8" t="str">
        <f aca="false">IF(E12&gt;0.5,"Democrat","Republican")</f>
        <v>Democrat</v>
      </c>
      <c r="J12" s="9" t="n">
        <f aca="false">'House Vote Data (Actual)'!H30</f>
        <v>0.665636588380717</v>
      </c>
      <c r="K12" s="9" t="n">
        <f aca="false">'House Vote Data (Actual)'!H31</f>
        <v>0.667718665464382</v>
      </c>
      <c r="L12" s="9" t="n">
        <f aca="false">'House Vote Data (Actual)'!H32</f>
        <v>0.690768237572628</v>
      </c>
      <c r="M12" s="9" t="n">
        <f aca="false">'House Vote Data (Actual)'!H33</f>
        <v>0.643755615453729</v>
      </c>
    </row>
    <row r="13" customFormat="false" ht="15" hidden="false" customHeight="true" outlineLevel="0" collapsed="false">
      <c r="A13" s="8" t="s">
        <v>81</v>
      </c>
      <c r="B13" s="8" t="s">
        <v>73</v>
      </c>
      <c r="C13" s="8" t="s">
        <v>219</v>
      </c>
      <c r="D13" s="12" t="n">
        <f aca="false">MAX(0, 2*'House Vote Data (Actual)'!G36 - 'House Vote Data (Actual)'!G34)</f>
        <v>431</v>
      </c>
      <c r="E13" s="9" t="n">
        <f aca="false">MIN(1,MAX(0, SLOPE(J13:M13,{2018,2020,2022,2024})*2026 + INTERCEPT(J13:M13,{2018,2020,2022,2024})))</f>
        <v>0.522823110025602</v>
      </c>
      <c r="F13" s="12" t="n">
        <f aca="false">ROUND(D13*E13,0)</f>
        <v>225</v>
      </c>
      <c r="G13" s="12" t="n">
        <f aca="false">ROUND(D13*(1-E13),0)</f>
        <v>206</v>
      </c>
      <c r="H13" s="8" t="str">
        <f aca="false">IF(E13&gt;0.5,"Democrat","Republican")</f>
        <v>Democrat</v>
      </c>
      <c r="J13" s="9" t="n">
        <f aca="false">'House Vote Data (Actual)'!H34</f>
        <v>0.584493041749503</v>
      </c>
      <c r="K13" s="9" t="n">
        <f aca="false">'House Vote Data (Actual)'!H35</f>
        <v>0.571227080394922</v>
      </c>
      <c r="L13" s="9" t="n">
        <f aca="false">'House Vote Data (Actual)'!H36</f>
        <v>0.561027837259101</v>
      </c>
      <c r="M13" s="9" t="n">
        <f aca="false">'House Vote Data (Actual)'!H37</f>
        <v>0.534555712270804</v>
      </c>
    </row>
    <row r="14" customFormat="false" ht="15" hidden="false" customHeight="true" outlineLevel="0" collapsed="false">
      <c r="A14" s="8" t="s">
        <v>82</v>
      </c>
      <c r="B14" s="8" t="s">
        <v>73</v>
      </c>
      <c r="C14" s="8" t="s">
        <v>219</v>
      </c>
      <c r="D14" s="12" t="n">
        <f aca="false">MAX(0, 2*'House Vote Data (Actual)'!G40 - 'House Vote Data (Actual)'!G38)</f>
        <v>1774</v>
      </c>
      <c r="E14" s="9" t="n">
        <f aca="false">MIN(1,MAX(0, SLOPE(J14:M14,{2018,2020,2022,2024})*2026 + INTERCEPT(J14:M14,{2018,2020,2022,2024})))</f>
        <v>0.304105832806743</v>
      </c>
      <c r="F14" s="12" t="n">
        <f aca="false">ROUND(D14*E14,0)</f>
        <v>539</v>
      </c>
      <c r="G14" s="12" t="n">
        <f aca="false">ROUND(D14*(1-E14),0)</f>
        <v>1235</v>
      </c>
      <c r="H14" s="8" t="str">
        <f aca="false">IF(E14&gt;0.5,"Democrat","Republican")</f>
        <v>Republican</v>
      </c>
      <c r="J14" s="9" t="n">
        <f aca="false">'House Vote Data (Actual)'!H38</f>
        <v>0.349228611500701</v>
      </c>
      <c r="K14" s="9" t="n">
        <f aca="false">'House Vote Data (Actual)'!H39</f>
        <v>0.310149407521896</v>
      </c>
      <c r="L14" s="9" t="n">
        <f aca="false">'House Vote Data (Actual)'!H40</f>
        <v>0.3325</v>
      </c>
      <c r="M14" s="9" t="n">
        <f aca="false">'House Vote Data (Actual)'!H41</f>
        <v>0.312470138557095</v>
      </c>
    </row>
    <row r="15" customFormat="false" ht="15" hidden="false" customHeight="true" outlineLevel="0" collapsed="false">
      <c r="A15" s="8" t="s">
        <v>83</v>
      </c>
      <c r="B15" s="8" t="s">
        <v>73</v>
      </c>
      <c r="C15" s="8" t="s">
        <v>219</v>
      </c>
      <c r="D15" s="12" t="n">
        <f aca="false">MAX(0, 2*'House Vote Data (Actual)'!G44 - 'House Vote Data (Actual)'!G42)</f>
        <v>17421</v>
      </c>
      <c r="E15" s="9" t="n">
        <f aca="false">MIN(1,MAX(0, SLOPE(J15:M15,{2018,2020,2022,2024})*2026 + INTERCEPT(J15:M15,{2018,2020,2022,2024})))</f>
        <v>0.50777978613011</v>
      </c>
      <c r="F15" s="12" t="n">
        <f aca="false">ROUND(D15*E15,0)</f>
        <v>8846</v>
      </c>
      <c r="G15" s="12" t="n">
        <f aca="false">ROUND(D15*(1-E15),0)</f>
        <v>8575</v>
      </c>
      <c r="H15" s="8" t="str">
        <f aca="false">IF(E15&gt;0.5,"Democrat","Republican")</f>
        <v>Democrat</v>
      </c>
      <c r="J15" s="9" t="n">
        <f aca="false">'House Vote Data (Actual)'!H42</f>
        <v>0.499551259924059</v>
      </c>
      <c r="K15" s="9" t="n">
        <f aca="false">'House Vote Data (Actual)'!H43</f>
        <v>0.494140230349566</v>
      </c>
      <c r="L15" s="9" t="n">
        <f aca="false">'House Vote Data (Actual)'!H44</f>
        <v>0.523913997367266</v>
      </c>
      <c r="M15" s="9" t="n">
        <f aca="false">'House Vote Data (Actual)'!H45</f>
        <v>0.495598417408506</v>
      </c>
    </row>
    <row r="16" customFormat="false" ht="15" hidden="false" customHeight="true" outlineLevel="0" collapsed="false">
      <c r="A16" s="8" t="s">
        <v>84</v>
      </c>
      <c r="B16" s="8" t="s">
        <v>73</v>
      </c>
      <c r="C16" s="8" t="s">
        <v>219</v>
      </c>
      <c r="D16" s="12" t="n">
        <f aca="false">MAX(0, 2*'House Vote Data (Actual)'!G48 - 'House Vote Data (Actual)'!G46)</f>
        <v>2422</v>
      </c>
      <c r="E16" s="9" t="n">
        <f aca="false">MIN(1,MAX(0, SLOPE(J16:M16,{2018,2020,2022,2024})*2026 + INTERCEPT(J16:M16,{2018,2020,2022,2024})))</f>
        <v>0.385577091636989</v>
      </c>
      <c r="F16" s="12" t="n">
        <f aca="false">ROUND(D16*E16,0)</f>
        <v>934</v>
      </c>
      <c r="G16" s="12" t="n">
        <f aca="false">ROUND(D16*(1-E16),0)</f>
        <v>1488</v>
      </c>
      <c r="H16" s="8" t="str">
        <f aca="false">IF(E16&gt;0.5,"Democrat","Republican")</f>
        <v>Republican</v>
      </c>
      <c r="J16" s="9" t="n">
        <f aca="false">'House Vote Data (Actual)'!H46</f>
        <v>0.388421052631579</v>
      </c>
      <c r="K16" s="9" t="n">
        <f aca="false">'House Vote Data (Actual)'!H47</f>
        <v>0.365659777424483</v>
      </c>
      <c r="L16" s="9" t="n">
        <f aca="false">'House Vote Data (Actual)'!H48</f>
        <v>0.39333641832485</v>
      </c>
      <c r="M16" s="9" t="n">
        <f aca="false">'House Vote Data (Actual)'!H49</f>
        <v>0.383119408790354</v>
      </c>
    </row>
    <row r="17" customFormat="false" ht="15" hidden="false" customHeight="true" outlineLevel="0" collapsed="false">
      <c r="A17" s="8" t="s">
        <v>85</v>
      </c>
      <c r="B17" s="8" t="s">
        <v>73</v>
      </c>
      <c r="C17" s="8" t="s">
        <v>219</v>
      </c>
      <c r="D17" s="12" t="n">
        <f aca="false">MAX(0, 2*'House Vote Data (Actual)'!G52 - 'House Vote Data (Actual)'!G50)</f>
        <v>1305</v>
      </c>
      <c r="E17" s="9" t="n">
        <f aca="false">MIN(1,MAX(0, SLOPE(J17:M17,{2018,2020,2022,2024})*2026 + INTERCEPT(J17:M17,{2018,2020,2022,2024})))</f>
        <v>0.359944729092848</v>
      </c>
      <c r="F17" s="12" t="n">
        <f aca="false">ROUND(D17*E17,0)</f>
        <v>470</v>
      </c>
      <c r="G17" s="12" t="n">
        <f aca="false">ROUND(D17*(1-E17),0)</f>
        <v>835</v>
      </c>
      <c r="H17" s="8" t="str">
        <f aca="false">IF(E17&gt;0.5,"Democrat","Republican")</f>
        <v>Republican</v>
      </c>
      <c r="J17" s="9" t="n">
        <f aca="false">'House Vote Data (Actual)'!H50</f>
        <v>0.364038972542073</v>
      </c>
      <c r="K17" s="9" t="n">
        <f aca="false">'House Vote Data (Actual)'!H51</f>
        <v>0.358198924731183</v>
      </c>
      <c r="L17" s="9" t="n">
        <f aca="false">'House Vote Data (Actual)'!H52</f>
        <v>0.375513557929334</v>
      </c>
      <c r="M17" s="9" t="n">
        <f aca="false">'House Vote Data (Actual)'!H53</f>
        <v>0.354207436399217</v>
      </c>
    </row>
    <row r="18" customFormat="false" ht="15" hidden="false" customHeight="true" outlineLevel="0" collapsed="false">
      <c r="A18" s="8" t="s">
        <v>86</v>
      </c>
      <c r="B18" s="8" t="s">
        <v>73</v>
      </c>
      <c r="C18" s="8" t="s">
        <v>219</v>
      </c>
      <c r="D18" s="12" t="n">
        <f aca="false">MAX(0, 2*'House Vote Data (Actual)'!G56 - 'House Vote Data (Actual)'!G54)</f>
        <v>2385</v>
      </c>
      <c r="E18" s="9" t="n">
        <f aca="false">MIN(1,MAX(0, SLOPE(J18:M18,{2018,2020,2022,2024})*2026 + INTERCEPT(J18:M18,{2018,2020,2022,2024})))</f>
        <v>0.318937962116291</v>
      </c>
      <c r="F18" s="12" t="n">
        <f aca="false">ROUND(D18*E18,0)</f>
        <v>761</v>
      </c>
      <c r="G18" s="12" t="n">
        <f aca="false">ROUND(D18*(1-E18),0)</f>
        <v>1624</v>
      </c>
      <c r="H18" s="8" t="str">
        <f aca="false">IF(E18&gt;0.5,"Democrat","Republican")</f>
        <v>Republican</v>
      </c>
      <c r="J18" s="9" t="n">
        <f aca="false">'House Vote Data (Actual)'!H54</f>
        <v>0.324310255075482</v>
      </c>
      <c r="K18" s="9" t="n">
        <f aca="false">'House Vote Data (Actual)'!H55</f>
        <v>0.321795359452263</v>
      </c>
      <c r="L18" s="9" t="n">
        <f aca="false">'House Vote Data (Actual)'!H56</f>
        <v>0.333952624245239</v>
      </c>
      <c r="M18" s="9" t="n">
        <f aca="false">'House Vote Data (Actual)'!H57</f>
        <v>0.314116777531412</v>
      </c>
    </row>
    <row r="19" customFormat="false" ht="15" hidden="false" customHeight="true" outlineLevel="0" collapsed="false">
      <c r="A19" s="8" t="s">
        <v>87</v>
      </c>
      <c r="B19" s="8" t="s">
        <v>73</v>
      </c>
      <c r="C19" s="8" t="s">
        <v>219</v>
      </c>
      <c r="D19" s="12" t="n">
        <f aca="false">MAX(0, 2*'House Vote Data (Actual)'!G60 - 'House Vote Data (Actual)'!G58)</f>
        <v>1517</v>
      </c>
      <c r="E19" s="9" t="n">
        <f aca="false">MIN(1,MAX(0, SLOPE(J19:M19,{2018,2020,2022,2024})*2026 + INTERCEPT(J19:M19,{2018,2020,2022,2024})))</f>
        <v>0.544668612371679</v>
      </c>
      <c r="F19" s="12" t="n">
        <f aca="false">ROUND(D19*E19,0)</f>
        <v>826</v>
      </c>
      <c r="G19" s="12" t="n">
        <f aca="false">ROUND(D19*(1-E19),0)</f>
        <v>691</v>
      </c>
      <c r="H19" s="8" t="str">
        <f aca="false">IF(E19&gt;0.5,"Democrat","Republican")</f>
        <v>Democrat</v>
      </c>
      <c r="J19" s="9" t="n">
        <f aca="false">'House Vote Data (Actual)'!H58</f>
        <v>0.525475285171103</v>
      </c>
      <c r="K19" s="9" t="n">
        <f aca="false">'House Vote Data (Actual)'!H59</f>
        <v>0.536887452880991</v>
      </c>
      <c r="L19" s="9" t="n">
        <f aca="false">'House Vote Data (Actual)'!H60</f>
        <v>0.556497175141243</v>
      </c>
      <c r="M19" s="9" t="n">
        <f aca="false">'House Vote Data (Actual)'!H61</f>
        <v>0.529157667386609</v>
      </c>
    </row>
    <row r="20" customFormat="false" ht="15" hidden="false" customHeight="true" outlineLevel="0" collapsed="false">
      <c r="A20" s="8" t="s">
        <v>88</v>
      </c>
      <c r="B20" s="8" t="s">
        <v>73</v>
      </c>
      <c r="C20" s="8" t="s">
        <v>219</v>
      </c>
      <c r="D20" s="12" t="n">
        <f aca="false">MAX(0, 2*'House Vote Data (Actual)'!G64 - 'House Vote Data (Actual)'!G62)</f>
        <v>8557</v>
      </c>
      <c r="E20" s="9" t="n">
        <f aca="false">MIN(1,MAX(0, SLOPE(J20:M20,{2018,2020,2022,2024})*2026 + INTERCEPT(J20:M20,{2018,2020,2022,2024})))</f>
        <v>0.413524923130586</v>
      </c>
      <c r="F20" s="12" t="n">
        <f aca="false">ROUND(D20*E20,0)</f>
        <v>3539</v>
      </c>
      <c r="G20" s="12" t="n">
        <f aca="false">ROUND(D20*(1-E20),0)</f>
        <v>5018</v>
      </c>
      <c r="H20" s="8" t="str">
        <f aca="false">IF(E20&gt;0.5,"Democrat","Republican")</f>
        <v>Republican</v>
      </c>
      <c r="J20" s="9" t="n">
        <f aca="false">'House Vote Data (Actual)'!H62</f>
        <v>0.404246037516359</v>
      </c>
      <c r="K20" s="9" t="n">
        <f aca="false">'House Vote Data (Actual)'!H63</f>
        <v>0.399631109744851</v>
      </c>
      <c r="L20" s="9" t="n">
        <f aca="false">'House Vote Data (Actual)'!H64</f>
        <v>0.421796034728521</v>
      </c>
      <c r="M20" s="9" t="n">
        <f aca="false">'House Vote Data (Actual)'!H65</f>
        <v>0.404749924524504</v>
      </c>
    </row>
    <row r="21" customFormat="false" ht="15" hidden="false" customHeight="true" outlineLevel="0" collapsed="false">
      <c r="A21" s="8" t="s">
        <v>89</v>
      </c>
      <c r="B21" s="8" t="s">
        <v>73</v>
      </c>
      <c r="C21" s="8" t="s">
        <v>219</v>
      </c>
      <c r="D21" s="12" t="n">
        <f aca="false">MAX(0, 2*'House Vote Data (Actual)'!G68 - 'House Vote Data (Actual)'!G66)</f>
        <v>6768</v>
      </c>
      <c r="E21" s="9" t="n">
        <f aca="false">MIN(1,MAX(0, SLOPE(J21:M21,{2018,2020,2022,2024})*2026 + INTERCEPT(J21:M21,{2018,2020,2022,2024})))</f>
        <v>0.501793436129244</v>
      </c>
      <c r="F21" s="12" t="n">
        <f aca="false">ROUND(D21*E21,0)</f>
        <v>3396</v>
      </c>
      <c r="G21" s="12" t="n">
        <f aca="false">ROUND(D21*(1-E21),0)</f>
        <v>3372</v>
      </c>
      <c r="H21" s="8" t="str">
        <f aca="false">IF(E21&gt;0.5,"Democrat","Republican")</f>
        <v>Democrat</v>
      </c>
      <c r="J21" s="9" t="n">
        <f aca="false">'House Vote Data (Actual)'!H66</f>
        <v>0.493465147453083</v>
      </c>
      <c r="K21" s="9" t="n">
        <f aca="false">'House Vote Data (Actual)'!H67</f>
        <v>0.49302496328928</v>
      </c>
      <c r="L21" s="9" t="n">
        <f aca="false">'House Vote Data (Actual)'!H68</f>
        <v>0.508636934673367</v>
      </c>
      <c r="M21" s="9" t="n">
        <f aca="false">'House Vote Data (Actual)'!H69</f>
        <v>0.494207542519103</v>
      </c>
    </row>
    <row r="22" customFormat="false" ht="15" hidden="false" customHeight="true" outlineLevel="0" collapsed="false">
      <c r="A22" s="8" t="s">
        <v>90</v>
      </c>
      <c r="B22" s="8" t="s">
        <v>73</v>
      </c>
      <c r="C22" s="8" t="s">
        <v>219</v>
      </c>
      <c r="D22" s="12" t="n">
        <f aca="false">MAX(0, 2*'House Vote Data (Actual)'!G72 - 'House Vote Data (Actual)'!G70)</f>
        <v>1492</v>
      </c>
      <c r="E22" s="9" t="n">
        <f aca="false">MIN(1,MAX(0, SLOPE(J22:M22,{2018,2020,2022,2024})*2026 + INTERCEPT(J22:M22,{2018,2020,2022,2024})))</f>
        <v>0.41322592205025</v>
      </c>
      <c r="F22" s="12" t="n">
        <f aca="false">ROUND(D22*E22,0)</f>
        <v>617</v>
      </c>
      <c r="G22" s="12" t="n">
        <f aca="false">ROUND(D22*(1-E22),0)</f>
        <v>875</v>
      </c>
      <c r="H22" s="8" t="str">
        <f aca="false">IF(E22&gt;0.5,"Democrat","Republican")</f>
        <v>Republican</v>
      </c>
      <c r="J22" s="9" t="n">
        <f aca="false">'House Vote Data (Actual)'!H70</f>
        <v>0.443801652892562</v>
      </c>
      <c r="K22" s="9" t="n">
        <f aca="false">'House Vote Data (Actual)'!H71</f>
        <v>0.394306800210859</v>
      </c>
      <c r="L22" s="9" t="n">
        <f aca="false">'House Vote Data (Actual)'!H72</f>
        <v>0.452257586972613</v>
      </c>
      <c r="M22" s="9" t="n">
        <f aca="false">'House Vote Data (Actual)'!H73</f>
        <v>0.408997955010225</v>
      </c>
    </row>
    <row r="23" customFormat="false" ht="15" hidden="false" customHeight="true" outlineLevel="0" collapsed="false">
      <c r="A23" s="8" t="s">
        <v>91</v>
      </c>
      <c r="B23" s="8" t="s">
        <v>73</v>
      </c>
      <c r="C23" s="8" t="s">
        <v>219</v>
      </c>
      <c r="D23" s="12" t="n">
        <f aca="false">MAX(0, 2*'House Vote Data (Actual)'!G76 - 'House Vote Data (Actual)'!G74)</f>
        <v>11129</v>
      </c>
      <c r="E23" s="9" t="n">
        <f aca="false">MIN(1,MAX(0, SLOPE(J23:M23,{2018,2020,2022,2024})*2026 + INTERCEPT(J23:M23,{2018,2020,2022,2024})))</f>
        <v>0.541269139633961</v>
      </c>
      <c r="F23" s="12" t="n">
        <f aca="false">ROUND(D23*E23,0)</f>
        <v>6024</v>
      </c>
      <c r="G23" s="12" t="n">
        <f aca="false">ROUND(D23*(1-E23),0)</f>
        <v>5105</v>
      </c>
      <c r="H23" s="8" t="str">
        <f aca="false">IF(E23&gt;0.5,"Democrat","Republican")</f>
        <v>Democrat</v>
      </c>
      <c r="J23" s="9" t="n">
        <f aca="false">'House Vote Data (Actual)'!H74</f>
        <v>0.549895707541992</v>
      </c>
      <c r="K23" s="9" t="n">
        <f aca="false">'House Vote Data (Actual)'!H75</f>
        <v>0.532417757904823</v>
      </c>
      <c r="L23" s="9" t="n">
        <f aca="false">'House Vote Data (Actual)'!H76</f>
        <v>0.563197944460915</v>
      </c>
      <c r="M23" s="9" t="n">
        <f aca="false">'House Vote Data (Actual)'!H77</f>
        <v>0.534618021174499</v>
      </c>
    </row>
    <row r="24" customFormat="false" ht="15" hidden="false" customHeight="true" outlineLevel="0" collapsed="false">
      <c r="A24" s="8" t="s">
        <v>92</v>
      </c>
      <c r="B24" s="8" t="s">
        <v>73</v>
      </c>
      <c r="C24" s="8" t="s">
        <v>219</v>
      </c>
      <c r="D24" s="12" t="n">
        <f aca="false">MAX(0, 2*'House Vote Data (Actual)'!G80 - 'House Vote Data (Actual)'!G78)</f>
        <v>12593</v>
      </c>
      <c r="E24" s="9" t="n">
        <f aca="false">MIN(1,MAX(0, SLOPE(J24:M24,{2018,2020,2022,2024})*2026 + INTERCEPT(J24:M24,{2018,2020,2022,2024})))</f>
        <v>0.521475285473478</v>
      </c>
      <c r="F24" s="12" t="n">
        <f aca="false">ROUND(D24*E24,0)</f>
        <v>6567</v>
      </c>
      <c r="G24" s="12" t="n">
        <f aca="false">ROUND(D24*(1-E24),0)</f>
        <v>6026</v>
      </c>
      <c r="H24" s="8" t="str">
        <f aca="false">IF(E24&gt;0.5,"Democrat","Republican")</f>
        <v>Democrat</v>
      </c>
      <c r="J24" s="9" t="n">
        <f aca="false">'House Vote Data (Actual)'!H78</f>
        <v>0.516852802092766</v>
      </c>
      <c r="K24" s="9" t="n">
        <f aca="false">'House Vote Data (Actual)'!H79</f>
        <v>0.516682751964704</v>
      </c>
      <c r="L24" s="9" t="n">
        <f aca="false">'House Vote Data (Actual)'!H80</f>
        <v>0.533374755902716</v>
      </c>
      <c r="M24" s="9" t="n">
        <f aca="false">'House Vote Data (Actual)'!H81</f>
        <v>0.513214308568503</v>
      </c>
    </row>
    <row r="25" customFormat="false" ht="15" hidden="false" customHeight="true" outlineLevel="0" collapsed="false">
      <c r="A25" s="8" t="s">
        <v>93</v>
      </c>
      <c r="B25" s="8" t="s">
        <v>73</v>
      </c>
      <c r="C25" s="8" t="s">
        <v>219</v>
      </c>
      <c r="D25" s="12" t="n">
        <f aca="false">MAX(0, 2*'House Vote Data (Actual)'!G84 - 'House Vote Data (Actual)'!G82)</f>
        <v>5223</v>
      </c>
      <c r="E25" s="9" t="n">
        <f aca="false">MIN(1,MAX(0, SLOPE(J25:M25,{2018,2020,2022,2024})*2026 + INTERCEPT(J25:M25,{2018,2020,2022,2024})))</f>
        <v>0.435968059567603</v>
      </c>
      <c r="F25" s="12" t="n">
        <f aca="false">ROUND(D25*E25,0)</f>
        <v>2277</v>
      </c>
      <c r="G25" s="12" t="n">
        <f aca="false">ROUND(D25*(1-E25),0)</f>
        <v>2946</v>
      </c>
      <c r="H25" s="8" t="str">
        <f aca="false">IF(E25&gt;0.5,"Democrat","Republican")</f>
        <v>Republican</v>
      </c>
      <c r="J25" s="9" t="n">
        <f aca="false">'House Vote Data (Actual)'!H82</f>
        <v>0.444533547179898</v>
      </c>
      <c r="K25" s="9" t="n">
        <f aca="false">'House Vote Data (Actual)'!H83</f>
        <v>0.42920610392119</v>
      </c>
      <c r="L25" s="9" t="n">
        <f aca="false">'House Vote Data (Actual)'!H84</f>
        <v>0.453369031682285</v>
      </c>
      <c r="M25" s="9" t="n">
        <f aca="false">'House Vote Data (Actual)'!H85</f>
        <v>0.43155031731641</v>
      </c>
    </row>
    <row r="26" customFormat="false" ht="15" hidden="false" customHeight="true" outlineLevel="0" collapsed="false">
      <c r="A26" s="8" t="s">
        <v>94</v>
      </c>
      <c r="B26" s="8" t="s">
        <v>73</v>
      </c>
      <c r="C26" s="8" t="s">
        <v>219</v>
      </c>
      <c r="D26" s="12" t="n">
        <f aca="false">MAX(0, 2*'House Vote Data (Actual)'!G88 - 'House Vote Data (Actual)'!G86)</f>
        <v>9924</v>
      </c>
      <c r="E26" s="9" t="n">
        <f aca="false">MIN(1,MAX(0, SLOPE(J26:M26,{2018,2020,2022,2024})*2026 + INTERCEPT(J26:M26,{2018,2020,2022,2024})))</f>
        <v>0.499201625228418</v>
      </c>
      <c r="F26" s="12" t="n">
        <f aca="false">ROUND(D26*E26,0)</f>
        <v>4954</v>
      </c>
      <c r="G26" s="12" t="n">
        <f aca="false">ROUND(D26*(1-E26),0)</f>
        <v>4970</v>
      </c>
      <c r="H26" s="8" t="str">
        <f aca="false">IF(E26&gt;0.5,"Democrat","Republican")</f>
        <v>Republican</v>
      </c>
      <c r="J26" s="9" t="n">
        <f aca="false">'House Vote Data (Actual)'!H86</f>
        <v>0.478888014686599</v>
      </c>
      <c r="K26" s="9" t="n">
        <f aca="false">'House Vote Data (Actual)'!H87</f>
        <v>0.466854041480907</v>
      </c>
      <c r="L26" s="9" t="n">
        <f aca="false">'House Vote Data (Actual)'!H88</f>
        <v>0.502108262108262</v>
      </c>
      <c r="M26" s="9" t="n">
        <f aca="false">'House Vote Data (Actual)'!H89</f>
        <v>0.487591501517586</v>
      </c>
    </row>
    <row r="27" customFormat="false" ht="15" hidden="false" customHeight="true" outlineLevel="0" collapsed="false">
      <c r="A27" s="8" t="s">
        <v>95</v>
      </c>
      <c r="B27" s="8" t="s">
        <v>73</v>
      </c>
      <c r="C27" s="8" t="s">
        <v>219</v>
      </c>
      <c r="D27" s="12" t="n">
        <f aca="false">MAX(0, 2*'House Vote Data (Actual)'!G92 - 'House Vote Data (Actual)'!G90)</f>
        <v>3464</v>
      </c>
      <c r="E27" s="9" t="n">
        <f aca="false">MIN(1,MAX(0, SLOPE(J27:M27,{2018,2020,2022,2024})*2026 + INTERCEPT(J27:M27,{2018,2020,2022,2024})))</f>
        <v>0.325340819215649</v>
      </c>
      <c r="F27" s="12" t="n">
        <f aca="false">ROUND(D27*E27,0)</f>
        <v>1127</v>
      </c>
      <c r="G27" s="12" t="n">
        <f aca="false">ROUND(D27*(1-E27),0)</f>
        <v>2337</v>
      </c>
      <c r="H27" s="8" t="str">
        <f aca="false">IF(E27&gt;0.5,"Democrat","Republican")</f>
        <v>Republican</v>
      </c>
      <c r="J27" s="9" t="n">
        <f aca="false">'House Vote Data (Actual)'!H90</f>
        <v>0.343406593406593</v>
      </c>
      <c r="K27" s="9" t="n">
        <f aca="false">'House Vote Data (Actual)'!H91</f>
        <v>0.323181937516409</v>
      </c>
      <c r="L27" s="9" t="n">
        <f aca="false">'House Vote Data (Actual)'!H92</f>
        <v>0.350632069194943</v>
      </c>
      <c r="M27" s="9" t="n">
        <f aca="false">'House Vote Data (Actual)'!H93</f>
        <v>0.321728081321474</v>
      </c>
    </row>
    <row r="28" customFormat="false" ht="15" hidden="false" customHeight="true" outlineLevel="0" collapsed="false">
      <c r="A28" s="8" t="s">
        <v>96</v>
      </c>
      <c r="B28" s="8" t="s">
        <v>73</v>
      </c>
      <c r="C28" s="8" t="s">
        <v>219</v>
      </c>
      <c r="D28" s="12" t="n">
        <f aca="false">MAX(0, 2*'House Vote Data (Actual)'!G96 - 'House Vote Data (Actual)'!G94)</f>
        <v>2979</v>
      </c>
      <c r="E28" s="9" t="n">
        <f aca="false">MIN(1,MAX(0, SLOPE(J28:M28,{2018,2020,2022,2024})*2026 + INTERCEPT(J28:M28,{2018,2020,2022,2024})))</f>
        <v>0.358777731538025</v>
      </c>
      <c r="F28" s="12" t="n">
        <f aca="false">ROUND(D28*E28,0)</f>
        <v>1069</v>
      </c>
      <c r="G28" s="12" t="n">
        <f aca="false">ROUND(D28*(1-E28),0)</f>
        <v>1910</v>
      </c>
      <c r="H28" s="8" t="str">
        <f aca="false">IF(E28&gt;0.5,"Democrat","Republican")</f>
        <v>Republican</v>
      </c>
      <c r="J28" s="9" t="n">
        <f aca="false">'House Vote Data (Actual)'!H94</f>
        <v>0.341787941787942</v>
      </c>
      <c r="K28" s="9" t="n">
        <f aca="false">'House Vote Data (Actual)'!H95</f>
        <v>0.332301021988232</v>
      </c>
      <c r="L28" s="9" t="n">
        <f aca="false">'House Vote Data (Actual)'!H96</f>
        <v>0.364413075780089</v>
      </c>
      <c r="M28" s="9" t="n">
        <f aca="false">'House Vote Data (Actual)'!H97</f>
        <v>0.347465164541951</v>
      </c>
    </row>
    <row r="29" customFormat="false" ht="15" hidden="false" customHeight="true" outlineLevel="0" collapsed="false">
      <c r="A29" s="8" t="s">
        <v>97</v>
      </c>
      <c r="B29" s="8" t="s">
        <v>73</v>
      </c>
      <c r="C29" s="8" t="s">
        <v>219</v>
      </c>
      <c r="D29" s="12" t="n">
        <f aca="false">MAX(0, 2*'House Vote Data (Actual)'!G100 - 'House Vote Data (Actual)'!G98)</f>
        <v>10928</v>
      </c>
      <c r="E29" s="9" t="n">
        <f aca="false">MIN(1,MAX(0, SLOPE(J29:M29,{2018,2020,2022,2024})*2026 + INTERCEPT(J29:M29,{2018,2020,2022,2024})))</f>
        <v>0.510615481266433</v>
      </c>
      <c r="F29" s="12" t="n">
        <f aca="false">ROUND(D29*E29,0)</f>
        <v>5580</v>
      </c>
      <c r="G29" s="12" t="n">
        <f aca="false">ROUND(D29*(1-E29),0)</f>
        <v>5348</v>
      </c>
      <c r="H29" s="8" t="str">
        <f aca="false">IF(E29&gt;0.5,"Democrat","Republican")</f>
        <v>Democrat</v>
      </c>
      <c r="J29" s="9" t="n">
        <f aca="false">'House Vote Data (Actual)'!H98</f>
        <v>0.538007456503728</v>
      </c>
      <c r="K29" s="9" t="n">
        <f aca="false">'House Vote Data (Actual)'!H99</f>
        <v>0.525618436817253</v>
      </c>
      <c r="L29" s="9" t="n">
        <f aca="false">'House Vote Data (Actual)'!H100</f>
        <v>0.535172949863972</v>
      </c>
      <c r="M29" s="9" t="n">
        <f aca="false">'House Vote Data (Actual)'!H101</f>
        <v>0.51203273458631</v>
      </c>
    </row>
    <row r="30" customFormat="false" ht="15" hidden="false" customHeight="true" outlineLevel="0" collapsed="false">
      <c r="A30" s="8" t="s">
        <v>98</v>
      </c>
      <c r="B30" s="8" t="s">
        <v>99</v>
      </c>
      <c r="C30" s="8" t="s">
        <v>219</v>
      </c>
      <c r="D30" s="12" t="n">
        <f aca="false">MAX(0, 2*'House Vote Data (Actual)'!G104 - 'House Vote Data (Actual)'!G102)</f>
        <v>3034</v>
      </c>
      <c r="E30" s="9" t="n">
        <f aca="false">MIN(1,MAX(0, SLOPE(J30:M30,{2018,2020,2022,2024})*2026 + INTERCEPT(J30:M30,{2018,2020,2022,2024})))</f>
        <v>0.444332895452856</v>
      </c>
      <c r="F30" s="12" t="n">
        <f aca="false">ROUND(D30*E30,0)</f>
        <v>1348</v>
      </c>
      <c r="G30" s="12" t="n">
        <f aca="false">ROUND(D30*(1-E30),0)</f>
        <v>1686</v>
      </c>
      <c r="H30" s="8" t="str">
        <f aca="false">IF(E30&gt;0.5,"Democrat","Republican")</f>
        <v>Republican</v>
      </c>
      <c r="J30" s="9" t="n">
        <f aca="false">'House Vote Data (Actual)'!H102</f>
        <v>0.419205909510619</v>
      </c>
      <c r="K30" s="9" t="n">
        <f aca="false">'House Vote Data (Actual)'!H103</f>
        <v>0.432106216053108</v>
      </c>
      <c r="L30" s="9" t="n">
        <f aca="false">'House Vote Data (Actual)'!H104</f>
        <v>0.451538461538462</v>
      </c>
      <c r="M30" s="9" t="n">
        <f aca="false">'House Vote Data (Actual)'!H105</f>
        <v>0.428166619438935</v>
      </c>
    </row>
    <row r="31" customFormat="false" ht="15" hidden="false" customHeight="true" outlineLevel="0" collapsed="false">
      <c r="A31" s="8" t="s">
        <v>100</v>
      </c>
      <c r="B31" s="8" t="s">
        <v>99</v>
      </c>
      <c r="C31" s="8" t="s">
        <v>219</v>
      </c>
      <c r="D31" s="12" t="n">
        <f aca="false">MAX(0, 2*'House Vote Data (Actual)'!G108 - 'House Vote Data (Actual)'!G106)</f>
        <v>1791</v>
      </c>
      <c r="E31" s="9" t="n">
        <f aca="false">MIN(1,MAX(0, SLOPE(J31:M31,{2018,2020,2022,2024})*2026 + INTERCEPT(J31:M31,{2018,2020,2022,2024})))</f>
        <v>0.402666213581798</v>
      </c>
      <c r="F31" s="12" t="n">
        <f aca="false">ROUND(D31*E31,0)</f>
        <v>721</v>
      </c>
      <c r="G31" s="12" t="n">
        <f aca="false">ROUND(D31*(1-E31),0)</f>
        <v>1070</v>
      </c>
      <c r="H31" s="8" t="str">
        <f aca="false">IF(E31&gt;0.5,"Democrat","Republican")</f>
        <v>Republican</v>
      </c>
      <c r="J31" s="9" t="n">
        <f aca="false">'House Vote Data (Actual)'!H106</f>
        <v>0.460275771503611</v>
      </c>
      <c r="K31" s="9" t="n">
        <f aca="false">'House Vote Data (Actual)'!H107</f>
        <v>0.418292154312961</v>
      </c>
      <c r="L31" s="9" t="n">
        <f aca="false">'House Vote Data (Actual)'!H108</f>
        <v>0.43995171997586</v>
      </c>
      <c r="M31" s="9" t="n">
        <f aca="false">'House Vote Data (Actual)'!H109</f>
        <v>0.412828239345674</v>
      </c>
    </row>
    <row r="32" customFormat="false" ht="15" hidden="false" customHeight="true" outlineLevel="0" collapsed="false">
      <c r="A32" s="8" t="s">
        <v>101</v>
      </c>
      <c r="B32" s="8" t="s">
        <v>99</v>
      </c>
      <c r="C32" s="8" t="s">
        <v>219</v>
      </c>
      <c r="D32" s="12" t="n">
        <f aca="false">MAX(0, 2*'House Vote Data (Actual)'!G112 - 'House Vote Data (Actual)'!G110)</f>
        <v>1099</v>
      </c>
      <c r="E32" s="9" t="n">
        <f aca="false">MIN(1,MAX(0, SLOPE(J32:M32,{2018,2020,2022,2024})*2026 + INTERCEPT(J32:M32,{2018,2020,2022,2024})))</f>
        <v>0.465514362951047</v>
      </c>
      <c r="F32" s="12" t="n">
        <f aca="false">ROUND(D32*E32,0)</f>
        <v>512</v>
      </c>
      <c r="G32" s="12" t="n">
        <f aca="false">ROUND(D32*(1-E32),0)</f>
        <v>587</v>
      </c>
      <c r="H32" s="8" t="str">
        <f aca="false">IF(E32&gt;0.5,"Democrat","Republican")</f>
        <v>Republican</v>
      </c>
      <c r="J32" s="9" t="n">
        <f aca="false">'House Vote Data (Actual)'!H110</f>
        <v>0.454882571075402</v>
      </c>
      <c r="K32" s="9" t="n">
        <f aca="false">'House Vote Data (Actual)'!H111</f>
        <v>0.45447409733124</v>
      </c>
      <c r="L32" s="9" t="n">
        <f aca="false">'House Vote Data (Actual)'!H112</f>
        <v>0.462264150943396</v>
      </c>
      <c r="M32" s="9" t="n">
        <f aca="false">'House Vote Data (Actual)'!H113</f>
        <v>0.46182357301705</v>
      </c>
    </row>
    <row r="33" customFormat="false" ht="15" hidden="false" customHeight="true" outlineLevel="0" collapsed="false">
      <c r="A33" s="8" t="s">
        <v>75</v>
      </c>
      <c r="B33" s="8" t="s">
        <v>99</v>
      </c>
      <c r="C33" s="8" t="s">
        <v>219</v>
      </c>
      <c r="D33" s="12" t="n">
        <f aca="false">MAX(0, 2*'House Vote Data (Actual)'!G116 - 'House Vote Data (Actual)'!G114)</f>
        <v>18558</v>
      </c>
      <c r="E33" s="9" t="n">
        <f aca="false">MIN(1,MAX(0, SLOPE(J33:M33,{2018,2020,2022,2024})*2026 + INTERCEPT(J33:M33,{2018,2020,2022,2024})))</f>
        <v>0.667356164480744</v>
      </c>
      <c r="F33" s="12" t="n">
        <f aca="false">ROUND(D33*E33,0)</f>
        <v>12385</v>
      </c>
      <c r="G33" s="12" t="n">
        <f aca="false">ROUND(D33*(1-E33),0)</f>
        <v>6173</v>
      </c>
      <c r="H33" s="8" t="str">
        <f aca="false">IF(E33&gt;0.5,"Democrat","Republican")</f>
        <v>Democrat</v>
      </c>
      <c r="J33" s="9" t="n">
        <f aca="false">'House Vote Data (Actual)'!H114</f>
        <v>0.687521270561543</v>
      </c>
      <c r="K33" s="9" t="n">
        <f aca="false">'House Vote Data (Actual)'!H115</f>
        <v>0.672409648208991</v>
      </c>
      <c r="L33" s="9" t="n">
        <f aca="false">'House Vote Data (Actual)'!H116</f>
        <v>0.685420581408202</v>
      </c>
      <c r="M33" s="9" t="n">
        <f aca="false">'House Vote Data (Actual)'!H117</f>
        <v>0.668406509057415</v>
      </c>
    </row>
    <row r="34" customFormat="false" ht="15" hidden="false" customHeight="true" outlineLevel="0" collapsed="false">
      <c r="A34" s="8" t="s">
        <v>102</v>
      </c>
      <c r="B34" s="8" t="s">
        <v>99</v>
      </c>
      <c r="C34" s="8" t="s">
        <v>219</v>
      </c>
      <c r="D34" s="12" t="n">
        <f aca="false">MAX(0, 2*'House Vote Data (Actual)'!G120 - 'House Vote Data (Actual)'!G118)</f>
        <v>13949</v>
      </c>
      <c r="E34" s="9" t="n">
        <f aca="false">MIN(1,MAX(0, SLOPE(J34:M34,{2018,2020,2022,2024})*2026 + INTERCEPT(J34:M34,{2018,2020,2022,2024})))</f>
        <v>0.544273319288121</v>
      </c>
      <c r="F34" s="12" t="n">
        <f aca="false">ROUND(D34*E34,0)</f>
        <v>7592</v>
      </c>
      <c r="G34" s="12" t="n">
        <f aca="false">ROUND(D34*(1-E34),0)</f>
        <v>6357</v>
      </c>
      <c r="H34" s="8" t="str">
        <f aca="false">IF(E34&gt;0.5,"Democrat","Republican")</f>
        <v>Democrat</v>
      </c>
      <c r="J34" s="9" t="n">
        <f aca="false">'House Vote Data (Actual)'!H118</f>
        <v>0.529182879377432</v>
      </c>
      <c r="K34" s="9" t="n">
        <f aca="false">'House Vote Data (Actual)'!H119</f>
        <v>0.531199167154662</v>
      </c>
      <c r="L34" s="9" t="n">
        <f aca="false">'House Vote Data (Actual)'!H120</f>
        <v>0.545699583435433</v>
      </c>
      <c r="M34" s="9" t="n">
        <f aca="false">'House Vote Data (Actual)'!H121</f>
        <v>0.536014967259121</v>
      </c>
    </row>
    <row r="35" customFormat="false" ht="15" hidden="false" customHeight="true" outlineLevel="0" collapsed="false">
      <c r="A35" s="8" t="s">
        <v>103</v>
      </c>
      <c r="B35" s="8" t="s">
        <v>99</v>
      </c>
      <c r="C35" s="8" t="s">
        <v>219</v>
      </c>
      <c r="D35" s="12" t="n">
        <f aca="false">MAX(0, 2*'House Vote Data (Actual)'!G124 - 'House Vote Data (Actual)'!G122)</f>
        <v>5164</v>
      </c>
      <c r="E35" s="9" t="n">
        <f aca="false">MIN(1,MAX(0, SLOPE(J35:M35,{2018,2020,2022,2024})*2026 + INTERCEPT(J35:M35,{2018,2020,2022,2024})))</f>
        <v>0.394328167271222</v>
      </c>
      <c r="F35" s="12" t="n">
        <f aca="false">ROUND(D35*E35,0)</f>
        <v>2036</v>
      </c>
      <c r="G35" s="12" t="n">
        <f aca="false">ROUND(D35*(1-E35),0)</f>
        <v>3128</v>
      </c>
      <c r="H35" s="8" t="str">
        <f aca="false">IF(E35&gt;0.5,"Democrat","Republican")</f>
        <v>Republican</v>
      </c>
      <c r="J35" s="9" t="n">
        <f aca="false">'House Vote Data (Actual)'!H122</f>
        <v>0.376995046780407</v>
      </c>
      <c r="K35" s="9" t="n">
        <f aca="false">'House Vote Data (Actual)'!H123</f>
        <v>0.368823419727764</v>
      </c>
      <c r="L35" s="9" t="n">
        <f aca="false">'House Vote Data (Actual)'!H124</f>
        <v>0.394862468742896</v>
      </c>
      <c r="M35" s="9" t="n">
        <f aca="false">'House Vote Data (Actual)'!H125</f>
        <v>0.385394456289979</v>
      </c>
    </row>
    <row r="36" customFormat="false" ht="15" hidden="false" customHeight="true" outlineLevel="0" collapsed="false">
      <c r="A36" s="8" t="s">
        <v>104</v>
      </c>
      <c r="B36" s="8" t="s">
        <v>99</v>
      </c>
      <c r="C36" s="8" t="s">
        <v>219</v>
      </c>
      <c r="D36" s="12" t="n">
        <f aca="false">MAX(0, 2*'House Vote Data (Actual)'!G128 - 'House Vote Data (Actual)'!G126)</f>
        <v>103</v>
      </c>
      <c r="E36" s="9" t="n">
        <f aca="false">MIN(1,MAX(0, SLOPE(J36:M36,{2018,2020,2022,2024})*2026 + INTERCEPT(J36:M36,{2018,2020,2022,2024})))</f>
        <v>0.288044505824228</v>
      </c>
      <c r="F36" s="12" t="n">
        <f aca="false">ROUND(D36*E36,0)</f>
        <v>30</v>
      </c>
      <c r="G36" s="12" t="n">
        <f aca="false">ROUND(D36*(1-E36),0)</f>
        <v>73</v>
      </c>
      <c r="H36" s="8" t="str">
        <f aca="false">IF(E36&gt;0.5,"Democrat","Republican")</f>
        <v>Republican</v>
      </c>
      <c r="J36" s="9" t="n">
        <f aca="false">'House Vote Data (Actual)'!H126</f>
        <v>0.434782608695652</v>
      </c>
      <c r="K36" s="9" t="n">
        <f aca="false">'House Vote Data (Actual)'!H127</f>
        <v>0.330508474576271</v>
      </c>
      <c r="L36" s="9" t="n">
        <f aca="false">'House Vote Data (Actual)'!H128</f>
        <v>0.36046511627907</v>
      </c>
      <c r="M36" s="9" t="n">
        <f aca="false">'House Vote Data (Actual)'!H129</f>
        <v>0.32520325203252</v>
      </c>
    </row>
    <row r="37" customFormat="false" ht="15" hidden="false" customHeight="true" outlineLevel="0" collapsed="false">
      <c r="A37" s="8" t="s">
        <v>105</v>
      </c>
      <c r="B37" s="8" t="s">
        <v>99</v>
      </c>
      <c r="C37" s="8" t="s">
        <v>219</v>
      </c>
      <c r="D37" s="12" t="n">
        <f aca="false">MAX(0, 2*'House Vote Data (Actual)'!G132 - 'House Vote Data (Actual)'!G130)</f>
        <v>2954</v>
      </c>
      <c r="E37" s="9" t="n">
        <f aca="false">MIN(1,MAX(0, SLOPE(J37:M37,{2018,2020,2022,2024})*2026 + INTERCEPT(J37:M37,{2018,2020,2022,2024})))</f>
        <v>0.449398329612395</v>
      </c>
      <c r="F37" s="12" t="n">
        <f aca="false">ROUND(D37*E37,0)</f>
        <v>1328</v>
      </c>
      <c r="G37" s="12" t="n">
        <f aca="false">ROUND(D37*(1-E37),0)</f>
        <v>1626</v>
      </c>
      <c r="H37" s="8" t="str">
        <f aca="false">IF(E37&gt;0.5,"Democrat","Republican")</f>
        <v>Republican</v>
      </c>
      <c r="J37" s="9" t="n">
        <f aca="false">'House Vote Data (Actual)'!H130</f>
        <v>0.403846153846154</v>
      </c>
      <c r="K37" s="9" t="n">
        <f aca="false">'House Vote Data (Actual)'!H131</f>
        <v>0.405135045015005</v>
      </c>
      <c r="L37" s="9" t="n">
        <f aca="false">'House Vote Data (Actual)'!H132</f>
        <v>0.440603893524037</v>
      </c>
      <c r="M37" s="9" t="n">
        <f aca="false">'House Vote Data (Actual)'!H133</f>
        <v>0.431019459773453</v>
      </c>
    </row>
    <row r="38" customFormat="false" ht="15" hidden="false" customHeight="true" outlineLevel="0" collapsed="false">
      <c r="A38" s="8" t="s">
        <v>106</v>
      </c>
      <c r="B38" s="8" t="s">
        <v>99</v>
      </c>
      <c r="C38" s="8" t="s">
        <v>219</v>
      </c>
      <c r="D38" s="12" t="n">
        <f aca="false">MAX(0, 2*'House Vote Data (Actual)'!G136 - 'House Vote Data (Actual)'!G134)</f>
        <v>354</v>
      </c>
      <c r="E38" s="9" t="n">
        <f aca="false">MIN(1,MAX(0, SLOPE(J38:M38,{2018,2020,2022,2024})*2026 + INTERCEPT(J38:M38,{2018,2020,2022,2024})))</f>
        <v>0.420922614478403</v>
      </c>
      <c r="F38" s="12" t="n">
        <f aca="false">ROUND(D38*E38,0)</f>
        <v>149</v>
      </c>
      <c r="G38" s="12" t="n">
        <f aca="false">ROUND(D38*(1-E38),0)</f>
        <v>205</v>
      </c>
      <c r="H38" s="8" t="str">
        <f aca="false">IF(E38&gt;0.5,"Democrat","Republican")</f>
        <v>Republican</v>
      </c>
      <c r="J38" s="9" t="n">
        <f aca="false">'House Vote Data (Actual)'!H134</f>
        <v>0.373563218390805</v>
      </c>
      <c r="K38" s="9" t="n">
        <f aca="false">'House Vote Data (Actual)'!H135</f>
        <v>0.333333333333333</v>
      </c>
      <c r="L38" s="9" t="n">
        <f aca="false">'House Vote Data (Actual)'!H136</f>
        <v>0.39031339031339</v>
      </c>
      <c r="M38" s="9" t="n">
        <f aca="false">'House Vote Data (Actual)'!H137</f>
        <v>0.41254752851711</v>
      </c>
    </row>
    <row r="39" customFormat="false" ht="15" hidden="false" customHeight="true" outlineLevel="0" collapsed="false">
      <c r="A39" s="8" t="s">
        <v>107</v>
      </c>
      <c r="B39" s="8" t="s">
        <v>99</v>
      </c>
      <c r="C39" s="8" t="s">
        <v>219</v>
      </c>
      <c r="D39" s="12" t="n">
        <f aca="false">MAX(0, 2*'House Vote Data (Actual)'!G140 - 'House Vote Data (Actual)'!G138)</f>
        <v>7349</v>
      </c>
      <c r="E39" s="9" t="n">
        <f aca="false">MIN(1,MAX(0, SLOPE(J39:M39,{2018,2020,2022,2024})*2026 + INTERCEPT(J39:M39,{2018,2020,2022,2024})))</f>
        <v>0.69445824619104</v>
      </c>
      <c r="F39" s="12" t="n">
        <f aca="false">ROUND(D39*E39,0)</f>
        <v>5104</v>
      </c>
      <c r="G39" s="12" t="n">
        <f aca="false">ROUND(D39*(1-E39),0)</f>
        <v>2245</v>
      </c>
      <c r="H39" s="8" t="str">
        <f aca="false">IF(E39&gt;0.5,"Democrat","Republican")</f>
        <v>Democrat</v>
      </c>
      <c r="J39" s="9" t="n">
        <f aca="false">'House Vote Data (Actual)'!H138</f>
        <v>0.739944420067281</v>
      </c>
      <c r="K39" s="9" t="n">
        <f aca="false">'House Vote Data (Actual)'!H139</f>
        <v>0.704256384576865</v>
      </c>
      <c r="L39" s="9" t="n">
        <f aca="false">'House Vote Data (Actual)'!H140</f>
        <v>0.734526998449175</v>
      </c>
      <c r="M39" s="9" t="n">
        <f aca="false">'House Vote Data (Actual)'!H141</f>
        <v>0.697166957000092</v>
      </c>
    </row>
    <row r="40" customFormat="false" ht="15" hidden="false" customHeight="true" outlineLevel="0" collapsed="false">
      <c r="A40" s="8" t="s">
        <v>108</v>
      </c>
      <c r="B40" s="8" t="s">
        <v>99</v>
      </c>
      <c r="C40" s="8" t="s">
        <v>219</v>
      </c>
      <c r="D40" s="12" t="n">
        <f aca="false">MAX(0, 2*'House Vote Data (Actual)'!G144 - 'House Vote Data (Actual)'!G142)</f>
        <v>9145</v>
      </c>
      <c r="E40" s="9" t="n">
        <f aca="false">MIN(1,MAX(0, SLOPE(J40:M40,{2018,2020,2022,2024})*2026 + INTERCEPT(J40:M40,{2018,2020,2022,2024})))</f>
        <v>0.513113025406574</v>
      </c>
      <c r="F40" s="12" t="n">
        <f aca="false">ROUND(D40*E40,0)</f>
        <v>4692</v>
      </c>
      <c r="G40" s="12" t="n">
        <f aca="false">ROUND(D40*(1-E40),0)</f>
        <v>4453</v>
      </c>
      <c r="H40" s="8" t="str">
        <f aca="false">IF(E40&gt;0.5,"Democrat","Republican")</f>
        <v>Democrat</v>
      </c>
      <c r="J40" s="9" t="n">
        <f aca="false">'House Vote Data (Actual)'!H142</f>
        <v>0.529324424647365</v>
      </c>
      <c r="K40" s="9" t="n">
        <f aca="false">'House Vote Data (Actual)'!H143</f>
        <v>0.511316350350147</v>
      </c>
      <c r="L40" s="9" t="n">
        <f aca="false">'House Vote Data (Actual)'!H144</f>
        <v>0.52367758186398</v>
      </c>
      <c r="M40" s="9" t="n">
        <f aca="false">'House Vote Data (Actual)'!H145</f>
        <v>0.515936446798267</v>
      </c>
    </row>
    <row r="41" customFormat="false" ht="15" hidden="false" customHeight="true" outlineLevel="0" collapsed="false">
      <c r="A41" s="8" t="s">
        <v>109</v>
      </c>
      <c r="B41" s="8" t="s">
        <v>99</v>
      </c>
      <c r="C41" s="8" t="s">
        <v>219</v>
      </c>
      <c r="D41" s="12" t="n">
        <f aca="false">MAX(0, 2*'House Vote Data (Actual)'!G148 - 'House Vote Data (Actual)'!G146)</f>
        <v>843</v>
      </c>
      <c r="E41" s="9" t="n">
        <f aca="false">MIN(1,MAX(0, SLOPE(J41:M41,{2018,2020,2022,2024})*2026 + INTERCEPT(J41:M41,{2018,2020,2022,2024})))</f>
        <v>0.57246979868015</v>
      </c>
      <c r="F41" s="12" t="n">
        <f aca="false">ROUND(D41*E41,0)</f>
        <v>483</v>
      </c>
      <c r="G41" s="12" t="n">
        <f aca="false">ROUND(D41*(1-E41),0)</f>
        <v>360</v>
      </c>
      <c r="H41" s="8" t="str">
        <f aca="false">IF(E41&gt;0.5,"Democrat","Republican")</f>
        <v>Democrat</v>
      </c>
      <c r="J41" s="9" t="n">
        <f aca="false">'House Vote Data (Actual)'!H146</f>
        <v>0.63963963963964</v>
      </c>
      <c r="K41" s="9" t="n">
        <f aca="false">'House Vote Data (Actual)'!H147</f>
        <v>0.625407166123778</v>
      </c>
      <c r="L41" s="9" t="n">
        <f aca="false">'House Vote Data (Actual)'!H148</f>
        <v>0.592592592592593</v>
      </c>
      <c r="M41" s="9" t="n">
        <f aca="false">'House Vote Data (Actual)'!H149</f>
        <v>0.595993322203673</v>
      </c>
    </row>
    <row r="42" customFormat="false" ht="15" hidden="false" customHeight="true" outlineLevel="0" collapsed="false">
      <c r="A42" s="8" t="s">
        <v>110</v>
      </c>
      <c r="B42" s="8" t="s">
        <v>99</v>
      </c>
      <c r="C42" s="8" t="s">
        <v>219</v>
      </c>
      <c r="D42" s="12" t="n">
        <f aca="false">MAX(0, 2*'House Vote Data (Actual)'!G152 - 'House Vote Data (Actual)'!G150)</f>
        <v>167</v>
      </c>
      <c r="E42" s="9" t="n">
        <f aca="false">MIN(1,MAX(0, SLOPE(J42:M42,{2018,2020,2022,2024})*2026 + INTERCEPT(J42:M42,{2018,2020,2022,2024})))</f>
        <v>0.471401884267532</v>
      </c>
      <c r="F42" s="12" t="n">
        <f aca="false">ROUND(D42*E42,0)</f>
        <v>79</v>
      </c>
      <c r="G42" s="12" t="n">
        <f aca="false">ROUND(D42*(1-E42),0)</f>
        <v>88</v>
      </c>
      <c r="H42" s="8" t="str">
        <f aca="false">IF(E42&gt;0.5,"Democrat","Republican")</f>
        <v>Republican</v>
      </c>
      <c r="J42" s="9" t="n">
        <f aca="false">'House Vote Data (Actual)'!H150</f>
        <v>0.626086956521739</v>
      </c>
      <c r="K42" s="9" t="n">
        <f aca="false">'House Vote Data (Actual)'!H151</f>
        <v>0.502487562189055</v>
      </c>
      <c r="L42" s="9" t="n">
        <f aca="false">'House Vote Data (Actual)'!H152</f>
        <v>0.51063829787234</v>
      </c>
      <c r="M42" s="9" t="n">
        <f aca="false">'House Vote Data (Actual)'!H153</f>
        <v>0.529126213592233</v>
      </c>
    </row>
    <row r="43" customFormat="false" ht="15" hidden="false" customHeight="true" outlineLevel="0" collapsed="false">
      <c r="A43" s="8" t="s">
        <v>81</v>
      </c>
      <c r="B43" s="8" t="s">
        <v>99</v>
      </c>
      <c r="C43" s="8" t="s">
        <v>219</v>
      </c>
      <c r="D43" s="12" t="n">
        <f aca="false">MAX(0, 2*'House Vote Data (Actual)'!G156 - 'House Vote Data (Actual)'!G154)</f>
        <v>7007</v>
      </c>
      <c r="E43" s="9" t="n">
        <f aca="false">MIN(1,MAX(0, SLOPE(J43:M43,{2018,2020,2022,2024})*2026 + INTERCEPT(J43:M43,{2018,2020,2022,2024})))</f>
        <v>0.561261387365089</v>
      </c>
      <c r="F43" s="12" t="n">
        <f aca="false">ROUND(D43*E43,0)</f>
        <v>3933</v>
      </c>
      <c r="G43" s="12" t="n">
        <f aca="false">ROUND(D43*(1-E43),0)</f>
        <v>3074</v>
      </c>
      <c r="H43" s="8" t="str">
        <f aca="false">IF(E43&gt;0.5,"Democrat","Republican")</f>
        <v>Democrat</v>
      </c>
      <c r="J43" s="9" t="n">
        <f aca="false">'House Vote Data (Actual)'!H154</f>
        <v>0.521274792337684</v>
      </c>
      <c r="K43" s="9" t="n">
        <f aca="false">'House Vote Data (Actual)'!H155</f>
        <v>0.533719904197655</v>
      </c>
      <c r="L43" s="9" t="n">
        <f aca="false">'House Vote Data (Actual)'!H156</f>
        <v>0.553231055323106</v>
      </c>
      <c r="M43" s="9" t="n">
        <f aca="false">'House Vote Data (Actual)'!H157</f>
        <v>0.545283255872378</v>
      </c>
    </row>
    <row r="44" customFormat="false" ht="15" hidden="false" customHeight="true" outlineLevel="0" collapsed="false">
      <c r="A44" s="8" t="s">
        <v>111</v>
      </c>
      <c r="B44" s="8" t="s">
        <v>99</v>
      </c>
      <c r="C44" s="8" t="s">
        <v>219</v>
      </c>
      <c r="D44" s="12" t="n">
        <f aca="false">MAX(0, 2*'House Vote Data (Actual)'!G160 - 'House Vote Data (Actual)'!G158)</f>
        <v>2854</v>
      </c>
      <c r="E44" s="9" t="n">
        <f aca="false">MIN(1,MAX(0, SLOPE(J44:M44,{2018,2020,2022,2024})*2026 + INTERCEPT(J44:M44,{2018,2020,2022,2024})))</f>
        <v>0.500809805508094</v>
      </c>
      <c r="F44" s="12" t="n">
        <f aca="false">ROUND(D44*E44,0)</f>
        <v>1429</v>
      </c>
      <c r="G44" s="12" t="n">
        <f aca="false">ROUND(D44*(1-E44),0)</f>
        <v>1425</v>
      </c>
      <c r="H44" s="8" t="str">
        <f aca="false">IF(E44&gt;0.5,"Democrat","Republican")</f>
        <v>Democrat</v>
      </c>
      <c r="J44" s="9" t="n">
        <f aca="false">'House Vote Data (Actual)'!H158</f>
        <v>0.543630017452007</v>
      </c>
      <c r="K44" s="9" t="n">
        <f aca="false">'House Vote Data (Actual)'!H159</f>
        <v>0.505838967424708</v>
      </c>
      <c r="L44" s="9" t="n">
        <f aca="false">'House Vote Data (Actual)'!H160</f>
        <v>0.53322969296541</v>
      </c>
      <c r="M44" s="9" t="n">
        <f aca="false">'House Vote Data (Actual)'!H161</f>
        <v>0.506009967751393</v>
      </c>
    </row>
    <row r="45" customFormat="false" ht="15" hidden="false" customHeight="true" outlineLevel="0" collapsed="false">
      <c r="A45" s="8" t="s">
        <v>73</v>
      </c>
      <c r="B45" s="8" t="s">
        <v>99</v>
      </c>
      <c r="C45" s="8" t="s">
        <v>219</v>
      </c>
      <c r="D45" s="12" t="n">
        <f aca="false">MAX(0, 2*'House Vote Data (Actual)'!G164 - 'House Vote Data (Actual)'!G162)</f>
        <v>5834</v>
      </c>
      <c r="E45" s="9" t="n">
        <f aca="false">MIN(1,MAX(0, SLOPE(J45:M45,{2018,2020,2022,2024})*2026 + INTERCEPT(J45:M45,{2018,2020,2022,2024})))</f>
        <v>0.336112318091056</v>
      </c>
      <c r="F45" s="12" t="n">
        <f aca="false">ROUND(D45*E45,0)</f>
        <v>1961</v>
      </c>
      <c r="G45" s="12" t="n">
        <f aca="false">ROUND(D45*(1-E45),0)</f>
        <v>3873</v>
      </c>
      <c r="H45" s="8" t="str">
        <f aca="false">IF(E45&gt;0.5,"Democrat","Republican")</f>
        <v>Republican</v>
      </c>
      <c r="J45" s="9" t="n">
        <f aca="false">'House Vote Data (Actual)'!H162</f>
        <v>0.352444038373687</v>
      </c>
      <c r="K45" s="9" t="n">
        <f aca="false">'House Vote Data (Actual)'!H163</f>
        <v>0.334167318217357</v>
      </c>
      <c r="L45" s="9" t="n">
        <f aca="false">'House Vote Data (Actual)'!H164</f>
        <v>0.353113983548766</v>
      </c>
      <c r="M45" s="9" t="n">
        <f aca="false">'House Vote Data (Actual)'!H165</f>
        <v>0.335777345503516</v>
      </c>
    </row>
    <row r="46" customFormat="false" ht="15" hidden="false" customHeight="true" outlineLevel="0" collapsed="false">
      <c r="A46" s="8" t="s">
        <v>112</v>
      </c>
      <c r="B46" s="8" t="s">
        <v>99</v>
      </c>
      <c r="C46" s="8" t="s">
        <v>219</v>
      </c>
      <c r="D46" s="12" t="n">
        <f aca="false">MAX(0, 2*'House Vote Data (Actual)'!G168 - 'House Vote Data (Actual)'!G166)</f>
        <v>1620</v>
      </c>
      <c r="E46" s="9" t="n">
        <f aca="false">MIN(1,MAX(0, SLOPE(J46:M46,{2018,2020,2022,2024})*2026 + INTERCEPT(J46:M46,{2018,2020,2022,2024})))</f>
        <v>0.321511161187454</v>
      </c>
      <c r="F46" s="12" t="n">
        <f aca="false">ROUND(D46*E46,0)</f>
        <v>521</v>
      </c>
      <c r="G46" s="12" t="n">
        <f aca="false">ROUND(D46*(1-E46),0)</f>
        <v>1099</v>
      </c>
      <c r="H46" s="8" t="str">
        <f aca="false">IF(E46&gt;0.5,"Democrat","Republican")</f>
        <v>Republican</v>
      </c>
      <c r="J46" s="9" t="n">
        <f aca="false">'House Vote Data (Actual)'!H166</f>
        <v>0.401694915254237</v>
      </c>
      <c r="K46" s="9" t="n">
        <f aca="false">'House Vote Data (Actual)'!H167</f>
        <v>0.327868852459016</v>
      </c>
      <c r="L46" s="9" t="n">
        <f aca="false">'House Vote Data (Actual)'!H168</f>
        <v>0.365</v>
      </c>
      <c r="M46" s="9" t="n">
        <f aca="false">'House Vote Data (Actual)'!H169</f>
        <v>0.339858618814573</v>
      </c>
    </row>
    <row r="47" customFormat="false" ht="15" hidden="false" customHeight="true" outlineLevel="0" collapsed="false">
      <c r="A47" s="8" t="s">
        <v>113</v>
      </c>
      <c r="B47" s="8" t="s">
        <v>99</v>
      </c>
      <c r="C47" s="8" t="s">
        <v>219</v>
      </c>
      <c r="D47" s="12" t="n">
        <f aca="false">MAX(0, 2*'House Vote Data (Actual)'!G172 - 'House Vote Data (Actual)'!G170)</f>
        <v>4330</v>
      </c>
      <c r="E47" s="9" t="n">
        <f aca="false">MIN(1,MAX(0, SLOPE(J47:M47,{2018,2020,2022,2024})*2026 + INTERCEPT(J47:M47,{2018,2020,2022,2024})))</f>
        <v>0.495046855161583</v>
      </c>
      <c r="F47" s="12" t="n">
        <f aca="false">ROUND(D47*E47,0)</f>
        <v>2144</v>
      </c>
      <c r="G47" s="12" t="n">
        <f aca="false">ROUND(D47*(1-E47),0)</f>
        <v>2186</v>
      </c>
      <c r="H47" s="8" t="str">
        <f aca="false">IF(E47&gt;0.5,"Democrat","Republican")</f>
        <v>Republican</v>
      </c>
      <c r="J47" s="9" t="n">
        <f aca="false">'House Vote Data (Actual)'!H170</f>
        <v>0.430247718383312</v>
      </c>
      <c r="K47" s="9" t="n">
        <f aca="false">'House Vote Data (Actual)'!H171</f>
        <v>0.422817281728173</v>
      </c>
      <c r="L47" s="9" t="n">
        <f aca="false">'House Vote Data (Actual)'!H172</f>
        <v>0.441200324412003</v>
      </c>
      <c r="M47" s="9" t="n">
        <f aca="false">'House Vote Data (Actual)'!H173</f>
        <v>0.489570552147239</v>
      </c>
    </row>
    <row r="48" customFormat="false" ht="15" hidden="false" customHeight="true" outlineLevel="0" collapsed="false">
      <c r="A48" s="8" t="s">
        <v>114</v>
      </c>
      <c r="B48" s="8" t="s">
        <v>99</v>
      </c>
      <c r="C48" s="8" t="s">
        <v>219</v>
      </c>
      <c r="D48" s="12" t="n">
        <f aca="false">MAX(0, 2*'House Vote Data (Actual)'!G176 - 'House Vote Data (Actual)'!G174)</f>
        <v>6544</v>
      </c>
      <c r="E48" s="9" t="n">
        <f aca="false">MIN(1,MAX(0, SLOPE(J48:M48,{2018,2020,2022,2024})*2026 + INTERCEPT(J48:M48,{2018,2020,2022,2024})))</f>
        <v>0.483114276645471</v>
      </c>
      <c r="F48" s="12" t="n">
        <f aca="false">ROUND(D48*E48,0)</f>
        <v>3161</v>
      </c>
      <c r="G48" s="12" t="n">
        <f aca="false">ROUND(D48*(1-E48),0)</f>
        <v>3383</v>
      </c>
      <c r="H48" s="8" t="str">
        <f aca="false">IF(E48&gt;0.5,"Democrat","Republican")</f>
        <v>Republican</v>
      </c>
      <c r="J48" s="9" t="n">
        <f aca="false">'House Vote Data (Actual)'!H174</f>
        <v>0.47834274952919</v>
      </c>
      <c r="K48" s="9" t="n">
        <f aca="false">'House Vote Data (Actual)'!H175</f>
        <v>0.467990556867102</v>
      </c>
      <c r="L48" s="9" t="n">
        <f aca="false">'House Vote Data (Actual)'!H176</f>
        <v>0.492491985827569</v>
      </c>
      <c r="M48" s="9" t="n">
        <f aca="false">'House Vote Data (Actual)'!H177</f>
        <v>0.476039658496282</v>
      </c>
    </row>
    <row r="49" customFormat="false" ht="15" hidden="false" customHeight="true" outlineLevel="0" collapsed="false">
      <c r="A49" s="8" t="s">
        <v>115</v>
      </c>
      <c r="B49" s="8" t="s">
        <v>99</v>
      </c>
      <c r="C49" s="8" t="s">
        <v>219</v>
      </c>
      <c r="D49" s="12" t="n">
        <f aca="false">MAX(0, 2*'House Vote Data (Actual)'!G180 - 'House Vote Data (Actual)'!G178)</f>
        <v>5459</v>
      </c>
      <c r="E49" s="9" t="n">
        <f aca="false">MIN(1,MAX(0, SLOPE(J49:M49,{2018,2020,2022,2024})*2026 + INTERCEPT(J49:M49,{2018,2020,2022,2024})))</f>
        <v>0.332080239474032</v>
      </c>
      <c r="F49" s="12" t="n">
        <f aca="false">ROUND(D49*E49,0)</f>
        <v>1813</v>
      </c>
      <c r="G49" s="12" t="n">
        <f aca="false">ROUND(D49*(1-E49),0)</f>
        <v>3646</v>
      </c>
      <c r="H49" s="8" t="str">
        <f aca="false">IF(E49&gt;0.5,"Democrat","Republican")</f>
        <v>Republican</v>
      </c>
      <c r="J49" s="9" t="n">
        <f aca="false">'House Vote Data (Actual)'!H178</f>
        <v>0.347095179233622</v>
      </c>
      <c r="K49" s="9" t="n">
        <f aca="false">'House Vote Data (Actual)'!H179</f>
        <v>0.331892826274849</v>
      </c>
      <c r="L49" s="9" t="n">
        <f aca="false">'House Vote Data (Actual)'!H180</f>
        <v>0.349537037037037</v>
      </c>
      <c r="M49" s="9" t="n">
        <f aca="false">'House Vote Data (Actual)'!H181</f>
        <v>0.330859310572324</v>
      </c>
    </row>
    <row r="50" customFormat="false" ht="15" hidden="false" customHeight="true" outlineLevel="0" collapsed="false">
      <c r="A50" s="8" t="s">
        <v>116</v>
      </c>
      <c r="B50" s="8" t="s">
        <v>99</v>
      </c>
      <c r="C50" s="8" t="s">
        <v>219</v>
      </c>
      <c r="D50" s="12" t="n">
        <f aca="false">MAX(0, 2*'House Vote Data (Actual)'!G184 - 'House Vote Data (Actual)'!G182)</f>
        <v>2718</v>
      </c>
      <c r="E50" s="9" t="n">
        <f aca="false">MIN(1,MAX(0, SLOPE(J50:M50,{2018,2020,2022,2024})*2026 + INTERCEPT(J50:M50,{2018,2020,2022,2024})))</f>
        <v>0.452691760859237</v>
      </c>
      <c r="F50" s="12" t="n">
        <f aca="false">ROUND(D50*E50,0)</f>
        <v>1230</v>
      </c>
      <c r="G50" s="12" t="n">
        <f aca="false">ROUND(D50*(1-E50),0)</f>
        <v>1488</v>
      </c>
      <c r="H50" s="8" t="str">
        <f aca="false">IF(E50&gt;0.5,"Democrat","Republican")</f>
        <v>Republican</v>
      </c>
      <c r="J50" s="9" t="n">
        <f aca="false">'House Vote Data (Actual)'!H182</f>
        <v>0.512261580381471</v>
      </c>
      <c r="K50" s="9" t="n">
        <f aca="false">'House Vote Data (Actual)'!H183</f>
        <v>0.478023740776388</v>
      </c>
      <c r="L50" s="9" t="n">
        <f aca="false">'House Vote Data (Actual)'!H184</f>
        <v>0.517073170731707</v>
      </c>
      <c r="M50" s="9" t="n">
        <f aca="false">'House Vote Data (Actual)'!H185</f>
        <v>0.450285965684118</v>
      </c>
    </row>
    <row r="51" customFormat="false" ht="15" hidden="false" customHeight="true" outlineLevel="0" collapsed="false">
      <c r="A51" s="8" t="s">
        <v>117</v>
      </c>
      <c r="B51" s="8" t="s">
        <v>99</v>
      </c>
      <c r="C51" s="8" t="s">
        <v>219</v>
      </c>
      <c r="D51" s="12" t="n">
        <f aca="false">MAX(0, 2*'House Vote Data (Actual)'!G188 - 'House Vote Data (Actual)'!G186)</f>
        <v>1454</v>
      </c>
      <c r="E51" s="9" t="n">
        <f aca="false">MIN(1,MAX(0, SLOPE(J51:M51,{2018,2020,2022,2024})*2026 + INTERCEPT(J51:M51,{2018,2020,2022,2024})))</f>
        <v>0.496665214962603</v>
      </c>
      <c r="F51" s="12" t="n">
        <f aca="false">ROUND(D51*E51,0)</f>
        <v>722</v>
      </c>
      <c r="G51" s="12" t="n">
        <f aca="false">ROUND(D51*(1-E51),0)</f>
        <v>732</v>
      </c>
      <c r="H51" s="8" t="str">
        <f aca="false">IF(E51&gt;0.5,"Democrat","Republican")</f>
        <v>Republican</v>
      </c>
      <c r="J51" s="9" t="n">
        <f aca="false">'House Vote Data (Actual)'!H186</f>
        <v>0.486388384754991</v>
      </c>
      <c r="K51" s="9" t="n">
        <f aca="false">'House Vote Data (Actual)'!H187</f>
        <v>0.464421855146125</v>
      </c>
      <c r="L51" s="9" t="n">
        <f aca="false">'House Vote Data (Actual)'!H188</f>
        <v>0.503912363067293</v>
      </c>
      <c r="M51" s="9" t="n">
        <f aca="false">'House Vote Data (Actual)'!H189</f>
        <v>0.487903225806452</v>
      </c>
    </row>
    <row r="52" customFormat="false" ht="15" hidden="false" customHeight="true" outlineLevel="0" collapsed="false">
      <c r="A52" s="8" t="s">
        <v>99</v>
      </c>
      <c r="B52" s="8" t="s">
        <v>99</v>
      </c>
      <c r="C52" s="8" t="s">
        <v>219</v>
      </c>
      <c r="D52" s="12" t="n">
        <f aca="false">MAX(0, 2*'House Vote Data (Actual)'!G192 - 'House Vote Data (Actual)'!G190)</f>
        <v>4441</v>
      </c>
      <c r="E52" s="9" t="n">
        <f aca="false">MIN(1,MAX(0, SLOPE(J52:M52,{2018,2020,2022,2024})*2026 + INTERCEPT(J52:M52,{2018,2020,2022,2024})))</f>
        <v>0.467242280814553</v>
      </c>
      <c r="F52" s="12" t="n">
        <f aca="false">ROUND(D52*E52,0)</f>
        <v>2075</v>
      </c>
      <c r="G52" s="12" t="n">
        <f aca="false">ROUND(D52*(1-E52),0)</f>
        <v>2366</v>
      </c>
      <c r="H52" s="8" t="str">
        <f aca="false">IF(E52&gt;0.5,"Democrat","Republican")</f>
        <v>Republican</v>
      </c>
      <c r="J52" s="9" t="n">
        <f aca="false">'House Vote Data (Actual)'!H190</f>
        <v>0.483445648989159</v>
      </c>
      <c r="K52" s="9" t="n">
        <f aca="false">'House Vote Data (Actual)'!H191</f>
        <v>0.445263754963131</v>
      </c>
      <c r="L52" s="9" t="n">
        <f aca="false">'House Vote Data (Actual)'!H192</f>
        <v>0.49834479246244</v>
      </c>
      <c r="M52" s="9" t="n">
        <f aca="false">'House Vote Data (Actual)'!H193</f>
        <v>0.459792709077913</v>
      </c>
    </row>
    <row r="53" customFormat="false" ht="15" hidden="false" customHeight="true" outlineLevel="0" collapsed="false">
      <c r="A53" s="8" t="s">
        <v>118</v>
      </c>
      <c r="B53" s="8" t="s">
        <v>99</v>
      </c>
      <c r="C53" s="8" t="s">
        <v>219</v>
      </c>
      <c r="D53" s="12" t="n">
        <f aca="false">MAX(0, 2*'House Vote Data (Actual)'!G196 - 'House Vote Data (Actual)'!G194)</f>
        <v>11530</v>
      </c>
      <c r="E53" s="9" t="n">
        <f aca="false">MIN(1,MAX(0, SLOPE(J53:M53,{2018,2020,2022,2024})*2026 + INTERCEPT(J53:M53,{2018,2020,2022,2024})))</f>
        <v>0.506558611868702</v>
      </c>
      <c r="F53" s="12" t="n">
        <f aca="false">ROUND(D53*E53,0)</f>
        <v>5841</v>
      </c>
      <c r="G53" s="12" t="n">
        <f aca="false">ROUND(D53*(1-E53),0)</f>
        <v>5689</v>
      </c>
      <c r="H53" s="8" t="str">
        <f aca="false">IF(E53&gt;0.5,"Democrat","Republican")</f>
        <v>Democrat</v>
      </c>
      <c r="J53" s="9" t="n">
        <f aca="false">'House Vote Data (Actual)'!H194</f>
        <v>0.528144239226033</v>
      </c>
      <c r="K53" s="9" t="n">
        <f aca="false">'House Vote Data (Actual)'!H195</f>
        <v>0.502551020408163</v>
      </c>
      <c r="L53" s="9" t="n">
        <f aca="false">'House Vote Data (Actual)'!H196</f>
        <v>0.523901871424416</v>
      </c>
      <c r="M53" s="9" t="n">
        <f aca="false">'House Vote Data (Actual)'!H197</f>
        <v>0.508679795769511</v>
      </c>
    </row>
    <row r="54" customFormat="false" ht="15" hidden="false" customHeight="true" outlineLevel="0" collapsed="false">
      <c r="A54" s="8" t="s">
        <v>119</v>
      </c>
      <c r="B54" s="8" t="s">
        <v>99</v>
      </c>
      <c r="C54" s="8" t="s">
        <v>219</v>
      </c>
      <c r="D54" s="12" t="n">
        <f aca="false">MAX(0, 2*'House Vote Data (Actual)'!G200 - 'House Vote Data (Actual)'!G198)</f>
        <v>1360</v>
      </c>
      <c r="E54" s="9" t="n">
        <f aca="false">MIN(1,MAX(0, SLOPE(J54:M54,{2018,2020,2022,2024})*2026 + INTERCEPT(J54:M54,{2018,2020,2022,2024})))</f>
        <v>0.372869714195282</v>
      </c>
      <c r="F54" s="12" t="n">
        <f aca="false">ROUND(D54*E54,0)</f>
        <v>507</v>
      </c>
      <c r="G54" s="12" t="n">
        <f aca="false">ROUND(D54*(1-E54),0)</f>
        <v>853</v>
      </c>
      <c r="H54" s="8" t="str">
        <f aca="false">IF(E54&gt;0.5,"Democrat","Republican")</f>
        <v>Republican</v>
      </c>
      <c r="J54" s="9" t="n">
        <f aca="false">'House Vote Data (Actual)'!H198</f>
        <v>0.397372742200328</v>
      </c>
      <c r="K54" s="9" t="n">
        <f aca="false">'House Vote Data (Actual)'!H199</f>
        <v>0.383701188455009</v>
      </c>
      <c r="L54" s="9" t="n">
        <f aca="false">'House Vote Data (Actual)'!H200</f>
        <v>0.396431342125679</v>
      </c>
      <c r="M54" s="9" t="n">
        <f aca="false">'House Vote Data (Actual)'!H201</f>
        <v>0.373340414232608</v>
      </c>
    </row>
    <row r="55" customFormat="false" ht="15" hidden="false" customHeight="true" outlineLevel="0" collapsed="false">
      <c r="A55" s="8" t="s">
        <v>120</v>
      </c>
      <c r="B55" s="8" t="s">
        <v>99</v>
      </c>
      <c r="C55" s="8" t="s">
        <v>219</v>
      </c>
      <c r="D55" s="12" t="n">
        <f aca="false">MAX(0, 2*'House Vote Data (Actual)'!G204 - 'House Vote Data (Actual)'!G202)</f>
        <v>3510</v>
      </c>
      <c r="E55" s="9" t="n">
        <f aca="false">MIN(1,MAX(0, SLOPE(J55:M55,{2018,2020,2022,2024})*2026 + INTERCEPT(J55:M55,{2018,2020,2022,2024})))</f>
        <v>0.329462964715566</v>
      </c>
      <c r="F55" s="12" t="n">
        <f aca="false">ROUND(D55*E55,0)</f>
        <v>1156</v>
      </c>
      <c r="G55" s="12" t="n">
        <f aca="false">ROUND(D55*(1-E55),0)</f>
        <v>2354</v>
      </c>
      <c r="H55" s="8" t="str">
        <f aca="false">IF(E55&gt;0.5,"Democrat","Republican")</f>
        <v>Republican</v>
      </c>
      <c r="J55" s="9" t="n">
        <f aca="false">'House Vote Data (Actual)'!H202</f>
        <v>0.385140257771039</v>
      </c>
      <c r="K55" s="9" t="n">
        <f aca="false">'House Vote Data (Actual)'!H203</f>
        <v>0.351851851851852</v>
      </c>
      <c r="L55" s="9" t="n">
        <f aca="false">'House Vote Data (Actual)'!H204</f>
        <v>0.350032530904359</v>
      </c>
      <c r="M55" s="9" t="n">
        <f aca="false">'House Vote Data (Actual)'!H205</f>
        <v>0.347016828148904</v>
      </c>
    </row>
    <row r="56" customFormat="false" ht="15" hidden="false" customHeight="true" outlineLevel="0" collapsed="false">
      <c r="A56" s="8" t="s">
        <v>121</v>
      </c>
      <c r="B56" s="8" t="s">
        <v>99</v>
      </c>
      <c r="C56" s="8" t="s">
        <v>219</v>
      </c>
      <c r="D56" s="12" t="n">
        <f aca="false">MAX(0, 2*'House Vote Data (Actual)'!G208 - 'House Vote Data (Actual)'!G206)</f>
        <v>219</v>
      </c>
      <c r="E56" s="9" t="n">
        <f aca="false">MIN(1,MAX(0, SLOPE(J56:M56,{2018,2020,2022,2024})*2026 + INTERCEPT(J56:M56,{2018,2020,2022,2024})))</f>
        <v>0.339306175745509</v>
      </c>
      <c r="F56" s="12" t="n">
        <f aca="false">ROUND(D56*E56,0)</f>
        <v>74</v>
      </c>
      <c r="G56" s="12" t="n">
        <f aca="false">ROUND(D56*(1-E56),0)</f>
        <v>145</v>
      </c>
      <c r="H56" s="8" t="str">
        <f aca="false">IF(E56&gt;0.5,"Democrat","Republican")</f>
        <v>Republican</v>
      </c>
      <c r="J56" s="9" t="n">
        <f aca="false">'House Vote Data (Actual)'!H206</f>
        <v>0.366863905325444</v>
      </c>
      <c r="K56" s="9" t="n">
        <f aca="false">'House Vote Data (Actual)'!H207</f>
        <v>0.324110671936759</v>
      </c>
      <c r="L56" s="9" t="n">
        <f aca="false">'House Vote Data (Actual)'!H208</f>
        <v>0.335051546391753</v>
      </c>
      <c r="M56" s="9" t="n">
        <f aca="false">'House Vote Data (Actual)'!H209</f>
        <v>0.355212355212355</v>
      </c>
    </row>
    <row r="57" customFormat="false" ht="15" hidden="false" customHeight="true" outlineLevel="0" collapsed="false">
      <c r="A57" s="8" t="s">
        <v>122</v>
      </c>
      <c r="B57" s="8" t="s">
        <v>99</v>
      </c>
      <c r="C57" s="8" t="s">
        <v>219</v>
      </c>
      <c r="D57" s="12" t="n">
        <f aca="false">MAX(0, 2*'House Vote Data (Actual)'!G212 - 'House Vote Data (Actual)'!G210)</f>
        <v>761</v>
      </c>
      <c r="E57" s="9" t="n">
        <f aca="false">MIN(1,MAX(0, SLOPE(J57:M57,{2018,2020,2022,2024})*2026 + INTERCEPT(J57:M57,{2018,2020,2022,2024})))</f>
        <v>0.350965170039155</v>
      </c>
      <c r="F57" s="12" t="n">
        <f aca="false">ROUND(D57*E57,0)</f>
        <v>267</v>
      </c>
      <c r="G57" s="12" t="n">
        <f aca="false">ROUND(D57*(1-E57),0)</f>
        <v>494</v>
      </c>
      <c r="H57" s="8" t="str">
        <f aca="false">IF(E57&gt;0.5,"Democrat","Republican")</f>
        <v>Republican</v>
      </c>
      <c r="J57" s="9" t="n">
        <f aca="false">'House Vote Data (Actual)'!H210</f>
        <v>0.411167512690355</v>
      </c>
      <c r="K57" s="9" t="n">
        <f aca="false">'House Vote Data (Actual)'!H211</f>
        <v>0.366962305986696</v>
      </c>
      <c r="L57" s="9" t="n">
        <f aca="false">'House Vote Data (Actual)'!H212</f>
        <v>0.381656804733728</v>
      </c>
      <c r="M57" s="9" t="n">
        <f aca="false">'House Vote Data (Actual)'!H213</f>
        <v>0.365720524017467</v>
      </c>
    </row>
    <row r="58" customFormat="false" ht="15" hidden="false" customHeight="true" outlineLevel="0" collapsed="false">
      <c r="A58" s="8" t="s">
        <v>123</v>
      </c>
      <c r="B58" s="8" t="s">
        <v>99</v>
      </c>
      <c r="C58" s="8" t="s">
        <v>219</v>
      </c>
      <c r="D58" s="12" t="n">
        <f aca="false">MAX(0, 2*'House Vote Data (Actual)'!G216 - 'House Vote Data (Actual)'!G214)</f>
        <v>447</v>
      </c>
      <c r="E58" s="9" t="n">
        <f aca="false">MIN(1,MAX(0, SLOPE(J58:M58,{2018,2020,2022,2024})*2026 + INTERCEPT(J58:M58,{2018,2020,2022,2024})))</f>
        <v>0.39421724144688</v>
      </c>
      <c r="F58" s="12" t="n">
        <f aca="false">ROUND(D58*E58,0)</f>
        <v>176</v>
      </c>
      <c r="G58" s="12" t="n">
        <f aca="false">ROUND(D58*(1-E58),0)</f>
        <v>271</v>
      </c>
      <c r="H58" s="8" t="str">
        <f aca="false">IF(E58&gt;0.5,"Democrat","Republican")</f>
        <v>Republican</v>
      </c>
      <c r="J58" s="9" t="n">
        <f aca="false">'House Vote Data (Actual)'!H214</f>
        <v>0.434250764525994</v>
      </c>
      <c r="K58" s="9" t="n">
        <f aca="false">'House Vote Data (Actual)'!H215</f>
        <v>0.407692307692308</v>
      </c>
      <c r="L58" s="9" t="n">
        <f aca="false">'House Vote Data (Actual)'!H216</f>
        <v>0.41343669250646</v>
      </c>
      <c r="M58" s="9" t="n">
        <f aca="false">'House Vote Data (Actual)'!H217</f>
        <v>0.404624277456647</v>
      </c>
    </row>
    <row r="59" customFormat="false" ht="15" hidden="false" customHeight="true" outlineLevel="0" collapsed="false">
      <c r="A59" s="8" t="s">
        <v>124</v>
      </c>
      <c r="B59" s="8" t="s">
        <v>99</v>
      </c>
      <c r="C59" s="8" t="s">
        <v>219</v>
      </c>
      <c r="D59" s="12" t="n">
        <f aca="false">MAX(0, 2*'House Vote Data (Actual)'!G220 - 'House Vote Data (Actual)'!G218)</f>
        <v>666</v>
      </c>
      <c r="E59" s="9" t="n">
        <f aca="false">MIN(1,MAX(0, SLOPE(J59:M59,{2018,2020,2022,2024})*2026 + INTERCEPT(J59:M59,{2018,2020,2022,2024})))</f>
        <v>0.425569602010761</v>
      </c>
      <c r="F59" s="12" t="n">
        <f aca="false">ROUND(D59*E59,0)</f>
        <v>283</v>
      </c>
      <c r="G59" s="12" t="n">
        <f aca="false">ROUND(D59*(1-E59),0)</f>
        <v>383</v>
      </c>
      <c r="H59" s="8" t="str">
        <f aca="false">IF(E59&gt;0.5,"Democrat","Republican")</f>
        <v>Republican</v>
      </c>
      <c r="J59" s="9" t="n">
        <f aca="false">'House Vote Data (Actual)'!H218</f>
        <v>0.421052631578947</v>
      </c>
      <c r="K59" s="9" t="n">
        <f aca="false">'House Vote Data (Actual)'!H219</f>
        <v>0.404761904761905</v>
      </c>
      <c r="L59" s="9" t="n">
        <f aca="false">'House Vote Data (Actual)'!H220</f>
        <v>0.433155080213904</v>
      </c>
      <c r="M59" s="9" t="n">
        <f aca="false">'House Vote Data (Actual)'!H221</f>
        <v>0.419518377693283</v>
      </c>
    </row>
    <row r="60" customFormat="false" ht="15" hidden="false" customHeight="true" outlineLevel="0" collapsed="false">
      <c r="A60" s="8" t="s">
        <v>125</v>
      </c>
      <c r="B60" s="8" t="s">
        <v>99</v>
      </c>
      <c r="C60" s="8" t="s">
        <v>219</v>
      </c>
      <c r="D60" s="12" t="n">
        <f aca="false">MAX(0, 2*'House Vote Data (Actual)'!G224 - 'House Vote Data (Actual)'!G222)</f>
        <v>3533</v>
      </c>
      <c r="E60" s="9" t="n">
        <f aca="false">MIN(1,MAX(0, SLOPE(J60:M60,{2018,2020,2022,2024})*2026 + INTERCEPT(J60:M60,{2018,2020,2022,2024})))</f>
        <v>0.300641220559712</v>
      </c>
      <c r="F60" s="12" t="n">
        <f aca="false">ROUND(D60*E60,0)</f>
        <v>1062</v>
      </c>
      <c r="G60" s="12" t="n">
        <f aca="false">ROUND(D60*(1-E60),0)</f>
        <v>2471</v>
      </c>
      <c r="H60" s="8" t="str">
        <f aca="false">IF(E60&gt;0.5,"Democrat","Republican")</f>
        <v>Republican</v>
      </c>
      <c r="J60" s="9" t="n">
        <f aca="false">'House Vote Data (Actual)'!H222</f>
        <v>0.355907250644093</v>
      </c>
      <c r="K60" s="9" t="n">
        <f aca="false">'House Vote Data (Actual)'!H223</f>
        <v>0.316714773025453</v>
      </c>
      <c r="L60" s="9" t="n">
        <f aca="false">'House Vote Data (Actual)'!H224</f>
        <v>0.3296</v>
      </c>
      <c r="M60" s="9" t="n">
        <f aca="false">'House Vote Data (Actual)'!H225</f>
        <v>0.313794845881759</v>
      </c>
    </row>
    <row r="61" customFormat="false" ht="15" hidden="false" customHeight="true" outlineLevel="0" collapsed="false">
      <c r="A61" s="8" t="s">
        <v>126</v>
      </c>
      <c r="B61" s="8" t="s">
        <v>99</v>
      </c>
      <c r="C61" s="8" t="s">
        <v>219</v>
      </c>
      <c r="D61" s="12" t="n">
        <f aca="false">MAX(0, 2*'House Vote Data (Actual)'!G228 - 'House Vote Data (Actual)'!G226)</f>
        <v>3725</v>
      </c>
      <c r="E61" s="9" t="n">
        <f aca="false">MIN(1,MAX(0, SLOPE(J61:M61,{2018,2020,2022,2024})*2026 + INTERCEPT(J61:M61,{2018,2020,2022,2024})))</f>
        <v>0.484308369532077</v>
      </c>
      <c r="F61" s="12" t="n">
        <f aca="false">ROUND(D61*E61,0)</f>
        <v>1804</v>
      </c>
      <c r="G61" s="12" t="n">
        <f aca="false">ROUND(D61*(1-E61),0)</f>
        <v>1921</v>
      </c>
      <c r="H61" s="8" t="str">
        <f aca="false">IF(E61&gt;0.5,"Democrat","Republican")</f>
        <v>Republican</v>
      </c>
      <c r="J61" s="9" t="n">
        <f aca="false">'House Vote Data (Actual)'!H226</f>
        <v>0.48481353325644</v>
      </c>
      <c r="K61" s="9" t="n">
        <f aca="false">'House Vote Data (Actual)'!H227</f>
        <v>0.465316455696203</v>
      </c>
      <c r="L61" s="9" t="n">
        <f aca="false">'House Vote Data (Actual)'!H228</f>
        <v>0.497944988934556</v>
      </c>
      <c r="M61" s="9" t="n">
        <f aca="false">'House Vote Data (Actual)'!H229</f>
        <v>0.477742641693019</v>
      </c>
    </row>
    <row r="62" customFormat="false" ht="15" hidden="false" customHeight="true" outlineLevel="0" collapsed="false">
      <c r="A62" s="8" t="s">
        <v>127</v>
      </c>
      <c r="B62" s="8" t="s">
        <v>99</v>
      </c>
      <c r="C62" s="8" t="s">
        <v>219</v>
      </c>
      <c r="D62" s="12" t="n">
        <f aca="false">MAX(0, 2*'House Vote Data (Actual)'!G232 - 'House Vote Data (Actual)'!G230)</f>
        <v>830</v>
      </c>
      <c r="E62" s="9" t="n">
        <f aca="false">MIN(1,MAX(0, SLOPE(J62:M62,{2018,2020,2022,2024})*2026 + INTERCEPT(J62:M62,{2018,2020,2022,2024})))</f>
        <v>0.395707044675857</v>
      </c>
      <c r="F62" s="12" t="n">
        <f aca="false">ROUND(D62*E62,0)</f>
        <v>328</v>
      </c>
      <c r="G62" s="12" t="n">
        <f aca="false">ROUND(D62*(1-E62),0)</f>
        <v>502</v>
      </c>
      <c r="H62" s="8" t="str">
        <f aca="false">IF(E62&gt;0.5,"Democrat","Republican")</f>
        <v>Republican</v>
      </c>
      <c r="J62" s="9" t="n">
        <f aca="false">'House Vote Data (Actual)'!H230</f>
        <v>0.40453074433657</v>
      </c>
      <c r="K62" s="9" t="n">
        <f aca="false">'House Vote Data (Actual)'!H231</f>
        <v>0.385162601626016</v>
      </c>
      <c r="L62" s="9" t="n">
        <f aca="false">'House Vote Data (Actual)'!H232</f>
        <v>0.421270718232044</v>
      </c>
      <c r="M62" s="9" t="n">
        <f aca="false">'House Vote Data (Actual)'!H233</f>
        <v>0.387337057728119</v>
      </c>
    </row>
    <row r="63" customFormat="false" ht="15" hidden="false" customHeight="true" outlineLevel="0" collapsed="false">
      <c r="A63" s="8" t="s">
        <v>95</v>
      </c>
      <c r="B63" s="8" t="s">
        <v>99</v>
      </c>
      <c r="C63" s="8" t="s">
        <v>219</v>
      </c>
      <c r="D63" s="12" t="n">
        <f aca="false">MAX(0, 2*'House Vote Data (Actual)'!G236 - 'House Vote Data (Actual)'!G234)</f>
        <v>2832</v>
      </c>
      <c r="E63" s="9" t="n">
        <f aca="false">MIN(1,MAX(0, SLOPE(J63:M63,{2018,2020,2022,2024})*2026 + INTERCEPT(J63:M63,{2018,2020,2022,2024})))</f>
        <v>0.320552595554489</v>
      </c>
      <c r="F63" s="12" t="n">
        <f aca="false">ROUND(D63*E63,0)</f>
        <v>908</v>
      </c>
      <c r="G63" s="12" t="n">
        <f aca="false">ROUND(D63*(1-E63),0)</f>
        <v>1924</v>
      </c>
      <c r="H63" s="8" t="str">
        <f aca="false">IF(E63&gt;0.5,"Democrat","Republican")</f>
        <v>Republican</v>
      </c>
      <c r="J63" s="9" t="n">
        <f aca="false">'House Vote Data (Actual)'!H234</f>
        <v>0.378265412748171</v>
      </c>
      <c r="K63" s="9" t="n">
        <f aca="false">'House Vote Data (Actual)'!H235</f>
        <v>0.343656343656344</v>
      </c>
      <c r="L63" s="9" t="n">
        <f aca="false">'House Vote Data (Actual)'!H236</f>
        <v>0.353982300884956</v>
      </c>
      <c r="M63" s="9" t="n">
        <f aca="false">'House Vote Data (Actual)'!H237</f>
        <v>0.332694151486098</v>
      </c>
    </row>
    <row r="64" customFormat="false" ht="15" hidden="false" customHeight="true" outlineLevel="0" collapsed="false">
      <c r="A64" s="8" t="s">
        <v>128</v>
      </c>
      <c r="B64" s="8" t="s">
        <v>99</v>
      </c>
      <c r="C64" s="8" t="s">
        <v>219</v>
      </c>
      <c r="D64" s="12" t="n">
        <f aca="false">MAX(0, 2*'House Vote Data (Actual)'!G240 - 'House Vote Data (Actual)'!G238)</f>
        <v>458</v>
      </c>
      <c r="E64" s="9" t="n">
        <f aca="false">MIN(1,MAX(0, SLOPE(J64:M64,{2018,2020,2022,2024})*2026 + INTERCEPT(J64:M64,{2018,2020,2022,2024})))</f>
        <v>0.459046720523216</v>
      </c>
      <c r="F64" s="12" t="n">
        <f aca="false">ROUND(D64*E64,0)</f>
        <v>210</v>
      </c>
      <c r="G64" s="12" t="n">
        <f aca="false">ROUND(D64*(1-E64),0)</f>
        <v>248</v>
      </c>
      <c r="H64" s="8" t="str">
        <f aca="false">IF(E64&gt;0.5,"Democrat","Republican")</f>
        <v>Republican</v>
      </c>
      <c r="J64" s="9" t="n">
        <f aca="false">'House Vote Data (Actual)'!H238</f>
        <v>0.513513513513514</v>
      </c>
      <c r="K64" s="9" t="n">
        <f aca="false">'House Vote Data (Actual)'!H239</f>
        <v>0.43304347826087</v>
      </c>
      <c r="L64" s="9" t="n">
        <f aca="false">'House Vote Data (Actual)'!H240</f>
        <v>0.480676328502416</v>
      </c>
      <c r="M64" s="9" t="n">
        <f aca="false">'House Vote Data (Actual)'!H241</f>
        <v>0.475465313028765</v>
      </c>
    </row>
    <row r="65" customFormat="false" ht="15" hidden="false" customHeight="true" outlineLevel="0" collapsed="false">
      <c r="A65" s="8" t="s">
        <v>129</v>
      </c>
      <c r="B65" s="8" t="s">
        <v>99</v>
      </c>
      <c r="C65" s="8" t="s">
        <v>219</v>
      </c>
      <c r="D65" s="12" t="n">
        <f aca="false">MAX(0, 2*'House Vote Data (Actual)'!G244 - 'House Vote Data (Actual)'!G242)</f>
        <v>3715</v>
      </c>
      <c r="E65" s="9" t="n">
        <f aca="false">MIN(1,MAX(0, SLOPE(J65:M65,{2018,2020,2022,2024})*2026 + INTERCEPT(J65:M65,{2018,2020,2022,2024})))</f>
        <v>0.432188419643937</v>
      </c>
      <c r="F65" s="12" t="n">
        <f aca="false">ROUND(D65*E65,0)</f>
        <v>1606</v>
      </c>
      <c r="G65" s="12" t="n">
        <f aca="false">ROUND(D65*(1-E65),0)</f>
        <v>2109</v>
      </c>
      <c r="H65" s="8" t="str">
        <f aca="false">IF(E65&gt;0.5,"Democrat","Republican")</f>
        <v>Republican</v>
      </c>
      <c r="J65" s="9" t="n">
        <f aca="false">'House Vote Data (Actual)'!H242</f>
        <v>0.444292080905039</v>
      </c>
      <c r="K65" s="9" t="n">
        <f aca="false">'House Vote Data (Actual)'!H243</f>
        <v>0.426193921852388</v>
      </c>
      <c r="L65" s="9" t="n">
        <f aca="false">'House Vote Data (Actual)'!H244</f>
        <v>0.439083232810615</v>
      </c>
      <c r="M65" s="9" t="n">
        <f aca="false">'House Vote Data (Actual)'!H245</f>
        <v>0.434792843691149</v>
      </c>
    </row>
    <row r="66" customFormat="false" ht="15" hidden="false" customHeight="true" outlineLevel="0" collapsed="false">
      <c r="A66" s="8" t="s">
        <v>130</v>
      </c>
      <c r="B66" s="8" t="s">
        <v>99</v>
      </c>
      <c r="C66" s="8" t="s">
        <v>219</v>
      </c>
      <c r="D66" s="12" t="n">
        <f aca="false">MAX(0, 2*'House Vote Data (Actual)'!G248 - 'House Vote Data (Actual)'!G246)</f>
        <v>2465</v>
      </c>
      <c r="E66" s="9" t="n">
        <f aca="false">MIN(1,MAX(0, SLOPE(J66:M66,{2018,2020,2022,2024})*2026 + INTERCEPT(J66:M66,{2018,2020,2022,2024})))</f>
        <v>0.550484708315993</v>
      </c>
      <c r="F66" s="12" t="n">
        <f aca="false">ROUND(D66*E66,0)</f>
        <v>1357</v>
      </c>
      <c r="G66" s="12" t="n">
        <f aca="false">ROUND(D66*(1-E66),0)</f>
        <v>1108</v>
      </c>
      <c r="H66" s="8" t="str">
        <f aca="false">IF(E66&gt;0.5,"Democrat","Republican")</f>
        <v>Democrat</v>
      </c>
      <c r="J66" s="9" t="n">
        <f aca="false">'House Vote Data (Actual)'!H246</f>
        <v>0.587930221593588</v>
      </c>
      <c r="K66" s="9" t="n">
        <f aca="false">'House Vote Data (Actual)'!H247</f>
        <v>0.553003533568905</v>
      </c>
      <c r="L66" s="9" t="n">
        <f aca="false">'House Vote Data (Actual)'!H248</f>
        <v>0.584387265590929</v>
      </c>
      <c r="M66" s="9" t="n">
        <f aca="false">'House Vote Data (Actual)'!H249</f>
        <v>0.552256186317322</v>
      </c>
    </row>
    <row r="67" customFormat="false" ht="15" hidden="false" customHeight="true" outlineLevel="0" collapsed="false">
      <c r="A67" s="8" t="s">
        <v>131</v>
      </c>
      <c r="B67" s="8" t="s">
        <v>99</v>
      </c>
      <c r="C67" s="8" t="s">
        <v>219</v>
      </c>
      <c r="D67" s="12" t="n">
        <f aca="false">MAX(0, 2*'House Vote Data (Actual)'!G252 - 'House Vote Data (Actual)'!G250)</f>
        <v>1361</v>
      </c>
      <c r="E67" s="9" t="n">
        <f aca="false">MIN(1,MAX(0, SLOPE(J67:M67,{2018,2020,2022,2024})*2026 + INTERCEPT(J67:M67,{2018,2020,2022,2024})))</f>
        <v>0.432738788172709</v>
      </c>
      <c r="F67" s="12" t="n">
        <f aca="false">ROUND(D67*E67,0)</f>
        <v>589</v>
      </c>
      <c r="G67" s="12" t="n">
        <f aca="false">ROUND(D67*(1-E67),0)</f>
        <v>772</v>
      </c>
      <c r="H67" s="8" t="str">
        <f aca="false">IF(E67&gt;0.5,"Democrat","Republican")</f>
        <v>Republican</v>
      </c>
      <c r="J67" s="9" t="n">
        <f aca="false">'House Vote Data (Actual)'!H250</f>
        <v>0.436670687575392</v>
      </c>
      <c r="K67" s="9" t="n">
        <f aca="false">'House Vote Data (Actual)'!H251</f>
        <v>0.391070053887606</v>
      </c>
      <c r="L67" s="9" t="n">
        <f aca="false">'House Vote Data (Actual)'!H252</f>
        <v>0.451141552511416</v>
      </c>
      <c r="M67" s="9" t="n">
        <f aca="false">'House Vote Data (Actual)'!H253</f>
        <v>0.425503355704698</v>
      </c>
    </row>
    <row r="68" customFormat="false" ht="15" hidden="false" customHeight="true" outlineLevel="0" collapsed="false">
      <c r="A68" s="8" t="s">
        <v>138</v>
      </c>
      <c r="B68" s="8" t="s">
        <v>139</v>
      </c>
      <c r="C68" s="8" t="s">
        <v>177</v>
      </c>
      <c r="D68" s="12" t="n">
        <f aca="false">MAX(0, 2*'Carbon 2026 Registration'!D2 - 'Carbon 2026 Registration'!C2)</f>
        <v>382</v>
      </c>
      <c r="E68" s="9" t="n">
        <f aca="false">MIN(1,MAX(0, 0.4899 + 0.489*'Carbon 2026 Registration'!B2))</f>
        <v>0.5165016</v>
      </c>
      <c r="F68" s="12" t="n">
        <f aca="false">ROUND(D68*E68,0)</f>
        <v>197</v>
      </c>
      <c r="G68" s="12" t="n">
        <f aca="false">ROUND(D68*(1-E68),0)</f>
        <v>185</v>
      </c>
      <c r="H68" s="8" t="str">
        <f aca="false">IF(E68&gt;0.5,"Democrat","Republican")</f>
        <v>Democrat</v>
      </c>
    </row>
    <row r="69" customFormat="false" ht="15" hidden="false" customHeight="true" outlineLevel="0" collapsed="false">
      <c r="A69" s="8" t="s">
        <v>140</v>
      </c>
      <c r="B69" s="8" t="s">
        <v>139</v>
      </c>
      <c r="C69" s="8" t="s">
        <v>177</v>
      </c>
      <c r="D69" s="12" t="n">
        <f aca="false">MAX(0, 2*'Carbon 2026 Registration'!D3 - 'Carbon 2026 Registration'!C3)</f>
        <v>339</v>
      </c>
      <c r="E69" s="9" t="n">
        <f aca="false">MIN(1,MAX(0, 0.4899 + 0.489*'Carbon 2026 Registration'!B3))</f>
        <v>0.3741537</v>
      </c>
      <c r="F69" s="12" t="n">
        <f aca="false">ROUND(D69*E69,0)</f>
        <v>127</v>
      </c>
      <c r="G69" s="12" t="n">
        <f aca="false">ROUND(D69*(1-E69),0)</f>
        <v>212</v>
      </c>
      <c r="H69" s="8" t="str">
        <f aca="false">IF(E69&gt;0.5,"Democrat","Republican")</f>
        <v>Republican</v>
      </c>
    </row>
    <row r="70" customFormat="false" ht="15" hidden="false" customHeight="true" outlineLevel="0" collapsed="false">
      <c r="A70" s="8" t="s">
        <v>141</v>
      </c>
      <c r="B70" s="8" t="s">
        <v>139</v>
      </c>
      <c r="C70" s="8" t="s">
        <v>177</v>
      </c>
      <c r="D70" s="12" t="n">
        <f aca="false">MAX(0, 2*'Carbon 2026 Registration'!D4 - 'Carbon 2026 Registration'!C4)</f>
        <v>398</v>
      </c>
      <c r="E70" s="9" t="n">
        <f aca="false">MIN(1,MAX(0, 0.4899 + 0.489*'Carbon 2026 Registration'!B4))</f>
        <v>0.3574788</v>
      </c>
      <c r="F70" s="12" t="n">
        <f aca="false">ROUND(D70*E70,0)</f>
        <v>142</v>
      </c>
      <c r="G70" s="12" t="n">
        <f aca="false">ROUND(D70*(1-E70),0)</f>
        <v>256</v>
      </c>
      <c r="H70" s="8" t="str">
        <f aca="false">IF(E70&gt;0.5,"Democrat","Republican")</f>
        <v>Republican</v>
      </c>
    </row>
    <row r="71" customFormat="false" ht="15" hidden="false" customHeight="true" outlineLevel="0" collapsed="false">
      <c r="A71" s="8" t="s">
        <v>142</v>
      </c>
      <c r="B71" s="8" t="s">
        <v>139</v>
      </c>
      <c r="C71" s="8" t="s">
        <v>177</v>
      </c>
      <c r="D71" s="12" t="n">
        <f aca="false">MAX(0, 2*'Carbon 2026 Registration'!D5 - 'Carbon 2026 Registration'!C5)</f>
        <v>1491</v>
      </c>
      <c r="E71" s="9" t="n">
        <f aca="false">MIN(1,MAX(0, 0.4899 + 0.489*'Carbon 2026 Registration'!B5))</f>
        <v>0.3158649</v>
      </c>
      <c r="F71" s="12" t="n">
        <f aca="false">ROUND(D71*E71,0)</f>
        <v>471</v>
      </c>
      <c r="G71" s="12" t="n">
        <f aca="false">ROUND(D71*(1-E71),0)</f>
        <v>1020</v>
      </c>
      <c r="H71" s="8" t="str">
        <f aca="false">IF(E71&gt;0.5,"Democrat","Republican")</f>
        <v>Republican</v>
      </c>
    </row>
    <row r="72" customFormat="false" ht="15" hidden="false" customHeight="true" outlineLevel="0" collapsed="false">
      <c r="A72" s="8" t="s">
        <v>143</v>
      </c>
      <c r="B72" s="8" t="s">
        <v>139</v>
      </c>
      <c r="C72" s="8" t="s">
        <v>177</v>
      </c>
      <c r="D72" s="12" t="n">
        <f aca="false">MAX(0, 2*'Carbon 2026 Registration'!D6 - 'Carbon 2026 Registration'!C6)</f>
        <v>103</v>
      </c>
      <c r="E72" s="9" t="n">
        <f aca="false">MIN(1,MAX(0, 0.4899 + 0.489*'Carbon 2026 Registration'!B6))</f>
        <v>0.4039338</v>
      </c>
      <c r="F72" s="12" t="n">
        <f aca="false">ROUND(D72*E72,0)</f>
        <v>42</v>
      </c>
      <c r="G72" s="12" t="n">
        <f aca="false">ROUND(D72*(1-E72),0)</f>
        <v>61</v>
      </c>
      <c r="H72" s="8" t="str">
        <f aca="false">IF(E72&gt;0.5,"Democrat","Republican")</f>
        <v>Republican</v>
      </c>
    </row>
    <row r="73" customFormat="false" ht="15" hidden="false" customHeight="true" outlineLevel="0" collapsed="false">
      <c r="A73" s="8" t="s">
        <v>144</v>
      </c>
      <c r="B73" s="8" t="s">
        <v>139</v>
      </c>
      <c r="C73" s="8" t="s">
        <v>177</v>
      </c>
      <c r="D73" s="12" t="n">
        <f aca="false">MAX(0, 2*'Carbon 2026 Registration'!D7 - 'Carbon 2026 Registration'!C7)</f>
        <v>2220</v>
      </c>
      <c r="E73" s="9" t="n">
        <f aca="false">MIN(1,MAX(0, 0.4899 + 0.489*'Carbon 2026 Registration'!B7))</f>
        <v>0.3229065</v>
      </c>
      <c r="F73" s="12" t="n">
        <f aca="false">ROUND(D73*E73,0)</f>
        <v>717</v>
      </c>
      <c r="G73" s="12" t="n">
        <f aca="false">ROUND(D73*(1-E73),0)</f>
        <v>1503</v>
      </c>
      <c r="H73" s="8" t="str">
        <f aca="false">IF(E73&gt;0.5,"Democrat","Republican")</f>
        <v>Republican</v>
      </c>
    </row>
    <row r="74" customFormat="false" ht="15" hidden="false" customHeight="true" outlineLevel="0" collapsed="false">
      <c r="A74" s="8" t="s">
        <v>145</v>
      </c>
      <c r="B74" s="8" t="s">
        <v>139</v>
      </c>
      <c r="C74" s="8" t="s">
        <v>177</v>
      </c>
      <c r="D74" s="12" t="n">
        <f aca="false">MAX(0, 2*'Carbon 2026 Registration'!D8 - 'Carbon 2026 Registration'!C8)</f>
        <v>2335</v>
      </c>
      <c r="E74" s="9" t="n">
        <f aca="false">MIN(1,MAX(0, 0.4899 + 0.489*'Carbon 2026 Registration'!B8))</f>
        <v>0.4654989</v>
      </c>
      <c r="F74" s="12" t="n">
        <f aca="false">ROUND(D74*E74,0)</f>
        <v>1087</v>
      </c>
      <c r="G74" s="12" t="n">
        <f aca="false">ROUND(D74*(1-E74),0)</f>
        <v>1248</v>
      </c>
      <c r="H74" s="8" t="str">
        <f aca="false">IF(E74&gt;0.5,"Democrat","Republican")</f>
        <v>Republican</v>
      </c>
    </row>
    <row r="75" customFormat="false" ht="15" hidden="false" customHeight="true" outlineLevel="0" collapsed="false">
      <c r="A75" s="8" t="s">
        <v>146</v>
      </c>
      <c r="B75" s="8" t="s">
        <v>139</v>
      </c>
      <c r="C75" s="8" t="s">
        <v>177</v>
      </c>
      <c r="D75" s="12" t="n">
        <f aca="false">MAX(0, 2*'Carbon 2026 Registration'!D9 - 'Carbon 2026 Registration'!C9)</f>
        <v>943</v>
      </c>
      <c r="E75" s="9" t="n">
        <f aca="false">MIN(1,MAX(0, 0.4899 + 0.489*'Carbon 2026 Registration'!B9))</f>
        <v>0.3546426</v>
      </c>
      <c r="F75" s="12" t="n">
        <f aca="false">ROUND(D75*E75,0)</f>
        <v>334</v>
      </c>
      <c r="G75" s="12" t="n">
        <f aca="false">ROUND(D75*(1-E75),0)</f>
        <v>609</v>
      </c>
      <c r="H75" s="8" t="str">
        <f aca="false">IF(E75&gt;0.5,"Democrat","Republican")</f>
        <v>Republican</v>
      </c>
    </row>
    <row r="76" customFormat="false" ht="15" hidden="false" customHeight="true" outlineLevel="0" collapsed="false">
      <c r="A76" s="8" t="s">
        <v>147</v>
      </c>
      <c r="B76" s="8" t="s">
        <v>139</v>
      </c>
      <c r="C76" s="8" t="s">
        <v>177</v>
      </c>
      <c r="D76" s="12" t="n">
        <f aca="false">MAX(0, 2*'Carbon 2026 Registration'!D10 - 'Carbon 2026 Registration'!C10)</f>
        <v>1128</v>
      </c>
      <c r="E76" s="9" t="n">
        <f aca="false">MIN(1,MAX(0, 0.4899 + 0.489*'Carbon 2026 Registration'!B10))</f>
        <v>0.4719537</v>
      </c>
      <c r="F76" s="12" t="n">
        <f aca="false">ROUND(D76*E76,0)</f>
        <v>532</v>
      </c>
      <c r="G76" s="12" t="n">
        <f aca="false">ROUND(D76*(1-E76),0)</f>
        <v>596</v>
      </c>
      <c r="H76" s="8" t="str">
        <f aca="false">IF(E76&gt;0.5,"Democrat","Republican")</f>
        <v>Republican</v>
      </c>
    </row>
    <row r="77" customFormat="false" ht="15" hidden="false" customHeight="true" outlineLevel="0" collapsed="false">
      <c r="A77" s="8" t="s">
        <v>148</v>
      </c>
      <c r="B77" s="8" t="s">
        <v>139</v>
      </c>
      <c r="C77" s="8" t="s">
        <v>177</v>
      </c>
      <c r="D77" s="12" t="n">
        <f aca="false">MAX(0, 2*'Carbon 2026 Registration'!D11 - 'Carbon 2026 Registration'!C11)</f>
        <v>137</v>
      </c>
      <c r="E77" s="9" t="n">
        <f aca="false">MIN(1,MAX(0, 0.4899 + 0.489*'Carbon 2026 Registration'!B11))</f>
        <v>0.300168</v>
      </c>
      <c r="F77" s="12" t="n">
        <f aca="false">ROUND(D77*E77,0)</f>
        <v>41</v>
      </c>
      <c r="G77" s="12" t="n">
        <f aca="false">ROUND(D77*(1-E77),0)</f>
        <v>96</v>
      </c>
      <c r="H77" s="8" t="str">
        <f aca="false">IF(E77&gt;0.5,"Democrat","Republican")</f>
        <v>Republican</v>
      </c>
    </row>
    <row r="78" customFormat="false" ht="15" hidden="false" customHeight="true" outlineLevel="0" collapsed="false">
      <c r="A78" s="8" t="s">
        <v>149</v>
      </c>
      <c r="B78" s="8" t="s">
        <v>139</v>
      </c>
      <c r="C78" s="8" t="s">
        <v>177</v>
      </c>
      <c r="D78" s="12" t="n">
        <f aca="false">MAX(0, 2*'Carbon 2026 Registration'!D12 - 'Carbon 2026 Registration'!C12)</f>
        <v>271</v>
      </c>
      <c r="E78" s="9" t="n">
        <f aca="false">MIN(1,MAX(0, 0.4899 + 0.489*'Carbon 2026 Registration'!B12))</f>
        <v>0.2240796</v>
      </c>
      <c r="F78" s="12" t="n">
        <f aca="false">ROUND(D78*E78,0)</f>
        <v>61</v>
      </c>
      <c r="G78" s="12" t="n">
        <f aca="false">ROUND(D78*(1-E78),0)</f>
        <v>210</v>
      </c>
      <c r="H78" s="8" t="str">
        <f aca="false">IF(E78&gt;0.5,"Democrat","Republican")</f>
        <v>Republican</v>
      </c>
    </row>
    <row r="79" customFormat="false" ht="15" hidden="false" customHeight="true" outlineLevel="0" collapsed="false">
      <c r="A79" s="8" t="s">
        <v>150</v>
      </c>
      <c r="B79" s="8" t="s">
        <v>139</v>
      </c>
      <c r="C79" s="8" t="s">
        <v>177</v>
      </c>
      <c r="D79" s="12" t="n">
        <f aca="false">MAX(0, 2*'Carbon 2026 Registration'!D13 - 'Carbon 2026 Registration'!C13)</f>
        <v>1867</v>
      </c>
      <c r="E79" s="9" t="n">
        <f aca="false">MIN(1,MAX(0, 0.4899 + 0.489*'Carbon 2026 Registration'!B13))</f>
        <v>0.4151319</v>
      </c>
      <c r="F79" s="12" t="n">
        <f aca="false">ROUND(D79*E79,0)</f>
        <v>775</v>
      </c>
      <c r="G79" s="12" t="n">
        <f aca="false">ROUND(D79*(1-E79),0)</f>
        <v>1092</v>
      </c>
      <c r="H79" s="8" t="str">
        <f aca="false">IF(E79&gt;0.5,"Democrat","Republican")</f>
        <v>Republican</v>
      </c>
    </row>
    <row r="80" customFormat="false" ht="15" hidden="false" customHeight="true" outlineLevel="0" collapsed="false">
      <c r="A80" s="8" t="s">
        <v>151</v>
      </c>
      <c r="B80" s="8" t="s">
        <v>139</v>
      </c>
      <c r="C80" s="8" t="s">
        <v>177</v>
      </c>
      <c r="D80" s="12" t="n">
        <f aca="false">MAX(0, 2*'Carbon 2026 Registration'!D14 - 'Carbon 2026 Registration'!C14)</f>
        <v>1561</v>
      </c>
      <c r="E80" s="9" t="n">
        <f aca="false">MIN(1,MAX(0, 0.4899 + 0.489*'Carbon 2026 Registration'!B14))</f>
        <v>0.3374787</v>
      </c>
      <c r="F80" s="12" t="n">
        <f aca="false">ROUND(D80*E80,0)</f>
        <v>527</v>
      </c>
      <c r="G80" s="12" t="n">
        <f aca="false">ROUND(D80*(1-E80),0)</f>
        <v>1034</v>
      </c>
      <c r="H80" s="8" t="str">
        <f aca="false">IF(E80&gt;0.5,"Democrat","Republican")</f>
        <v>Republican</v>
      </c>
    </row>
    <row r="81" customFormat="false" ht="15" hidden="false" customHeight="true" outlineLevel="0" collapsed="false">
      <c r="A81" s="8" t="s">
        <v>152</v>
      </c>
      <c r="B81" s="8" t="s">
        <v>139</v>
      </c>
      <c r="C81" s="8" t="s">
        <v>177</v>
      </c>
      <c r="D81" s="12" t="n">
        <f aca="false">MAX(0, 2*'Carbon 2026 Registration'!D15 - 'Carbon 2026 Registration'!C15)</f>
        <v>2044</v>
      </c>
      <c r="E81" s="9" t="n">
        <f aca="false">MIN(1,MAX(0, 0.4899 + 0.489*'Carbon 2026 Registration'!B15))</f>
        <v>0.3193857</v>
      </c>
      <c r="F81" s="12" t="n">
        <f aca="false">ROUND(D81*E81,0)</f>
        <v>653</v>
      </c>
      <c r="G81" s="12" t="n">
        <f aca="false">ROUND(D81*(1-E81),0)</f>
        <v>1391</v>
      </c>
      <c r="H81" s="8" t="str">
        <f aca="false">IF(E81&gt;0.5,"Democrat","Republican")</f>
        <v>Republican</v>
      </c>
    </row>
    <row r="82" customFormat="false" ht="15" hidden="false" customHeight="true" outlineLevel="0" collapsed="false">
      <c r="A82" s="8" t="s">
        <v>153</v>
      </c>
      <c r="B82" s="8" t="s">
        <v>139</v>
      </c>
      <c r="C82" s="8" t="s">
        <v>177</v>
      </c>
      <c r="D82" s="12" t="n">
        <f aca="false">MAX(0, 2*'Carbon 2026 Registration'!D16 - 'Carbon 2026 Registration'!C16)</f>
        <v>1332</v>
      </c>
      <c r="E82" s="9" t="n">
        <f aca="false">MIN(1,MAX(0, 0.4899 + 0.489*'Carbon 2026 Registration'!B16))</f>
        <v>0.4448142</v>
      </c>
      <c r="F82" s="12" t="n">
        <f aca="false">ROUND(D82*E82,0)</f>
        <v>592</v>
      </c>
      <c r="G82" s="12" t="n">
        <f aca="false">ROUND(D82*(1-E82),0)</f>
        <v>740</v>
      </c>
      <c r="H82" s="8" t="str">
        <f aca="false">IF(E82&gt;0.5,"Democrat","Republican")</f>
        <v>Republican</v>
      </c>
    </row>
    <row r="83" customFormat="false" ht="15" hidden="false" customHeight="true" outlineLevel="0" collapsed="false">
      <c r="A83" s="8" t="s">
        <v>154</v>
      </c>
      <c r="B83" s="8" t="s">
        <v>139</v>
      </c>
      <c r="C83" s="8" t="s">
        <v>177</v>
      </c>
      <c r="D83" s="12" t="n">
        <f aca="false">MAX(0, 2*'Carbon 2026 Registration'!D17 - 'Carbon 2026 Registration'!C17)</f>
        <v>590</v>
      </c>
      <c r="E83" s="9" t="n">
        <f aca="false">MIN(1,MAX(0, 0.4899 + 0.489*'Carbon 2026 Registration'!B17))</f>
        <v>0.2336151</v>
      </c>
      <c r="F83" s="12" t="n">
        <f aca="false">ROUND(D83*E83,0)</f>
        <v>138</v>
      </c>
      <c r="G83" s="12" t="n">
        <f aca="false">ROUND(D83*(1-E83),0)</f>
        <v>452</v>
      </c>
      <c r="H83" s="8" t="str">
        <f aca="false">IF(E83&gt;0.5,"Democrat","Republican")</f>
        <v>Republican</v>
      </c>
    </row>
    <row r="84" customFormat="false" ht="15" hidden="false" customHeight="true" outlineLevel="0" collapsed="false">
      <c r="A84" s="8" t="s">
        <v>155</v>
      </c>
      <c r="B84" s="8" t="s">
        <v>139</v>
      </c>
      <c r="C84" s="8" t="s">
        <v>177</v>
      </c>
      <c r="D84" s="12" t="n">
        <f aca="false">MAX(0, 2*'Carbon 2026 Registration'!D18 - 'Carbon 2026 Registration'!C18)</f>
        <v>2152</v>
      </c>
      <c r="E84" s="9" t="n">
        <f aca="false">MIN(1,MAX(0, 0.4899 + 0.489*'Carbon 2026 Registration'!B18))</f>
        <v>0.4109265</v>
      </c>
      <c r="F84" s="12" t="n">
        <f aca="false">ROUND(D84*E84,0)</f>
        <v>884</v>
      </c>
      <c r="G84" s="12" t="n">
        <f aca="false">ROUND(D84*(1-E84),0)</f>
        <v>1268</v>
      </c>
      <c r="H84" s="8" t="str">
        <f aca="false">IF(E84&gt;0.5,"Democrat","Republican")</f>
        <v>Republican</v>
      </c>
    </row>
    <row r="85" customFormat="false" ht="15" hidden="false" customHeight="true" outlineLevel="0" collapsed="false">
      <c r="A85" s="8" t="s">
        <v>156</v>
      </c>
      <c r="B85" s="8" t="s">
        <v>139</v>
      </c>
      <c r="C85" s="8" t="s">
        <v>177</v>
      </c>
      <c r="D85" s="12" t="n">
        <f aca="false">MAX(0, 2*'Carbon 2026 Registration'!D19 - 'Carbon 2026 Registration'!C19)</f>
        <v>218</v>
      </c>
      <c r="E85" s="9" t="n">
        <f aca="false">MIN(1,MAX(0, 0.4899 + 0.489*'Carbon 2026 Registration'!B19))</f>
        <v>0.3752295</v>
      </c>
      <c r="F85" s="12" t="n">
        <f aca="false">ROUND(D85*E85,0)</f>
        <v>82</v>
      </c>
      <c r="G85" s="12" t="n">
        <f aca="false">ROUND(D85*(1-E85),0)</f>
        <v>136</v>
      </c>
      <c r="H85" s="8" t="str">
        <f aca="false">IF(E85&gt;0.5,"Democrat","Republican")</f>
        <v>Republican</v>
      </c>
    </row>
    <row r="86" customFormat="false" ht="15" hidden="false" customHeight="true" outlineLevel="0" collapsed="false">
      <c r="A86" s="8" t="s">
        <v>157</v>
      </c>
      <c r="B86" s="8" t="s">
        <v>139</v>
      </c>
      <c r="C86" s="8" t="s">
        <v>177</v>
      </c>
      <c r="D86" s="12" t="n">
        <f aca="false">MAX(0, 2*'Carbon 2026 Registration'!D20 - 'Carbon 2026 Registration'!C20)</f>
        <v>5156</v>
      </c>
      <c r="E86" s="9" t="n">
        <f aca="false">MIN(1,MAX(0, 0.4899 + 0.489*'Carbon 2026 Registration'!B20))</f>
        <v>0.3926868</v>
      </c>
      <c r="F86" s="12" t="n">
        <f aca="false">ROUND(D86*E86,0)</f>
        <v>2025</v>
      </c>
      <c r="G86" s="12" t="n">
        <f aca="false">ROUND(D86*(1-E86),0)</f>
        <v>3131</v>
      </c>
      <c r="H86" s="8" t="str">
        <f aca="false">IF(E86&gt;0.5,"Democrat","Republican")</f>
        <v>Republican</v>
      </c>
    </row>
    <row r="87" customFormat="false" ht="15" hidden="false" customHeight="true" outlineLevel="0" collapsed="false">
      <c r="A87" s="8" t="s">
        <v>158</v>
      </c>
      <c r="B87" s="8" t="s">
        <v>139</v>
      </c>
      <c r="C87" s="8" t="s">
        <v>177</v>
      </c>
      <c r="D87" s="12" t="n">
        <f aca="false">MAX(0, 2*'Carbon 2026 Registration'!D21 - 'Carbon 2026 Registration'!C21)</f>
        <v>1377</v>
      </c>
      <c r="E87" s="9" t="n">
        <f aca="false">MIN(1,MAX(0, 0.4899 + 0.489*'Carbon 2026 Registration'!B21))</f>
        <v>0.4818804</v>
      </c>
      <c r="F87" s="12" t="n">
        <f aca="false">ROUND(D87*E87,0)</f>
        <v>664</v>
      </c>
      <c r="G87" s="12" t="n">
        <f aca="false">ROUND(D87*(1-E87),0)</f>
        <v>713</v>
      </c>
      <c r="H87" s="8" t="str">
        <f aca="false">IF(E87&gt;0.5,"Democrat","Republican")</f>
        <v>Republican</v>
      </c>
    </row>
    <row r="88" customFormat="false" ht="15" hidden="false" customHeight="true" outlineLevel="0" collapsed="false">
      <c r="A88" s="8" t="s">
        <v>159</v>
      </c>
      <c r="B88" s="8" t="s">
        <v>139</v>
      </c>
      <c r="C88" s="8" t="s">
        <v>177</v>
      </c>
      <c r="D88" s="12" t="n">
        <f aca="false">MAX(0, 2*'Carbon 2026 Registration'!D22 - 'Carbon 2026 Registration'!C22)</f>
        <v>2515</v>
      </c>
      <c r="E88" s="9" t="n">
        <f aca="false">MIN(1,MAX(0, 0.4899 + 0.489*'Carbon 2026 Registration'!B22))</f>
        <v>0.3258894</v>
      </c>
      <c r="F88" s="12" t="n">
        <f aca="false">ROUND(D88*E88,0)</f>
        <v>820</v>
      </c>
      <c r="G88" s="12" t="n">
        <f aca="false">ROUND(D88*(1-E88),0)</f>
        <v>1695</v>
      </c>
      <c r="H88" s="8" t="str">
        <f aca="false">IF(E88&gt;0.5,"Democrat","Republican")</f>
        <v>Republican</v>
      </c>
    </row>
    <row r="89" customFormat="false" ht="15" hidden="false" customHeight="true" outlineLevel="0" collapsed="false">
      <c r="A89" s="8" t="s">
        <v>160</v>
      </c>
      <c r="B89" s="8" t="s">
        <v>139</v>
      </c>
      <c r="C89" s="8" t="s">
        <v>177</v>
      </c>
      <c r="D89" s="12" t="n">
        <f aca="false">MAX(0, 2*'Carbon 2026 Registration'!D23 - 'Carbon 2026 Registration'!C23)</f>
        <v>989</v>
      </c>
      <c r="E89" s="9" t="n">
        <f aca="false">MIN(1,MAX(0, 0.4899 + 0.489*'Carbon 2026 Registration'!B23))</f>
        <v>0.3435912</v>
      </c>
      <c r="F89" s="12" t="n">
        <f aca="false">ROUND(D89*E89,0)</f>
        <v>340</v>
      </c>
      <c r="G89" s="12" t="n">
        <f aca="false">ROUND(D89*(1-E89),0)</f>
        <v>649</v>
      </c>
      <c r="H89" s="8" t="str">
        <f aca="false">IF(E89&gt;0.5,"Democrat","Republican")</f>
        <v>Republican</v>
      </c>
    </row>
    <row r="90" customFormat="false" ht="15" hidden="false" customHeight="true" outlineLevel="0" collapsed="false">
      <c r="A90" s="8" t="s">
        <v>161</v>
      </c>
      <c r="B90" s="8" t="s">
        <v>139</v>
      </c>
      <c r="C90" s="8" t="s">
        <v>177</v>
      </c>
      <c r="D90" s="12" t="n">
        <f aca="false">MAX(0, 2*'Carbon 2026 Registration'!D24 - 'Carbon 2026 Registration'!C24)</f>
        <v>128</v>
      </c>
      <c r="E90" s="9" t="n">
        <f aca="false">MIN(1,MAX(0, 0.4899 + 0.489*'Carbon 2026 Registration'!B24))</f>
        <v>0.403347</v>
      </c>
      <c r="F90" s="12" t="n">
        <f aca="false">ROUND(D90*E90,0)</f>
        <v>52</v>
      </c>
      <c r="G90" s="12" t="n">
        <f aca="false">ROUND(D90*(1-E90),0)</f>
        <v>76</v>
      </c>
      <c r="H90" s="8" t="str">
        <f aca="false">IF(E90&gt;0.5,"Democrat","Republican")</f>
        <v>Republican</v>
      </c>
    </row>
    <row r="92" customFormat="false" ht="15" hidden="false" customHeight="true" outlineLevel="0" collapsed="false">
      <c r="A92" s="7" t="s">
        <v>220</v>
      </c>
      <c r="F92" s="13" t="n">
        <f aca="false">SUM(F5:F90)</f>
        <v>156762</v>
      </c>
      <c r="G92" s="13" t="n">
        <f aca="false">SUM(G5:G90)</f>
        <v>160748</v>
      </c>
    </row>
    <row r="93" customFormat="false" ht="15" hidden="false" customHeight="true" outlineLevel="0" collapsed="false">
      <c r="A93" s="7" t="s">
        <v>221</v>
      </c>
      <c r="B93" s="19" t="n">
        <f aca="false">F92/(F92+G92)</f>
        <v>0.493723032345438</v>
      </c>
    </row>
    <row r="94" customFormat="false" ht="15" hidden="false" customHeight="true" outlineLevel="0" collapsed="false">
      <c r="A94" s="7" t="s">
        <v>222</v>
      </c>
      <c r="B94" s="20" t="str">
        <f aca="false">IF(B93&gt;0.5,"Democrat","Republican")</f>
        <v>Republican</v>
      </c>
    </row>
  </sheetData>
  <autoFilter ref="A4:H9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14"/>
    <col collapsed="false" customWidth="true" hidden="false" outlineLevel="0" max="4" min="4" style="1" width="10"/>
    <col collapsed="false" customWidth="true" hidden="false" outlineLevel="0" max="5" min="5" style="1" width="16"/>
    <col collapsed="false" customWidth="true" hidden="false" outlineLevel="0" max="6" min="6" style="1" width="13"/>
    <col collapsed="false" customWidth="true" hidden="false" outlineLevel="0" max="8" min="7" style="1" width="16"/>
    <col collapsed="false" customWidth="true" hidden="true" outlineLevel="0" max="14" min="10" style="1" width="13"/>
  </cols>
  <sheetData>
    <row r="1" customFormat="false" ht="15.75" hidden="false" customHeight="true" outlineLevel="0" collapsed="false">
      <c r="A1" s="11" t="s">
        <v>223</v>
      </c>
      <c r="B1" s="11"/>
      <c r="C1" s="11"/>
      <c r="D1" s="11"/>
      <c r="E1" s="11"/>
      <c r="F1" s="11"/>
      <c r="G1" s="11"/>
      <c r="H1" s="11"/>
      <c r="I1" s="11"/>
      <c r="J1" s="11"/>
    </row>
    <row r="2" customFormat="false" ht="30" hidden="false" customHeight="true" outlineLevel="0" collapsed="false">
      <c r="A2" s="10" t="s">
        <v>224</v>
      </c>
      <c r="B2" s="10"/>
      <c r="C2" s="10"/>
      <c r="D2" s="10"/>
      <c r="E2" s="10"/>
      <c r="F2" s="10"/>
      <c r="G2" s="10"/>
      <c r="H2" s="10"/>
      <c r="I2" s="10"/>
      <c r="J2" s="10"/>
    </row>
    <row r="4" customFormat="false" ht="15" hidden="false" customHeight="true" outlineLevel="0" collapsed="false">
      <c r="A4" s="7" t="s">
        <v>60</v>
      </c>
      <c r="B4" s="7" t="s">
        <v>225</v>
      </c>
      <c r="C4" s="7" t="s">
        <v>226</v>
      </c>
      <c r="D4" s="7" t="s">
        <v>227</v>
      </c>
      <c r="E4" s="7" t="s">
        <v>228</v>
      </c>
      <c r="F4" s="7" t="s">
        <v>229</v>
      </c>
      <c r="G4" s="7" t="s">
        <v>230</v>
      </c>
      <c r="H4" s="7" t="s">
        <v>231</v>
      </c>
      <c r="M4" s="16" t="s">
        <v>232</v>
      </c>
      <c r="N4" s="16" t="s">
        <v>233</v>
      </c>
    </row>
    <row r="5" customFormat="false" ht="15" hidden="false" customHeight="true" outlineLevel="0" collapsed="false">
      <c r="A5" s="8" t="s">
        <v>72</v>
      </c>
      <c r="B5" s="9" t="n">
        <f aca="false">MIN(1,MAX(0, SLOPE(J5:L5,{2018,2020,2022})*2024 + INTERCEPT(J5:L5,{2018,2020,2022})))</f>
        <v>0.468084625813185</v>
      </c>
      <c r="C5" s="9" t="n">
        <f aca="false">'House Vote Data (Actual)'!H5</f>
        <v>0.439648866130212</v>
      </c>
      <c r="D5" s="21" t="n">
        <f aca="false">(B5-C5)*100</f>
        <v>2.84357596829733</v>
      </c>
      <c r="E5" s="9" t="n">
        <f aca="false">L5</f>
        <v>0.487660414610069</v>
      </c>
      <c r="F5" s="21" t="n">
        <f aca="false">(E5-C5)*100</f>
        <v>4.80115484798569</v>
      </c>
      <c r="G5" s="22" t="b">
        <f aca="false">IF(B5&gt;0.5,"D","R")=IF(C5&gt;0.5,"D","R")</f>
        <v>1</v>
      </c>
      <c r="H5" s="22" t="b">
        <f aca="false">IF(E5&gt;0.5,"D","R")=IF(C5&gt;0.5,"D","R")</f>
        <v>1</v>
      </c>
      <c r="J5" s="9" t="n">
        <f aca="false">'House Vote Data (Actual)'!H2</f>
        <v>0.506696428571429</v>
      </c>
      <c r="K5" s="9" t="n">
        <f aca="false">'House Vote Data (Actual)'!H3</f>
        <v>0.467005076142132</v>
      </c>
      <c r="L5" s="9" t="n">
        <f aca="false">'House Vote Data (Actual)'!H4</f>
        <v>0.487660414610069</v>
      </c>
      <c r="M5" s="8" t="n">
        <f aca="false">ABS(D5)</f>
        <v>2.84357596829733</v>
      </c>
      <c r="N5" s="8" t="n">
        <f aca="false">ABS(F5)</f>
        <v>4.80115484798569</v>
      </c>
    </row>
    <row r="6" customFormat="false" ht="15" hidden="false" customHeight="true" outlineLevel="0" collapsed="false">
      <c r="A6" s="8" t="s">
        <v>74</v>
      </c>
      <c r="B6" s="9" t="n">
        <f aca="false">MIN(1,MAX(0, SLOPE(J6:L6,{2018,2020,2022})*2024 + INTERCEPT(J6:L6,{2018,2020,2022})))</f>
        <v>0.662557015180155</v>
      </c>
      <c r="C6" s="9" t="n">
        <f aca="false">'House Vote Data (Actual)'!H9</f>
        <v>0.645622220602172</v>
      </c>
      <c r="D6" s="21" t="n">
        <f aca="false">(B6-C6)*100</f>
        <v>1.6934794577983</v>
      </c>
      <c r="E6" s="9" t="n">
        <f aca="false">L6</f>
        <v>0.681297939841773</v>
      </c>
      <c r="F6" s="21" t="n">
        <f aca="false">(E6-C6)*100</f>
        <v>3.5675719239601</v>
      </c>
      <c r="G6" s="22" t="b">
        <f aca="false">IF(B6&gt;0.5,"D","R")=IF(C6&gt;0.5,"D","R")</f>
        <v>1</v>
      </c>
      <c r="H6" s="22" t="b">
        <f aca="false">IF(E6&gt;0.5,"D","R")=IF(C6&gt;0.5,"D","R")</f>
        <v>1</v>
      </c>
      <c r="J6" s="9" t="n">
        <f aca="false">'House Vote Data (Actual)'!H6</f>
        <v>0.710555416830164</v>
      </c>
      <c r="K6" s="9" t="n">
        <f aca="false">'House Vote Data (Actual)'!H7</f>
        <v>0.6835901198337</v>
      </c>
      <c r="L6" s="9" t="n">
        <f aca="false">'House Vote Data (Actual)'!H8</f>
        <v>0.681297939841773</v>
      </c>
      <c r="M6" s="8" t="n">
        <f aca="false">ABS(D6)</f>
        <v>1.6934794577983</v>
      </c>
      <c r="N6" s="8" t="n">
        <f aca="false">ABS(F6)</f>
        <v>3.5675719239601</v>
      </c>
    </row>
    <row r="7" customFormat="false" ht="15" hidden="false" customHeight="true" outlineLevel="0" collapsed="false">
      <c r="A7" s="8" t="s">
        <v>75</v>
      </c>
      <c r="B7" s="9" t="n">
        <f aca="false">MIN(1,MAX(0, SLOPE(J7:L7,{2018,2020,2022})*2024 + INTERCEPT(J7:L7,{2018,2020,2022})))</f>
        <v>0.661970921294193</v>
      </c>
      <c r="C7" s="9" t="n">
        <f aca="false">'House Vote Data (Actual)'!H13</f>
        <v>0.632969557725445</v>
      </c>
      <c r="D7" s="21" t="n">
        <f aca="false">(B7-C7)*100</f>
        <v>2.90013635687479</v>
      </c>
      <c r="E7" s="9" t="n">
        <f aca="false">L7</f>
        <v>0.657204410087441</v>
      </c>
      <c r="F7" s="21" t="n">
        <f aca="false">(E7-C7)*100</f>
        <v>2.42348523619962</v>
      </c>
      <c r="G7" s="22" t="b">
        <f aca="false">IF(B7&gt;0.5,"D","R")=IF(C7&gt;0.5,"D","R")</f>
        <v>1</v>
      </c>
      <c r="H7" s="22" t="b">
        <f aca="false">IF(E7&gt;0.5,"D","R")=IF(C7&gt;0.5,"D","R")</f>
        <v>1</v>
      </c>
      <c r="J7" s="9" t="n">
        <f aca="false">'House Vote Data (Actual)'!H10</f>
        <v>0.637029005150447</v>
      </c>
      <c r="K7" s="9" t="n">
        <f aca="false">'House Vote Data (Actual)'!H11</f>
        <v>0.631153133833707</v>
      </c>
      <c r="L7" s="9" t="n">
        <f aca="false">'House Vote Data (Actual)'!H12</f>
        <v>0.657204410087441</v>
      </c>
      <c r="M7" s="8" t="n">
        <f aca="false">ABS(D7)</f>
        <v>2.90013635687479</v>
      </c>
      <c r="N7" s="8" t="n">
        <f aca="false">ABS(F7)</f>
        <v>2.42348523619962</v>
      </c>
    </row>
    <row r="8" customFormat="false" ht="15" hidden="false" customHeight="true" outlineLevel="0" collapsed="false">
      <c r="A8" s="8" t="s">
        <v>76</v>
      </c>
      <c r="B8" s="9" t="n">
        <f aca="false">MIN(1,MAX(0, SLOPE(J8:L8,{2018,2020,2022})*2024 + INTERCEPT(J8:L8,{2018,2020,2022})))</f>
        <v>0.52058179436274</v>
      </c>
      <c r="C8" s="9" t="n">
        <f aca="false">'House Vote Data (Actual)'!H17</f>
        <v>0.511307767944936</v>
      </c>
      <c r="D8" s="21" t="n">
        <f aca="false">(B8-C8)*100</f>
        <v>0.927402641780395</v>
      </c>
      <c r="E8" s="9" t="n">
        <f aca="false">L8</f>
        <v>0.537914691943128</v>
      </c>
      <c r="F8" s="21" t="n">
        <f aca="false">(E8-C8)*100</f>
        <v>2.66069239981919</v>
      </c>
      <c r="G8" s="22" t="b">
        <f aca="false">IF(B8&gt;0.5,"D","R")=IF(C8&gt;0.5,"D","R")</f>
        <v>1</v>
      </c>
      <c r="H8" s="22" t="b">
        <f aca="false">IF(E8&gt;0.5,"D","R")=IF(C8&gt;0.5,"D","R")</f>
        <v>1</v>
      </c>
      <c r="J8" s="9" t="n">
        <f aca="false">'House Vote Data (Actual)'!H14</f>
        <v>0.551941747572816</v>
      </c>
      <c r="K8" s="9" t="n">
        <f aca="false">'House Vote Data (Actual)'!H15</f>
        <v>0.513970110461339</v>
      </c>
      <c r="L8" s="9" t="n">
        <f aca="false">'House Vote Data (Actual)'!H16</f>
        <v>0.537914691943128</v>
      </c>
      <c r="M8" s="8" t="n">
        <f aca="false">ABS(D8)</f>
        <v>0.927402641780395</v>
      </c>
      <c r="N8" s="8" t="n">
        <f aca="false">ABS(F8)</f>
        <v>2.66069239981919</v>
      </c>
    </row>
    <row r="9" customFormat="false" ht="15" hidden="false" customHeight="true" outlineLevel="0" collapsed="false">
      <c r="A9" s="8" t="s">
        <v>77</v>
      </c>
      <c r="B9" s="9" t="n">
        <f aca="false">MIN(1,MAX(0, SLOPE(J9:L9,{2018,2020,2022})*2024 + INTERCEPT(J9:L9,{2018,2020,2022})))</f>
        <v>0.49591444556733</v>
      </c>
      <c r="C9" s="9" t="n">
        <f aca="false">'House Vote Data (Actual)'!H21</f>
        <v>0.477582846003899</v>
      </c>
      <c r="D9" s="21" t="n">
        <f aca="false">(B9-C9)*100</f>
        <v>1.83315995634311</v>
      </c>
      <c r="E9" s="9" t="n">
        <f aca="false">L9</f>
        <v>0.509433962264151</v>
      </c>
      <c r="F9" s="21" t="n">
        <f aca="false">(E9-C9)*100</f>
        <v>3.18511162602523</v>
      </c>
      <c r="G9" s="22" t="b">
        <f aca="false">IF(B9&gt;0.5,"D","R")=IF(C9&gt;0.5,"D","R")</f>
        <v>1</v>
      </c>
      <c r="H9" s="22" t="b">
        <f aca="false">IF(E9&gt;0.5,"D","R")=IF(C9&gt;0.5,"D","R")</f>
        <v>0</v>
      </c>
      <c r="J9" s="9" t="n">
        <f aca="false">'House Vote Data (Actual)'!H18</f>
        <v>0.51044776119403</v>
      </c>
      <c r="K9" s="9" t="n">
        <f aca="false">'House Vote Data (Actual)'!H19</f>
        <v>0.470903010033445</v>
      </c>
      <c r="L9" s="9" t="n">
        <f aca="false">'House Vote Data (Actual)'!H20</f>
        <v>0.509433962264151</v>
      </c>
      <c r="M9" s="8" t="n">
        <f aca="false">ABS(D9)</f>
        <v>1.83315995634311</v>
      </c>
      <c r="N9" s="8" t="n">
        <f aca="false">ABS(F9)</f>
        <v>3.18511162602523</v>
      </c>
    </row>
    <row r="10" customFormat="false" ht="15" hidden="false" customHeight="true" outlineLevel="0" collapsed="false">
      <c r="A10" s="8" t="s">
        <v>78</v>
      </c>
      <c r="B10" s="9" t="n">
        <f aca="false">MIN(1,MAX(0, SLOPE(J10:L10,{2018,2020,2022})*2024 + INTERCEPT(J10:L10,{2018,2020,2022})))</f>
        <v>0.519772031763498</v>
      </c>
      <c r="C10" s="9" t="n">
        <f aca="false">'House Vote Data (Actual)'!H25</f>
        <v>0.500278241513634</v>
      </c>
      <c r="D10" s="21" t="n">
        <f aca="false">(B10-C10)*100</f>
        <v>1.94937902498643</v>
      </c>
      <c r="E10" s="9" t="n">
        <f aca="false">L10</f>
        <v>0.532767925983038</v>
      </c>
      <c r="F10" s="21" t="n">
        <f aca="false">(E10-C10)*100</f>
        <v>3.24896844694039</v>
      </c>
      <c r="G10" s="22" t="b">
        <f aca="false">IF(B10&gt;0.5,"D","R")=IF(C10&gt;0.5,"D","R")</f>
        <v>1</v>
      </c>
      <c r="H10" s="22" t="b">
        <f aca="false">IF(E10&gt;0.5,"D","R")=IF(C10&gt;0.5,"D","R")</f>
        <v>1</v>
      </c>
      <c r="J10" s="9" t="n">
        <f aca="false">'House Vote Data (Actual)'!H22</f>
        <v>0.537021969080553</v>
      </c>
      <c r="K10" s="9" t="n">
        <f aca="false">'House Vote Data (Actual)'!H23</f>
        <v>0.502288329519451</v>
      </c>
      <c r="L10" s="9" t="n">
        <f aca="false">'House Vote Data (Actual)'!H24</f>
        <v>0.532767925983038</v>
      </c>
      <c r="M10" s="8" t="n">
        <f aca="false">ABS(D10)</f>
        <v>1.94937902498643</v>
      </c>
      <c r="N10" s="8" t="n">
        <f aca="false">ABS(F10)</f>
        <v>3.24896844694039</v>
      </c>
    </row>
    <row r="11" customFormat="false" ht="15" hidden="false" customHeight="true" outlineLevel="0" collapsed="false">
      <c r="A11" s="8" t="s">
        <v>79</v>
      </c>
      <c r="B11" s="9" t="n">
        <f aca="false">MIN(1,MAX(0, SLOPE(J11:L11,{2018,2020,2022})*2024 + INTERCEPT(J11:L11,{2018,2020,2022})))</f>
        <v>0.562957281560191</v>
      </c>
      <c r="C11" s="9" t="n">
        <f aca="false">'House Vote Data (Actual)'!H29</f>
        <v>0.530946513987535</v>
      </c>
      <c r="D11" s="21" t="n">
        <f aca="false">(B11-C11)*100</f>
        <v>3.20107675726566</v>
      </c>
      <c r="E11" s="9" t="n">
        <f aca="false">L11</f>
        <v>0.557435090479937</v>
      </c>
      <c r="F11" s="21" t="n">
        <f aca="false">(E11-C11)*100</f>
        <v>2.64885764924027</v>
      </c>
      <c r="G11" s="22" t="b">
        <f aca="false">IF(B11&gt;0.5,"D","R")=IF(C11&gt;0.5,"D","R")</f>
        <v>1</v>
      </c>
      <c r="H11" s="22" t="b">
        <f aca="false">IF(E11&gt;0.5,"D","R")=IF(C11&gt;0.5,"D","R")</f>
        <v>1</v>
      </c>
      <c r="J11" s="9" t="n">
        <f aca="false">'House Vote Data (Actual)'!H26</f>
        <v>0.532603938730853</v>
      </c>
      <c r="K11" s="9" t="n">
        <f aca="false">'House Vote Data (Actual)'!H27</f>
        <v>0.524339360222531</v>
      </c>
      <c r="L11" s="9" t="n">
        <f aca="false">'House Vote Data (Actual)'!H28</f>
        <v>0.557435090479937</v>
      </c>
      <c r="M11" s="8" t="n">
        <f aca="false">ABS(D11)</f>
        <v>3.20107675726566</v>
      </c>
      <c r="N11" s="8" t="n">
        <f aca="false">ABS(F11)</f>
        <v>2.64885764924027</v>
      </c>
    </row>
    <row r="12" customFormat="false" ht="15" hidden="false" customHeight="true" outlineLevel="0" collapsed="false">
      <c r="A12" s="8" t="s">
        <v>80</v>
      </c>
      <c r="B12" s="9" t="n">
        <f aca="false">MIN(1,MAX(0, SLOPE(J12:L12,{2018,2020,2022})*2024 + INTERCEPT(J12:L12,{2018,2020,2022})))</f>
        <v>0.699839479664487</v>
      </c>
      <c r="C12" s="9" t="n">
        <f aca="false">'House Vote Data (Actual)'!H33</f>
        <v>0.643755615453729</v>
      </c>
      <c r="D12" s="21" t="n">
        <f aca="false">(B12-C12)*100</f>
        <v>5.60838642107581</v>
      </c>
      <c r="E12" s="9" t="n">
        <f aca="false">L12</f>
        <v>0.690768237572628</v>
      </c>
      <c r="F12" s="21" t="n">
        <f aca="false">(E12-C12)*100</f>
        <v>4.70126221188989</v>
      </c>
      <c r="G12" s="22" t="b">
        <f aca="false">IF(B12&gt;0.5,"D","R")=IF(C12&gt;0.5,"D","R")</f>
        <v>1</v>
      </c>
      <c r="H12" s="22" t="b">
        <f aca="false">IF(E12&gt;0.5,"D","R")=IF(C12&gt;0.5,"D","R")</f>
        <v>1</v>
      </c>
      <c r="J12" s="9" t="n">
        <f aca="false">'House Vote Data (Actual)'!H30</f>
        <v>0.665636588380717</v>
      </c>
      <c r="K12" s="9" t="n">
        <f aca="false">'House Vote Data (Actual)'!H31</f>
        <v>0.667718665464382</v>
      </c>
      <c r="L12" s="9" t="n">
        <f aca="false">'House Vote Data (Actual)'!H32</f>
        <v>0.690768237572628</v>
      </c>
      <c r="M12" s="8" t="n">
        <f aca="false">ABS(D12)</f>
        <v>5.60838642107581</v>
      </c>
      <c r="N12" s="8" t="n">
        <f aca="false">ABS(F12)</f>
        <v>4.70126221188989</v>
      </c>
    </row>
    <row r="13" customFormat="false" ht="15" hidden="false" customHeight="true" outlineLevel="0" collapsed="false">
      <c r="A13" s="8" t="s">
        <v>81</v>
      </c>
      <c r="B13" s="9" t="n">
        <f aca="false">MIN(1,MAX(0, SLOPE(J13:L13,{2018,2020,2022})*2024 + INTERCEPT(J13:L13,{2018,2020,2022})))</f>
        <v>0.548784115310772</v>
      </c>
      <c r="C13" s="9" t="n">
        <f aca="false">'House Vote Data (Actual)'!H37</f>
        <v>0.534555712270804</v>
      </c>
      <c r="D13" s="21" t="n">
        <f aca="false">(B13-C13)*100</f>
        <v>1.42284030399681</v>
      </c>
      <c r="E13" s="9" t="n">
        <f aca="false">L13</f>
        <v>0.561027837259101</v>
      </c>
      <c r="F13" s="21" t="n">
        <f aca="false">(E13-C13)*100</f>
        <v>2.64721249882968</v>
      </c>
      <c r="G13" s="22" t="b">
        <f aca="false">IF(B13&gt;0.5,"D","R")=IF(C13&gt;0.5,"D","R")</f>
        <v>1</v>
      </c>
      <c r="H13" s="22" t="b">
        <f aca="false">IF(E13&gt;0.5,"D","R")=IF(C13&gt;0.5,"D","R")</f>
        <v>1</v>
      </c>
      <c r="J13" s="9" t="n">
        <f aca="false">'House Vote Data (Actual)'!H34</f>
        <v>0.584493041749503</v>
      </c>
      <c r="K13" s="9" t="n">
        <f aca="false">'House Vote Data (Actual)'!H35</f>
        <v>0.571227080394922</v>
      </c>
      <c r="L13" s="9" t="n">
        <f aca="false">'House Vote Data (Actual)'!H36</f>
        <v>0.561027837259101</v>
      </c>
      <c r="M13" s="8" t="n">
        <f aca="false">ABS(D13)</f>
        <v>1.42284030399681</v>
      </c>
      <c r="N13" s="8" t="n">
        <f aca="false">ABS(F13)</f>
        <v>2.64721249882968</v>
      </c>
    </row>
    <row r="14" customFormat="false" ht="15" hidden="false" customHeight="true" outlineLevel="0" collapsed="false">
      <c r="A14" s="8" t="s">
        <v>82</v>
      </c>
      <c r="B14" s="9" t="n">
        <f aca="false">MIN(1,MAX(0, SLOPE(J14:L14,{2018,2020,2022})*2024 + INTERCEPT(J14:L14,{2018,2020,2022})))</f>
        <v>0.313897394840165</v>
      </c>
      <c r="C14" s="9" t="n">
        <f aca="false">'House Vote Data (Actual)'!H41</f>
        <v>0.312470138557095</v>
      </c>
      <c r="D14" s="21" t="n">
        <f aca="false">(B14-C14)*100</f>
        <v>0.142725628306978</v>
      </c>
      <c r="E14" s="9" t="n">
        <f aca="false">L14</f>
        <v>0.3325</v>
      </c>
      <c r="F14" s="21" t="n">
        <f aca="false">(E14-C14)*100</f>
        <v>2.00298614429049</v>
      </c>
      <c r="G14" s="22" t="b">
        <f aca="false">IF(B14&gt;0.5,"D","R")=IF(C14&gt;0.5,"D","R")</f>
        <v>1</v>
      </c>
      <c r="H14" s="22" t="b">
        <f aca="false">IF(E14&gt;0.5,"D","R")=IF(C14&gt;0.5,"D","R")</f>
        <v>1</v>
      </c>
      <c r="J14" s="9" t="n">
        <f aca="false">'House Vote Data (Actual)'!H38</f>
        <v>0.349228611500701</v>
      </c>
      <c r="K14" s="9" t="n">
        <f aca="false">'House Vote Data (Actual)'!H39</f>
        <v>0.310149407521896</v>
      </c>
      <c r="L14" s="9" t="n">
        <f aca="false">'House Vote Data (Actual)'!H40</f>
        <v>0.3325</v>
      </c>
      <c r="M14" s="8" t="n">
        <f aca="false">ABS(D14)</f>
        <v>0.142725628306978</v>
      </c>
      <c r="N14" s="8" t="n">
        <f aca="false">ABS(F14)</f>
        <v>2.00298614429049</v>
      </c>
    </row>
    <row r="15" customFormat="false" ht="15" hidden="false" customHeight="true" outlineLevel="0" collapsed="false">
      <c r="A15" s="8" t="s">
        <v>83</v>
      </c>
      <c r="B15" s="9" t="n">
        <f aca="false">MIN(1,MAX(0, SLOPE(J15:L15,{2018,2020,2022})*2024 + INTERCEPT(J15:L15,{2018,2020,2022})))</f>
        <v>0.530231233323503</v>
      </c>
      <c r="C15" s="9" t="n">
        <f aca="false">'House Vote Data (Actual)'!H45</f>
        <v>0.495598417408506</v>
      </c>
      <c r="D15" s="21" t="n">
        <f aca="false">(B15-C15)*100</f>
        <v>3.46328159149969</v>
      </c>
      <c r="E15" s="9" t="n">
        <f aca="false">L15</f>
        <v>0.523913997367266</v>
      </c>
      <c r="F15" s="21" t="n">
        <f aca="false">(E15-C15)*100</f>
        <v>2.83155799587599</v>
      </c>
      <c r="G15" s="22" t="b">
        <f aca="false">IF(B15&gt;0.5,"D","R")=IF(C15&gt;0.5,"D","R")</f>
        <v>0</v>
      </c>
      <c r="H15" s="22" t="b">
        <f aca="false">IF(E15&gt;0.5,"D","R")=IF(C15&gt;0.5,"D","R")</f>
        <v>0</v>
      </c>
      <c r="J15" s="9" t="n">
        <f aca="false">'House Vote Data (Actual)'!H42</f>
        <v>0.499551259924059</v>
      </c>
      <c r="K15" s="9" t="n">
        <f aca="false">'House Vote Data (Actual)'!H43</f>
        <v>0.494140230349566</v>
      </c>
      <c r="L15" s="9" t="n">
        <f aca="false">'House Vote Data (Actual)'!H44</f>
        <v>0.523913997367266</v>
      </c>
      <c r="M15" s="8" t="n">
        <f aca="false">ABS(D15)</f>
        <v>3.46328159149969</v>
      </c>
      <c r="N15" s="8" t="n">
        <f aca="false">ABS(F15)</f>
        <v>2.83155799587599</v>
      </c>
    </row>
    <row r="16" customFormat="false" ht="15" hidden="false" customHeight="true" outlineLevel="0" collapsed="false">
      <c r="A16" s="8" t="s">
        <v>84</v>
      </c>
      <c r="B16" s="9" t="n">
        <f aca="false">MIN(1,MAX(0, SLOPE(J16:L16,{2018,2020,2022})*2024 + INTERCEPT(J16:L16,{2018,2020,2022})))</f>
        <v>0.387387781820241</v>
      </c>
      <c r="C16" s="9" t="n">
        <f aca="false">'House Vote Data (Actual)'!H49</f>
        <v>0.383119408790354</v>
      </c>
      <c r="D16" s="21" t="n">
        <f aca="false">(B16-C16)*100</f>
        <v>0.426837302988742</v>
      </c>
      <c r="E16" s="9" t="n">
        <f aca="false">L16</f>
        <v>0.39333641832485</v>
      </c>
      <c r="F16" s="21" t="n">
        <f aca="false">(E16-C16)*100</f>
        <v>1.02170095344957</v>
      </c>
      <c r="G16" s="22" t="b">
        <f aca="false">IF(B16&gt;0.5,"D","R")=IF(C16&gt;0.5,"D","R")</f>
        <v>1</v>
      </c>
      <c r="H16" s="22" t="b">
        <f aca="false">IF(E16&gt;0.5,"D","R")=IF(C16&gt;0.5,"D","R")</f>
        <v>1</v>
      </c>
      <c r="J16" s="9" t="n">
        <f aca="false">'House Vote Data (Actual)'!H46</f>
        <v>0.388421052631579</v>
      </c>
      <c r="K16" s="9" t="n">
        <f aca="false">'House Vote Data (Actual)'!H47</f>
        <v>0.365659777424483</v>
      </c>
      <c r="L16" s="9" t="n">
        <f aca="false">'House Vote Data (Actual)'!H48</f>
        <v>0.39333641832485</v>
      </c>
      <c r="M16" s="8" t="n">
        <f aca="false">ABS(D16)</f>
        <v>0.426837302988742</v>
      </c>
      <c r="N16" s="8" t="n">
        <f aca="false">ABS(F16)</f>
        <v>1.02170095344957</v>
      </c>
    </row>
    <row r="17" customFormat="false" ht="15" hidden="false" customHeight="true" outlineLevel="0" collapsed="false">
      <c r="A17" s="8" t="s">
        <v>85</v>
      </c>
      <c r="B17" s="9" t="n">
        <f aca="false">MIN(1,MAX(0, SLOPE(J17:L17,{2018,2020,2022})*2024 + INTERCEPT(J17:L17,{2018,2020,2022})))</f>
        <v>0.377391737121458</v>
      </c>
      <c r="C17" s="9" t="n">
        <f aca="false">'House Vote Data (Actual)'!H53</f>
        <v>0.354207436399217</v>
      </c>
      <c r="D17" s="21" t="n">
        <f aca="false">(B17-C17)*100</f>
        <v>2.31843007222412</v>
      </c>
      <c r="E17" s="9" t="n">
        <f aca="false">L17</f>
        <v>0.375513557929334</v>
      </c>
      <c r="F17" s="21" t="n">
        <f aca="false">(E17-C17)*100</f>
        <v>2.13061215301172</v>
      </c>
      <c r="G17" s="22" t="b">
        <f aca="false">IF(B17&gt;0.5,"D","R")=IF(C17&gt;0.5,"D","R")</f>
        <v>1</v>
      </c>
      <c r="H17" s="22" t="b">
        <f aca="false">IF(E17&gt;0.5,"D","R")=IF(C17&gt;0.5,"D","R")</f>
        <v>1</v>
      </c>
      <c r="J17" s="9" t="n">
        <f aca="false">'House Vote Data (Actual)'!H50</f>
        <v>0.364038972542073</v>
      </c>
      <c r="K17" s="9" t="n">
        <f aca="false">'House Vote Data (Actual)'!H51</f>
        <v>0.358198924731183</v>
      </c>
      <c r="L17" s="9" t="n">
        <f aca="false">'House Vote Data (Actual)'!H52</f>
        <v>0.375513557929334</v>
      </c>
      <c r="M17" s="8" t="n">
        <f aca="false">ABS(D17)</f>
        <v>2.31843007222412</v>
      </c>
      <c r="N17" s="8" t="n">
        <f aca="false">ABS(F17)</f>
        <v>2.13061215301172</v>
      </c>
    </row>
    <row r="18" customFormat="false" ht="15" hidden="false" customHeight="true" outlineLevel="0" collapsed="false">
      <c r="A18" s="8" t="s">
        <v>86</v>
      </c>
      <c r="B18" s="9" t="n">
        <f aca="false">MIN(1,MAX(0, SLOPE(J18:L18,{2018,2020,2022})*2024 + INTERCEPT(J18:L18,{2018,2020,2022})))</f>
        <v>0.336328448760753</v>
      </c>
      <c r="C18" s="9" t="n">
        <f aca="false">'House Vote Data (Actual)'!H57</f>
        <v>0.314116777531412</v>
      </c>
      <c r="D18" s="21" t="n">
        <f aca="false">(B18-C18)*100</f>
        <v>2.22116712293413</v>
      </c>
      <c r="E18" s="9" t="n">
        <f aca="false">L18</f>
        <v>0.333952624245239</v>
      </c>
      <c r="F18" s="21" t="n">
        <f aca="false">(E18-C18)*100</f>
        <v>1.98358467138275</v>
      </c>
      <c r="G18" s="22" t="b">
        <f aca="false">IF(B18&gt;0.5,"D","R")=IF(C18&gt;0.5,"D","R")</f>
        <v>1</v>
      </c>
      <c r="H18" s="22" t="b">
        <f aca="false">IF(E18&gt;0.5,"D","R")=IF(C18&gt;0.5,"D","R")</f>
        <v>1</v>
      </c>
      <c r="J18" s="9" t="n">
        <f aca="false">'House Vote Data (Actual)'!H54</f>
        <v>0.324310255075482</v>
      </c>
      <c r="K18" s="9" t="n">
        <f aca="false">'House Vote Data (Actual)'!H55</f>
        <v>0.321795359452263</v>
      </c>
      <c r="L18" s="9" t="n">
        <f aca="false">'House Vote Data (Actual)'!H56</f>
        <v>0.333952624245239</v>
      </c>
      <c r="M18" s="8" t="n">
        <f aca="false">ABS(D18)</f>
        <v>2.22116712293413</v>
      </c>
      <c r="N18" s="8" t="n">
        <f aca="false">ABS(F18)</f>
        <v>1.98358467138275</v>
      </c>
    </row>
    <row r="19" customFormat="false" ht="15" hidden="false" customHeight="true" outlineLevel="0" collapsed="false">
      <c r="A19" s="8" t="s">
        <v>87</v>
      </c>
      <c r="B19" s="9" t="n">
        <f aca="false">MIN(1,MAX(0, SLOPE(J19:L19,{2018,2020,2022})*2024 + INTERCEPT(J19:L19,{2018,2020,2022})))</f>
        <v>0.570641861034586</v>
      </c>
      <c r="C19" s="9" t="n">
        <f aca="false">'House Vote Data (Actual)'!H61</f>
        <v>0.529157667386609</v>
      </c>
      <c r="D19" s="21" t="n">
        <f aca="false">(B19-C19)*100</f>
        <v>4.1484193647977</v>
      </c>
      <c r="E19" s="9" t="n">
        <f aca="false">L19</f>
        <v>0.556497175141243</v>
      </c>
      <c r="F19" s="21" t="n">
        <f aca="false">(E19-C19)*100</f>
        <v>2.73395077546339</v>
      </c>
      <c r="G19" s="22" t="b">
        <f aca="false">IF(B19&gt;0.5,"D","R")=IF(C19&gt;0.5,"D","R")</f>
        <v>1</v>
      </c>
      <c r="H19" s="22" t="b">
        <f aca="false">IF(E19&gt;0.5,"D","R")=IF(C19&gt;0.5,"D","R")</f>
        <v>1</v>
      </c>
      <c r="J19" s="9" t="n">
        <f aca="false">'House Vote Data (Actual)'!H58</f>
        <v>0.525475285171103</v>
      </c>
      <c r="K19" s="9" t="n">
        <f aca="false">'House Vote Data (Actual)'!H59</f>
        <v>0.536887452880991</v>
      </c>
      <c r="L19" s="9" t="n">
        <f aca="false">'House Vote Data (Actual)'!H60</f>
        <v>0.556497175141243</v>
      </c>
      <c r="M19" s="8" t="n">
        <f aca="false">ABS(D19)</f>
        <v>4.1484193647977</v>
      </c>
      <c r="N19" s="8" t="n">
        <f aca="false">ABS(F19)</f>
        <v>2.73395077546339</v>
      </c>
    </row>
    <row r="20" customFormat="false" ht="15" hidden="false" customHeight="true" outlineLevel="0" collapsed="false">
      <c r="A20" s="8" t="s">
        <v>88</v>
      </c>
      <c r="B20" s="9" t="n">
        <f aca="false">MIN(1,MAX(0, SLOPE(J20:L20,{2018,2020,2022})*2024 + INTERCEPT(J20:L20,{2018,2020,2022})))</f>
        <v>0.426107724542073</v>
      </c>
      <c r="C20" s="9" t="n">
        <f aca="false">'House Vote Data (Actual)'!H65</f>
        <v>0.404749924524504</v>
      </c>
      <c r="D20" s="21" t="n">
        <f aca="false">(B20-C20)*100</f>
        <v>2.13578000175682</v>
      </c>
      <c r="E20" s="9" t="n">
        <f aca="false">L20</f>
        <v>0.421796034728521</v>
      </c>
      <c r="F20" s="21" t="n">
        <f aca="false">(E20-C20)*100</f>
        <v>1.70461102040171</v>
      </c>
      <c r="G20" s="22" t="b">
        <f aca="false">IF(B20&gt;0.5,"D","R")=IF(C20&gt;0.5,"D","R")</f>
        <v>1</v>
      </c>
      <c r="H20" s="22" t="b">
        <f aca="false">IF(E20&gt;0.5,"D","R")=IF(C20&gt;0.5,"D","R")</f>
        <v>1</v>
      </c>
      <c r="J20" s="9" t="n">
        <f aca="false">'House Vote Data (Actual)'!H62</f>
        <v>0.404246037516359</v>
      </c>
      <c r="K20" s="9" t="n">
        <f aca="false">'House Vote Data (Actual)'!H63</f>
        <v>0.399631109744851</v>
      </c>
      <c r="L20" s="9" t="n">
        <f aca="false">'House Vote Data (Actual)'!H64</f>
        <v>0.421796034728521</v>
      </c>
      <c r="M20" s="8" t="n">
        <f aca="false">ABS(D20)</f>
        <v>2.13578000175682</v>
      </c>
      <c r="N20" s="8" t="n">
        <f aca="false">ABS(F20)</f>
        <v>1.70461102040171</v>
      </c>
    </row>
    <row r="21" customFormat="false" ht="15" hidden="false" customHeight="true" outlineLevel="0" collapsed="false">
      <c r="A21" s="8" t="s">
        <v>89</v>
      </c>
      <c r="B21" s="9" t="n">
        <f aca="false">MIN(1,MAX(0, SLOPE(J21:L21,{2018,2020,2022})*2024 + INTERCEPT(J21:L21,{2018,2020,2022})))</f>
        <v>0.513547469025527</v>
      </c>
      <c r="C21" s="9" t="n">
        <f aca="false">'House Vote Data (Actual)'!H69</f>
        <v>0.494207542519103</v>
      </c>
      <c r="D21" s="21" t="n">
        <f aca="false">(B21-C21)*100</f>
        <v>1.93399265064241</v>
      </c>
      <c r="E21" s="9" t="n">
        <f aca="false">L21</f>
        <v>0.508636934673367</v>
      </c>
      <c r="F21" s="21" t="n">
        <f aca="false">(E21-C21)*100</f>
        <v>1.4429392154264</v>
      </c>
      <c r="G21" s="22" t="b">
        <f aca="false">IF(B21&gt;0.5,"D","R")=IF(C21&gt;0.5,"D","R")</f>
        <v>0</v>
      </c>
      <c r="H21" s="22" t="b">
        <f aca="false">IF(E21&gt;0.5,"D","R")=IF(C21&gt;0.5,"D","R")</f>
        <v>0</v>
      </c>
      <c r="J21" s="9" t="n">
        <f aca="false">'House Vote Data (Actual)'!H66</f>
        <v>0.493465147453083</v>
      </c>
      <c r="K21" s="9" t="n">
        <f aca="false">'House Vote Data (Actual)'!H67</f>
        <v>0.49302496328928</v>
      </c>
      <c r="L21" s="9" t="n">
        <f aca="false">'House Vote Data (Actual)'!H68</f>
        <v>0.508636934673367</v>
      </c>
      <c r="M21" s="8" t="n">
        <f aca="false">ABS(D21)</f>
        <v>1.93399265064241</v>
      </c>
      <c r="N21" s="8" t="n">
        <f aca="false">ABS(F21)</f>
        <v>1.4429392154264</v>
      </c>
    </row>
    <row r="22" customFormat="false" ht="15" hidden="false" customHeight="true" outlineLevel="0" collapsed="false">
      <c r="A22" s="8" t="s">
        <v>90</v>
      </c>
      <c r="B22" s="9" t="n">
        <f aca="false">MIN(1,MAX(0, SLOPE(J22:L22,{2018,2020,2022})*2024 + INTERCEPT(J22:L22,{2018,2020,2022})))</f>
        <v>0.438577947438729</v>
      </c>
      <c r="C22" s="9" t="n">
        <f aca="false">'House Vote Data (Actual)'!H73</f>
        <v>0.408997955010225</v>
      </c>
      <c r="D22" s="21" t="n">
        <f aca="false">(B22-C22)*100</f>
        <v>2.95799924285043</v>
      </c>
      <c r="E22" s="9" t="n">
        <f aca="false">L22</f>
        <v>0.452257586972613</v>
      </c>
      <c r="F22" s="21" t="n">
        <f aca="false">(E22-C22)*100</f>
        <v>4.32596319623879</v>
      </c>
      <c r="G22" s="22" t="b">
        <f aca="false">IF(B22&gt;0.5,"D","R")=IF(C22&gt;0.5,"D","R")</f>
        <v>1</v>
      </c>
      <c r="H22" s="22" t="b">
        <f aca="false">IF(E22&gt;0.5,"D","R")=IF(C22&gt;0.5,"D","R")</f>
        <v>1</v>
      </c>
      <c r="J22" s="9" t="n">
        <f aca="false">'House Vote Data (Actual)'!H70</f>
        <v>0.443801652892562</v>
      </c>
      <c r="K22" s="9" t="n">
        <f aca="false">'House Vote Data (Actual)'!H71</f>
        <v>0.394306800210859</v>
      </c>
      <c r="L22" s="9" t="n">
        <f aca="false">'House Vote Data (Actual)'!H72</f>
        <v>0.452257586972613</v>
      </c>
      <c r="M22" s="8" t="n">
        <f aca="false">ABS(D22)</f>
        <v>2.95799924285043</v>
      </c>
      <c r="N22" s="8" t="n">
        <f aca="false">ABS(F22)</f>
        <v>4.32596319623879</v>
      </c>
    </row>
    <row r="23" customFormat="false" ht="15" hidden="false" customHeight="true" outlineLevel="0" collapsed="false">
      <c r="A23" s="8" t="s">
        <v>91</v>
      </c>
      <c r="B23" s="9" t="n">
        <f aca="false">MIN(1,MAX(0, SLOPE(J23:L23,{2018,2020,2022})*2024 + INTERCEPT(J23:L23,{2018,2020,2022})))</f>
        <v>0.5618060402215</v>
      </c>
      <c r="C23" s="9" t="n">
        <f aca="false">'House Vote Data (Actual)'!H77</f>
        <v>0.534618021174499</v>
      </c>
      <c r="D23" s="21" t="n">
        <f aca="false">(B23-C23)*100</f>
        <v>2.71880190470005</v>
      </c>
      <c r="E23" s="9" t="n">
        <f aca="false">L23</f>
        <v>0.563197944460915</v>
      </c>
      <c r="F23" s="21" t="n">
        <f aca="false">(E23-C23)*100</f>
        <v>2.85799232864159</v>
      </c>
      <c r="G23" s="22" t="b">
        <f aca="false">IF(B23&gt;0.5,"D","R")=IF(C23&gt;0.5,"D","R")</f>
        <v>1</v>
      </c>
      <c r="H23" s="22" t="b">
        <f aca="false">IF(E23&gt;0.5,"D","R")=IF(C23&gt;0.5,"D","R")</f>
        <v>1</v>
      </c>
      <c r="J23" s="9" t="n">
        <f aca="false">'House Vote Data (Actual)'!H74</f>
        <v>0.549895707541992</v>
      </c>
      <c r="K23" s="9" t="n">
        <f aca="false">'House Vote Data (Actual)'!H75</f>
        <v>0.532417757904823</v>
      </c>
      <c r="L23" s="9" t="n">
        <f aca="false">'House Vote Data (Actual)'!H76</f>
        <v>0.563197944460915</v>
      </c>
      <c r="M23" s="8" t="n">
        <f aca="false">ABS(D23)</f>
        <v>2.71880190470005</v>
      </c>
      <c r="N23" s="8" t="n">
        <f aca="false">ABS(F23)</f>
        <v>2.85799232864159</v>
      </c>
    </row>
    <row r="24" customFormat="false" ht="15" hidden="false" customHeight="true" outlineLevel="0" collapsed="false">
      <c r="A24" s="8" t="s">
        <v>92</v>
      </c>
      <c r="B24" s="9" t="n">
        <f aca="false">MIN(1,MAX(0, SLOPE(J24:L24,{2018,2020,2022})*2024 + INTERCEPT(J24:L24,{2018,2020,2022})))</f>
        <v>0.538825390463346</v>
      </c>
      <c r="C24" s="9" t="n">
        <f aca="false">'House Vote Data (Actual)'!H81</f>
        <v>0.513214308568503</v>
      </c>
      <c r="D24" s="21" t="n">
        <f aca="false">(B24-C24)*100</f>
        <v>2.5611081894843</v>
      </c>
      <c r="E24" s="9" t="n">
        <f aca="false">L24</f>
        <v>0.533374755902716</v>
      </c>
      <c r="F24" s="21" t="n">
        <f aca="false">(E24-C24)*100</f>
        <v>2.01604473342129</v>
      </c>
      <c r="G24" s="22" t="b">
        <f aca="false">IF(B24&gt;0.5,"D","R")=IF(C24&gt;0.5,"D","R")</f>
        <v>1</v>
      </c>
      <c r="H24" s="22" t="b">
        <f aca="false">IF(E24&gt;0.5,"D","R")=IF(C24&gt;0.5,"D","R")</f>
        <v>1</v>
      </c>
      <c r="J24" s="9" t="n">
        <f aca="false">'House Vote Data (Actual)'!H78</f>
        <v>0.516852802092766</v>
      </c>
      <c r="K24" s="9" t="n">
        <f aca="false">'House Vote Data (Actual)'!H79</f>
        <v>0.516682751964704</v>
      </c>
      <c r="L24" s="9" t="n">
        <f aca="false">'House Vote Data (Actual)'!H80</f>
        <v>0.533374755902716</v>
      </c>
      <c r="M24" s="8" t="n">
        <f aca="false">ABS(D24)</f>
        <v>2.5611081894843</v>
      </c>
      <c r="N24" s="8" t="n">
        <f aca="false">ABS(F24)</f>
        <v>2.01604473342129</v>
      </c>
    </row>
    <row r="25" customFormat="false" ht="15" hidden="false" customHeight="true" outlineLevel="0" collapsed="false">
      <c r="A25" s="8" t="s">
        <v>93</v>
      </c>
      <c r="B25" s="9" t="n">
        <f aca="false">MIN(1,MAX(0, SLOPE(J25:L25,{2018,2020,2022})*2024 + INTERCEPT(J25:L25,{2018,2020,2022})))</f>
        <v>0.451205045430177</v>
      </c>
      <c r="C25" s="9" t="n">
        <f aca="false">'House Vote Data (Actual)'!H85</f>
        <v>0.43155031731641</v>
      </c>
      <c r="D25" s="21" t="n">
        <f aca="false">(B25-C25)*100</f>
        <v>1.9654728113767</v>
      </c>
      <c r="E25" s="9" t="n">
        <f aca="false">L25</f>
        <v>0.453369031682285</v>
      </c>
      <c r="F25" s="21" t="n">
        <f aca="false">(E25-C25)*100</f>
        <v>2.18187143658749</v>
      </c>
      <c r="G25" s="22" t="b">
        <f aca="false">IF(B25&gt;0.5,"D","R")=IF(C25&gt;0.5,"D","R")</f>
        <v>1</v>
      </c>
      <c r="H25" s="22" t="b">
        <f aca="false">IF(E25&gt;0.5,"D","R")=IF(C25&gt;0.5,"D","R")</f>
        <v>1</v>
      </c>
      <c r="J25" s="9" t="n">
        <f aca="false">'House Vote Data (Actual)'!H82</f>
        <v>0.444533547179898</v>
      </c>
      <c r="K25" s="9" t="n">
        <f aca="false">'House Vote Data (Actual)'!H83</f>
        <v>0.42920610392119</v>
      </c>
      <c r="L25" s="9" t="n">
        <f aca="false">'House Vote Data (Actual)'!H84</f>
        <v>0.453369031682285</v>
      </c>
      <c r="M25" s="8" t="n">
        <f aca="false">ABS(D25)</f>
        <v>1.9654728113767</v>
      </c>
      <c r="N25" s="8" t="n">
        <f aca="false">ABS(F25)</f>
        <v>2.18187143658749</v>
      </c>
    </row>
    <row r="26" customFormat="false" ht="15" hidden="false" customHeight="true" outlineLevel="0" collapsed="false">
      <c r="A26" s="8" t="s">
        <v>94</v>
      </c>
      <c r="B26" s="9" t="n">
        <f aca="false">MIN(1,MAX(0, SLOPE(J26:L26,{2018,2020,2022})*2024 + INTERCEPT(J26:L26,{2018,2020,2022})))</f>
        <v>0.505837020180254</v>
      </c>
      <c r="C26" s="9" t="n">
        <f aca="false">'House Vote Data (Actual)'!H89</f>
        <v>0.487591501517586</v>
      </c>
      <c r="D26" s="21" t="n">
        <f aca="false">(B26-C26)*100</f>
        <v>1.82455186626674</v>
      </c>
      <c r="E26" s="9" t="n">
        <f aca="false">L26</f>
        <v>0.502108262108262</v>
      </c>
      <c r="F26" s="21" t="n">
        <f aca="false">(E26-C26)*100</f>
        <v>1.4516760590676</v>
      </c>
      <c r="G26" s="22" t="b">
        <f aca="false">IF(B26&gt;0.5,"D","R")=IF(C26&gt;0.5,"D","R")</f>
        <v>0</v>
      </c>
      <c r="H26" s="22" t="b">
        <f aca="false">IF(E26&gt;0.5,"D","R")=IF(C26&gt;0.5,"D","R")</f>
        <v>0</v>
      </c>
      <c r="J26" s="9" t="n">
        <f aca="false">'House Vote Data (Actual)'!H86</f>
        <v>0.478888014686599</v>
      </c>
      <c r="K26" s="9" t="n">
        <f aca="false">'House Vote Data (Actual)'!H87</f>
        <v>0.466854041480907</v>
      </c>
      <c r="L26" s="9" t="n">
        <f aca="false">'House Vote Data (Actual)'!H88</f>
        <v>0.502108262108262</v>
      </c>
      <c r="M26" s="8" t="n">
        <f aca="false">ABS(D26)</f>
        <v>1.82455186626674</v>
      </c>
      <c r="N26" s="8" t="n">
        <f aca="false">ABS(F26)</f>
        <v>1.4516760590676</v>
      </c>
    </row>
    <row r="27" customFormat="false" ht="15" hidden="false" customHeight="true" outlineLevel="0" collapsed="false">
      <c r="A27" s="8" t="s">
        <v>95</v>
      </c>
      <c r="B27" s="9" t="n">
        <f aca="false">MIN(1,MAX(0, SLOPE(J27:L27,{2018,2020,2022})*2024 + INTERCEPT(J27:L27,{2018,2020,2022})))</f>
        <v>0.346299009160999</v>
      </c>
      <c r="C27" s="9" t="n">
        <f aca="false">'House Vote Data (Actual)'!H93</f>
        <v>0.321728081321474</v>
      </c>
      <c r="D27" s="21" t="n">
        <f aca="false">(B27-C27)*100</f>
        <v>2.45709278395248</v>
      </c>
      <c r="E27" s="9" t="n">
        <f aca="false">L27</f>
        <v>0.350632069194943</v>
      </c>
      <c r="F27" s="21" t="n">
        <f aca="false">(E27-C27)*100</f>
        <v>2.89039878734695</v>
      </c>
      <c r="G27" s="22" t="b">
        <f aca="false">IF(B27&gt;0.5,"D","R")=IF(C27&gt;0.5,"D","R")</f>
        <v>1</v>
      </c>
      <c r="H27" s="22" t="b">
        <f aca="false">IF(E27&gt;0.5,"D","R")=IF(C27&gt;0.5,"D","R")</f>
        <v>1</v>
      </c>
      <c r="J27" s="9" t="n">
        <f aca="false">'House Vote Data (Actual)'!H90</f>
        <v>0.343406593406593</v>
      </c>
      <c r="K27" s="9" t="n">
        <f aca="false">'House Vote Data (Actual)'!H91</f>
        <v>0.323181937516409</v>
      </c>
      <c r="L27" s="9" t="n">
        <f aca="false">'House Vote Data (Actual)'!H92</f>
        <v>0.350632069194943</v>
      </c>
      <c r="M27" s="8" t="n">
        <f aca="false">ABS(D27)</f>
        <v>2.45709278395248</v>
      </c>
      <c r="N27" s="8" t="n">
        <f aca="false">ABS(F27)</f>
        <v>2.89039878734695</v>
      </c>
    </row>
    <row r="28" customFormat="false" ht="15" hidden="false" customHeight="true" outlineLevel="0" collapsed="false">
      <c r="A28" s="8" t="s">
        <v>96</v>
      </c>
      <c r="B28" s="9" t="n">
        <f aca="false">MIN(1,MAX(0, SLOPE(J28:L28,{2018,2020,2022})*2024 + INTERCEPT(J28:L28,{2018,2020,2022})))</f>
        <v>0.368792480510901</v>
      </c>
      <c r="C28" s="9" t="n">
        <f aca="false">'House Vote Data (Actual)'!H97</f>
        <v>0.347465164541951</v>
      </c>
      <c r="D28" s="21" t="n">
        <f aca="false">(B28-C28)*100</f>
        <v>2.13273159689505</v>
      </c>
      <c r="E28" s="9" t="n">
        <f aca="false">L28</f>
        <v>0.364413075780089</v>
      </c>
      <c r="F28" s="21" t="n">
        <f aca="false">(E28-C28)*100</f>
        <v>1.69479112381383</v>
      </c>
      <c r="G28" s="22" t="b">
        <f aca="false">IF(B28&gt;0.5,"D","R")=IF(C28&gt;0.5,"D","R")</f>
        <v>1</v>
      </c>
      <c r="H28" s="22" t="b">
        <f aca="false">IF(E28&gt;0.5,"D","R")=IF(C28&gt;0.5,"D","R")</f>
        <v>1</v>
      </c>
      <c r="J28" s="9" t="n">
        <f aca="false">'House Vote Data (Actual)'!H94</f>
        <v>0.341787941787942</v>
      </c>
      <c r="K28" s="9" t="n">
        <f aca="false">'House Vote Data (Actual)'!H95</f>
        <v>0.332301021988232</v>
      </c>
      <c r="L28" s="9" t="n">
        <f aca="false">'House Vote Data (Actual)'!H96</f>
        <v>0.364413075780089</v>
      </c>
      <c r="M28" s="8" t="n">
        <f aca="false">ABS(D28)</f>
        <v>2.13273159689505</v>
      </c>
      <c r="N28" s="8" t="n">
        <f aca="false">ABS(F28)</f>
        <v>1.69479112381383</v>
      </c>
    </row>
    <row r="29" customFormat="false" ht="15" hidden="false" customHeight="true" outlineLevel="0" collapsed="false">
      <c r="A29" s="8" t="s">
        <v>97</v>
      </c>
      <c r="B29" s="9" t="n">
        <f aca="false">MIN(1,MAX(0, SLOPE(J29:L29,{2018,2020,2022})*2024 + INTERCEPT(J29:L29,{2018,2020,2022})))</f>
        <v>0.530098441088562</v>
      </c>
      <c r="C29" s="9" t="n">
        <f aca="false">'House Vote Data (Actual)'!H101</f>
        <v>0.51203273458631</v>
      </c>
      <c r="D29" s="21" t="n">
        <f aca="false">(B29-C29)*100</f>
        <v>1.80657065022519</v>
      </c>
      <c r="E29" s="9" t="n">
        <f aca="false">L29</f>
        <v>0.535172949863972</v>
      </c>
      <c r="F29" s="21" t="n">
        <f aca="false">(E29-C29)*100</f>
        <v>2.31402152776623</v>
      </c>
      <c r="G29" s="22" t="b">
        <f aca="false">IF(B29&gt;0.5,"D","R")=IF(C29&gt;0.5,"D","R")</f>
        <v>1</v>
      </c>
      <c r="H29" s="22" t="b">
        <f aca="false">IF(E29&gt;0.5,"D","R")=IF(C29&gt;0.5,"D","R")</f>
        <v>1</v>
      </c>
      <c r="J29" s="9" t="n">
        <f aca="false">'House Vote Data (Actual)'!H98</f>
        <v>0.538007456503728</v>
      </c>
      <c r="K29" s="9" t="n">
        <f aca="false">'House Vote Data (Actual)'!H99</f>
        <v>0.525618436817253</v>
      </c>
      <c r="L29" s="9" t="n">
        <f aca="false">'House Vote Data (Actual)'!H100</f>
        <v>0.535172949863972</v>
      </c>
      <c r="M29" s="8" t="n">
        <f aca="false">ABS(D29)</f>
        <v>1.80657065022519</v>
      </c>
      <c r="N29" s="8" t="n">
        <f aca="false">ABS(F29)</f>
        <v>2.31402152776623</v>
      </c>
    </row>
    <row r="30" customFormat="false" ht="15" hidden="false" customHeight="true" outlineLevel="0" collapsed="false">
      <c r="A30" s="8" t="s">
        <v>98</v>
      </c>
      <c r="B30" s="9" t="n">
        <f aca="false">MIN(1,MAX(0, SLOPE(J30:L30,{2018,2020,2022})*2024 + INTERCEPT(J30:L30,{2018,2020,2022})))</f>
        <v>0.466616081061906</v>
      </c>
      <c r="C30" s="9" t="n">
        <f aca="false">'House Vote Data (Actual)'!H105</f>
        <v>0.428166619438935</v>
      </c>
      <c r="D30" s="21" t="n">
        <f aca="false">(B30-C30)*100</f>
        <v>3.84494616229713</v>
      </c>
      <c r="E30" s="9" t="n">
        <f aca="false">L30</f>
        <v>0.451538461538462</v>
      </c>
      <c r="F30" s="21" t="n">
        <f aca="false">(E30-C30)*100</f>
        <v>2.3371842099527</v>
      </c>
      <c r="G30" s="22" t="b">
        <f aca="false">IF(B30&gt;0.5,"D","R")=IF(C30&gt;0.5,"D","R")</f>
        <v>1</v>
      </c>
      <c r="H30" s="22" t="b">
        <f aca="false">IF(E30&gt;0.5,"D","R")=IF(C30&gt;0.5,"D","R")</f>
        <v>1</v>
      </c>
      <c r="J30" s="9" t="n">
        <f aca="false">'House Vote Data (Actual)'!H102</f>
        <v>0.419205909510619</v>
      </c>
      <c r="K30" s="9" t="n">
        <f aca="false">'House Vote Data (Actual)'!H103</f>
        <v>0.432106216053108</v>
      </c>
      <c r="L30" s="9" t="n">
        <f aca="false">'House Vote Data (Actual)'!H104</f>
        <v>0.451538461538462</v>
      </c>
      <c r="M30" s="8" t="n">
        <f aca="false">ABS(D30)</f>
        <v>3.84494616229713</v>
      </c>
      <c r="N30" s="8" t="n">
        <f aca="false">ABS(F30)</f>
        <v>2.3371842099527</v>
      </c>
    </row>
    <row r="31" customFormat="false" ht="15" hidden="false" customHeight="true" outlineLevel="0" collapsed="false">
      <c r="A31" s="8" t="s">
        <v>100</v>
      </c>
      <c r="B31" s="9" t="n">
        <f aca="false">MIN(1,MAX(0, SLOPE(J31:L31,{2018,2020,2022})*2024 + INTERCEPT(J31:L31,{2018,2020,2022})))</f>
        <v>0.419182497069725</v>
      </c>
      <c r="C31" s="9" t="n">
        <f aca="false">'House Vote Data (Actual)'!H109</f>
        <v>0.412828239345674</v>
      </c>
      <c r="D31" s="21" t="n">
        <f aca="false">(B31-C31)*100</f>
        <v>0.63542577240514</v>
      </c>
      <c r="E31" s="9" t="n">
        <f aca="false">L31</f>
        <v>0.43995171997586</v>
      </c>
      <c r="F31" s="21" t="n">
        <f aca="false">(E31-C31)*100</f>
        <v>2.71234806301863</v>
      </c>
      <c r="G31" s="22" t="b">
        <f aca="false">IF(B31&gt;0.5,"D","R")=IF(C31&gt;0.5,"D","R")</f>
        <v>1</v>
      </c>
      <c r="H31" s="22" t="b">
        <f aca="false">IF(E31&gt;0.5,"D","R")=IF(C31&gt;0.5,"D","R")</f>
        <v>1</v>
      </c>
      <c r="J31" s="9" t="n">
        <f aca="false">'House Vote Data (Actual)'!H106</f>
        <v>0.460275771503611</v>
      </c>
      <c r="K31" s="9" t="n">
        <f aca="false">'House Vote Data (Actual)'!H107</f>
        <v>0.418292154312961</v>
      </c>
      <c r="L31" s="9" t="n">
        <f aca="false">'House Vote Data (Actual)'!H108</f>
        <v>0.43995171997586</v>
      </c>
      <c r="M31" s="8" t="n">
        <f aca="false">ABS(D31)</f>
        <v>0.63542577240514</v>
      </c>
      <c r="N31" s="8" t="n">
        <f aca="false">ABS(F31)</f>
        <v>2.71234806301863</v>
      </c>
    </row>
    <row r="32" customFormat="false" ht="15" hidden="false" customHeight="true" outlineLevel="0" collapsed="false">
      <c r="A32" s="8" t="s">
        <v>101</v>
      </c>
      <c r="B32" s="9" t="n">
        <f aca="false">MIN(1,MAX(0, SLOPE(J32:L32,{2018,2020,2022})*2024 + INTERCEPT(J32:L32,{2018,2020,2022})))</f>
        <v>0.464588519651341</v>
      </c>
      <c r="C32" s="9" t="n">
        <f aca="false">'House Vote Data (Actual)'!H113</f>
        <v>0.46182357301705</v>
      </c>
      <c r="D32" s="21" t="n">
        <f aca="false">(B32-C32)*100</f>
        <v>0.276494663429094</v>
      </c>
      <c r="E32" s="9" t="n">
        <f aca="false">L32</f>
        <v>0.462264150943396</v>
      </c>
      <c r="F32" s="21" t="n">
        <f aca="false">(E32-C32)*100</f>
        <v>0.0440577926346553</v>
      </c>
      <c r="G32" s="22" t="b">
        <f aca="false">IF(B32&gt;0.5,"D","R")=IF(C32&gt;0.5,"D","R")</f>
        <v>1</v>
      </c>
      <c r="H32" s="22" t="b">
        <f aca="false">IF(E32&gt;0.5,"D","R")=IF(C32&gt;0.5,"D","R")</f>
        <v>1</v>
      </c>
      <c r="J32" s="9" t="n">
        <f aca="false">'House Vote Data (Actual)'!H110</f>
        <v>0.454882571075402</v>
      </c>
      <c r="K32" s="9" t="n">
        <f aca="false">'House Vote Data (Actual)'!H111</f>
        <v>0.45447409733124</v>
      </c>
      <c r="L32" s="9" t="n">
        <f aca="false">'House Vote Data (Actual)'!H112</f>
        <v>0.462264150943396</v>
      </c>
      <c r="M32" s="8" t="n">
        <f aca="false">ABS(D32)</f>
        <v>0.276494663429094</v>
      </c>
      <c r="N32" s="8" t="n">
        <f aca="false">ABS(F32)</f>
        <v>0.0440577926346553</v>
      </c>
    </row>
    <row r="33" customFormat="false" ht="15" hidden="false" customHeight="true" outlineLevel="0" collapsed="false">
      <c r="A33" s="8" t="s">
        <v>75</v>
      </c>
      <c r="B33" s="9" t="n">
        <f aca="false">MIN(1,MAX(0, SLOPE(J33:L33,{2018,2020,2022})*2024 + INTERCEPT(J33:L33,{2018,2020,2022})))</f>
        <v>0.679683144239571</v>
      </c>
      <c r="C33" s="9" t="n">
        <f aca="false">'House Vote Data (Actual)'!H117</f>
        <v>0.668406509057415</v>
      </c>
      <c r="D33" s="21" t="n">
        <f aca="false">(B33-C33)*100</f>
        <v>1.12766351821557</v>
      </c>
      <c r="E33" s="9" t="n">
        <f aca="false">L33</f>
        <v>0.685420581408202</v>
      </c>
      <c r="F33" s="21" t="n">
        <f aca="false">(E33-C33)*100</f>
        <v>1.70140723507868</v>
      </c>
      <c r="G33" s="22" t="b">
        <f aca="false">IF(B33&gt;0.5,"D","R")=IF(C33&gt;0.5,"D","R")</f>
        <v>1</v>
      </c>
      <c r="H33" s="22" t="b">
        <f aca="false">IF(E33&gt;0.5,"D","R")=IF(C33&gt;0.5,"D","R")</f>
        <v>1</v>
      </c>
      <c r="J33" s="9" t="n">
        <f aca="false">'House Vote Data (Actual)'!H114</f>
        <v>0.687521270561543</v>
      </c>
      <c r="K33" s="9" t="n">
        <f aca="false">'House Vote Data (Actual)'!H115</f>
        <v>0.672409648208991</v>
      </c>
      <c r="L33" s="9" t="n">
        <f aca="false">'House Vote Data (Actual)'!H116</f>
        <v>0.685420581408202</v>
      </c>
      <c r="M33" s="8" t="n">
        <f aca="false">ABS(D33)</f>
        <v>1.12766351821557</v>
      </c>
      <c r="N33" s="8" t="n">
        <f aca="false">ABS(F33)</f>
        <v>1.70140723507868</v>
      </c>
    </row>
    <row r="34" customFormat="false" ht="15" hidden="false" customHeight="true" outlineLevel="0" collapsed="false">
      <c r="A34" s="8" t="s">
        <v>102</v>
      </c>
      <c r="B34" s="9" t="n">
        <f aca="false">MIN(1,MAX(0, SLOPE(J34:L34,{2018,2020,2022})*2024 + INTERCEPT(J34:L34,{2018,2020,2022})))</f>
        <v>0.551877247380509</v>
      </c>
      <c r="C34" s="9" t="n">
        <f aca="false">'House Vote Data (Actual)'!H121</f>
        <v>0.536014967259121</v>
      </c>
      <c r="D34" s="21" t="n">
        <f aca="false">(B34-C34)*100</f>
        <v>1.58622801213885</v>
      </c>
      <c r="E34" s="9" t="n">
        <f aca="false">L34</f>
        <v>0.545699583435433</v>
      </c>
      <c r="F34" s="21" t="n">
        <f aca="false">(E34-C34)*100</f>
        <v>0.968461617631178</v>
      </c>
      <c r="G34" s="22" t="b">
        <f aca="false">IF(B34&gt;0.5,"D","R")=IF(C34&gt;0.5,"D","R")</f>
        <v>1</v>
      </c>
      <c r="H34" s="22" t="b">
        <f aca="false">IF(E34&gt;0.5,"D","R")=IF(C34&gt;0.5,"D","R")</f>
        <v>1</v>
      </c>
      <c r="J34" s="9" t="n">
        <f aca="false">'House Vote Data (Actual)'!H118</f>
        <v>0.529182879377432</v>
      </c>
      <c r="K34" s="9" t="n">
        <f aca="false">'House Vote Data (Actual)'!H119</f>
        <v>0.531199167154662</v>
      </c>
      <c r="L34" s="9" t="n">
        <f aca="false">'House Vote Data (Actual)'!H120</f>
        <v>0.545699583435433</v>
      </c>
      <c r="M34" s="8" t="n">
        <f aca="false">ABS(D34)</f>
        <v>1.58622801213885</v>
      </c>
      <c r="N34" s="8" t="n">
        <f aca="false">ABS(F34)</f>
        <v>0.968461617631178</v>
      </c>
    </row>
    <row r="35" customFormat="false" ht="15" hidden="false" customHeight="true" outlineLevel="0" collapsed="false">
      <c r="A35" s="8" t="s">
        <v>103</v>
      </c>
      <c r="B35" s="9" t="n">
        <f aca="false">MIN(1,MAX(0, SLOPE(J35:L35,{2018,2020,2022})*2024 + INTERCEPT(J35:L35,{2018,2020,2022})))</f>
        <v>0.398094400379511</v>
      </c>
      <c r="C35" s="9" t="n">
        <f aca="false">'House Vote Data (Actual)'!H125</f>
        <v>0.385394456289979</v>
      </c>
      <c r="D35" s="21" t="n">
        <f aca="false">(B35-C35)*100</f>
        <v>1.26999440895326</v>
      </c>
      <c r="E35" s="9" t="n">
        <f aca="false">L35</f>
        <v>0.394862468742896</v>
      </c>
      <c r="F35" s="21" t="n">
        <f aca="false">(E35-C35)*100</f>
        <v>0.94680124529174</v>
      </c>
      <c r="G35" s="22" t="b">
        <f aca="false">IF(B35&gt;0.5,"D","R")=IF(C35&gt;0.5,"D","R")</f>
        <v>1</v>
      </c>
      <c r="H35" s="22" t="b">
        <f aca="false">IF(E35&gt;0.5,"D","R")=IF(C35&gt;0.5,"D","R")</f>
        <v>1</v>
      </c>
      <c r="J35" s="9" t="n">
        <f aca="false">'House Vote Data (Actual)'!H122</f>
        <v>0.376995046780407</v>
      </c>
      <c r="K35" s="9" t="n">
        <f aca="false">'House Vote Data (Actual)'!H123</f>
        <v>0.368823419727764</v>
      </c>
      <c r="L35" s="9" t="n">
        <f aca="false">'House Vote Data (Actual)'!H124</f>
        <v>0.394862468742896</v>
      </c>
      <c r="M35" s="8" t="n">
        <f aca="false">ABS(D35)</f>
        <v>1.26999440895326</v>
      </c>
      <c r="N35" s="8" t="n">
        <f aca="false">ABS(F35)</f>
        <v>0.94680124529174</v>
      </c>
    </row>
    <row r="36" customFormat="false" ht="15" hidden="false" customHeight="true" outlineLevel="0" collapsed="false">
      <c r="A36" s="8" t="s">
        <v>104</v>
      </c>
      <c r="B36" s="9" t="n">
        <f aca="false">MIN(1,MAX(0, SLOPE(J36:L36,{2018,2020,2022})*2024 + INTERCEPT(J36:L36,{2018,2020,2022})))</f>
        <v>0.300934574100417</v>
      </c>
      <c r="C36" s="9" t="n">
        <f aca="false">'House Vote Data (Actual)'!H129</f>
        <v>0.32520325203252</v>
      </c>
      <c r="D36" s="21" t="n">
        <f aca="false">(B36-C36)*100</f>
        <v>-2.42686779321035</v>
      </c>
      <c r="E36" s="9" t="n">
        <f aca="false">L36</f>
        <v>0.36046511627907</v>
      </c>
      <c r="F36" s="21" t="n">
        <f aca="false">(E36-C36)*100</f>
        <v>3.52618642465494</v>
      </c>
      <c r="G36" s="22" t="b">
        <f aca="false">IF(B36&gt;0.5,"D","R")=IF(C36&gt;0.5,"D","R")</f>
        <v>1</v>
      </c>
      <c r="H36" s="22" t="b">
        <f aca="false">IF(E36&gt;0.5,"D","R")=IF(C36&gt;0.5,"D","R")</f>
        <v>1</v>
      </c>
      <c r="J36" s="9" t="n">
        <f aca="false">'House Vote Data (Actual)'!H126</f>
        <v>0.434782608695652</v>
      </c>
      <c r="K36" s="9" t="n">
        <f aca="false">'House Vote Data (Actual)'!H127</f>
        <v>0.330508474576271</v>
      </c>
      <c r="L36" s="9" t="n">
        <f aca="false">'House Vote Data (Actual)'!H128</f>
        <v>0.36046511627907</v>
      </c>
      <c r="M36" s="8" t="n">
        <f aca="false">ABS(D36)</f>
        <v>2.42686779321035</v>
      </c>
      <c r="N36" s="8" t="n">
        <f aca="false">ABS(F36)</f>
        <v>3.52618642465494</v>
      </c>
    </row>
    <row r="37" customFormat="false" ht="15" hidden="false" customHeight="true" outlineLevel="0" collapsed="false">
      <c r="A37" s="8" t="s">
        <v>105</v>
      </c>
      <c r="B37" s="9" t="n">
        <f aca="false">MIN(1,MAX(0, SLOPE(J37:L37,{2018,2020,2022})*2024 + INTERCEPT(J37:L37,{2018,2020,2022})))</f>
        <v>0.453286103806285</v>
      </c>
      <c r="C37" s="9" t="n">
        <f aca="false">'House Vote Data (Actual)'!H133</f>
        <v>0.431019459773453</v>
      </c>
      <c r="D37" s="21" t="n">
        <f aca="false">(B37-C37)*100</f>
        <v>2.22666440328314</v>
      </c>
      <c r="E37" s="9" t="n">
        <f aca="false">L37</f>
        <v>0.440603893524037</v>
      </c>
      <c r="F37" s="21" t="n">
        <f aca="false">(E37-C37)*100</f>
        <v>0.958443375058315</v>
      </c>
      <c r="G37" s="22" t="b">
        <f aca="false">IF(B37&gt;0.5,"D","R")=IF(C37&gt;0.5,"D","R")</f>
        <v>1</v>
      </c>
      <c r="H37" s="22" t="b">
        <f aca="false">IF(E37&gt;0.5,"D","R")=IF(C37&gt;0.5,"D","R")</f>
        <v>1</v>
      </c>
      <c r="J37" s="9" t="n">
        <f aca="false">'House Vote Data (Actual)'!H130</f>
        <v>0.403846153846154</v>
      </c>
      <c r="K37" s="9" t="n">
        <f aca="false">'House Vote Data (Actual)'!H131</f>
        <v>0.405135045015005</v>
      </c>
      <c r="L37" s="9" t="n">
        <f aca="false">'House Vote Data (Actual)'!H132</f>
        <v>0.440603893524037</v>
      </c>
      <c r="M37" s="8" t="n">
        <f aca="false">ABS(D37)</f>
        <v>2.22666440328314</v>
      </c>
      <c r="N37" s="8" t="n">
        <f aca="false">ABS(F37)</f>
        <v>0.958443375058315</v>
      </c>
    </row>
    <row r="38" customFormat="false" ht="15" hidden="false" customHeight="true" outlineLevel="0" collapsed="false">
      <c r="A38" s="8" t="s">
        <v>106</v>
      </c>
      <c r="B38" s="9" t="n">
        <f aca="false">MIN(1,MAX(0, SLOPE(J38:L38,{2018,2020,2022})*2024 + INTERCEPT(J38:L38,{2018,2020,2022})))</f>
        <v>0.382486819268427</v>
      </c>
      <c r="C38" s="9" t="n">
        <f aca="false">'House Vote Data (Actual)'!H137</f>
        <v>0.41254752851711</v>
      </c>
      <c r="D38" s="21" t="n">
        <f aca="false">(B38-C38)*100</f>
        <v>-3.00607092486828</v>
      </c>
      <c r="E38" s="9" t="n">
        <f aca="false">L38</f>
        <v>0.39031339031339</v>
      </c>
      <c r="F38" s="21" t="n">
        <f aca="false">(E38-C38)*100</f>
        <v>-2.22341382037199</v>
      </c>
      <c r="G38" s="22" t="b">
        <f aca="false">IF(B38&gt;0.5,"D","R")=IF(C38&gt;0.5,"D","R")</f>
        <v>1</v>
      </c>
      <c r="H38" s="22" t="b">
        <f aca="false">IF(E38&gt;0.5,"D","R")=IF(C38&gt;0.5,"D","R")</f>
        <v>1</v>
      </c>
      <c r="J38" s="9" t="n">
        <f aca="false">'House Vote Data (Actual)'!H134</f>
        <v>0.373563218390805</v>
      </c>
      <c r="K38" s="9" t="n">
        <f aca="false">'House Vote Data (Actual)'!H135</f>
        <v>0.333333333333333</v>
      </c>
      <c r="L38" s="9" t="n">
        <f aca="false">'House Vote Data (Actual)'!H136</f>
        <v>0.39031339031339</v>
      </c>
      <c r="M38" s="8" t="n">
        <f aca="false">ABS(D38)</f>
        <v>3.00607092486828</v>
      </c>
      <c r="N38" s="8" t="n">
        <f aca="false">ABS(F38)</f>
        <v>2.22341382037199</v>
      </c>
    </row>
    <row r="39" customFormat="false" ht="15" hidden="false" customHeight="true" outlineLevel="0" collapsed="false">
      <c r="A39" s="8" t="s">
        <v>107</v>
      </c>
      <c r="B39" s="9" t="n">
        <f aca="false">MIN(1,MAX(0, SLOPE(J39:L39,{2018,2020,2022})*2024 + INTERCEPT(J39:L39,{2018,2020,2022})))</f>
        <v>0.720825179413001</v>
      </c>
      <c r="C39" s="9" t="n">
        <f aca="false">'House Vote Data (Actual)'!H141</f>
        <v>0.697166957000092</v>
      </c>
      <c r="D39" s="21" t="n">
        <f aca="false">(B39-C39)*100</f>
        <v>2.36582224129097</v>
      </c>
      <c r="E39" s="9" t="n">
        <f aca="false">L39</f>
        <v>0.734526998449175</v>
      </c>
      <c r="F39" s="21" t="n">
        <f aca="false">(E39-C39)*100</f>
        <v>3.73600414490836</v>
      </c>
      <c r="G39" s="22" t="b">
        <f aca="false">IF(B39&gt;0.5,"D","R")=IF(C39&gt;0.5,"D","R")</f>
        <v>1</v>
      </c>
      <c r="H39" s="22" t="b">
        <f aca="false">IF(E39&gt;0.5,"D","R")=IF(C39&gt;0.5,"D","R")</f>
        <v>1</v>
      </c>
      <c r="J39" s="9" t="n">
        <f aca="false">'House Vote Data (Actual)'!H138</f>
        <v>0.739944420067281</v>
      </c>
      <c r="K39" s="9" t="n">
        <f aca="false">'House Vote Data (Actual)'!H139</f>
        <v>0.704256384576865</v>
      </c>
      <c r="L39" s="9" t="n">
        <f aca="false">'House Vote Data (Actual)'!H140</f>
        <v>0.734526998449175</v>
      </c>
      <c r="M39" s="8" t="n">
        <f aca="false">ABS(D39)</f>
        <v>2.36582224129097</v>
      </c>
      <c r="N39" s="8" t="n">
        <f aca="false">ABS(F39)</f>
        <v>3.73600414490836</v>
      </c>
    </row>
    <row r="40" customFormat="false" ht="15" hidden="false" customHeight="true" outlineLevel="0" collapsed="false">
      <c r="A40" s="8" t="s">
        <v>108</v>
      </c>
      <c r="B40" s="9" t="n">
        <f aca="false">MIN(1,MAX(0, SLOPE(J40:L40,{2018,2020,2022})*2024 + INTERCEPT(J40:L40,{2018,2020,2022})))</f>
        <v>0.515792609503779</v>
      </c>
      <c r="C40" s="9" t="n">
        <f aca="false">'House Vote Data (Actual)'!H145</f>
        <v>0.515936446798267</v>
      </c>
      <c r="D40" s="21" t="n">
        <f aca="false">(B40-C40)*100</f>
        <v>-0.0143837294487525</v>
      </c>
      <c r="E40" s="9" t="n">
        <f aca="false">L40</f>
        <v>0.52367758186398</v>
      </c>
      <c r="F40" s="21" t="n">
        <f aca="false">(E40-C40)*100</f>
        <v>0.774113506571306</v>
      </c>
      <c r="G40" s="22" t="b">
        <f aca="false">IF(B40&gt;0.5,"D","R")=IF(C40&gt;0.5,"D","R")</f>
        <v>1</v>
      </c>
      <c r="H40" s="22" t="b">
        <f aca="false">IF(E40&gt;0.5,"D","R")=IF(C40&gt;0.5,"D","R")</f>
        <v>1</v>
      </c>
      <c r="J40" s="9" t="n">
        <f aca="false">'House Vote Data (Actual)'!H142</f>
        <v>0.529324424647365</v>
      </c>
      <c r="K40" s="9" t="n">
        <f aca="false">'House Vote Data (Actual)'!H143</f>
        <v>0.511316350350147</v>
      </c>
      <c r="L40" s="9" t="n">
        <f aca="false">'House Vote Data (Actual)'!H144</f>
        <v>0.52367758186398</v>
      </c>
      <c r="M40" s="8" t="n">
        <f aca="false">ABS(D40)</f>
        <v>0.0143837294487525</v>
      </c>
      <c r="N40" s="8" t="n">
        <f aca="false">ABS(F40)</f>
        <v>0.774113506571306</v>
      </c>
    </row>
    <row r="41" customFormat="false" ht="15" hidden="false" customHeight="true" outlineLevel="0" collapsed="false">
      <c r="A41" s="8" t="s">
        <v>109</v>
      </c>
      <c r="B41" s="9" t="n">
        <f aca="false">MIN(1,MAX(0, SLOPE(J41:L41,{2018,2020,2022})*2024 + INTERCEPT(J41:L41,{2018,2020,2022})))</f>
        <v>0.572166085738289</v>
      </c>
      <c r="C41" s="9" t="n">
        <f aca="false">'House Vote Data (Actual)'!H149</f>
        <v>0.595993322203673</v>
      </c>
      <c r="D41" s="21" t="n">
        <f aca="false">(B41-C41)*100</f>
        <v>-2.38272364653841</v>
      </c>
      <c r="E41" s="9" t="n">
        <f aca="false">L41</f>
        <v>0.592592592592593</v>
      </c>
      <c r="F41" s="21" t="n">
        <f aca="false">(E41-C41)*100</f>
        <v>-0.340072961108018</v>
      </c>
      <c r="G41" s="22" t="b">
        <f aca="false">IF(B41&gt;0.5,"D","R")=IF(C41&gt;0.5,"D","R")</f>
        <v>1</v>
      </c>
      <c r="H41" s="22" t="b">
        <f aca="false">IF(E41&gt;0.5,"D","R")=IF(C41&gt;0.5,"D","R")</f>
        <v>1</v>
      </c>
      <c r="J41" s="9" t="n">
        <f aca="false">'House Vote Data (Actual)'!H146</f>
        <v>0.63963963963964</v>
      </c>
      <c r="K41" s="9" t="n">
        <f aca="false">'House Vote Data (Actual)'!H147</f>
        <v>0.625407166123778</v>
      </c>
      <c r="L41" s="9" t="n">
        <f aca="false">'House Vote Data (Actual)'!H148</f>
        <v>0.592592592592593</v>
      </c>
      <c r="M41" s="8" t="n">
        <f aca="false">ABS(D41)</f>
        <v>2.38272364653841</v>
      </c>
      <c r="N41" s="8" t="n">
        <f aca="false">ABS(F41)</f>
        <v>0.340072961108018</v>
      </c>
    </row>
    <row r="42" customFormat="false" ht="15" hidden="false" customHeight="true" outlineLevel="0" collapsed="false">
      <c r="A42" s="8" t="s">
        <v>110</v>
      </c>
      <c r="B42" s="9" t="n">
        <f aca="false">MIN(1,MAX(0, SLOPE(J42:L42,{2018,2020,2022})*2024 + INTERCEPT(J42:L42,{2018,2020,2022})))</f>
        <v>0.430955613544981</v>
      </c>
      <c r="C42" s="9" t="n">
        <f aca="false">'House Vote Data (Actual)'!H153</f>
        <v>0.529126213592233</v>
      </c>
      <c r="D42" s="21" t="n">
        <f aca="false">(B42-C42)*100</f>
        <v>-9.8170600047252</v>
      </c>
      <c r="E42" s="9" t="n">
        <f aca="false">L42</f>
        <v>0.51063829787234</v>
      </c>
      <c r="F42" s="21" t="n">
        <f aca="false">(E42-C42)*100</f>
        <v>-1.84879157198926</v>
      </c>
      <c r="G42" s="22" t="b">
        <f aca="false">IF(B42&gt;0.5,"D","R")=IF(C42&gt;0.5,"D","R")</f>
        <v>0</v>
      </c>
      <c r="H42" s="22" t="b">
        <f aca="false">IF(E42&gt;0.5,"D","R")=IF(C42&gt;0.5,"D","R")</f>
        <v>1</v>
      </c>
      <c r="J42" s="9" t="n">
        <f aca="false">'House Vote Data (Actual)'!H150</f>
        <v>0.626086956521739</v>
      </c>
      <c r="K42" s="9" t="n">
        <f aca="false">'House Vote Data (Actual)'!H151</f>
        <v>0.502487562189055</v>
      </c>
      <c r="L42" s="9" t="n">
        <f aca="false">'House Vote Data (Actual)'!H152</f>
        <v>0.51063829787234</v>
      </c>
      <c r="M42" s="8" t="n">
        <f aca="false">ABS(D42)</f>
        <v>9.8170600047252</v>
      </c>
      <c r="N42" s="8" t="n">
        <f aca="false">ABS(F42)</f>
        <v>1.84879157198926</v>
      </c>
    </row>
    <row r="43" customFormat="false" ht="15" hidden="false" customHeight="true" outlineLevel="0" collapsed="false">
      <c r="A43" s="8" t="s">
        <v>81</v>
      </c>
      <c r="B43" s="9" t="n">
        <f aca="false">MIN(1,MAX(0, SLOPE(J43:L43,{2018,2020,2022})*2024 + INTERCEPT(J43:L43,{2018,2020,2022})))</f>
        <v>0.568031513604902</v>
      </c>
      <c r="C43" s="9" t="n">
        <f aca="false">'House Vote Data (Actual)'!H157</f>
        <v>0.545283255872378</v>
      </c>
      <c r="D43" s="21" t="n">
        <f aca="false">(B43-C43)*100</f>
        <v>2.27482577325243</v>
      </c>
      <c r="E43" s="9" t="n">
        <f aca="false">L43</f>
        <v>0.553231055323106</v>
      </c>
      <c r="F43" s="21" t="n">
        <f aca="false">(E43-C43)*100</f>
        <v>0.794779945072777</v>
      </c>
      <c r="G43" s="22" t="b">
        <f aca="false">IF(B43&gt;0.5,"D","R")=IF(C43&gt;0.5,"D","R")</f>
        <v>1</v>
      </c>
      <c r="H43" s="22" t="b">
        <f aca="false">IF(E43&gt;0.5,"D","R")=IF(C43&gt;0.5,"D","R")</f>
        <v>1</v>
      </c>
      <c r="J43" s="9" t="n">
        <f aca="false">'House Vote Data (Actual)'!H154</f>
        <v>0.521274792337684</v>
      </c>
      <c r="K43" s="9" t="n">
        <f aca="false">'House Vote Data (Actual)'!H155</f>
        <v>0.533719904197655</v>
      </c>
      <c r="L43" s="9" t="n">
        <f aca="false">'House Vote Data (Actual)'!H156</f>
        <v>0.553231055323106</v>
      </c>
      <c r="M43" s="8" t="n">
        <f aca="false">ABS(D43)</f>
        <v>2.27482577325243</v>
      </c>
      <c r="N43" s="8" t="n">
        <f aca="false">ABS(F43)</f>
        <v>0.794779945072777</v>
      </c>
    </row>
    <row r="44" customFormat="false" ht="15" hidden="false" customHeight="true" outlineLevel="0" collapsed="false">
      <c r="A44" s="8" t="s">
        <v>111</v>
      </c>
      <c r="B44" s="9" t="n">
        <f aca="false">MIN(1,MAX(0, SLOPE(J44:L44,{2018,2020,2022})*2024 + INTERCEPT(J44:L44,{2018,2020,2022})))</f>
        <v>0.517165901460778</v>
      </c>
      <c r="C44" s="9" t="n">
        <f aca="false">'House Vote Data (Actual)'!H161</f>
        <v>0.506009967751393</v>
      </c>
      <c r="D44" s="21" t="n">
        <f aca="false">(B44-C44)*100</f>
        <v>1.11559337093858</v>
      </c>
      <c r="E44" s="9" t="n">
        <f aca="false">L44</f>
        <v>0.53322969296541</v>
      </c>
      <c r="F44" s="21" t="n">
        <f aca="false">(E44-C44)*100</f>
        <v>2.72197252140175</v>
      </c>
      <c r="G44" s="22" t="b">
        <f aca="false">IF(B44&gt;0.5,"D","R")=IF(C44&gt;0.5,"D","R")</f>
        <v>1</v>
      </c>
      <c r="H44" s="22" t="b">
        <f aca="false">IF(E44&gt;0.5,"D","R")=IF(C44&gt;0.5,"D","R")</f>
        <v>1</v>
      </c>
      <c r="J44" s="9" t="n">
        <f aca="false">'House Vote Data (Actual)'!H158</f>
        <v>0.543630017452007</v>
      </c>
      <c r="K44" s="9" t="n">
        <f aca="false">'House Vote Data (Actual)'!H159</f>
        <v>0.505838967424708</v>
      </c>
      <c r="L44" s="9" t="n">
        <f aca="false">'House Vote Data (Actual)'!H160</f>
        <v>0.53322969296541</v>
      </c>
      <c r="M44" s="8" t="n">
        <f aca="false">ABS(D44)</f>
        <v>1.11559337093858</v>
      </c>
      <c r="N44" s="8" t="n">
        <f aca="false">ABS(F44)</f>
        <v>2.72197252140175</v>
      </c>
    </row>
    <row r="45" customFormat="false" ht="15" hidden="false" customHeight="true" outlineLevel="0" collapsed="false">
      <c r="A45" s="8" t="s">
        <v>73</v>
      </c>
      <c r="B45" s="9" t="n">
        <f aca="false">MIN(1,MAX(0, SLOPE(J45:L45,{2018,2020,2022})*2024 + INTERCEPT(J45:L45,{2018,2020,2022})))</f>
        <v>0.347245058555016</v>
      </c>
      <c r="C45" s="9" t="n">
        <f aca="false">'House Vote Data (Actual)'!H165</f>
        <v>0.335777345503516</v>
      </c>
      <c r="D45" s="21" t="n">
        <f aca="false">(B45-C45)*100</f>
        <v>1.14677130514999</v>
      </c>
      <c r="E45" s="9" t="n">
        <f aca="false">L45</f>
        <v>0.353113983548766</v>
      </c>
      <c r="F45" s="21" t="n">
        <f aca="false">(E45-C45)*100</f>
        <v>1.73366380452498</v>
      </c>
      <c r="G45" s="22" t="b">
        <f aca="false">IF(B45&gt;0.5,"D","R")=IF(C45&gt;0.5,"D","R")</f>
        <v>1</v>
      </c>
      <c r="H45" s="22" t="b">
        <f aca="false">IF(E45&gt;0.5,"D","R")=IF(C45&gt;0.5,"D","R")</f>
        <v>1</v>
      </c>
      <c r="J45" s="9" t="n">
        <f aca="false">'House Vote Data (Actual)'!H162</f>
        <v>0.352444038373687</v>
      </c>
      <c r="K45" s="9" t="n">
        <f aca="false">'House Vote Data (Actual)'!H163</f>
        <v>0.334167318217357</v>
      </c>
      <c r="L45" s="9" t="n">
        <f aca="false">'House Vote Data (Actual)'!H164</f>
        <v>0.353113983548766</v>
      </c>
      <c r="M45" s="8" t="n">
        <f aca="false">ABS(D45)</f>
        <v>1.14677130514999</v>
      </c>
      <c r="N45" s="8" t="n">
        <f aca="false">ABS(F45)</f>
        <v>1.73366380452498</v>
      </c>
    </row>
    <row r="46" customFormat="false" ht="15" hidden="false" customHeight="true" outlineLevel="0" collapsed="false">
      <c r="A46" s="8" t="s">
        <v>112</v>
      </c>
      <c r="B46" s="9" t="n">
        <f aca="false">MIN(1,MAX(0, SLOPE(J46:L46,{2018,2020,2022})*2024 + INTERCEPT(J46:L46,{2018,2020,2022})))</f>
        <v>0.328159673983514</v>
      </c>
      <c r="C46" s="9" t="n">
        <f aca="false">'House Vote Data (Actual)'!H169</f>
        <v>0.339858618814573</v>
      </c>
      <c r="D46" s="21" t="n">
        <f aca="false">(B46-C46)*100</f>
        <v>-1.16989448310594</v>
      </c>
      <c r="E46" s="9" t="n">
        <f aca="false">L46</f>
        <v>0.365</v>
      </c>
      <c r="F46" s="21" t="n">
        <f aca="false">(E46-C46)*100</f>
        <v>2.51413811854269</v>
      </c>
      <c r="G46" s="22" t="b">
        <f aca="false">IF(B46&gt;0.5,"D","R")=IF(C46&gt;0.5,"D","R")</f>
        <v>1</v>
      </c>
      <c r="H46" s="22" t="b">
        <f aca="false">IF(E46&gt;0.5,"D","R")=IF(C46&gt;0.5,"D","R")</f>
        <v>1</v>
      </c>
      <c r="J46" s="9" t="n">
        <f aca="false">'House Vote Data (Actual)'!H166</f>
        <v>0.401694915254237</v>
      </c>
      <c r="K46" s="9" t="n">
        <f aca="false">'House Vote Data (Actual)'!H167</f>
        <v>0.327868852459016</v>
      </c>
      <c r="L46" s="9" t="n">
        <f aca="false">'House Vote Data (Actual)'!H168</f>
        <v>0.365</v>
      </c>
      <c r="M46" s="8" t="n">
        <f aca="false">ABS(D46)</f>
        <v>1.16989448310594</v>
      </c>
      <c r="N46" s="8" t="n">
        <f aca="false">ABS(F46)</f>
        <v>2.51413811854269</v>
      </c>
    </row>
    <row r="47" customFormat="false" ht="15" hidden="false" customHeight="true" outlineLevel="0" collapsed="false">
      <c r="A47" s="8" t="s">
        <v>113</v>
      </c>
      <c r="B47" s="9" t="n">
        <f aca="false">MIN(1,MAX(0, SLOPE(J47:L47,{2018,2020,2022})*2024 + INTERCEPT(J47:L47,{2018,2020,2022})))</f>
        <v>0.442374380869854</v>
      </c>
      <c r="C47" s="9" t="n">
        <f aca="false">'House Vote Data (Actual)'!H173</f>
        <v>0.489570552147239</v>
      </c>
      <c r="D47" s="21" t="n">
        <f aca="false">(B47-C47)*100</f>
        <v>-4.71961712773854</v>
      </c>
      <c r="E47" s="9" t="n">
        <f aca="false">L47</f>
        <v>0.441200324412003</v>
      </c>
      <c r="F47" s="21" t="n">
        <f aca="false">(E47-C47)*100</f>
        <v>-4.8370227735236</v>
      </c>
      <c r="G47" s="22" t="b">
        <f aca="false">IF(B47&gt;0.5,"D","R")=IF(C47&gt;0.5,"D","R")</f>
        <v>1</v>
      </c>
      <c r="H47" s="22" t="b">
        <f aca="false">IF(E47&gt;0.5,"D","R")=IF(C47&gt;0.5,"D","R")</f>
        <v>1</v>
      </c>
      <c r="J47" s="9" t="n">
        <f aca="false">'House Vote Data (Actual)'!H170</f>
        <v>0.430247718383312</v>
      </c>
      <c r="K47" s="9" t="n">
        <f aca="false">'House Vote Data (Actual)'!H171</f>
        <v>0.422817281728173</v>
      </c>
      <c r="L47" s="9" t="n">
        <f aca="false">'House Vote Data (Actual)'!H172</f>
        <v>0.441200324412003</v>
      </c>
      <c r="M47" s="8" t="n">
        <f aca="false">ABS(D47)</f>
        <v>4.71961712773854</v>
      </c>
      <c r="N47" s="8" t="n">
        <f aca="false">ABS(F47)</f>
        <v>4.8370227735236</v>
      </c>
    </row>
    <row r="48" customFormat="false" ht="15" hidden="false" customHeight="true" outlineLevel="0" collapsed="false">
      <c r="A48" s="8" t="s">
        <v>114</v>
      </c>
      <c r="B48" s="9" t="n">
        <f aca="false">MIN(1,MAX(0, SLOPE(J48:L48,{2018,2020,2022})*2024 + INTERCEPT(J48:L48,{2018,2020,2022})))</f>
        <v>0.493757667039666</v>
      </c>
      <c r="C48" s="9" t="n">
        <f aca="false">'House Vote Data (Actual)'!H177</f>
        <v>0.476039658496282</v>
      </c>
      <c r="D48" s="21" t="n">
        <f aca="false">(B48-C48)*100</f>
        <v>1.77180085433837</v>
      </c>
      <c r="E48" s="9" t="n">
        <f aca="false">L48</f>
        <v>0.492491985827569</v>
      </c>
      <c r="F48" s="21" t="n">
        <f aca="false">(E48-C48)*100</f>
        <v>1.64523273312868</v>
      </c>
      <c r="G48" s="22" t="b">
        <f aca="false">IF(B48&gt;0.5,"D","R")=IF(C48&gt;0.5,"D","R")</f>
        <v>1</v>
      </c>
      <c r="H48" s="22" t="b">
        <f aca="false">IF(E48&gt;0.5,"D","R")=IF(C48&gt;0.5,"D","R")</f>
        <v>1</v>
      </c>
      <c r="J48" s="9" t="n">
        <f aca="false">'House Vote Data (Actual)'!H174</f>
        <v>0.47834274952919</v>
      </c>
      <c r="K48" s="9" t="n">
        <f aca="false">'House Vote Data (Actual)'!H175</f>
        <v>0.467990556867102</v>
      </c>
      <c r="L48" s="9" t="n">
        <f aca="false">'House Vote Data (Actual)'!H176</f>
        <v>0.492491985827569</v>
      </c>
      <c r="M48" s="8" t="n">
        <f aca="false">ABS(D48)</f>
        <v>1.77180085433837</v>
      </c>
      <c r="N48" s="8" t="n">
        <f aca="false">ABS(F48)</f>
        <v>1.64523273312868</v>
      </c>
    </row>
    <row r="49" customFormat="false" ht="15" hidden="false" customHeight="true" outlineLevel="0" collapsed="false">
      <c r="A49" s="8" t="s">
        <v>115</v>
      </c>
      <c r="B49" s="9" t="n">
        <f aca="false">MIN(1,MAX(0, SLOPE(J49:L49,{2018,2020,2022})*2024 + INTERCEPT(J49:L49,{2018,2020,2022})))</f>
        <v>0.345283538651918</v>
      </c>
      <c r="C49" s="9" t="n">
        <f aca="false">'House Vote Data (Actual)'!H181</f>
        <v>0.330859310572324</v>
      </c>
      <c r="D49" s="21" t="n">
        <f aca="false">(B49-C49)*100</f>
        <v>1.44242280795938</v>
      </c>
      <c r="E49" s="9" t="n">
        <f aca="false">L49</f>
        <v>0.349537037037037</v>
      </c>
      <c r="F49" s="21" t="n">
        <f aca="false">(E49-C49)*100</f>
        <v>1.86777264647131</v>
      </c>
      <c r="G49" s="22" t="b">
        <f aca="false">IF(B49&gt;0.5,"D","R")=IF(C49&gt;0.5,"D","R")</f>
        <v>1</v>
      </c>
      <c r="H49" s="22" t="b">
        <f aca="false">IF(E49&gt;0.5,"D","R")=IF(C49&gt;0.5,"D","R")</f>
        <v>1</v>
      </c>
      <c r="J49" s="9" t="n">
        <f aca="false">'House Vote Data (Actual)'!H178</f>
        <v>0.347095179233622</v>
      </c>
      <c r="K49" s="9" t="n">
        <f aca="false">'House Vote Data (Actual)'!H179</f>
        <v>0.331892826274849</v>
      </c>
      <c r="L49" s="9" t="n">
        <f aca="false">'House Vote Data (Actual)'!H180</f>
        <v>0.349537037037037</v>
      </c>
      <c r="M49" s="8" t="n">
        <f aca="false">ABS(D49)</f>
        <v>1.44242280795938</v>
      </c>
      <c r="N49" s="8" t="n">
        <f aca="false">ABS(F49)</f>
        <v>1.86777264647131</v>
      </c>
    </row>
    <row r="50" customFormat="false" ht="15" hidden="false" customHeight="true" outlineLevel="0" collapsed="false">
      <c r="A50" s="8" t="s">
        <v>116</v>
      </c>
      <c r="B50" s="9" t="n">
        <f aca="false">MIN(1,MAX(0, SLOPE(J50:L50,{2018,2020,2022})*2024 + INTERCEPT(J50:L50,{2018,2020,2022})))</f>
        <v>0.507264420980091</v>
      </c>
      <c r="C50" s="9" t="n">
        <f aca="false">'House Vote Data (Actual)'!H185</f>
        <v>0.450285965684118</v>
      </c>
      <c r="D50" s="21" t="n">
        <f aca="false">(B50-C50)*100</f>
        <v>5.69784552959735</v>
      </c>
      <c r="E50" s="9" t="n">
        <f aca="false">L50</f>
        <v>0.517073170731707</v>
      </c>
      <c r="F50" s="21" t="n">
        <f aca="false">(E50-C50)*100</f>
        <v>6.67872050475895</v>
      </c>
      <c r="G50" s="22" t="b">
        <f aca="false">IF(B50&gt;0.5,"D","R")=IF(C50&gt;0.5,"D","R")</f>
        <v>0</v>
      </c>
      <c r="H50" s="22" t="b">
        <f aca="false">IF(E50&gt;0.5,"D","R")=IF(C50&gt;0.5,"D","R")</f>
        <v>0</v>
      </c>
      <c r="J50" s="9" t="n">
        <f aca="false">'House Vote Data (Actual)'!H182</f>
        <v>0.512261580381471</v>
      </c>
      <c r="K50" s="9" t="n">
        <f aca="false">'House Vote Data (Actual)'!H183</f>
        <v>0.478023740776388</v>
      </c>
      <c r="L50" s="9" t="n">
        <f aca="false">'House Vote Data (Actual)'!H184</f>
        <v>0.517073170731707</v>
      </c>
      <c r="M50" s="8" t="n">
        <f aca="false">ABS(D50)</f>
        <v>5.69784552959735</v>
      </c>
      <c r="N50" s="8" t="n">
        <f aca="false">ABS(F50)</f>
        <v>6.67872050475895</v>
      </c>
    </row>
    <row r="51" customFormat="false" ht="15" hidden="false" customHeight="true" outlineLevel="0" collapsed="false">
      <c r="A51" s="8" t="s">
        <v>117</v>
      </c>
      <c r="B51" s="9" t="n">
        <f aca="false">MIN(1,MAX(0, SLOPE(J51:L51,{2018,2020,2022})*2024 + INTERCEPT(J51:L51,{2018,2020,2022})))</f>
        <v>0.502431512635104</v>
      </c>
      <c r="C51" s="9" t="n">
        <f aca="false">'House Vote Data (Actual)'!H189</f>
        <v>0.487903225806452</v>
      </c>
      <c r="D51" s="21" t="n">
        <f aca="false">(B51-C51)*100</f>
        <v>1.45282868286521</v>
      </c>
      <c r="E51" s="9" t="n">
        <f aca="false">L51</f>
        <v>0.503912363067293</v>
      </c>
      <c r="F51" s="21" t="n">
        <f aca="false">(E51-C51)*100</f>
        <v>1.6009137260841</v>
      </c>
      <c r="G51" s="22" t="b">
        <f aca="false">IF(B51&gt;0.5,"D","R")=IF(C51&gt;0.5,"D","R")</f>
        <v>0</v>
      </c>
      <c r="H51" s="22" t="b">
        <f aca="false">IF(E51&gt;0.5,"D","R")=IF(C51&gt;0.5,"D","R")</f>
        <v>0</v>
      </c>
      <c r="J51" s="9" t="n">
        <f aca="false">'House Vote Data (Actual)'!H186</f>
        <v>0.486388384754991</v>
      </c>
      <c r="K51" s="9" t="n">
        <f aca="false">'House Vote Data (Actual)'!H187</f>
        <v>0.464421855146125</v>
      </c>
      <c r="L51" s="9" t="n">
        <f aca="false">'House Vote Data (Actual)'!H188</f>
        <v>0.503912363067293</v>
      </c>
      <c r="M51" s="8" t="n">
        <f aca="false">ABS(D51)</f>
        <v>1.45282868286521</v>
      </c>
      <c r="N51" s="8" t="n">
        <f aca="false">ABS(F51)</f>
        <v>1.6009137260841</v>
      </c>
    </row>
    <row r="52" customFormat="false" ht="15" hidden="false" customHeight="true" outlineLevel="0" collapsed="false">
      <c r="A52" s="8" t="s">
        <v>99</v>
      </c>
      <c r="B52" s="9" t="n">
        <f aca="false">MIN(1,MAX(0, SLOPE(J52:L52,{2018,2020,2022})*2024 + INTERCEPT(J52:L52,{2018,2020,2022})))</f>
        <v>0.490583875611524</v>
      </c>
      <c r="C52" s="9" t="n">
        <f aca="false">'House Vote Data (Actual)'!H193</f>
        <v>0.459792709077913</v>
      </c>
      <c r="D52" s="21" t="n">
        <f aca="false">(B52-C52)*100</f>
        <v>3.07911665336109</v>
      </c>
      <c r="E52" s="9" t="n">
        <f aca="false">L52</f>
        <v>0.49834479246244</v>
      </c>
      <c r="F52" s="21" t="n">
        <f aca="false">(E52-C52)*100</f>
        <v>3.85520833845267</v>
      </c>
      <c r="G52" s="22" t="b">
        <f aca="false">IF(B52&gt;0.5,"D","R")=IF(C52&gt;0.5,"D","R")</f>
        <v>1</v>
      </c>
      <c r="H52" s="22" t="b">
        <f aca="false">IF(E52&gt;0.5,"D","R")=IF(C52&gt;0.5,"D","R")</f>
        <v>1</v>
      </c>
      <c r="J52" s="9" t="n">
        <f aca="false">'House Vote Data (Actual)'!H190</f>
        <v>0.483445648989159</v>
      </c>
      <c r="K52" s="9" t="n">
        <f aca="false">'House Vote Data (Actual)'!H191</f>
        <v>0.445263754963131</v>
      </c>
      <c r="L52" s="9" t="n">
        <f aca="false">'House Vote Data (Actual)'!H192</f>
        <v>0.49834479246244</v>
      </c>
      <c r="M52" s="8" t="n">
        <f aca="false">ABS(D52)</f>
        <v>3.07911665336109</v>
      </c>
      <c r="N52" s="8" t="n">
        <f aca="false">ABS(F52)</f>
        <v>3.85520833845267</v>
      </c>
    </row>
    <row r="53" customFormat="false" ht="15" hidden="false" customHeight="true" outlineLevel="0" collapsed="false">
      <c r="A53" s="8" t="s">
        <v>118</v>
      </c>
      <c r="B53" s="9" t="n">
        <f aca="false">MIN(1,MAX(0, SLOPE(J53:L53,{2018,2020,2022})*2024 + INTERCEPT(J53:L53,{2018,2020,2022})))</f>
        <v>0.513956675884586</v>
      </c>
      <c r="C53" s="9" t="n">
        <f aca="false">'House Vote Data (Actual)'!H197</f>
        <v>0.508679795769511</v>
      </c>
      <c r="D53" s="21" t="n">
        <f aca="false">(B53-C53)*100</f>
        <v>0.52768801150751</v>
      </c>
      <c r="E53" s="9" t="n">
        <f aca="false">L53</f>
        <v>0.523901871424416</v>
      </c>
      <c r="F53" s="21" t="n">
        <f aca="false">(E53-C53)*100</f>
        <v>1.52220756549045</v>
      </c>
      <c r="G53" s="22" t="b">
        <f aca="false">IF(B53&gt;0.5,"D","R")=IF(C53&gt;0.5,"D","R")</f>
        <v>1</v>
      </c>
      <c r="H53" s="22" t="b">
        <f aca="false">IF(E53&gt;0.5,"D","R")=IF(C53&gt;0.5,"D","R")</f>
        <v>1</v>
      </c>
      <c r="J53" s="9" t="n">
        <f aca="false">'House Vote Data (Actual)'!H194</f>
        <v>0.528144239226033</v>
      </c>
      <c r="K53" s="9" t="n">
        <f aca="false">'House Vote Data (Actual)'!H195</f>
        <v>0.502551020408163</v>
      </c>
      <c r="L53" s="9" t="n">
        <f aca="false">'House Vote Data (Actual)'!H196</f>
        <v>0.523901871424416</v>
      </c>
      <c r="M53" s="8" t="n">
        <f aca="false">ABS(D53)</f>
        <v>0.52768801150751</v>
      </c>
      <c r="N53" s="8" t="n">
        <f aca="false">ABS(F53)</f>
        <v>1.52220756549045</v>
      </c>
    </row>
    <row r="54" customFormat="false" ht="15" hidden="false" customHeight="true" outlineLevel="0" collapsed="false">
      <c r="A54" s="8" t="s">
        <v>119</v>
      </c>
      <c r="B54" s="9" t="n">
        <f aca="false">MIN(1,MAX(0, SLOPE(J54:L54,{2018,2020,2022})*2024 + INTERCEPT(J54:L54,{2018,2020,2022})))</f>
        <v>0.391560357519022</v>
      </c>
      <c r="C54" s="9" t="n">
        <f aca="false">'House Vote Data (Actual)'!H201</f>
        <v>0.373340414232608</v>
      </c>
      <c r="D54" s="21" t="n">
        <f aca="false">(B54-C54)*100</f>
        <v>1.82199432864147</v>
      </c>
      <c r="E54" s="9" t="n">
        <f aca="false">L54</f>
        <v>0.396431342125679</v>
      </c>
      <c r="F54" s="21" t="n">
        <f aca="false">(E54-C54)*100</f>
        <v>2.30909278930713</v>
      </c>
      <c r="G54" s="22" t="b">
        <f aca="false">IF(B54&gt;0.5,"D","R")=IF(C54&gt;0.5,"D","R")</f>
        <v>1</v>
      </c>
      <c r="H54" s="22" t="b">
        <f aca="false">IF(E54&gt;0.5,"D","R")=IF(C54&gt;0.5,"D","R")</f>
        <v>1</v>
      </c>
      <c r="J54" s="9" t="n">
        <f aca="false">'House Vote Data (Actual)'!H198</f>
        <v>0.397372742200328</v>
      </c>
      <c r="K54" s="9" t="n">
        <f aca="false">'House Vote Data (Actual)'!H199</f>
        <v>0.383701188455009</v>
      </c>
      <c r="L54" s="9" t="n">
        <f aca="false">'House Vote Data (Actual)'!H200</f>
        <v>0.396431342125679</v>
      </c>
      <c r="M54" s="8" t="n">
        <f aca="false">ABS(D54)</f>
        <v>1.82199432864147</v>
      </c>
      <c r="N54" s="8" t="n">
        <f aca="false">ABS(F54)</f>
        <v>2.30909278930713</v>
      </c>
    </row>
    <row r="55" customFormat="false" ht="15" hidden="false" customHeight="true" outlineLevel="0" collapsed="false">
      <c r="A55" s="8" t="s">
        <v>120</v>
      </c>
      <c r="B55" s="9" t="n">
        <f aca="false">MIN(1,MAX(0, SLOPE(J55:L55,{2018,2020,2022})*2024 + INTERCEPT(J55:L55,{2018,2020,2022})))</f>
        <v>0.327233819975735</v>
      </c>
      <c r="C55" s="9" t="n">
        <f aca="false">'House Vote Data (Actual)'!H205</f>
        <v>0.347016828148904</v>
      </c>
      <c r="D55" s="21" t="n">
        <f aca="false">(B55-C55)*100</f>
        <v>-1.97830081731686</v>
      </c>
      <c r="E55" s="9" t="n">
        <f aca="false">L55</f>
        <v>0.350032530904359</v>
      </c>
      <c r="F55" s="21" t="n">
        <f aca="false">(E55-C55)*100</f>
        <v>0.301570275545554</v>
      </c>
      <c r="G55" s="22" t="b">
        <f aca="false">IF(B55&gt;0.5,"D","R")=IF(C55&gt;0.5,"D","R")</f>
        <v>1</v>
      </c>
      <c r="H55" s="22" t="b">
        <f aca="false">IF(E55&gt;0.5,"D","R")=IF(C55&gt;0.5,"D","R")</f>
        <v>1</v>
      </c>
      <c r="J55" s="9" t="n">
        <f aca="false">'House Vote Data (Actual)'!H202</f>
        <v>0.385140257771039</v>
      </c>
      <c r="K55" s="9" t="n">
        <f aca="false">'House Vote Data (Actual)'!H203</f>
        <v>0.351851851851852</v>
      </c>
      <c r="L55" s="9" t="n">
        <f aca="false">'House Vote Data (Actual)'!H204</f>
        <v>0.350032530904359</v>
      </c>
      <c r="M55" s="8" t="n">
        <f aca="false">ABS(D55)</f>
        <v>1.97830081731686</v>
      </c>
      <c r="N55" s="8" t="n">
        <f aca="false">ABS(F55)</f>
        <v>0.301570275545554</v>
      </c>
    </row>
    <row r="56" customFormat="false" ht="15" hidden="false" customHeight="true" outlineLevel="0" collapsed="false">
      <c r="A56" s="8" t="s">
        <v>121</v>
      </c>
      <c r="B56" s="9" t="n">
        <f aca="false">MIN(1,MAX(0, SLOPE(J56:L56,{2018,2020,2022})*2024 + INTERCEPT(J56:L56,{2018,2020,2022})))</f>
        <v>0.310196348950964</v>
      </c>
      <c r="C56" s="9" t="n">
        <f aca="false">'House Vote Data (Actual)'!H209</f>
        <v>0.355212355212355</v>
      </c>
      <c r="D56" s="21" t="n">
        <f aca="false">(B56-C56)*100</f>
        <v>-4.50160062613916</v>
      </c>
      <c r="E56" s="9" t="n">
        <f aca="false">L56</f>
        <v>0.335051546391753</v>
      </c>
      <c r="F56" s="21" t="n">
        <f aca="false">(E56-C56)*100</f>
        <v>-2.01608088206027</v>
      </c>
      <c r="G56" s="22" t="b">
        <f aca="false">IF(B56&gt;0.5,"D","R")=IF(C56&gt;0.5,"D","R")</f>
        <v>1</v>
      </c>
      <c r="H56" s="22" t="b">
        <f aca="false">IF(E56&gt;0.5,"D","R")=IF(C56&gt;0.5,"D","R")</f>
        <v>1</v>
      </c>
      <c r="J56" s="9" t="n">
        <f aca="false">'House Vote Data (Actual)'!H206</f>
        <v>0.366863905325444</v>
      </c>
      <c r="K56" s="9" t="n">
        <f aca="false">'House Vote Data (Actual)'!H207</f>
        <v>0.324110671936759</v>
      </c>
      <c r="L56" s="9" t="n">
        <f aca="false">'House Vote Data (Actual)'!H208</f>
        <v>0.335051546391753</v>
      </c>
      <c r="M56" s="8" t="n">
        <f aca="false">ABS(D56)</f>
        <v>4.50160062613916</v>
      </c>
      <c r="N56" s="8" t="n">
        <f aca="false">ABS(F56)</f>
        <v>2.01608088206027</v>
      </c>
    </row>
    <row r="57" customFormat="false" ht="15" hidden="false" customHeight="true" outlineLevel="0" collapsed="false">
      <c r="A57" s="8" t="s">
        <v>122</v>
      </c>
      <c r="B57" s="9" t="n">
        <f aca="false">MIN(1,MAX(0, SLOPE(J57:L57,{2018,2020,2022})*2024 + INTERCEPT(J57:L57,{2018,2020,2022})))</f>
        <v>0.357084833180299</v>
      </c>
      <c r="C57" s="9" t="n">
        <f aca="false">'House Vote Data (Actual)'!H213</f>
        <v>0.365720524017467</v>
      </c>
      <c r="D57" s="21" t="n">
        <f aca="false">(B57-C57)*100</f>
        <v>-0.863569083716875</v>
      </c>
      <c r="E57" s="9" t="n">
        <f aca="false">L57</f>
        <v>0.381656804733728</v>
      </c>
      <c r="F57" s="21" t="n">
        <f aca="false">(E57-C57)*100</f>
        <v>1.59362807162606</v>
      </c>
      <c r="G57" s="22" t="b">
        <f aca="false">IF(B57&gt;0.5,"D","R")=IF(C57&gt;0.5,"D","R")</f>
        <v>1</v>
      </c>
      <c r="H57" s="22" t="b">
        <f aca="false">IF(E57&gt;0.5,"D","R")=IF(C57&gt;0.5,"D","R")</f>
        <v>1</v>
      </c>
      <c r="J57" s="9" t="n">
        <f aca="false">'House Vote Data (Actual)'!H210</f>
        <v>0.411167512690355</v>
      </c>
      <c r="K57" s="9" t="n">
        <f aca="false">'House Vote Data (Actual)'!H211</f>
        <v>0.366962305986696</v>
      </c>
      <c r="L57" s="9" t="n">
        <f aca="false">'House Vote Data (Actual)'!H212</f>
        <v>0.381656804733728</v>
      </c>
      <c r="M57" s="8" t="n">
        <f aca="false">ABS(D57)</f>
        <v>0.863569083716875</v>
      </c>
      <c r="N57" s="8" t="n">
        <f aca="false">ABS(F57)</f>
        <v>1.59362807162606</v>
      </c>
    </row>
    <row r="58" customFormat="false" ht="15" hidden="false" customHeight="true" outlineLevel="0" collapsed="false">
      <c r="A58" s="8" t="s">
        <v>123</v>
      </c>
      <c r="B58" s="9" t="n">
        <f aca="false">MIN(1,MAX(0, SLOPE(J58:L58,{2018,2020,2022})*2024 + INTERCEPT(J58:L58,{2018,2020,2022})))</f>
        <v>0.397645849555387</v>
      </c>
      <c r="C58" s="9" t="n">
        <f aca="false">'House Vote Data (Actual)'!H217</f>
        <v>0.404624277456647</v>
      </c>
      <c r="D58" s="21" t="n">
        <f aca="false">(B58-C58)*100</f>
        <v>-0.697842790126069</v>
      </c>
      <c r="E58" s="9" t="n">
        <f aca="false">L58</f>
        <v>0.41343669250646</v>
      </c>
      <c r="F58" s="21" t="n">
        <f aca="false">(E58-C58)*100</f>
        <v>0.881241504981251</v>
      </c>
      <c r="G58" s="22" t="b">
        <f aca="false">IF(B58&gt;0.5,"D","R")=IF(C58&gt;0.5,"D","R")</f>
        <v>1</v>
      </c>
      <c r="H58" s="22" t="b">
        <f aca="false">IF(E58&gt;0.5,"D","R")=IF(C58&gt;0.5,"D","R")</f>
        <v>1</v>
      </c>
      <c r="J58" s="9" t="n">
        <f aca="false">'House Vote Data (Actual)'!H214</f>
        <v>0.434250764525994</v>
      </c>
      <c r="K58" s="9" t="n">
        <f aca="false">'House Vote Data (Actual)'!H215</f>
        <v>0.407692307692308</v>
      </c>
      <c r="L58" s="9" t="n">
        <f aca="false">'House Vote Data (Actual)'!H216</f>
        <v>0.41343669250646</v>
      </c>
      <c r="M58" s="8" t="n">
        <f aca="false">ABS(D58)</f>
        <v>0.697842790126069</v>
      </c>
      <c r="N58" s="8" t="n">
        <f aca="false">ABS(F58)</f>
        <v>0.881241504981251</v>
      </c>
    </row>
    <row r="59" customFormat="false" ht="15" hidden="false" customHeight="true" outlineLevel="0" collapsed="false">
      <c r="A59" s="8" t="s">
        <v>124</v>
      </c>
      <c r="B59" s="9" t="n">
        <f aca="false">MIN(1,MAX(0, SLOPE(J59:L59,{2018,2020,2022})*2024 + INTERCEPT(J59:L59,{2018,2020,2022})))</f>
        <v>0.431758987486542</v>
      </c>
      <c r="C59" s="9" t="n">
        <f aca="false">'House Vote Data (Actual)'!H221</f>
        <v>0.419518377693283</v>
      </c>
      <c r="D59" s="21" t="n">
        <f aca="false">(B59-C59)*100</f>
        <v>1.22406097932591</v>
      </c>
      <c r="E59" s="9" t="n">
        <f aca="false">L59</f>
        <v>0.433155080213904</v>
      </c>
      <c r="F59" s="21" t="n">
        <f aca="false">(E59-C59)*100</f>
        <v>1.36367025206211</v>
      </c>
      <c r="G59" s="22" t="b">
        <f aca="false">IF(B59&gt;0.5,"D","R")=IF(C59&gt;0.5,"D","R")</f>
        <v>1</v>
      </c>
      <c r="H59" s="22" t="b">
        <f aca="false">IF(E59&gt;0.5,"D","R")=IF(C59&gt;0.5,"D","R")</f>
        <v>1</v>
      </c>
      <c r="J59" s="9" t="n">
        <f aca="false">'House Vote Data (Actual)'!H218</f>
        <v>0.421052631578947</v>
      </c>
      <c r="K59" s="9" t="n">
        <f aca="false">'House Vote Data (Actual)'!H219</f>
        <v>0.404761904761905</v>
      </c>
      <c r="L59" s="9" t="n">
        <f aca="false">'House Vote Data (Actual)'!H220</f>
        <v>0.433155080213904</v>
      </c>
      <c r="M59" s="8" t="n">
        <f aca="false">ABS(D59)</f>
        <v>1.22406097932591</v>
      </c>
      <c r="N59" s="8" t="n">
        <f aca="false">ABS(F59)</f>
        <v>1.36367025206211</v>
      </c>
    </row>
    <row r="60" customFormat="false" ht="15" hidden="false" customHeight="true" outlineLevel="0" collapsed="false">
      <c r="A60" s="8" t="s">
        <v>125</v>
      </c>
      <c r="B60" s="9" t="n">
        <f aca="false">MIN(1,MAX(0, SLOPE(J60:L60,{2018,2020,2022})*2024 + INTERCEPT(J60:L60,{2018,2020,2022})))</f>
        <v>0.307766757245757</v>
      </c>
      <c r="C60" s="9" t="n">
        <f aca="false">'House Vote Data (Actual)'!H225</f>
        <v>0.313794845881759</v>
      </c>
      <c r="D60" s="21" t="n">
        <f aca="false">(B60-C60)*100</f>
        <v>-0.602808863600174</v>
      </c>
      <c r="E60" s="9" t="n">
        <f aca="false">L60</f>
        <v>0.3296</v>
      </c>
      <c r="F60" s="21" t="n">
        <f aca="false">(E60-C60)*100</f>
        <v>1.58051541182415</v>
      </c>
      <c r="G60" s="22" t="b">
        <f aca="false">IF(B60&gt;0.5,"D","R")=IF(C60&gt;0.5,"D","R")</f>
        <v>1</v>
      </c>
      <c r="H60" s="22" t="b">
        <f aca="false">IF(E60&gt;0.5,"D","R")=IF(C60&gt;0.5,"D","R")</f>
        <v>1</v>
      </c>
      <c r="J60" s="9" t="n">
        <f aca="false">'House Vote Data (Actual)'!H222</f>
        <v>0.355907250644093</v>
      </c>
      <c r="K60" s="9" t="n">
        <f aca="false">'House Vote Data (Actual)'!H223</f>
        <v>0.316714773025453</v>
      </c>
      <c r="L60" s="9" t="n">
        <f aca="false">'House Vote Data (Actual)'!H224</f>
        <v>0.3296</v>
      </c>
      <c r="M60" s="8" t="n">
        <f aca="false">ABS(D60)</f>
        <v>0.602808863600174</v>
      </c>
      <c r="N60" s="8" t="n">
        <f aca="false">ABS(F60)</f>
        <v>1.58051541182415</v>
      </c>
    </row>
    <row r="61" customFormat="false" ht="15" hidden="false" customHeight="true" outlineLevel="0" collapsed="false">
      <c r="A61" s="8" t="s">
        <v>126</v>
      </c>
      <c r="B61" s="9" t="n">
        <f aca="false">MIN(1,MAX(0, SLOPE(J61:L61,{2018,2020,2022})*2024 + INTERCEPT(J61:L61,{2018,2020,2022})))</f>
        <v>0.495823114973849</v>
      </c>
      <c r="C61" s="9" t="n">
        <f aca="false">'House Vote Data (Actual)'!H229</f>
        <v>0.477742641693019</v>
      </c>
      <c r="D61" s="21" t="n">
        <f aca="false">(B61-C61)*100</f>
        <v>1.80804732808301</v>
      </c>
      <c r="E61" s="9" t="n">
        <f aca="false">L61</f>
        <v>0.497944988934556</v>
      </c>
      <c r="F61" s="21" t="n">
        <f aca="false">(E61-C61)*100</f>
        <v>2.02023472415371</v>
      </c>
      <c r="G61" s="22" t="b">
        <f aca="false">IF(B61&gt;0.5,"D","R")=IF(C61&gt;0.5,"D","R")</f>
        <v>1</v>
      </c>
      <c r="H61" s="22" t="b">
        <f aca="false">IF(E61&gt;0.5,"D","R")=IF(C61&gt;0.5,"D","R")</f>
        <v>1</v>
      </c>
      <c r="J61" s="9" t="n">
        <f aca="false">'House Vote Data (Actual)'!H226</f>
        <v>0.48481353325644</v>
      </c>
      <c r="K61" s="9" t="n">
        <f aca="false">'House Vote Data (Actual)'!H227</f>
        <v>0.465316455696203</v>
      </c>
      <c r="L61" s="9" t="n">
        <f aca="false">'House Vote Data (Actual)'!H228</f>
        <v>0.497944988934556</v>
      </c>
      <c r="M61" s="8" t="n">
        <f aca="false">ABS(D61)</f>
        <v>1.80804732808301</v>
      </c>
      <c r="N61" s="8" t="n">
        <f aca="false">ABS(F61)</f>
        <v>2.02023472415371</v>
      </c>
    </row>
    <row r="62" customFormat="false" ht="15" hidden="false" customHeight="true" outlineLevel="0" collapsed="false">
      <c r="A62" s="8" t="s">
        <v>127</v>
      </c>
      <c r="B62" s="9" t="n">
        <f aca="false">MIN(1,MAX(0, SLOPE(J62:L62,{2018,2020,2022})*2024 + INTERCEPT(J62:L62,{2018,2020,2022})))</f>
        <v>0.420394661960353</v>
      </c>
      <c r="C62" s="9" t="n">
        <f aca="false">'House Vote Data (Actual)'!H233</f>
        <v>0.387337057728119</v>
      </c>
      <c r="D62" s="21" t="n">
        <f aca="false">(B62-C62)*100</f>
        <v>3.3057604232234</v>
      </c>
      <c r="E62" s="9" t="n">
        <f aca="false">L62</f>
        <v>0.421270718232044</v>
      </c>
      <c r="F62" s="21" t="n">
        <f aca="false">(E62-C62)*100</f>
        <v>3.3933660503925</v>
      </c>
      <c r="G62" s="22" t="b">
        <f aca="false">IF(B62&gt;0.5,"D","R")=IF(C62&gt;0.5,"D","R")</f>
        <v>1</v>
      </c>
      <c r="H62" s="22" t="b">
        <f aca="false">IF(E62&gt;0.5,"D","R")=IF(C62&gt;0.5,"D","R")</f>
        <v>1</v>
      </c>
      <c r="J62" s="9" t="n">
        <f aca="false">'House Vote Data (Actual)'!H230</f>
        <v>0.40453074433657</v>
      </c>
      <c r="K62" s="9" t="n">
        <f aca="false">'House Vote Data (Actual)'!H231</f>
        <v>0.385162601626016</v>
      </c>
      <c r="L62" s="9" t="n">
        <f aca="false">'House Vote Data (Actual)'!H232</f>
        <v>0.421270718232044</v>
      </c>
      <c r="M62" s="8" t="n">
        <f aca="false">ABS(D62)</f>
        <v>3.3057604232234</v>
      </c>
      <c r="N62" s="8" t="n">
        <f aca="false">ABS(F62)</f>
        <v>3.3933660503925</v>
      </c>
    </row>
    <row r="63" customFormat="false" ht="15" hidden="false" customHeight="true" outlineLevel="0" collapsed="false">
      <c r="A63" s="8" t="s">
        <v>95</v>
      </c>
      <c r="B63" s="9" t="n">
        <f aca="false">MIN(1,MAX(0, SLOPE(J63:L63,{2018,2020,2022})*2024 + INTERCEPT(J63:L63,{2018,2020,2022})))</f>
        <v>0.334351573899941</v>
      </c>
      <c r="C63" s="9" t="n">
        <f aca="false">'House Vote Data (Actual)'!H237</f>
        <v>0.332694151486098</v>
      </c>
      <c r="D63" s="21" t="n">
        <f aca="false">(B63-C63)*100</f>
        <v>0.165742241384292</v>
      </c>
      <c r="E63" s="9" t="n">
        <f aca="false">L63</f>
        <v>0.353982300884956</v>
      </c>
      <c r="F63" s="21" t="n">
        <f aca="false">(E63-C63)*100</f>
        <v>2.12881493988579</v>
      </c>
      <c r="G63" s="22" t="b">
        <f aca="false">IF(B63&gt;0.5,"D","R")=IF(C63&gt;0.5,"D","R")</f>
        <v>1</v>
      </c>
      <c r="H63" s="22" t="b">
        <f aca="false">IF(E63&gt;0.5,"D","R")=IF(C63&gt;0.5,"D","R")</f>
        <v>1</v>
      </c>
      <c r="J63" s="9" t="n">
        <f aca="false">'House Vote Data (Actual)'!H234</f>
        <v>0.378265412748171</v>
      </c>
      <c r="K63" s="9" t="n">
        <f aca="false">'House Vote Data (Actual)'!H235</f>
        <v>0.343656343656344</v>
      </c>
      <c r="L63" s="9" t="n">
        <f aca="false">'House Vote Data (Actual)'!H236</f>
        <v>0.353982300884956</v>
      </c>
      <c r="M63" s="8" t="n">
        <f aca="false">ABS(D63)</f>
        <v>0.165742241384292</v>
      </c>
      <c r="N63" s="8" t="n">
        <f aca="false">ABS(F63)</f>
        <v>2.12881493988579</v>
      </c>
    </row>
    <row r="64" customFormat="false" ht="15" hidden="false" customHeight="true" outlineLevel="0" collapsed="false">
      <c r="A64" s="8" t="s">
        <v>128</v>
      </c>
      <c r="B64" s="9" t="n">
        <f aca="false">MIN(1,MAX(0, SLOPE(J64:L64,{2018,2020,2022})*2024 + INTERCEPT(J64:L64,{2018,2020,2022})))</f>
        <v>0.44290725508117</v>
      </c>
      <c r="C64" s="9" t="n">
        <f aca="false">'House Vote Data (Actual)'!H241</f>
        <v>0.475465313028765</v>
      </c>
      <c r="D64" s="21" t="n">
        <f aca="false">(B64-C64)*100</f>
        <v>-3.25580579475945</v>
      </c>
      <c r="E64" s="9" t="n">
        <f aca="false">L64</f>
        <v>0.480676328502416</v>
      </c>
      <c r="F64" s="21" t="n">
        <f aca="false">(E64-C64)*100</f>
        <v>0.521101547365066</v>
      </c>
      <c r="G64" s="22" t="b">
        <f aca="false">IF(B64&gt;0.5,"D","R")=IF(C64&gt;0.5,"D","R")</f>
        <v>1</v>
      </c>
      <c r="H64" s="22" t="b">
        <f aca="false">IF(E64&gt;0.5,"D","R")=IF(C64&gt;0.5,"D","R")</f>
        <v>1</v>
      </c>
      <c r="J64" s="9" t="n">
        <f aca="false">'House Vote Data (Actual)'!H238</f>
        <v>0.513513513513514</v>
      </c>
      <c r="K64" s="9" t="n">
        <f aca="false">'House Vote Data (Actual)'!H239</f>
        <v>0.43304347826087</v>
      </c>
      <c r="L64" s="9" t="n">
        <f aca="false">'House Vote Data (Actual)'!H240</f>
        <v>0.480676328502416</v>
      </c>
      <c r="M64" s="8" t="n">
        <f aca="false">ABS(D64)</f>
        <v>3.25580579475945</v>
      </c>
      <c r="N64" s="8" t="n">
        <f aca="false">ABS(F64)</f>
        <v>0.521101547365066</v>
      </c>
    </row>
    <row r="65" customFormat="false" ht="15" hidden="false" customHeight="true" outlineLevel="0" collapsed="false">
      <c r="A65" s="8" t="s">
        <v>129</v>
      </c>
      <c r="B65" s="9" t="n">
        <f aca="false">MIN(1,MAX(0, SLOPE(J65:L65,{2018,2020,2022})*2024 + INTERCEPT(J65:L65,{2018,2020,2022})))</f>
        <v>0.431314230428256</v>
      </c>
      <c r="C65" s="9" t="n">
        <f aca="false">'House Vote Data (Actual)'!H245</f>
        <v>0.434792843691149</v>
      </c>
      <c r="D65" s="21" t="n">
        <f aca="false">(B65-C65)*100</f>
        <v>-0.347861326289234</v>
      </c>
      <c r="E65" s="9" t="n">
        <f aca="false">L65</f>
        <v>0.439083232810615</v>
      </c>
      <c r="F65" s="21" t="n">
        <f aca="false">(E65-C65)*100</f>
        <v>0.429038911946639</v>
      </c>
      <c r="G65" s="22" t="b">
        <f aca="false">IF(B65&gt;0.5,"D","R")=IF(C65&gt;0.5,"D","R")</f>
        <v>1</v>
      </c>
      <c r="H65" s="22" t="b">
        <f aca="false">IF(E65&gt;0.5,"D","R")=IF(C65&gt;0.5,"D","R")</f>
        <v>1</v>
      </c>
      <c r="J65" s="9" t="n">
        <f aca="false">'House Vote Data (Actual)'!H242</f>
        <v>0.444292080905039</v>
      </c>
      <c r="K65" s="9" t="n">
        <f aca="false">'House Vote Data (Actual)'!H243</f>
        <v>0.426193921852388</v>
      </c>
      <c r="L65" s="9" t="n">
        <f aca="false">'House Vote Data (Actual)'!H244</f>
        <v>0.439083232810615</v>
      </c>
      <c r="M65" s="8" t="n">
        <f aca="false">ABS(D65)</f>
        <v>0.347861326289234</v>
      </c>
      <c r="N65" s="8" t="n">
        <f aca="false">ABS(F65)</f>
        <v>0.429038911946639</v>
      </c>
    </row>
    <row r="66" customFormat="false" ht="15" hidden="false" customHeight="true" outlineLevel="0" collapsed="false">
      <c r="A66" s="8" t="s">
        <v>130</v>
      </c>
      <c r="B66" s="9" t="n">
        <f aca="false">MIN(1,MAX(0, SLOPE(J66:L66,{2018,2020,2022})*2024 + INTERCEPT(J66:L66,{2018,2020,2022})))</f>
        <v>0.571564050915148</v>
      </c>
      <c r="C66" s="9" t="n">
        <f aca="false">'House Vote Data (Actual)'!H249</f>
        <v>0.552256186317322</v>
      </c>
      <c r="D66" s="21" t="n">
        <f aca="false">(B66-C66)*100</f>
        <v>1.93078645978264</v>
      </c>
      <c r="E66" s="9" t="n">
        <f aca="false">L66</f>
        <v>0.584387265590929</v>
      </c>
      <c r="F66" s="21" t="n">
        <f aca="false">(E66-C66)*100</f>
        <v>3.21310792736073</v>
      </c>
      <c r="G66" s="22" t="b">
        <f aca="false">IF(B66&gt;0.5,"D","R")=IF(C66&gt;0.5,"D","R")</f>
        <v>1</v>
      </c>
      <c r="H66" s="22" t="b">
        <f aca="false">IF(E66&gt;0.5,"D","R")=IF(C66&gt;0.5,"D","R")</f>
        <v>1</v>
      </c>
      <c r="J66" s="9" t="n">
        <f aca="false">'House Vote Data (Actual)'!H246</f>
        <v>0.587930221593588</v>
      </c>
      <c r="K66" s="9" t="n">
        <f aca="false">'House Vote Data (Actual)'!H247</f>
        <v>0.553003533568905</v>
      </c>
      <c r="L66" s="9" t="n">
        <f aca="false">'House Vote Data (Actual)'!H248</f>
        <v>0.584387265590929</v>
      </c>
      <c r="M66" s="8" t="n">
        <f aca="false">ABS(D66)</f>
        <v>1.93078645978264</v>
      </c>
      <c r="N66" s="8" t="n">
        <f aca="false">ABS(F66)</f>
        <v>3.21310792736073</v>
      </c>
    </row>
    <row r="67" customFormat="false" ht="15" hidden="false" customHeight="true" outlineLevel="0" collapsed="false">
      <c r="A67" s="8" t="s">
        <v>131</v>
      </c>
      <c r="B67" s="9" t="n">
        <f aca="false">MIN(1,MAX(0, SLOPE(J67:L67,{2018,2020,2022})*2024 + INTERCEPT(J67:L67,{2018,2020,2022})))</f>
        <v>0.440764962927495</v>
      </c>
      <c r="C67" s="9" t="n">
        <f aca="false">'House Vote Data (Actual)'!H253</f>
        <v>0.425503355704698</v>
      </c>
      <c r="D67" s="21" t="n">
        <f aca="false">(B67-C67)*100</f>
        <v>1.52616072227968</v>
      </c>
      <c r="E67" s="9" t="n">
        <f aca="false">L67</f>
        <v>0.451141552511416</v>
      </c>
      <c r="F67" s="21" t="n">
        <f aca="false">(E67-C67)*100</f>
        <v>2.56381968067175</v>
      </c>
      <c r="G67" s="22" t="b">
        <f aca="false">IF(B67&gt;0.5,"D","R")=IF(C67&gt;0.5,"D","R")</f>
        <v>1</v>
      </c>
      <c r="H67" s="22" t="b">
        <f aca="false">IF(E67&gt;0.5,"D","R")=IF(C67&gt;0.5,"D","R")</f>
        <v>1</v>
      </c>
      <c r="J67" s="9" t="n">
        <f aca="false">'House Vote Data (Actual)'!H250</f>
        <v>0.436670687575392</v>
      </c>
      <c r="K67" s="9" t="n">
        <f aca="false">'House Vote Data (Actual)'!H251</f>
        <v>0.391070053887606</v>
      </c>
      <c r="L67" s="9" t="n">
        <f aca="false">'House Vote Data (Actual)'!H252</f>
        <v>0.451141552511416</v>
      </c>
      <c r="M67" s="8" t="n">
        <f aca="false">ABS(D67)</f>
        <v>1.52616072227968</v>
      </c>
      <c r="N67" s="8" t="n">
        <f aca="false">ABS(F67)</f>
        <v>2.56381968067175</v>
      </c>
    </row>
    <row r="69" customFormat="false" ht="15" hidden="false" customHeight="true" outlineLevel="0" collapsed="false">
      <c r="A69" s="7" t="s">
        <v>234</v>
      </c>
      <c r="B69" s="23" t="n">
        <f aca="false">AVERAGE(M5:M67)</f>
        <v>2.17465859261281</v>
      </c>
    </row>
    <row r="70" customFormat="false" ht="15" hidden="false" customHeight="true" outlineLevel="0" collapsed="false">
      <c r="A70" s="7" t="s">
        <v>235</v>
      </c>
      <c r="B70" s="23" t="n">
        <f aca="false">AVERAGE(N5:N67)</f>
        <v>2.24878127901556</v>
      </c>
    </row>
    <row r="71" customFormat="false" ht="15" hidden="false" customHeight="true" outlineLevel="0" collapsed="false">
      <c r="A71" s="7" t="s">
        <v>236</v>
      </c>
      <c r="B71" s="7" t="str">
        <f aca="false">COUNTIF(G5:G67,TRUE())&amp;" / "&amp;63</f>
        <v>57 / 63</v>
      </c>
    </row>
    <row r="72" customFormat="false" ht="15" hidden="false" customHeight="true" outlineLevel="0" collapsed="false">
      <c r="A72" s="7" t="s">
        <v>237</v>
      </c>
      <c r="B72" s="7" t="str">
        <f aca="false">COUNTIF(H5:H67,TRUE())&amp;" / "&amp;63</f>
        <v>57 / 63</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18"/>
    <col collapsed="false" customWidth="true" hidden="false" outlineLevel="0" max="4" min="4" style="1" width="16"/>
  </cols>
  <sheetData>
    <row r="1" customFormat="false" ht="15.75" hidden="false" customHeight="true" outlineLevel="0" collapsed="false">
      <c r="A1" s="11" t="s">
        <v>238</v>
      </c>
      <c r="B1" s="11"/>
      <c r="C1" s="11"/>
      <c r="D1" s="11"/>
    </row>
    <row r="2" customFormat="false" ht="15" hidden="false" customHeight="true" outlineLevel="0" collapsed="false">
      <c r="A2" s="24" t="s">
        <v>239</v>
      </c>
      <c r="B2" s="24"/>
      <c r="C2" s="24"/>
      <c r="D2" s="24"/>
    </row>
    <row r="4" customFormat="false" ht="15" hidden="false" customHeight="true" outlineLevel="0" collapsed="false">
      <c r="A4" s="7" t="s">
        <v>60</v>
      </c>
      <c r="B4" s="7" t="s">
        <v>59</v>
      </c>
      <c r="C4" s="7" t="s">
        <v>70</v>
      </c>
      <c r="D4" s="7" t="s">
        <v>240</v>
      </c>
    </row>
    <row r="5" customFormat="false" ht="15" hidden="false" customHeight="true" outlineLevel="0" collapsed="false">
      <c r="A5" s="8" t="s">
        <v>72</v>
      </c>
      <c r="B5" s="8" t="n">
        <v>2018</v>
      </c>
      <c r="C5" s="9" t="n">
        <f aca="false">'House Vote Data (Actual)'!L2</f>
        <v>0.593142857142857</v>
      </c>
      <c r="D5" s="9" t="n">
        <f aca="false">'House Vote Data (Actual)'!H2</f>
        <v>0.506696428571429</v>
      </c>
    </row>
    <row r="6" customFormat="false" ht="15" hidden="false" customHeight="true" outlineLevel="0" collapsed="false">
      <c r="A6" s="8" t="s">
        <v>74</v>
      </c>
      <c r="B6" s="8" t="n">
        <v>2018</v>
      </c>
      <c r="C6" s="9" t="n">
        <f aca="false">'House Vote Data (Actual)'!L6</f>
        <v>0.763869751250997</v>
      </c>
      <c r="D6" s="9" t="n">
        <f aca="false">'House Vote Data (Actual)'!H6</f>
        <v>0.710555416830164</v>
      </c>
    </row>
    <row r="7" customFormat="false" ht="15" hidden="false" customHeight="true" outlineLevel="0" collapsed="false">
      <c r="A7" s="8" t="s">
        <v>75</v>
      </c>
      <c r="B7" s="8" t="n">
        <v>2018</v>
      </c>
      <c r="C7" s="9" t="n">
        <f aca="false">'House Vote Data (Actual)'!L10</f>
        <v>0.704053303720156</v>
      </c>
      <c r="D7" s="9" t="n">
        <f aca="false">'House Vote Data (Actual)'!H10</f>
        <v>0.637029005150447</v>
      </c>
    </row>
    <row r="8" customFormat="false" ht="15" hidden="false" customHeight="true" outlineLevel="0" collapsed="false">
      <c r="A8" s="8" t="s">
        <v>76</v>
      </c>
      <c r="B8" s="8" t="n">
        <v>2018</v>
      </c>
      <c r="C8" s="9" t="n">
        <f aca="false">'House Vote Data (Actual)'!L14</f>
        <v>0.633316658329165</v>
      </c>
      <c r="D8" s="9" t="n">
        <f aca="false">'House Vote Data (Actual)'!H14</f>
        <v>0.551941747572816</v>
      </c>
    </row>
    <row r="9" customFormat="false" ht="15" hidden="false" customHeight="true" outlineLevel="0" collapsed="false">
      <c r="A9" s="8" t="s">
        <v>77</v>
      </c>
      <c r="B9" s="8" t="n">
        <v>2018</v>
      </c>
      <c r="C9" s="9" t="n">
        <f aca="false">'House Vote Data (Actual)'!L18</f>
        <v>0.591277890466532</v>
      </c>
      <c r="D9" s="9" t="n">
        <f aca="false">'House Vote Data (Actual)'!H18</f>
        <v>0.51044776119403</v>
      </c>
    </row>
    <row r="10" customFormat="false" ht="15" hidden="false" customHeight="true" outlineLevel="0" collapsed="false">
      <c r="A10" s="8" t="s">
        <v>78</v>
      </c>
      <c r="B10" s="8" t="n">
        <v>2018</v>
      </c>
      <c r="C10" s="9" t="n">
        <f aca="false">'House Vote Data (Actual)'!L22</f>
        <v>0.608985024958403</v>
      </c>
      <c r="D10" s="9" t="n">
        <f aca="false">'House Vote Data (Actual)'!H22</f>
        <v>0.537021969080553</v>
      </c>
    </row>
    <row r="11" customFormat="false" ht="15" hidden="false" customHeight="true" outlineLevel="0" collapsed="false">
      <c r="A11" s="8" t="s">
        <v>79</v>
      </c>
      <c r="B11" s="8" t="n">
        <v>2018</v>
      </c>
      <c r="C11" s="9" t="n">
        <f aca="false">'House Vote Data (Actual)'!L26</f>
        <v>0.603007181328546</v>
      </c>
      <c r="D11" s="9" t="n">
        <f aca="false">'House Vote Data (Actual)'!H26</f>
        <v>0.532603938730853</v>
      </c>
    </row>
    <row r="12" customFormat="false" ht="15" hidden="false" customHeight="true" outlineLevel="0" collapsed="false">
      <c r="A12" s="8" t="s">
        <v>80</v>
      </c>
      <c r="B12" s="8" t="n">
        <v>2018</v>
      </c>
      <c r="C12" s="9" t="n">
        <f aca="false">'House Vote Data (Actual)'!L30</f>
        <v>0.729987293519695</v>
      </c>
      <c r="D12" s="9" t="n">
        <f aca="false">'House Vote Data (Actual)'!H30</f>
        <v>0.665636588380717</v>
      </c>
    </row>
    <row r="13" customFormat="false" ht="15" hidden="false" customHeight="true" outlineLevel="0" collapsed="false">
      <c r="A13" s="8" t="s">
        <v>81</v>
      </c>
      <c r="B13" s="8" t="n">
        <v>2018</v>
      </c>
      <c r="C13" s="9" t="n">
        <f aca="false">'House Vote Data (Actual)'!L34</f>
        <v>0.639511201629328</v>
      </c>
      <c r="D13" s="9" t="n">
        <f aca="false">'House Vote Data (Actual)'!H34</f>
        <v>0.584493041749503</v>
      </c>
    </row>
    <row r="14" customFormat="false" ht="15" hidden="false" customHeight="true" outlineLevel="0" collapsed="false">
      <c r="A14" s="8" t="s">
        <v>82</v>
      </c>
      <c r="B14" s="8" t="n">
        <v>2018</v>
      </c>
      <c r="C14" s="9" t="n">
        <f aca="false">'House Vote Data (Actual)'!L38</f>
        <v>0.425106990014265</v>
      </c>
      <c r="D14" s="9" t="n">
        <f aca="false">'House Vote Data (Actual)'!H38</f>
        <v>0.349228611500701</v>
      </c>
    </row>
    <row r="15" customFormat="false" ht="15" hidden="false" customHeight="true" outlineLevel="0" collapsed="false">
      <c r="A15" s="8" t="s">
        <v>83</v>
      </c>
      <c r="B15" s="8" t="n">
        <v>2018</v>
      </c>
      <c r="C15" s="9" t="n">
        <f aca="false">'House Vote Data (Actual)'!L42</f>
        <v>0.569957261963147</v>
      </c>
      <c r="D15" s="9" t="n">
        <f aca="false">'House Vote Data (Actual)'!H42</f>
        <v>0.499551259924059</v>
      </c>
    </row>
    <row r="16" customFormat="false" ht="15" hidden="false" customHeight="true" outlineLevel="0" collapsed="false">
      <c r="A16" s="8" t="s">
        <v>84</v>
      </c>
      <c r="B16" s="8" t="n">
        <v>2018</v>
      </c>
      <c r="C16" s="9" t="n">
        <f aca="false">'House Vote Data (Actual)'!L46</f>
        <v>0.44681988241582</v>
      </c>
      <c r="D16" s="9" t="n">
        <f aca="false">'House Vote Data (Actual)'!H46</f>
        <v>0.388421052631579</v>
      </c>
    </row>
    <row r="17" customFormat="false" ht="15" hidden="false" customHeight="true" outlineLevel="0" collapsed="false">
      <c r="A17" s="8" t="s">
        <v>85</v>
      </c>
      <c r="B17" s="8" t="n">
        <v>2018</v>
      </c>
      <c r="C17" s="9" t="n">
        <f aca="false">'House Vote Data (Actual)'!L50</f>
        <v>0.42128801431127</v>
      </c>
      <c r="D17" s="9" t="n">
        <f aca="false">'House Vote Data (Actual)'!H50</f>
        <v>0.364038972542073</v>
      </c>
    </row>
    <row r="18" customFormat="false" ht="15" hidden="false" customHeight="true" outlineLevel="0" collapsed="false">
      <c r="A18" s="8" t="s">
        <v>86</v>
      </c>
      <c r="B18" s="8" t="n">
        <v>2018</v>
      </c>
      <c r="C18" s="9" t="n">
        <f aca="false">'House Vote Data (Actual)'!L54</f>
        <v>0.3968</v>
      </c>
      <c r="D18" s="9" t="n">
        <f aca="false">'House Vote Data (Actual)'!H54</f>
        <v>0.324310255075482</v>
      </c>
    </row>
    <row r="19" customFormat="false" ht="15" hidden="false" customHeight="true" outlineLevel="0" collapsed="false">
      <c r="A19" s="8" t="s">
        <v>87</v>
      </c>
      <c r="B19" s="8" t="n">
        <v>2018</v>
      </c>
      <c r="C19" s="9" t="n">
        <f aca="false">'House Vote Data (Actual)'!L58</f>
        <v>0.608628659476117</v>
      </c>
      <c r="D19" s="9" t="n">
        <f aca="false">'House Vote Data (Actual)'!H58</f>
        <v>0.525475285171103</v>
      </c>
    </row>
    <row r="20" customFormat="false" ht="15" hidden="false" customHeight="true" outlineLevel="0" collapsed="false">
      <c r="A20" s="8" t="s">
        <v>88</v>
      </c>
      <c r="B20" s="8" t="n">
        <v>2018</v>
      </c>
      <c r="C20" s="9" t="n">
        <f aca="false">'House Vote Data (Actual)'!L62</f>
        <v>0.487859046490968</v>
      </c>
      <c r="D20" s="9" t="n">
        <f aca="false">'House Vote Data (Actual)'!H62</f>
        <v>0.404246037516359</v>
      </c>
    </row>
    <row r="21" customFormat="false" ht="15" hidden="false" customHeight="true" outlineLevel="0" collapsed="false">
      <c r="A21" s="8" t="s">
        <v>89</v>
      </c>
      <c r="B21" s="8" t="n">
        <v>2018</v>
      </c>
      <c r="C21" s="9" t="n">
        <f aca="false">'House Vote Data (Actual)'!L66</f>
        <v>0.563310580204778</v>
      </c>
      <c r="D21" s="9" t="n">
        <f aca="false">'House Vote Data (Actual)'!H66</f>
        <v>0.493465147453083</v>
      </c>
    </row>
    <row r="22" customFormat="false" ht="15" hidden="false" customHeight="true" outlineLevel="0" collapsed="false">
      <c r="A22" s="8" t="s">
        <v>90</v>
      </c>
      <c r="B22" s="8" t="n">
        <v>2018</v>
      </c>
      <c r="C22" s="9" t="n">
        <f aca="false">'House Vote Data (Actual)'!L70</f>
        <v>0.505522514868309</v>
      </c>
      <c r="D22" s="9" t="n">
        <f aca="false">'House Vote Data (Actual)'!H70</f>
        <v>0.443801652892562</v>
      </c>
    </row>
    <row r="23" customFormat="false" ht="15" hidden="false" customHeight="true" outlineLevel="0" collapsed="false">
      <c r="A23" s="8" t="s">
        <v>91</v>
      </c>
      <c r="B23" s="8" t="n">
        <v>2018</v>
      </c>
      <c r="C23" s="9" t="n">
        <f aca="false">'House Vote Data (Actual)'!L74</f>
        <v>0.617381615598886</v>
      </c>
      <c r="D23" s="9" t="n">
        <f aca="false">'House Vote Data (Actual)'!H74</f>
        <v>0.549895707541992</v>
      </c>
    </row>
    <row r="24" customFormat="false" ht="15" hidden="false" customHeight="true" outlineLevel="0" collapsed="false">
      <c r="A24" s="8" t="s">
        <v>92</v>
      </c>
      <c r="B24" s="8" t="n">
        <v>2018</v>
      </c>
      <c r="C24" s="9" t="n">
        <f aca="false">'House Vote Data (Actual)'!L78</f>
        <v>0.583725690890481</v>
      </c>
      <c r="D24" s="9" t="n">
        <f aca="false">'House Vote Data (Actual)'!H78</f>
        <v>0.516852802092766</v>
      </c>
    </row>
    <row r="25" customFormat="false" ht="15" hidden="false" customHeight="true" outlineLevel="0" collapsed="false">
      <c r="A25" s="8" t="s">
        <v>93</v>
      </c>
      <c r="B25" s="8" t="n">
        <v>2018</v>
      </c>
      <c r="C25" s="9" t="n">
        <f aca="false">'House Vote Data (Actual)'!L82</f>
        <v>0.502038597444958</v>
      </c>
      <c r="D25" s="9" t="n">
        <f aca="false">'House Vote Data (Actual)'!H82</f>
        <v>0.444533547179898</v>
      </c>
    </row>
    <row r="26" customFormat="false" ht="15" hidden="false" customHeight="true" outlineLevel="0" collapsed="false">
      <c r="A26" s="8" t="s">
        <v>94</v>
      </c>
      <c r="B26" s="8" t="n">
        <v>2018</v>
      </c>
      <c r="C26" s="9" t="n">
        <f aca="false">'House Vote Data (Actual)'!L86</f>
        <v>0.543426294820717</v>
      </c>
      <c r="D26" s="9" t="n">
        <f aca="false">'House Vote Data (Actual)'!H86</f>
        <v>0.478888014686599</v>
      </c>
    </row>
    <row r="27" customFormat="false" ht="15" hidden="false" customHeight="true" outlineLevel="0" collapsed="false">
      <c r="A27" s="8" t="s">
        <v>95</v>
      </c>
      <c r="B27" s="8" t="n">
        <v>2018</v>
      </c>
      <c r="C27" s="9" t="n">
        <f aca="false">'House Vote Data (Actual)'!L90</f>
        <v>0.420255183413078</v>
      </c>
      <c r="D27" s="9" t="n">
        <f aca="false">'House Vote Data (Actual)'!H90</f>
        <v>0.343406593406593</v>
      </c>
    </row>
    <row r="28" customFormat="false" ht="15" hidden="false" customHeight="true" outlineLevel="0" collapsed="false">
      <c r="A28" s="8" t="s">
        <v>96</v>
      </c>
      <c r="B28" s="8" t="n">
        <v>2018</v>
      </c>
      <c r="C28" s="9" t="n">
        <f aca="false">'House Vote Data (Actual)'!L94</f>
        <v>0.425147182506308</v>
      </c>
      <c r="D28" s="9" t="n">
        <f aca="false">'House Vote Data (Actual)'!H94</f>
        <v>0.341787941787942</v>
      </c>
    </row>
    <row r="29" customFormat="false" ht="15" hidden="false" customHeight="true" outlineLevel="0" collapsed="false">
      <c r="A29" s="8" t="s">
        <v>97</v>
      </c>
      <c r="B29" s="8" t="n">
        <v>2018</v>
      </c>
      <c r="C29" s="9" t="n">
        <f aca="false">'House Vote Data (Actual)'!L98</f>
        <v>0.616592873708623</v>
      </c>
      <c r="D29" s="9" t="n">
        <f aca="false">'House Vote Data (Actual)'!H98</f>
        <v>0.538007456503728</v>
      </c>
    </row>
    <row r="30" customFormat="false" ht="15" hidden="false" customHeight="true" outlineLevel="0" collapsed="false">
      <c r="A30" s="8" t="s">
        <v>98</v>
      </c>
      <c r="B30" s="8" t="n">
        <v>2018</v>
      </c>
      <c r="C30" s="9" t="n">
        <f aca="false">'House Vote Data (Actual)'!L102</f>
        <v>0.496735074626866</v>
      </c>
      <c r="D30" s="9" t="n">
        <f aca="false">'House Vote Data (Actual)'!H102</f>
        <v>0.419205909510619</v>
      </c>
    </row>
    <row r="31" customFormat="false" ht="15" hidden="false" customHeight="true" outlineLevel="0" collapsed="false">
      <c r="A31" s="8" t="s">
        <v>100</v>
      </c>
      <c r="B31" s="8" t="n">
        <v>2018</v>
      </c>
      <c r="C31" s="9" t="n">
        <f aca="false">'House Vote Data (Actual)'!L106</f>
        <v>0.540701522170748</v>
      </c>
      <c r="D31" s="9" t="n">
        <f aca="false">'House Vote Data (Actual)'!H106</f>
        <v>0.460275771503611</v>
      </c>
    </row>
    <row r="32" customFormat="false" ht="15" hidden="false" customHeight="true" outlineLevel="0" collapsed="false">
      <c r="A32" s="8" t="s">
        <v>101</v>
      </c>
      <c r="B32" s="8" t="n">
        <v>2018</v>
      </c>
      <c r="C32" s="9" t="n">
        <f aca="false">'House Vote Data (Actual)'!L110</f>
        <v>0.544766708701135</v>
      </c>
      <c r="D32" s="9" t="n">
        <f aca="false">'House Vote Data (Actual)'!H110</f>
        <v>0.454882571075402</v>
      </c>
    </row>
    <row r="33" customFormat="false" ht="15" hidden="false" customHeight="true" outlineLevel="0" collapsed="false">
      <c r="A33" s="8" t="s">
        <v>75</v>
      </c>
      <c r="B33" s="8" t="n">
        <v>2018</v>
      </c>
      <c r="C33" s="9" t="n">
        <f aca="false">'House Vote Data (Actual)'!L114</f>
        <v>0.739959665802362</v>
      </c>
      <c r="D33" s="9" t="n">
        <f aca="false">'House Vote Data (Actual)'!H114</f>
        <v>0.687521270561543</v>
      </c>
    </row>
    <row r="34" customFormat="false" ht="15" hidden="false" customHeight="true" outlineLevel="0" collapsed="false">
      <c r="A34" s="8" t="s">
        <v>102</v>
      </c>
      <c r="B34" s="8" t="n">
        <v>2018</v>
      </c>
      <c r="C34" s="9" t="n">
        <f aca="false">'House Vote Data (Actual)'!L118</f>
        <v>0.591879930729267</v>
      </c>
      <c r="D34" s="9" t="n">
        <f aca="false">'House Vote Data (Actual)'!H118</f>
        <v>0.529182879377432</v>
      </c>
    </row>
    <row r="35" customFormat="false" ht="15" hidden="false" customHeight="true" outlineLevel="0" collapsed="false">
      <c r="A35" s="8" t="s">
        <v>103</v>
      </c>
      <c r="B35" s="8" t="n">
        <v>2018</v>
      </c>
      <c r="C35" s="9" t="n">
        <f aca="false">'House Vote Data (Actual)'!L122</f>
        <v>0.465629420084866</v>
      </c>
      <c r="D35" s="9" t="n">
        <f aca="false">'House Vote Data (Actual)'!H122</f>
        <v>0.376995046780407</v>
      </c>
    </row>
    <row r="36" customFormat="false" ht="15" hidden="false" customHeight="true" outlineLevel="0" collapsed="false">
      <c r="A36" s="8" t="s">
        <v>104</v>
      </c>
      <c r="B36" s="8" t="n">
        <v>2018</v>
      </c>
      <c r="C36" s="9" t="n">
        <f aca="false">'House Vote Data (Actual)'!L126</f>
        <v>0.451612903225806</v>
      </c>
      <c r="D36" s="9" t="n">
        <f aca="false">'House Vote Data (Actual)'!H126</f>
        <v>0.434782608695652</v>
      </c>
    </row>
    <row r="37" customFormat="false" ht="15" hidden="false" customHeight="true" outlineLevel="0" collapsed="false">
      <c r="A37" s="8" t="s">
        <v>105</v>
      </c>
      <c r="B37" s="8" t="n">
        <v>2018</v>
      </c>
      <c r="C37" s="9" t="n">
        <f aca="false">'House Vote Data (Actual)'!L130</f>
        <v>0.482151589242054</v>
      </c>
      <c r="D37" s="9" t="n">
        <f aca="false">'House Vote Data (Actual)'!H130</f>
        <v>0.403846153846154</v>
      </c>
    </row>
    <row r="38" customFormat="false" ht="15" hidden="false" customHeight="true" outlineLevel="0" collapsed="false">
      <c r="A38" s="8" t="s">
        <v>106</v>
      </c>
      <c r="B38" s="8" t="n">
        <v>2018</v>
      </c>
      <c r="C38" s="9" t="n">
        <f aca="false">'House Vote Data (Actual)'!L134</f>
        <v>0.472303206997085</v>
      </c>
      <c r="D38" s="9" t="n">
        <f aca="false">'House Vote Data (Actual)'!H134</f>
        <v>0.373563218390805</v>
      </c>
    </row>
    <row r="39" customFormat="false" ht="15" hidden="false" customHeight="true" outlineLevel="0" collapsed="false">
      <c r="A39" s="8" t="s">
        <v>107</v>
      </c>
      <c r="B39" s="8" t="n">
        <v>2018</v>
      </c>
      <c r="C39" s="9" t="n">
        <f aca="false">'House Vote Data (Actual)'!L138</f>
        <v>0.782181168057211</v>
      </c>
      <c r="D39" s="9" t="n">
        <f aca="false">'House Vote Data (Actual)'!H138</f>
        <v>0.739944420067281</v>
      </c>
    </row>
    <row r="40" customFormat="false" ht="15" hidden="false" customHeight="true" outlineLevel="0" collapsed="false">
      <c r="A40" s="8" t="s">
        <v>108</v>
      </c>
      <c r="B40" s="8" t="n">
        <v>2018</v>
      </c>
      <c r="C40" s="9" t="n">
        <f aca="false">'House Vote Data (Actual)'!L142</f>
        <v>0.58304576144036</v>
      </c>
      <c r="D40" s="9" t="n">
        <f aca="false">'House Vote Data (Actual)'!H142</f>
        <v>0.529324424647365</v>
      </c>
    </row>
    <row r="41" customFormat="false" ht="15" hidden="false" customHeight="true" outlineLevel="0" collapsed="false">
      <c r="A41" s="8" t="s">
        <v>109</v>
      </c>
      <c r="B41" s="8" t="n">
        <v>2018</v>
      </c>
      <c r="C41" s="9" t="n">
        <f aca="false">'House Vote Data (Actual)'!L146</f>
        <v>0.695652173913044</v>
      </c>
      <c r="D41" s="9" t="n">
        <f aca="false">'House Vote Data (Actual)'!H146</f>
        <v>0.63963963963964</v>
      </c>
    </row>
    <row r="42" customFormat="false" ht="15" hidden="false" customHeight="true" outlineLevel="0" collapsed="false">
      <c r="A42" s="8" t="s">
        <v>110</v>
      </c>
      <c r="B42" s="8" t="n">
        <v>2018</v>
      </c>
      <c r="C42" s="9" t="n">
        <f aca="false">'House Vote Data (Actual)'!L150</f>
        <v>0.695652173913044</v>
      </c>
      <c r="D42" s="9" t="n">
        <f aca="false">'House Vote Data (Actual)'!H150</f>
        <v>0.626086956521739</v>
      </c>
    </row>
    <row r="43" customFormat="false" ht="15" hidden="false" customHeight="true" outlineLevel="0" collapsed="false">
      <c r="A43" s="8" t="s">
        <v>81</v>
      </c>
      <c r="B43" s="8" t="n">
        <v>2018</v>
      </c>
      <c r="C43" s="9" t="n">
        <f aca="false">'House Vote Data (Actual)'!L154</f>
        <v>0.589466460799451</v>
      </c>
      <c r="D43" s="9" t="n">
        <f aca="false">'House Vote Data (Actual)'!H154</f>
        <v>0.521274792337684</v>
      </c>
    </row>
    <row r="44" customFormat="false" ht="15" hidden="false" customHeight="true" outlineLevel="0" collapsed="false">
      <c r="A44" s="8" t="s">
        <v>111</v>
      </c>
      <c r="B44" s="8" t="n">
        <v>2018</v>
      </c>
      <c r="C44" s="9" t="n">
        <f aca="false">'House Vote Data (Actual)'!L158</f>
        <v>0.59670964873277</v>
      </c>
      <c r="D44" s="9" t="n">
        <f aca="false">'House Vote Data (Actual)'!H158</f>
        <v>0.543630017452007</v>
      </c>
    </row>
    <row r="45" customFormat="false" ht="15" hidden="false" customHeight="true" outlineLevel="0" collapsed="false">
      <c r="A45" s="8" t="s">
        <v>73</v>
      </c>
      <c r="B45" s="8" t="n">
        <v>2018</v>
      </c>
      <c r="C45" s="9" t="n">
        <f aca="false">'House Vote Data (Actual)'!L162</f>
        <v>0.426981919332406</v>
      </c>
      <c r="D45" s="9" t="n">
        <f aca="false">'House Vote Data (Actual)'!H162</f>
        <v>0.352444038373687</v>
      </c>
    </row>
    <row r="46" customFormat="false" ht="15" hidden="false" customHeight="true" outlineLevel="0" collapsed="false">
      <c r="A46" s="8" t="s">
        <v>112</v>
      </c>
      <c r="B46" s="8" t="n">
        <v>2018</v>
      </c>
      <c r="C46" s="9" t="n">
        <f aca="false">'House Vote Data (Actual)'!L166</f>
        <v>0.441402908468777</v>
      </c>
      <c r="D46" s="9" t="n">
        <f aca="false">'House Vote Data (Actual)'!H166</f>
        <v>0.401694915254237</v>
      </c>
    </row>
    <row r="47" customFormat="false" ht="15" hidden="false" customHeight="true" outlineLevel="0" collapsed="false">
      <c r="A47" s="8" t="s">
        <v>113</v>
      </c>
      <c r="B47" s="8" t="n">
        <v>2018</v>
      </c>
      <c r="C47" s="9" t="n">
        <f aca="false">'House Vote Data (Actual)'!L170</f>
        <v>0.501973684210526</v>
      </c>
      <c r="D47" s="9" t="n">
        <f aca="false">'House Vote Data (Actual)'!H170</f>
        <v>0.430247718383312</v>
      </c>
    </row>
    <row r="48" customFormat="false" ht="15" hidden="false" customHeight="true" outlineLevel="0" collapsed="false">
      <c r="A48" s="8" t="s">
        <v>114</v>
      </c>
      <c r="B48" s="8" t="n">
        <v>2018</v>
      </c>
      <c r="C48" s="9" t="n">
        <f aca="false">'House Vote Data (Actual)'!L174</f>
        <v>0.540612516644474</v>
      </c>
      <c r="D48" s="9" t="n">
        <f aca="false">'House Vote Data (Actual)'!H174</f>
        <v>0.47834274952919</v>
      </c>
    </row>
    <row r="49" customFormat="false" ht="15" hidden="false" customHeight="true" outlineLevel="0" collapsed="false">
      <c r="A49" s="8" t="s">
        <v>115</v>
      </c>
      <c r="B49" s="8" t="n">
        <v>2018</v>
      </c>
      <c r="C49" s="9" t="n">
        <f aca="false">'House Vote Data (Actual)'!L178</f>
        <v>0.425949207945688</v>
      </c>
      <c r="D49" s="9" t="n">
        <f aca="false">'House Vote Data (Actual)'!H178</f>
        <v>0.347095179233622</v>
      </c>
    </row>
    <row r="50" customFormat="false" ht="15" hidden="false" customHeight="true" outlineLevel="0" collapsed="false">
      <c r="A50" s="8" t="s">
        <v>116</v>
      </c>
      <c r="B50" s="8" t="n">
        <v>2018</v>
      </c>
      <c r="C50" s="9" t="n">
        <f aca="false">'House Vote Data (Actual)'!L182</f>
        <v>0.584862385321101</v>
      </c>
      <c r="D50" s="9" t="n">
        <f aca="false">'House Vote Data (Actual)'!H182</f>
        <v>0.512261580381471</v>
      </c>
    </row>
    <row r="51" customFormat="false" ht="15" hidden="false" customHeight="true" outlineLevel="0" collapsed="false">
      <c r="A51" s="8" t="s">
        <v>117</v>
      </c>
      <c r="B51" s="8" t="n">
        <v>2018</v>
      </c>
      <c r="C51" s="9" t="n">
        <f aca="false">'House Vote Data (Actual)'!L186</f>
        <v>0.563025210084034</v>
      </c>
      <c r="D51" s="9" t="n">
        <f aca="false">'House Vote Data (Actual)'!H186</f>
        <v>0.486388384754991</v>
      </c>
    </row>
    <row r="52" customFormat="false" ht="15" hidden="false" customHeight="true" outlineLevel="0" collapsed="false">
      <c r="A52" s="8" t="s">
        <v>99</v>
      </c>
      <c r="B52" s="8" t="n">
        <v>2018</v>
      </c>
      <c r="C52" s="9" t="n">
        <f aca="false">'House Vote Data (Actual)'!L190</f>
        <v>0.554170376966459</v>
      </c>
      <c r="D52" s="9" t="n">
        <f aca="false">'House Vote Data (Actual)'!H190</f>
        <v>0.483445648989159</v>
      </c>
    </row>
    <row r="53" customFormat="false" ht="15" hidden="false" customHeight="true" outlineLevel="0" collapsed="false">
      <c r="A53" s="8" t="s">
        <v>118</v>
      </c>
      <c r="B53" s="8" t="n">
        <v>2018</v>
      </c>
      <c r="C53" s="9" t="n">
        <f aca="false">'House Vote Data (Actual)'!L194</f>
        <v>0.585452133539686</v>
      </c>
      <c r="D53" s="9" t="n">
        <f aca="false">'House Vote Data (Actual)'!H194</f>
        <v>0.528144239226033</v>
      </c>
    </row>
    <row r="54" customFormat="false" ht="15" hidden="false" customHeight="true" outlineLevel="0" collapsed="false">
      <c r="A54" s="8" t="s">
        <v>119</v>
      </c>
      <c r="B54" s="8" t="n">
        <v>2018</v>
      </c>
      <c r="C54" s="9" t="n">
        <f aca="false">'House Vote Data (Actual)'!L198</f>
        <v>0.504587155963303</v>
      </c>
      <c r="D54" s="9" t="n">
        <f aca="false">'House Vote Data (Actual)'!H198</f>
        <v>0.397372742200328</v>
      </c>
    </row>
    <row r="55" customFormat="false" ht="15" hidden="false" customHeight="true" outlineLevel="0" collapsed="false">
      <c r="A55" s="8" t="s">
        <v>120</v>
      </c>
      <c r="B55" s="8" t="n">
        <v>2018</v>
      </c>
      <c r="C55" s="9" t="n">
        <f aca="false">'House Vote Data (Actual)'!L202</f>
        <v>0.448854961832061</v>
      </c>
      <c r="D55" s="9" t="n">
        <f aca="false">'House Vote Data (Actual)'!H202</f>
        <v>0.385140257771039</v>
      </c>
    </row>
    <row r="56" customFormat="false" ht="15" hidden="false" customHeight="true" outlineLevel="0" collapsed="false">
      <c r="A56" s="8" t="s">
        <v>121</v>
      </c>
      <c r="B56" s="8" t="n">
        <v>2018</v>
      </c>
      <c r="C56" s="9" t="n">
        <f aca="false">'House Vote Data (Actual)'!L206</f>
        <v>0.406976744186047</v>
      </c>
      <c r="D56" s="9" t="n">
        <f aca="false">'House Vote Data (Actual)'!H206</f>
        <v>0.366863905325444</v>
      </c>
    </row>
    <row r="57" customFormat="false" ht="15" hidden="false" customHeight="true" outlineLevel="0" collapsed="false">
      <c r="A57" s="8" t="s">
        <v>122</v>
      </c>
      <c r="B57" s="8" t="n">
        <v>2018</v>
      </c>
      <c r="C57" s="9" t="n">
        <f aca="false">'House Vote Data (Actual)'!L210</f>
        <v>0.487135506003431</v>
      </c>
      <c r="D57" s="9" t="n">
        <f aca="false">'House Vote Data (Actual)'!H210</f>
        <v>0.411167512690355</v>
      </c>
    </row>
    <row r="58" customFormat="false" ht="15" hidden="false" customHeight="true" outlineLevel="0" collapsed="false">
      <c r="A58" s="8" t="s">
        <v>123</v>
      </c>
      <c r="B58" s="8" t="n">
        <v>2018</v>
      </c>
      <c r="C58" s="9" t="n">
        <f aca="false">'House Vote Data (Actual)'!L214</f>
        <v>0.534375</v>
      </c>
      <c r="D58" s="9" t="n">
        <f aca="false">'House Vote Data (Actual)'!H214</f>
        <v>0.434250764525994</v>
      </c>
    </row>
    <row r="59" customFormat="false" ht="15" hidden="false" customHeight="true" outlineLevel="0" collapsed="false">
      <c r="A59" s="8" t="s">
        <v>124</v>
      </c>
      <c r="B59" s="8" t="n">
        <v>2018</v>
      </c>
      <c r="C59" s="9" t="n">
        <f aca="false">'House Vote Data (Actual)'!L218</f>
        <v>0.513215859030837</v>
      </c>
      <c r="D59" s="9" t="n">
        <f aca="false">'House Vote Data (Actual)'!H218</f>
        <v>0.421052631578947</v>
      </c>
    </row>
    <row r="60" customFormat="false" ht="15" hidden="false" customHeight="true" outlineLevel="0" collapsed="false">
      <c r="A60" s="8" t="s">
        <v>125</v>
      </c>
      <c r="B60" s="8" t="n">
        <v>2018</v>
      </c>
      <c r="C60" s="9" t="n">
        <f aca="false">'House Vote Data (Actual)'!L222</f>
        <v>0.39815157116451</v>
      </c>
      <c r="D60" s="9" t="n">
        <f aca="false">'House Vote Data (Actual)'!H222</f>
        <v>0.355907250644093</v>
      </c>
    </row>
    <row r="61" customFormat="false" ht="15" hidden="false" customHeight="true" outlineLevel="0" collapsed="false">
      <c r="A61" s="8" t="s">
        <v>126</v>
      </c>
      <c r="B61" s="8" t="n">
        <v>2018</v>
      </c>
      <c r="C61" s="9" t="n">
        <f aca="false">'House Vote Data (Actual)'!L226</f>
        <v>0.562427522226517</v>
      </c>
      <c r="D61" s="9" t="n">
        <f aca="false">'House Vote Data (Actual)'!H226</f>
        <v>0.48481353325644</v>
      </c>
    </row>
    <row r="62" customFormat="false" ht="15" hidden="false" customHeight="true" outlineLevel="0" collapsed="false">
      <c r="A62" s="8" t="s">
        <v>127</v>
      </c>
      <c r="B62" s="8" t="n">
        <v>2018</v>
      </c>
      <c r="C62" s="9" t="n">
        <f aca="false">'House Vote Data (Actual)'!L230</f>
        <v>0.5</v>
      </c>
      <c r="D62" s="9" t="n">
        <f aca="false">'House Vote Data (Actual)'!H230</f>
        <v>0.40453074433657</v>
      </c>
    </row>
    <row r="63" customFormat="false" ht="15" hidden="false" customHeight="true" outlineLevel="0" collapsed="false">
      <c r="A63" s="8" t="s">
        <v>95</v>
      </c>
      <c r="B63" s="8" t="n">
        <v>2018</v>
      </c>
      <c r="C63" s="9" t="n">
        <f aca="false">'House Vote Data (Actual)'!L234</f>
        <v>0.440376569037657</v>
      </c>
      <c r="D63" s="9" t="n">
        <f aca="false">'House Vote Data (Actual)'!H234</f>
        <v>0.378265412748171</v>
      </c>
    </row>
    <row r="64" customFormat="false" ht="15" hidden="false" customHeight="true" outlineLevel="0" collapsed="false">
      <c r="A64" s="8" t="s">
        <v>128</v>
      </c>
      <c r="B64" s="8" t="n">
        <v>2018</v>
      </c>
      <c r="C64" s="9" t="n">
        <f aca="false">'House Vote Data (Actual)'!L238</f>
        <v>0.588075880758808</v>
      </c>
      <c r="D64" s="9" t="n">
        <f aca="false">'House Vote Data (Actual)'!H238</f>
        <v>0.513513513513514</v>
      </c>
    </row>
    <row r="65" customFormat="false" ht="15" hidden="false" customHeight="true" outlineLevel="0" collapsed="false">
      <c r="A65" s="8" t="s">
        <v>129</v>
      </c>
      <c r="B65" s="8" t="n">
        <v>2018</v>
      </c>
      <c r="C65" s="9" t="n">
        <f aca="false">'House Vote Data (Actual)'!L242</f>
        <v>0.494645941278066</v>
      </c>
      <c r="D65" s="9" t="n">
        <f aca="false">'House Vote Data (Actual)'!H242</f>
        <v>0.444292080905039</v>
      </c>
    </row>
    <row r="66" customFormat="false" ht="15" hidden="false" customHeight="true" outlineLevel="0" collapsed="false">
      <c r="A66" s="8" t="s">
        <v>130</v>
      </c>
      <c r="B66" s="8" t="n">
        <v>2018</v>
      </c>
      <c r="C66" s="9" t="n">
        <f aca="false">'House Vote Data (Actual)'!L246</f>
        <v>0.642551166111376</v>
      </c>
      <c r="D66" s="9" t="n">
        <f aca="false">'House Vote Data (Actual)'!H246</f>
        <v>0.587930221593588</v>
      </c>
    </row>
    <row r="67" customFormat="false" ht="15" hidden="false" customHeight="true" outlineLevel="0" collapsed="false">
      <c r="A67" s="8" t="s">
        <v>131</v>
      </c>
      <c r="B67" s="8" t="n">
        <v>2018</v>
      </c>
      <c r="C67" s="9" t="n">
        <f aca="false">'House Vote Data (Actual)'!L250</f>
        <v>0.513939393939394</v>
      </c>
      <c r="D67" s="9" t="n">
        <f aca="false">'House Vote Data (Actual)'!H250</f>
        <v>0.436670687575392</v>
      </c>
    </row>
    <row r="68" customFormat="false" ht="15" hidden="false" customHeight="true" outlineLevel="0" collapsed="false">
      <c r="A68" s="8" t="s">
        <v>72</v>
      </c>
      <c r="B68" s="8" t="n">
        <v>2022</v>
      </c>
      <c r="C68" s="9" t="n">
        <f aca="false">'House Vote Data (Actual)'!L4</f>
        <v>0.546653144016227</v>
      </c>
      <c r="D68" s="9" t="n">
        <f aca="false">'House Vote Data (Actual)'!H4</f>
        <v>0.487660414610069</v>
      </c>
    </row>
    <row r="69" customFormat="false" ht="15" hidden="false" customHeight="true" outlineLevel="0" collapsed="false">
      <c r="A69" s="8" t="s">
        <v>74</v>
      </c>
      <c r="B69" s="8" t="n">
        <v>2022</v>
      </c>
      <c r="C69" s="9" t="n">
        <f aca="false">'House Vote Data (Actual)'!L8</f>
        <v>0.722552842191668</v>
      </c>
      <c r="D69" s="9" t="n">
        <f aca="false">'House Vote Data (Actual)'!H8</f>
        <v>0.681297939841773</v>
      </c>
    </row>
    <row r="70" customFormat="false" ht="15" hidden="false" customHeight="true" outlineLevel="0" collapsed="false">
      <c r="A70" s="8" t="s">
        <v>75</v>
      </c>
      <c r="B70" s="8" t="n">
        <v>2022</v>
      </c>
      <c r="C70" s="9" t="n">
        <f aca="false">'House Vote Data (Actual)'!L12</f>
        <v>0.704945624029001</v>
      </c>
      <c r="D70" s="9" t="n">
        <f aca="false">'House Vote Data (Actual)'!H12</f>
        <v>0.657204410087441</v>
      </c>
    </row>
    <row r="71" customFormat="false" ht="15" hidden="false" customHeight="true" outlineLevel="0" collapsed="false">
      <c r="A71" s="8" t="s">
        <v>76</v>
      </c>
      <c r="B71" s="8" t="n">
        <v>2022</v>
      </c>
      <c r="C71" s="9" t="n">
        <f aca="false">'House Vote Data (Actual)'!L16</f>
        <v>0.598933074684772</v>
      </c>
      <c r="D71" s="9" t="n">
        <f aca="false">'House Vote Data (Actual)'!H16</f>
        <v>0.537914691943128</v>
      </c>
    </row>
    <row r="72" customFormat="false" ht="15" hidden="false" customHeight="true" outlineLevel="0" collapsed="false">
      <c r="A72" s="8" t="s">
        <v>77</v>
      </c>
      <c r="B72" s="8" t="n">
        <v>2022</v>
      </c>
      <c r="C72" s="9" t="n">
        <f aca="false">'House Vote Data (Actual)'!L20</f>
        <v>0.566021867115223</v>
      </c>
      <c r="D72" s="9" t="n">
        <f aca="false">'House Vote Data (Actual)'!H20</f>
        <v>0.509433962264151</v>
      </c>
    </row>
    <row r="73" customFormat="false" ht="15" hidden="false" customHeight="true" outlineLevel="0" collapsed="false">
      <c r="A73" s="8" t="s">
        <v>78</v>
      </c>
      <c r="B73" s="8" t="n">
        <v>2022</v>
      </c>
      <c r="C73" s="9" t="n">
        <f aca="false">'House Vote Data (Actual)'!L24</f>
        <v>0.584579071597168</v>
      </c>
      <c r="D73" s="9" t="n">
        <f aca="false">'House Vote Data (Actual)'!H24</f>
        <v>0.532767925983038</v>
      </c>
    </row>
    <row r="74" customFormat="false" ht="15" hidden="false" customHeight="true" outlineLevel="0" collapsed="false">
      <c r="A74" s="8" t="s">
        <v>79</v>
      </c>
      <c r="B74" s="8" t="n">
        <v>2022</v>
      </c>
      <c r="C74" s="9" t="n">
        <f aca="false">'House Vote Data (Actual)'!L28</f>
        <v>0.612676056338028</v>
      </c>
      <c r="D74" s="9" t="n">
        <f aca="false">'House Vote Data (Actual)'!H28</f>
        <v>0.557435090479937</v>
      </c>
    </row>
    <row r="75" customFormat="false" ht="15" hidden="false" customHeight="true" outlineLevel="0" collapsed="false">
      <c r="A75" s="8" t="s">
        <v>80</v>
      </c>
      <c r="B75" s="8" t="n">
        <v>2022</v>
      </c>
      <c r="C75" s="9" t="n">
        <f aca="false">'House Vote Data (Actual)'!L32</f>
        <v>0.735216819973719</v>
      </c>
      <c r="D75" s="9" t="n">
        <f aca="false">'House Vote Data (Actual)'!H32</f>
        <v>0.690768237572628</v>
      </c>
    </row>
    <row r="76" customFormat="false" ht="15" hidden="false" customHeight="true" outlineLevel="0" collapsed="false">
      <c r="A76" s="8" t="s">
        <v>81</v>
      </c>
      <c r="B76" s="8" t="n">
        <v>2022</v>
      </c>
      <c r="C76" s="9" t="n">
        <f aca="false">'House Vote Data (Actual)'!L36</f>
        <v>0.617903930131004</v>
      </c>
      <c r="D76" s="9" t="n">
        <f aca="false">'House Vote Data (Actual)'!H36</f>
        <v>0.561027837259101</v>
      </c>
    </row>
    <row r="77" customFormat="false" ht="15" hidden="false" customHeight="true" outlineLevel="0" collapsed="false">
      <c r="A77" s="8" t="s">
        <v>82</v>
      </c>
      <c r="B77" s="8" t="n">
        <v>2022</v>
      </c>
      <c r="C77" s="9" t="n">
        <f aca="false">'House Vote Data (Actual)'!L40</f>
        <v>0.379722921914358</v>
      </c>
      <c r="D77" s="9" t="n">
        <f aca="false">'House Vote Data (Actual)'!H40</f>
        <v>0.3325</v>
      </c>
    </row>
    <row r="78" customFormat="false" ht="15" hidden="false" customHeight="true" outlineLevel="0" collapsed="false">
      <c r="A78" s="8" t="s">
        <v>83</v>
      </c>
      <c r="B78" s="8" t="n">
        <v>2022</v>
      </c>
      <c r="C78" s="9" t="n">
        <f aca="false">'House Vote Data (Actual)'!L44</f>
        <v>0.592691963715344</v>
      </c>
      <c r="D78" s="9" t="n">
        <f aca="false">'House Vote Data (Actual)'!H44</f>
        <v>0.523913997367266</v>
      </c>
    </row>
    <row r="79" customFormat="false" ht="15" hidden="false" customHeight="true" outlineLevel="0" collapsed="false">
      <c r="A79" s="8" t="s">
        <v>84</v>
      </c>
      <c r="B79" s="8" t="n">
        <v>2022</v>
      </c>
      <c r="C79" s="9" t="n">
        <f aca="false">'House Vote Data (Actual)'!L48</f>
        <v>0.45514325974636</v>
      </c>
      <c r="D79" s="9" t="n">
        <f aca="false">'House Vote Data (Actual)'!H48</f>
        <v>0.39333641832485</v>
      </c>
    </row>
    <row r="80" customFormat="false" ht="15" hidden="false" customHeight="true" outlineLevel="0" collapsed="false">
      <c r="A80" s="8" t="s">
        <v>85</v>
      </c>
      <c r="B80" s="8" t="n">
        <v>2022</v>
      </c>
      <c r="C80" s="9" t="n">
        <f aca="false">'House Vote Data (Actual)'!L52</f>
        <v>0.422948073701843</v>
      </c>
      <c r="D80" s="9" t="n">
        <f aca="false">'House Vote Data (Actual)'!H52</f>
        <v>0.375513557929334</v>
      </c>
    </row>
    <row r="81" customFormat="false" ht="15" hidden="false" customHeight="true" outlineLevel="0" collapsed="false">
      <c r="A81" s="8" t="s">
        <v>86</v>
      </c>
      <c r="B81" s="8" t="n">
        <v>2022</v>
      </c>
      <c r="C81" s="9" t="n">
        <f aca="false">'House Vote Data (Actual)'!L56</f>
        <v>0.377923292797007</v>
      </c>
      <c r="D81" s="9" t="n">
        <f aca="false">'House Vote Data (Actual)'!H56</f>
        <v>0.333952624245239</v>
      </c>
    </row>
    <row r="82" customFormat="false" ht="15" hidden="false" customHeight="true" outlineLevel="0" collapsed="false">
      <c r="A82" s="8" t="s">
        <v>87</v>
      </c>
      <c r="B82" s="8" t="n">
        <v>2022</v>
      </c>
      <c r="C82" s="9" t="n">
        <f aca="false">'House Vote Data (Actual)'!L60</f>
        <v>0.622302158273381</v>
      </c>
      <c r="D82" s="9" t="n">
        <f aca="false">'House Vote Data (Actual)'!H60</f>
        <v>0.556497175141243</v>
      </c>
    </row>
    <row r="83" customFormat="false" ht="15" hidden="false" customHeight="true" outlineLevel="0" collapsed="false">
      <c r="A83" s="8" t="s">
        <v>88</v>
      </c>
      <c r="B83" s="8" t="n">
        <v>2022</v>
      </c>
      <c r="C83" s="9" t="n">
        <f aca="false">'House Vote Data (Actual)'!L64</f>
        <v>0.485921052631579</v>
      </c>
      <c r="D83" s="9" t="n">
        <f aca="false">'House Vote Data (Actual)'!H64</f>
        <v>0.421796034728521</v>
      </c>
    </row>
    <row r="84" customFormat="false" ht="15" hidden="false" customHeight="true" outlineLevel="0" collapsed="false">
      <c r="A84" s="8" t="s">
        <v>89</v>
      </c>
      <c r="B84" s="8" t="n">
        <v>2022</v>
      </c>
      <c r="C84" s="9" t="n">
        <f aca="false">'House Vote Data (Actual)'!L68</f>
        <v>0.574386133846895</v>
      </c>
      <c r="D84" s="9" t="n">
        <f aca="false">'House Vote Data (Actual)'!H68</f>
        <v>0.508636934673367</v>
      </c>
    </row>
    <row r="85" customFormat="false" ht="15" hidden="false" customHeight="true" outlineLevel="0" collapsed="false">
      <c r="A85" s="8" t="s">
        <v>90</v>
      </c>
      <c r="B85" s="8" t="n">
        <v>2022</v>
      </c>
      <c r="C85" s="9" t="n">
        <f aca="false">'House Vote Data (Actual)'!L72</f>
        <v>0.513698630136986</v>
      </c>
      <c r="D85" s="9" t="n">
        <f aca="false">'House Vote Data (Actual)'!H72</f>
        <v>0.452257586972613</v>
      </c>
    </row>
    <row r="86" customFormat="false" ht="15" hidden="false" customHeight="true" outlineLevel="0" collapsed="false">
      <c r="A86" s="8" t="s">
        <v>91</v>
      </c>
      <c r="B86" s="8" t="n">
        <v>2022</v>
      </c>
      <c r="C86" s="9" t="n">
        <f aca="false">'House Vote Data (Actual)'!L76</f>
        <v>0.630891367701739</v>
      </c>
      <c r="D86" s="9" t="n">
        <f aca="false">'House Vote Data (Actual)'!H76</f>
        <v>0.563197944460915</v>
      </c>
    </row>
    <row r="87" customFormat="false" ht="15" hidden="false" customHeight="true" outlineLevel="0" collapsed="false">
      <c r="A87" s="8" t="s">
        <v>92</v>
      </c>
      <c r="B87" s="8" t="n">
        <v>2022</v>
      </c>
      <c r="C87" s="9" t="n">
        <f aca="false">'House Vote Data (Actual)'!L80</f>
        <v>0.602279924002533</v>
      </c>
      <c r="D87" s="9" t="n">
        <f aca="false">'House Vote Data (Actual)'!H80</f>
        <v>0.533374755902716</v>
      </c>
    </row>
    <row r="88" customFormat="false" ht="15" hidden="false" customHeight="true" outlineLevel="0" collapsed="false">
      <c r="A88" s="8" t="s">
        <v>93</v>
      </c>
      <c r="B88" s="8" t="n">
        <v>2022</v>
      </c>
      <c r="C88" s="9" t="n">
        <f aca="false">'House Vote Data (Actual)'!L84</f>
        <v>0.510696404187529</v>
      </c>
      <c r="D88" s="9" t="n">
        <f aca="false">'House Vote Data (Actual)'!H84</f>
        <v>0.453369031682285</v>
      </c>
    </row>
    <row r="89" customFormat="false" ht="15" hidden="false" customHeight="true" outlineLevel="0" collapsed="false">
      <c r="A89" s="8" t="s">
        <v>94</v>
      </c>
      <c r="B89" s="8" t="n">
        <v>2022</v>
      </c>
      <c r="C89" s="9" t="n">
        <f aca="false">'House Vote Data (Actual)'!L88</f>
        <v>0.565824700267722</v>
      </c>
      <c r="D89" s="9" t="n">
        <f aca="false">'House Vote Data (Actual)'!H88</f>
        <v>0.502108262108262</v>
      </c>
    </row>
    <row r="90" customFormat="false" ht="15" hidden="false" customHeight="true" outlineLevel="0" collapsed="false">
      <c r="A90" s="8" t="s">
        <v>95</v>
      </c>
      <c r="B90" s="8" t="n">
        <v>2022</v>
      </c>
      <c r="C90" s="9" t="n">
        <f aca="false">'House Vote Data (Actual)'!L92</f>
        <v>0.39816700610998</v>
      </c>
      <c r="D90" s="9" t="n">
        <f aca="false">'House Vote Data (Actual)'!H92</f>
        <v>0.350632069194943</v>
      </c>
    </row>
    <row r="91" customFormat="false" ht="15" hidden="false" customHeight="true" outlineLevel="0" collapsed="false">
      <c r="A91" s="8" t="s">
        <v>96</v>
      </c>
      <c r="B91" s="8" t="n">
        <v>2022</v>
      </c>
      <c r="C91" s="9" t="n">
        <f aca="false">'House Vote Data (Actual)'!L96</f>
        <v>0.429711246200608</v>
      </c>
      <c r="D91" s="9" t="n">
        <f aca="false">'House Vote Data (Actual)'!H96</f>
        <v>0.364413075780089</v>
      </c>
    </row>
    <row r="92" customFormat="false" ht="15" hidden="false" customHeight="true" outlineLevel="0" collapsed="false">
      <c r="A92" s="8" t="s">
        <v>97</v>
      </c>
      <c r="B92" s="8" t="n">
        <v>2022</v>
      </c>
      <c r="C92" s="9" t="n">
        <f aca="false">'House Vote Data (Actual)'!L100</f>
        <v>0.592163846838825</v>
      </c>
      <c r="D92" s="9" t="n">
        <f aca="false">'House Vote Data (Actual)'!H100</f>
        <v>0.535172949863972</v>
      </c>
    </row>
    <row r="93" customFormat="false" ht="15" hidden="false" customHeight="true" outlineLevel="0" collapsed="false">
      <c r="A93" s="8" t="s">
        <v>98</v>
      </c>
      <c r="B93" s="8" t="n">
        <v>2022</v>
      </c>
      <c r="C93" s="9" t="n">
        <f aca="false">'House Vote Data (Actual)'!L104</f>
        <v>0.510546875</v>
      </c>
      <c r="D93" s="9" t="n">
        <f aca="false">'House Vote Data (Actual)'!H104</f>
        <v>0.451538461538462</v>
      </c>
    </row>
    <row r="94" customFormat="false" ht="15" hidden="false" customHeight="true" outlineLevel="0" collapsed="false">
      <c r="A94" s="8" t="s">
        <v>100</v>
      </c>
      <c r="B94" s="8" t="n">
        <v>2022</v>
      </c>
      <c r="C94" s="9" t="n">
        <f aca="false">'House Vote Data (Actual)'!L108</f>
        <v>0.490831295843521</v>
      </c>
      <c r="D94" s="9" t="n">
        <f aca="false">'House Vote Data (Actual)'!H108</f>
        <v>0.43995171997586</v>
      </c>
    </row>
    <row r="95" customFormat="false" ht="15" hidden="false" customHeight="true" outlineLevel="0" collapsed="false">
      <c r="A95" s="8" t="s">
        <v>101</v>
      </c>
      <c r="B95" s="8" t="n">
        <v>2022</v>
      </c>
      <c r="C95" s="9" t="n">
        <f aca="false">'House Vote Data (Actual)'!L112</f>
        <v>0.529032258064516</v>
      </c>
      <c r="D95" s="9" t="n">
        <f aca="false">'House Vote Data (Actual)'!H112</f>
        <v>0.462264150943396</v>
      </c>
    </row>
    <row r="96" customFormat="false" ht="15" hidden="false" customHeight="true" outlineLevel="0" collapsed="false">
      <c r="A96" s="8" t="s">
        <v>75</v>
      </c>
      <c r="B96" s="8" t="n">
        <v>2022</v>
      </c>
      <c r="C96" s="9" t="n">
        <f aca="false">'House Vote Data (Actual)'!L116</f>
        <v>0.728241863613289</v>
      </c>
      <c r="D96" s="9" t="n">
        <f aca="false">'House Vote Data (Actual)'!H116</f>
        <v>0.685420581408202</v>
      </c>
    </row>
    <row r="97" customFormat="false" ht="15" hidden="false" customHeight="true" outlineLevel="0" collapsed="false">
      <c r="A97" s="8" t="s">
        <v>102</v>
      </c>
      <c r="B97" s="8" t="n">
        <v>2022</v>
      </c>
      <c r="C97" s="9" t="n">
        <f aca="false">'House Vote Data (Actual)'!L120</f>
        <v>0.600666944560233</v>
      </c>
      <c r="D97" s="9" t="n">
        <f aca="false">'House Vote Data (Actual)'!H120</f>
        <v>0.545699583435433</v>
      </c>
    </row>
    <row r="98" customFormat="false" ht="15" hidden="false" customHeight="true" outlineLevel="0" collapsed="false">
      <c r="A98" s="8" t="s">
        <v>103</v>
      </c>
      <c r="B98" s="8" t="n">
        <v>2022</v>
      </c>
      <c r="C98" s="9" t="n">
        <f aca="false">'House Vote Data (Actual)'!L124</f>
        <v>0.457619268179713</v>
      </c>
      <c r="D98" s="9" t="n">
        <f aca="false">'House Vote Data (Actual)'!H124</f>
        <v>0.394862468742896</v>
      </c>
    </row>
    <row r="99" customFormat="false" ht="15" hidden="false" customHeight="true" outlineLevel="0" collapsed="false">
      <c r="A99" s="8" t="s">
        <v>104</v>
      </c>
      <c r="B99" s="8" t="n">
        <v>2022</v>
      </c>
      <c r="C99" s="9" t="n">
        <f aca="false">'House Vote Data (Actual)'!L128</f>
        <v>0.430379746835443</v>
      </c>
      <c r="D99" s="9" t="n">
        <f aca="false">'House Vote Data (Actual)'!H128</f>
        <v>0.36046511627907</v>
      </c>
    </row>
    <row r="100" customFormat="false" ht="15" hidden="false" customHeight="true" outlineLevel="0" collapsed="false">
      <c r="A100" s="8" t="s">
        <v>105</v>
      </c>
      <c r="B100" s="8" t="n">
        <v>2022</v>
      </c>
      <c r="C100" s="9" t="n">
        <f aca="false">'House Vote Data (Actual)'!L132</f>
        <v>0.496774193548387</v>
      </c>
      <c r="D100" s="9" t="n">
        <f aca="false">'House Vote Data (Actual)'!H132</f>
        <v>0.440603893524037</v>
      </c>
    </row>
    <row r="101" customFormat="false" ht="15" hidden="false" customHeight="true" outlineLevel="0" collapsed="false">
      <c r="A101" s="8" t="s">
        <v>106</v>
      </c>
      <c r="B101" s="8" t="n">
        <v>2022</v>
      </c>
      <c r="C101" s="9" t="n">
        <f aca="false">'House Vote Data (Actual)'!L136</f>
        <v>0.454545454545455</v>
      </c>
      <c r="D101" s="9" t="n">
        <f aca="false">'House Vote Data (Actual)'!H136</f>
        <v>0.39031339031339</v>
      </c>
    </row>
    <row r="102" customFormat="false" ht="15" hidden="false" customHeight="true" outlineLevel="0" collapsed="false">
      <c r="A102" s="8" t="s">
        <v>107</v>
      </c>
      <c r="B102" s="8" t="n">
        <v>2022</v>
      </c>
      <c r="C102" s="9" t="n">
        <f aca="false">'House Vote Data (Actual)'!L140</f>
        <v>0.765380754338161</v>
      </c>
      <c r="D102" s="9" t="n">
        <f aca="false">'House Vote Data (Actual)'!H140</f>
        <v>0.734526998449175</v>
      </c>
    </row>
    <row r="103" customFormat="false" ht="15" hidden="false" customHeight="true" outlineLevel="0" collapsed="false">
      <c r="A103" s="8" t="s">
        <v>108</v>
      </c>
      <c r="B103" s="8" t="n">
        <v>2022</v>
      </c>
      <c r="C103" s="9" t="n">
        <f aca="false">'House Vote Data (Actual)'!L144</f>
        <v>0.578544061302682</v>
      </c>
      <c r="D103" s="9" t="n">
        <f aca="false">'House Vote Data (Actual)'!H144</f>
        <v>0.52367758186398</v>
      </c>
    </row>
    <row r="104" customFormat="false" ht="15" hidden="false" customHeight="true" outlineLevel="0" collapsed="false">
      <c r="A104" s="8" t="s">
        <v>109</v>
      </c>
      <c r="B104" s="8" t="n">
        <v>2022</v>
      </c>
      <c r="C104" s="9" t="n">
        <f aca="false">'House Vote Data (Actual)'!L148</f>
        <v>0.642409033877039</v>
      </c>
      <c r="D104" s="9" t="n">
        <f aca="false">'House Vote Data (Actual)'!H148</f>
        <v>0.592592592592593</v>
      </c>
    </row>
    <row r="105" customFormat="false" ht="15" hidden="false" customHeight="true" outlineLevel="0" collapsed="false">
      <c r="A105" s="8" t="s">
        <v>110</v>
      </c>
      <c r="B105" s="8" t="n">
        <v>2022</v>
      </c>
      <c r="C105" s="9" t="n">
        <f aca="false">'House Vote Data (Actual)'!L152</f>
        <v>0.558823529411765</v>
      </c>
      <c r="D105" s="9" t="n">
        <f aca="false">'House Vote Data (Actual)'!H152</f>
        <v>0.51063829787234</v>
      </c>
    </row>
    <row r="106" customFormat="false" ht="15" hidden="false" customHeight="true" outlineLevel="0" collapsed="false">
      <c r="A106" s="8" t="s">
        <v>81</v>
      </c>
      <c r="B106" s="8" t="n">
        <v>2022</v>
      </c>
      <c r="C106" s="9" t="n">
        <f aca="false">'House Vote Data (Actual)'!L156</f>
        <v>0.615130023640662</v>
      </c>
      <c r="D106" s="9" t="n">
        <f aca="false">'House Vote Data (Actual)'!H156</f>
        <v>0.553231055323106</v>
      </c>
    </row>
    <row r="107" customFormat="false" ht="15" hidden="false" customHeight="true" outlineLevel="0" collapsed="false">
      <c r="A107" s="8" t="s">
        <v>111</v>
      </c>
      <c r="B107" s="8" t="n">
        <v>2022</v>
      </c>
      <c r="C107" s="9" t="n">
        <f aca="false">'House Vote Data (Actual)'!L160</f>
        <v>0.58744571654165</v>
      </c>
      <c r="D107" s="9" t="n">
        <f aca="false">'House Vote Data (Actual)'!H160</f>
        <v>0.53322969296541</v>
      </c>
    </row>
    <row r="108" customFormat="false" ht="15" hidden="false" customHeight="true" outlineLevel="0" collapsed="false">
      <c r="A108" s="8" t="s">
        <v>73</v>
      </c>
      <c r="B108" s="8" t="n">
        <v>2022</v>
      </c>
      <c r="C108" s="9" t="n">
        <f aca="false">'House Vote Data (Actual)'!L164</f>
        <v>0.400716275368086</v>
      </c>
      <c r="D108" s="9" t="n">
        <f aca="false">'House Vote Data (Actual)'!H164</f>
        <v>0.353113983548766</v>
      </c>
    </row>
    <row r="109" customFormat="false" ht="15" hidden="false" customHeight="true" outlineLevel="0" collapsed="false">
      <c r="A109" s="8" t="s">
        <v>112</v>
      </c>
      <c r="B109" s="8" t="n">
        <v>2022</v>
      </c>
      <c r="C109" s="9" t="n">
        <f aca="false">'House Vote Data (Actual)'!L168</f>
        <v>0.416787264833575</v>
      </c>
      <c r="D109" s="9" t="n">
        <f aca="false">'House Vote Data (Actual)'!H168</f>
        <v>0.365</v>
      </c>
    </row>
    <row r="110" customFormat="false" ht="15" hidden="false" customHeight="true" outlineLevel="0" collapsed="false">
      <c r="A110" s="8" t="s">
        <v>113</v>
      </c>
      <c r="B110" s="8" t="n">
        <v>2022</v>
      </c>
      <c r="C110" s="9" t="n">
        <f aca="false">'House Vote Data (Actual)'!L172</f>
        <v>0.505497526113249</v>
      </c>
      <c r="D110" s="9" t="n">
        <f aca="false">'House Vote Data (Actual)'!H172</f>
        <v>0.441200324412003</v>
      </c>
    </row>
    <row r="111" customFormat="false" ht="15" hidden="false" customHeight="true" outlineLevel="0" collapsed="false">
      <c r="A111" s="8" t="s">
        <v>114</v>
      </c>
      <c r="B111" s="8" t="n">
        <v>2022</v>
      </c>
      <c r="C111" s="9" t="n">
        <f aca="false">'House Vote Data (Actual)'!L176</f>
        <v>0.555917109094023</v>
      </c>
      <c r="D111" s="9" t="n">
        <f aca="false">'House Vote Data (Actual)'!H176</f>
        <v>0.492491985827569</v>
      </c>
    </row>
    <row r="112" customFormat="false" ht="15" hidden="false" customHeight="true" outlineLevel="0" collapsed="false">
      <c r="A112" s="8" t="s">
        <v>115</v>
      </c>
      <c r="B112" s="8" t="n">
        <v>2022</v>
      </c>
      <c r="C112" s="9" t="n">
        <f aca="false">'House Vote Data (Actual)'!L180</f>
        <v>0.40298826040555</v>
      </c>
      <c r="D112" s="9" t="n">
        <f aca="false">'House Vote Data (Actual)'!H180</f>
        <v>0.349537037037037</v>
      </c>
    </row>
    <row r="113" customFormat="false" ht="15" hidden="false" customHeight="true" outlineLevel="0" collapsed="false">
      <c r="A113" s="8" t="s">
        <v>116</v>
      </c>
      <c r="B113" s="8" t="n">
        <v>2022</v>
      </c>
      <c r="C113" s="9" t="n">
        <f aca="false">'House Vote Data (Actual)'!L184</f>
        <v>0.578728707935189</v>
      </c>
      <c r="D113" s="9" t="n">
        <f aca="false">'House Vote Data (Actual)'!H184</f>
        <v>0.517073170731707</v>
      </c>
    </row>
    <row r="114" customFormat="false" ht="15" hidden="false" customHeight="true" outlineLevel="0" collapsed="false">
      <c r="A114" s="8" t="s">
        <v>117</v>
      </c>
      <c r="B114" s="8" t="n">
        <v>2022</v>
      </c>
      <c r="C114" s="9" t="n">
        <f aca="false">'House Vote Data (Actual)'!L188</f>
        <v>0.5603517186251</v>
      </c>
      <c r="D114" s="9" t="n">
        <f aca="false">'House Vote Data (Actual)'!H188</f>
        <v>0.503912363067293</v>
      </c>
    </row>
    <row r="115" customFormat="false" ht="15" hidden="false" customHeight="true" outlineLevel="0" collapsed="false">
      <c r="A115" s="8" t="s">
        <v>99</v>
      </c>
      <c r="B115" s="8" t="n">
        <v>2022</v>
      </c>
      <c r="C115" s="9" t="n">
        <f aca="false">'House Vote Data (Actual)'!L192</f>
        <v>0.547619047619048</v>
      </c>
      <c r="D115" s="9" t="n">
        <f aca="false">'House Vote Data (Actual)'!H192</f>
        <v>0.49834479246244</v>
      </c>
    </row>
    <row r="116" customFormat="false" ht="15" hidden="false" customHeight="true" outlineLevel="0" collapsed="false">
      <c r="A116" s="8" t="s">
        <v>118</v>
      </c>
      <c r="B116" s="8" t="n">
        <v>2022</v>
      </c>
      <c r="C116" s="9" t="n">
        <f aca="false">'House Vote Data (Actual)'!L196</f>
        <v>0.577880547082554</v>
      </c>
      <c r="D116" s="9" t="n">
        <f aca="false">'House Vote Data (Actual)'!H196</f>
        <v>0.523901871424416</v>
      </c>
    </row>
    <row r="117" customFormat="false" ht="15" hidden="false" customHeight="true" outlineLevel="0" collapsed="false">
      <c r="A117" s="8" t="s">
        <v>119</v>
      </c>
      <c r="B117" s="8" t="n">
        <v>2022</v>
      </c>
      <c r="C117" s="9" t="n">
        <f aca="false">'House Vote Data (Actual)'!L200</f>
        <v>0.458795562599049</v>
      </c>
      <c r="D117" s="9" t="n">
        <f aca="false">'House Vote Data (Actual)'!H200</f>
        <v>0.396431342125679</v>
      </c>
    </row>
    <row r="118" customFormat="false" ht="15" hidden="false" customHeight="true" outlineLevel="0" collapsed="false">
      <c r="A118" s="8" t="s">
        <v>120</v>
      </c>
      <c r="B118" s="8" t="n">
        <v>2022</v>
      </c>
      <c r="C118" s="9" t="n">
        <f aca="false">'House Vote Data (Actual)'!L204</f>
        <v>0.407100199071002</v>
      </c>
      <c r="D118" s="9" t="n">
        <f aca="false">'House Vote Data (Actual)'!H204</f>
        <v>0.350032530904359</v>
      </c>
    </row>
    <row r="119" customFormat="false" ht="15" hidden="false" customHeight="true" outlineLevel="0" collapsed="false">
      <c r="A119" s="8" t="s">
        <v>121</v>
      </c>
      <c r="B119" s="8" t="n">
        <v>2022</v>
      </c>
      <c r="C119" s="9" t="n">
        <f aca="false">'House Vote Data (Actual)'!L208</f>
        <v>0.382198952879581</v>
      </c>
      <c r="D119" s="9" t="n">
        <f aca="false">'House Vote Data (Actual)'!H208</f>
        <v>0.335051546391753</v>
      </c>
    </row>
    <row r="120" customFormat="false" ht="15" hidden="false" customHeight="true" outlineLevel="0" collapsed="false">
      <c r="A120" s="8" t="s">
        <v>122</v>
      </c>
      <c r="B120" s="8" t="n">
        <v>2022</v>
      </c>
      <c r="C120" s="9" t="n">
        <f aca="false">'House Vote Data (Actual)'!L212</f>
        <v>0.442249240121581</v>
      </c>
      <c r="D120" s="9" t="n">
        <f aca="false">'House Vote Data (Actual)'!H212</f>
        <v>0.381656804733728</v>
      </c>
    </row>
    <row r="121" customFormat="false" ht="15" hidden="false" customHeight="true" outlineLevel="0" collapsed="false">
      <c r="A121" s="8" t="s">
        <v>123</v>
      </c>
      <c r="B121" s="8" t="n">
        <v>2022</v>
      </c>
      <c r="C121" s="9" t="n">
        <f aca="false">'House Vote Data (Actual)'!L216</f>
        <v>0.4750656167979</v>
      </c>
      <c r="D121" s="9" t="n">
        <f aca="false">'House Vote Data (Actual)'!H216</f>
        <v>0.41343669250646</v>
      </c>
    </row>
    <row r="122" customFormat="false" ht="15" hidden="false" customHeight="true" outlineLevel="0" collapsed="false">
      <c r="A122" s="8" t="s">
        <v>124</v>
      </c>
      <c r="B122" s="8" t="n">
        <v>2022</v>
      </c>
      <c r="C122" s="9" t="n">
        <f aca="false">'House Vote Data (Actual)'!L220</f>
        <v>0.503610108303249</v>
      </c>
      <c r="D122" s="9" t="n">
        <f aca="false">'House Vote Data (Actual)'!H220</f>
        <v>0.433155080213904</v>
      </c>
    </row>
    <row r="123" customFormat="false" ht="15" hidden="false" customHeight="true" outlineLevel="0" collapsed="false">
      <c r="A123" s="8" t="s">
        <v>125</v>
      </c>
      <c r="B123" s="8" t="n">
        <v>2022</v>
      </c>
      <c r="C123" s="9" t="n">
        <f aca="false">'House Vote Data (Actual)'!L224</f>
        <v>0.378009108653221</v>
      </c>
      <c r="D123" s="9" t="n">
        <f aca="false">'House Vote Data (Actual)'!H224</f>
        <v>0.3296</v>
      </c>
    </row>
    <row r="124" customFormat="false" ht="15" hidden="false" customHeight="true" outlineLevel="0" collapsed="false">
      <c r="A124" s="8" t="s">
        <v>126</v>
      </c>
      <c r="B124" s="8" t="n">
        <v>2022</v>
      </c>
      <c r="C124" s="9" t="n">
        <f aca="false">'House Vote Data (Actual)'!L228</f>
        <v>0.562479819179852</v>
      </c>
      <c r="D124" s="9" t="n">
        <f aca="false">'House Vote Data (Actual)'!H228</f>
        <v>0.497944988934556</v>
      </c>
    </row>
    <row r="125" customFormat="false" ht="15" hidden="false" customHeight="true" outlineLevel="0" collapsed="false">
      <c r="A125" s="8" t="s">
        <v>127</v>
      </c>
      <c r="B125" s="8" t="n">
        <v>2022</v>
      </c>
      <c r="C125" s="9" t="n">
        <f aca="false">'House Vote Data (Actual)'!L232</f>
        <v>0.50071530758226</v>
      </c>
      <c r="D125" s="9" t="n">
        <f aca="false">'House Vote Data (Actual)'!H232</f>
        <v>0.421270718232044</v>
      </c>
    </row>
    <row r="126" customFormat="false" ht="15" hidden="false" customHeight="true" outlineLevel="0" collapsed="false">
      <c r="A126" s="8" t="s">
        <v>95</v>
      </c>
      <c r="B126" s="8" t="n">
        <v>2022</v>
      </c>
      <c r="C126" s="9" t="n">
        <f aca="false">'House Vote Data (Actual)'!L236</f>
        <v>0.414310197086547</v>
      </c>
      <c r="D126" s="9" t="n">
        <f aca="false">'House Vote Data (Actual)'!H236</f>
        <v>0.353982300884956</v>
      </c>
    </row>
    <row r="127" customFormat="false" ht="15" hidden="false" customHeight="true" outlineLevel="0" collapsed="false">
      <c r="A127" s="8" t="s">
        <v>128</v>
      </c>
      <c r="B127" s="8" t="n">
        <v>2022</v>
      </c>
      <c r="C127" s="9" t="n">
        <f aca="false">'House Vote Data (Actual)'!L240</f>
        <v>0.513715710723192</v>
      </c>
      <c r="D127" s="9" t="n">
        <f aca="false">'House Vote Data (Actual)'!H240</f>
        <v>0.480676328502416</v>
      </c>
    </row>
    <row r="128" customFormat="false" ht="15" hidden="false" customHeight="true" outlineLevel="0" collapsed="false">
      <c r="A128" s="8" t="s">
        <v>129</v>
      </c>
      <c r="B128" s="8" t="n">
        <v>2022</v>
      </c>
      <c r="C128" s="9" t="n">
        <f aca="false">'House Vote Data (Actual)'!L244</f>
        <v>0.493865030674847</v>
      </c>
      <c r="D128" s="9" t="n">
        <f aca="false">'House Vote Data (Actual)'!H244</f>
        <v>0.439083232810615</v>
      </c>
    </row>
    <row r="129" customFormat="false" ht="15" hidden="false" customHeight="true" outlineLevel="0" collapsed="false">
      <c r="A129" s="8" t="s">
        <v>130</v>
      </c>
      <c r="B129" s="8" t="n">
        <v>2022</v>
      </c>
      <c r="C129" s="9" t="n">
        <f aca="false">'House Vote Data (Actual)'!L248</f>
        <v>0.638827187916482</v>
      </c>
      <c r="D129" s="9" t="n">
        <f aca="false">'House Vote Data (Actual)'!H248</f>
        <v>0.584387265590929</v>
      </c>
    </row>
    <row r="130" customFormat="false" ht="15" hidden="false" customHeight="true" outlineLevel="0" collapsed="false">
      <c r="A130" s="8" t="s">
        <v>131</v>
      </c>
      <c r="B130" s="8" t="n">
        <v>2022</v>
      </c>
      <c r="C130" s="9" t="n">
        <f aca="false">'House Vote Data (Actual)'!L252</f>
        <v>0.513837638376384</v>
      </c>
      <c r="D130" s="9" t="n">
        <f aca="false">'House Vote Data (Actual)'!H252</f>
        <v>0.451141552511416</v>
      </c>
    </row>
    <row r="132" customFormat="false" ht="15" hidden="false" customHeight="true" outlineLevel="0" collapsed="false">
      <c r="A132" s="8" t="s">
        <v>241</v>
      </c>
      <c r="B132" s="7" t="n">
        <f aca="false">CORREL(C5:C67,D5:D67)</f>
        <v>0.986490218491735</v>
      </c>
    </row>
    <row r="133" customFormat="false" ht="15" hidden="false" customHeight="true" outlineLevel="0" collapsed="false">
      <c r="A133" s="8" t="s">
        <v>242</v>
      </c>
      <c r="B133" s="7" t="n">
        <f aca="false">CORREL(C68:C130,D68:D130)</f>
        <v>0.995774137973743</v>
      </c>
    </row>
    <row r="134" customFormat="false" ht="15" hidden="false" customHeight="true" outlineLevel="0" collapsed="false">
      <c r="A134" s="8" t="s">
        <v>243</v>
      </c>
      <c r="B134" s="7" t="n">
        <f aca="false">CORREL(C5:C130,D5:D130)</f>
        <v>0.988949325530249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60" hidden="false" customHeight="true" outlineLevel="0" collapsed="false">
      <c r="A1" s="7" t="s">
        <v>244</v>
      </c>
      <c r="B1" s="25" t="s">
        <v>245</v>
      </c>
    </row>
    <row r="2" customFormat="false" ht="60" hidden="false" customHeight="true" outlineLevel="0" collapsed="false">
      <c r="A2" s="7" t="s">
        <v>246</v>
      </c>
      <c r="B2" s="25" t="s">
        <v>247</v>
      </c>
    </row>
    <row r="3" customFormat="false" ht="60" hidden="false" customHeight="true" outlineLevel="0" collapsed="false">
      <c r="A3" s="7" t="s">
        <v>248</v>
      </c>
      <c r="B3" s="25" t="s">
        <v>249</v>
      </c>
    </row>
    <row r="4" customFormat="false" ht="60" hidden="false" customHeight="true" outlineLevel="0" collapsed="false">
      <c r="A4" s="7" t="s">
        <v>250</v>
      </c>
      <c r="B4" s="25" t="s">
        <v>251</v>
      </c>
    </row>
    <row r="5" customFormat="false" ht="60" hidden="false" customHeight="true" outlineLevel="0" collapsed="false">
      <c r="A5" s="7" t="s">
        <v>252</v>
      </c>
      <c r="B5" s="25" t="s">
        <v>253</v>
      </c>
    </row>
    <row r="6" customFormat="false" ht="60" hidden="false" customHeight="true" outlineLevel="0" collapsed="false">
      <c r="A6" s="7" t="s">
        <v>20</v>
      </c>
      <c r="B6" s="25" t="s">
        <v>254</v>
      </c>
    </row>
    <row r="7" customFormat="false" ht="60" hidden="false" customHeight="true" outlineLevel="0" collapsed="false">
      <c r="A7" s="7" t="s">
        <v>255</v>
      </c>
      <c r="B7" s="25" t="s">
        <v>256</v>
      </c>
    </row>
    <row r="8" customFormat="false" ht="60" hidden="false" customHeight="true" outlineLevel="0" collapsed="false">
      <c r="A8" s="7" t="s">
        <v>257</v>
      </c>
      <c r="B8" s="25"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7" min="7" style="1" width="12"/>
    <col collapsed="false" customWidth="true" hidden="false" outlineLevel="0" max="8" min="8" style="1" width="16"/>
  </cols>
  <sheetData>
    <row r="1" customFormat="false" ht="42" hidden="false" customHeight="true" outlineLevel="0" collapsed="false">
      <c r="A1" s="10" t="s">
        <v>259</v>
      </c>
      <c r="B1" s="10"/>
      <c r="C1" s="10"/>
      <c r="D1" s="10"/>
      <c r="E1" s="10"/>
      <c r="F1" s="10"/>
      <c r="G1" s="10"/>
      <c r="H1" s="10"/>
      <c r="I1" s="10"/>
    </row>
    <row r="3" customFormat="false" ht="15" hidden="false" customHeight="true" outlineLevel="0" collapsed="false">
      <c r="A3" s="7" t="s">
        <v>60</v>
      </c>
      <c r="B3" s="7" t="s">
        <v>61</v>
      </c>
      <c r="C3" s="7" t="s">
        <v>175</v>
      </c>
      <c r="D3" s="7" t="s">
        <v>260</v>
      </c>
      <c r="E3" s="7" t="s">
        <v>179</v>
      </c>
      <c r="F3" s="7" t="s">
        <v>261</v>
      </c>
      <c r="G3" s="7" t="s">
        <v>262</v>
      </c>
      <c r="H3" s="7" t="s">
        <v>263</v>
      </c>
    </row>
    <row r="4" customFormat="false" ht="15" hidden="false" customHeight="true" outlineLevel="0" collapsed="false">
      <c r="A4" s="8" t="s">
        <v>72</v>
      </c>
      <c r="B4" s="8" t="s">
        <v>73</v>
      </c>
      <c r="C4" s="8" t="s">
        <v>176</v>
      </c>
      <c r="D4" s="12" t="n">
        <v>1761</v>
      </c>
      <c r="E4" s="9" t="n">
        <v>0.4753</v>
      </c>
      <c r="F4" s="9" t="n">
        <v>-0.0261</v>
      </c>
      <c r="G4" s="9" t="n">
        <v>0.6821</v>
      </c>
      <c r="H4" s="8" t="n">
        <v>1</v>
      </c>
    </row>
    <row r="5" customFormat="false" ht="15" hidden="false" customHeight="true" outlineLevel="0" collapsed="false">
      <c r="A5" s="8" t="s">
        <v>74</v>
      </c>
      <c r="B5" s="8" t="s">
        <v>73</v>
      </c>
      <c r="C5" s="8" t="s">
        <v>176</v>
      </c>
      <c r="D5" s="12" t="n">
        <v>71693</v>
      </c>
      <c r="E5" s="9" t="n">
        <v>0.6803</v>
      </c>
      <c r="F5" s="9" t="n">
        <v>0.3346</v>
      </c>
      <c r="G5" s="9" t="n">
        <v>0.5049</v>
      </c>
      <c r="H5" s="8" t="n">
        <v>0</v>
      </c>
    </row>
    <row r="6" customFormat="false" ht="15" hidden="false" customHeight="true" outlineLevel="0" collapsed="false">
      <c r="A6" s="8" t="s">
        <v>75</v>
      </c>
      <c r="B6" s="8" t="s">
        <v>73</v>
      </c>
      <c r="C6" s="8" t="s">
        <v>176</v>
      </c>
      <c r="D6" s="12" t="n">
        <v>13936</v>
      </c>
      <c r="E6" s="9" t="n">
        <v>0.6396</v>
      </c>
      <c r="F6" s="9" t="n">
        <v>0.2577</v>
      </c>
      <c r="G6" s="9" t="n">
        <v>0.6155</v>
      </c>
      <c r="H6" s="8" t="n">
        <v>0</v>
      </c>
    </row>
    <row r="7" customFormat="false" ht="15" hidden="false" customHeight="true" outlineLevel="0" collapsed="false">
      <c r="A7" s="8" t="s">
        <v>76</v>
      </c>
      <c r="B7" s="8" t="s">
        <v>73</v>
      </c>
      <c r="C7" s="8" t="s">
        <v>176</v>
      </c>
      <c r="D7" s="12" t="n">
        <v>4155</v>
      </c>
      <c r="E7" s="9" t="n">
        <v>0.5288</v>
      </c>
      <c r="F7" s="9" t="n">
        <v>0.0948</v>
      </c>
      <c r="G7" s="9" t="n">
        <v>0.6109</v>
      </c>
      <c r="H7" s="8" t="n">
        <v>1</v>
      </c>
    </row>
    <row r="8" customFormat="false" ht="15" hidden="false" customHeight="true" outlineLevel="0" collapsed="false">
      <c r="A8" s="8" t="s">
        <v>77</v>
      </c>
      <c r="B8" s="8" t="s">
        <v>73</v>
      </c>
      <c r="C8" s="8" t="s">
        <v>176</v>
      </c>
      <c r="D8" s="12" t="n">
        <v>1889</v>
      </c>
      <c r="E8" s="9" t="n">
        <v>0.4921</v>
      </c>
      <c r="F8" s="9" t="n">
        <v>-0.0625</v>
      </c>
      <c r="G8" s="9" t="n">
        <v>0.6879</v>
      </c>
      <c r="H8" s="8" t="n">
        <v>1</v>
      </c>
    </row>
    <row r="9" customFormat="false" ht="15" hidden="false" customHeight="true" outlineLevel="0" collapsed="false">
      <c r="A9" s="8" t="s">
        <v>78</v>
      </c>
      <c r="B9" s="8" t="s">
        <v>73</v>
      </c>
      <c r="C9" s="8" t="s">
        <v>176</v>
      </c>
      <c r="D9" s="12" t="n">
        <v>2322</v>
      </c>
      <c r="E9" s="9" t="n">
        <v>0.5181</v>
      </c>
      <c r="F9" s="9" t="n">
        <v>0.1034</v>
      </c>
      <c r="G9" s="9" t="n">
        <v>0.6782</v>
      </c>
      <c r="H9" s="8" t="n">
        <v>1</v>
      </c>
    </row>
    <row r="10" customFormat="false" ht="15" hidden="false" customHeight="true" outlineLevel="0" collapsed="false">
      <c r="A10" s="8" t="s">
        <v>79</v>
      </c>
      <c r="B10" s="8" t="s">
        <v>73</v>
      </c>
      <c r="C10" s="8" t="s">
        <v>176</v>
      </c>
      <c r="D10" s="12" t="n">
        <v>8775</v>
      </c>
      <c r="E10" s="9" t="n">
        <v>0.5363</v>
      </c>
      <c r="F10" s="9" t="n">
        <v>0.0707</v>
      </c>
      <c r="G10" s="9" t="n">
        <v>0.6792</v>
      </c>
      <c r="H10" s="8" t="n">
        <v>0</v>
      </c>
    </row>
    <row r="11" customFormat="false" ht="15" hidden="false" customHeight="true" outlineLevel="0" collapsed="false">
      <c r="A11" s="8" t="s">
        <v>80</v>
      </c>
      <c r="B11" s="8" t="s">
        <v>73</v>
      </c>
      <c r="C11" s="8" t="s">
        <v>176</v>
      </c>
      <c r="D11" s="12" t="n">
        <v>3126</v>
      </c>
      <c r="E11" s="9" t="n">
        <v>0.667</v>
      </c>
      <c r="F11" s="9" t="n">
        <v>0.3215</v>
      </c>
      <c r="G11" s="9" t="n">
        <v>0.59</v>
      </c>
      <c r="H11" s="8" t="n">
        <v>0</v>
      </c>
    </row>
    <row r="12" customFormat="false" ht="15" hidden="false" customHeight="true" outlineLevel="0" collapsed="false">
      <c r="A12" s="8" t="s">
        <v>81</v>
      </c>
      <c r="B12" s="8" t="s">
        <v>73</v>
      </c>
      <c r="C12" s="8" t="s">
        <v>176</v>
      </c>
      <c r="D12" s="12" t="n">
        <v>1046</v>
      </c>
      <c r="E12" s="9" t="n">
        <v>0.5628</v>
      </c>
      <c r="F12" s="9" t="n">
        <v>0.1721</v>
      </c>
      <c r="G12" s="9" t="n">
        <v>0.5619</v>
      </c>
      <c r="H12" s="8" t="n">
        <v>1</v>
      </c>
    </row>
    <row r="13" customFormat="false" ht="15" hidden="false" customHeight="true" outlineLevel="0" collapsed="false">
      <c r="A13" s="8" t="s">
        <v>82</v>
      </c>
      <c r="B13" s="8" t="s">
        <v>73</v>
      </c>
      <c r="C13" s="8" t="s">
        <v>176</v>
      </c>
      <c r="D13" s="12" t="n">
        <v>2483</v>
      </c>
      <c r="E13" s="9" t="n">
        <v>0.3261</v>
      </c>
      <c r="F13" s="9" t="n">
        <v>-0.3427</v>
      </c>
      <c r="G13" s="9" t="n">
        <v>0.7419</v>
      </c>
      <c r="H13" s="8" t="n">
        <v>1</v>
      </c>
    </row>
    <row r="14" customFormat="false" ht="15" hidden="false" customHeight="true" outlineLevel="0" collapsed="false">
      <c r="A14" s="8" t="s">
        <v>83</v>
      </c>
      <c r="B14" s="8" t="s">
        <v>73</v>
      </c>
      <c r="C14" s="8" t="s">
        <v>176</v>
      </c>
      <c r="D14" s="12" t="n">
        <v>24766</v>
      </c>
      <c r="E14" s="9" t="n">
        <v>0.5033</v>
      </c>
      <c r="F14" s="9" t="n">
        <v>-0.03</v>
      </c>
      <c r="G14" s="9" t="n">
        <v>0.7375</v>
      </c>
      <c r="H14" s="8" t="n">
        <v>0</v>
      </c>
    </row>
    <row r="15" customFormat="false" ht="15" hidden="false" customHeight="true" outlineLevel="0" collapsed="false">
      <c r="A15" s="8" t="s">
        <v>84</v>
      </c>
      <c r="B15" s="8" t="s">
        <v>73</v>
      </c>
      <c r="C15" s="8" t="s">
        <v>176</v>
      </c>
      <c r="D15" s="12" t="n">
        <v>3076</v>
      </c>
      <c r="E15" s="9" t="n">
        <v>0.3826</v>
      </c>
      <c r="F15" s="9" t="n">
        <v>-0.2757</v>
      </c>
      <c r="G15" s="9" t="n">
        <v>0.7441</v>
      </c>
      <c r="H15" s="8" t="n">
        <v>0</v>
      </c>
    </row>
    <row r="16" customFormat="false" ht="15" hidden="false" customHeight="true" outlineLevel="0" collapsed="false">
      <c r="A16" s="8" t="s">
        <v>85</v>
      </c>
      <c r="B16" s="8" t="s">
        <v>73</v>
      </c>
      <c r="C16" s="8" t="s">
        <v>176</v>
      </c>
      <c r="D16" s="12" t="n">
        <v>1804</v>
      </c>
      <c r="E16" s="9" t="n">
        <v>0.363</v>
      </c>
      <c r="F16" s="9" t="n">
        <v>-0.3126</v>
      </c>
      <c r="G16" s="9" t="n">
        <v>0.7561</v>
      </c>
      <c r="H16" s="8" t="n">
        <v>0</v>
      </c>
    </row>
    <row r="17" customFormat="false" ht="15" hidden="false" customHeight="true" outlineLevel="0" collapsed="false">
      <c r="A17" s="8" t="s">
        <v>86</v>
      </c>
      <c r="B17" s="8" t="s">
        <v>73</v>
      </c>
      <c r="C17" s="8" t="s">
        <v>176</v>
      </c>
      <c r="D17" s="12" t="n">
        <v>3150</v>
      </c>
      <c r="E17" s="9" t="n">
        <v>0.3235</v>
      </c>
      <c r="F17" s="9" t="n">
        <v>-0.361</v>
      </c>
      <c r="G17" s="9" t="n">
        <v>0.7542</v>
      </c>
      <c r="H17" s="8" t="n">
        <v>0</v>
      </c>
    </row>
    <row r="18" customFormat="false" ht="15" hidden="false" customHeight="true" outlineLevel="0" collapsed="false">
      <c r="A18" s="8" t="s">
        <v>87</v>
      </c>
      <c r="B18" s="8" t="s">
        <v>73</v>
      </c>
      <c r="C18" s="8" t="s">
        <v>176</v>
      </c>
      <c r="D18" s="12" t="n">
        <v>2488</v>
      </c>
      <c r="E18" s="9" t="n">
        <v>0.537</v>
      </c>
      <c r="F18" s="9" t="n">
        <v>0.0305</v>
      </c>
      <c r="G18" s="9" t="n">
        <v>0.6696</v>
      </c>
      <c r="H18" s="8" t="n">
        <v>0</v>
      </c>
    </row>
    <row r="19" customFormat="false" ht="15" hidden="false" customHeight="true" outlineLevel="0" collapsed="false">
      <c r="A19" s="8" t="s">
        <v>88</v>
      </c>
      <c r="B19" s="8" t="s">
        <v>73</v>
      </c>
      <c r="C19" s="8" t="s">
        <v>176</v>
      </c>
      <c r="D19" s="12" t="n">
        <v>11941</v>
      </c>
      <c r="E19" s="9" t="n">
        <v>0.4076</v>
      </c>
      <c r="F19" s="9" t="n">
        <v>-0.1689</v>
      </c>
      <c r="G19" s="9" t="n">
        <v>0.7328</v>
      </c>
      <c r="H19" s="8" t="n">
        <v>0</v>
      </c>
    </row>
    <row r="20" customFormat="false" ht="15" hidden="false" customHeight="true" outlineLevel="0" collapsed="false">
      <c r="A20" s="8" t="s">
        <v>89</v>
      </c>
      <c r="B20" s="8" t="s">
        <v>73</v>
      </c>
      <c r="C20" s="8" t="s">
        <v>176</v>
      </c>
      <c r="D20" s="12" t="n">
        <v>9849</v>
      </c>
      <c r="E20" s="9" t="n">
        <v>0.4973</v>
      </c>
      <c r="F20" s="9" t="n">
        <v>0.0176</v>
      </c>
      <c r="G20" s="9" t="n">
        <v>0.7325</v>
      </c>
      <c r="H20" s="8" t="n">
        <v>0</v>
      </c>
    </row>
    <row r="21" customFormat="false" ht="15" hidden="false" customHeight="true" outlineLevel="0" collapsed="false">
      <c r="A21" s="8" t="s">
        <v>90</v>
      </c>
      <c r="B21" s="8" t="s">
        <v>73</v>
      </c>
      <c r="C21" s="8" t="s">
        <v>176</v>
      </c>
      <c r="D21" s="12" t="n">
        <v>2635</v>
      </c>
      <c r="E21" s="9" t="n">
        <v>0.4249</v>
      </c>
      <c r="F21" s="9" t="n">
        <v>-0.088</v>
      </c>
      <c r="G21" s="9" t="n">
        <v>0.5884</v>
      </c>
      <c r="H21" s="8" t="n">
        <v>1</v>
      </c>
    </row>
    <row r="22" customFormat="false" ht="15" hidden="false" customHeight="true" outlineLevel="0" collapsed="false">
      <c r="A22" s="8" t="s">
        <v>91</v>
      </c>
      <c r="B22" s="8" t="s">
        <v>73</v>
      </c>
      <c r="C22" s="8" t="s">
        <v>176</v>
      </c>
      <c r="D22" s="12" t="n">
        <v>16107</v>
      </c>
      <c r="E22" s="9" t="n">
        <v>0.545</v>
      </c>
      <c r="F22" s="9" t="n">
        <v>0.0556</v>
      </c>
      <c r="G22" s="9" t="n">
        <v>0.7302</v>
      </c>
      <c r="H22" s="8" t="n">
        <v>0</v>
      </c>
    </row>
    <row r="23" customFormat="false" ht="15" hidden="false" customHeight="true" outlineLevel="0" collapsed="false">
      <c r="A23" s="8" t="s">
        <v>92</v>
      </c>
      <c r="B23" s="8" t="s">
        <v>73</v>
      </c>
      <c r="C23" s="8" t="s">
        <v>176</v>
      </c>
      <c r="D23" s="12" t="n">
        <v>19808</v>
      </c>
      <c r="E23" s="9" t="n">
        <v>0.5201</v>
      </c>
      <c r="F23" s="9" t="n">
        <v>0.0197</v>
      </c>
      <c r="G23" s="9" t="n">
        <v>0.6971</v>
      </c>
      <c r="H23" s="8" t="n">
        <v>0</v>
      </c>
    </row>
    <row r="24" customFormat="false" ht="15" hidden="false" customHeight="true" outlineLevel="0" collapsed="false">
      <c r="A24" s="8" t="s">
        <v>93</v>
      </c>
      <c r="B24" s="8" t="s">
        <v>73</v>
      </c>
      <c r="C24" s="8" t="s">
        <v>176</v>
      </c>
      <c r="D24" s="12" t="n">
        <v>6503</v>
      </c>
      <c r="E24" s="9" t="n">
        <v>0.4397</v>
      </c>
      <c r="F24" s="9" t="n">
        <v>-0.1632</v>
      </c>
      <c r="G24" s="9" t="n">
        <v>0.7549</v>
      </c>
      <c r="H24" s="8" t="n">
        <v>0</v>
      </c>
    </row>
    <row r="25" customFormat="false" ht="15" hidden="false" customHeight="true" outlineLevel="0" collapsed="false">
      <c r="A25" s="8" t="s">
        <v>94</v>
      </c>
      <c r="B25" s="8" t="s">
        <v>73</v>
      </c>
      <c r="C25" s="8" t="s">
        <v>176</v>
      </c>
      <c r="D25" s="12" t="n">
        <v>13357</v>
      </c>
      <c r="E25" s="9" t="n">
        <v>0.4839</v>
      </c>
      <c r="F25" s="9" t="n">
        <v>-0.0722</v>
      </c>
      <c r="G25" s="9" t="n">
        <v>0.7218</v>
      </c>
      <c r="H25" s="8" t="n">
        <v>0</v>
      </c>
    </row>
    <row r="26" customFormat="false" ht="15" hidden="false" customHeight="true" outlineLevel="0" collapsed="false">
      <c r="A26" s="8" t="s">
        <v>95</v>
      </c>
      <c r="B26" s="8" t="s">
        <v>73</v>
      </c>
      <c r="C26" s="8" t="s">
        <v>176</v>
      </c>
      <c r="D26" s="12" t="n">
        <v>4841</v>
      </c>
      <c r="E26" s="9" t="n">
        <v>0.3347</v>
      </c>
      <c r="F26" s="9" t="n">
        <v>-0.2942</v>
      </c>
      <c r="G26" s="9" t="n">
        <v>0.7033</v>
      </c>
      <c r="H26" s="8" t="n">
        <v>0</v>
      </c>
    </row>
    <row r="27" customFormat="false" ht="15" hidden="false" customHeight="true" outlineLevel="0" collapsed="false">
      <c r="A27" s="8" t="s">
        <v>96</v>
      </c>
      <c r="B27" s="8" t="s">
        <v>73</v>
      </c>
      <c r="C27" s="8" t="s">
        <v>176</v>
      </c>
      <c r="D27" s="12" t="n">
        <v>3876</v>
      </c>
      <c r="E27" s="9" t="n">
        <v>0.3465</v>
      </c>
      <c r="F27" s="9" t="n">
        <v>-0.3233</v>
      </c>
      <c r="G27" s="9" t="n">
        <v>0.7769</v>
      </c>
      <c r="H27" s="8" t="n">
        <v>0</v>
      </c>
    </row>
    <row r="28" customFormat="false" ht="15" hidden="false" customHeight="true" outlineLevel="0" collapsed="false">
      <c r="A28" s="8" t="s">
        <v>97</v>
      </c>
      <c r="B28" s="8" t="s">
        <v>73</v>
      </c>
      <c r="C28" s="8" t="s">
        <v>176</v>
      </c>
      <c r="D28" s="12" t="n">
        <v>18934</v>
      </c>
      <c r="E28" s="9" t="n">
        <v>0.5277</v>
      </c>
      <c r="F28" s="9" t="n">
        <v>0.1066</v>
      </c>
      <c r="G28" s="9" t="n">
        <v>0.6603</v>
      </c>
      <c r="H28" s="8" t="n">
        <v>1</v>
      </c>
    </row>
    <row r="29" customFormat="false" ht="15" hidden="false" customHeight="true" outlineLevel="0" collapsed="false">
      <c r="A29" s="8" t="s">
        <v>98</v>
      </c>
      <c r="B29" s="8" t="s">
        <v>99</v>
      </c>
      <c r="C29" s="8" t="s">
        <v>176</v>
      </c>
      <c r="D29" s="12" t="n">
        <v>4367</v>
      </c>
      <c r="E29" s="9" t="n">
        <v>0.4327</v>
      </c>
      <c r="F29" s="9" t="n">
        <v>-0.0872</v>
      </c>
      <c r="G29" s="9" t="n">
        <v>0.6862</v>
      </c>
      <c r="H29" s="8" t="n">
        <v>0</v>
      </c>
    </row>
    <row r="30" customFormat="false" ht="15" hidden="false" customHeight="true" outlineLevel="0" collapsed="false">
      <c r="A30" s="8" t="s">
        <v>100</v>
      </c>
      <c r="B30" s="8" t="s">
        <v>99</v>
      </c>
      <c r="C30" s="8" t="s">
        <v>176</v>
      </c>
      <c r="D30" s="12" t="n">
        <v>3428</v>
      </c>
      <c r="E30" s="9" t="n">
        <v>0.4328</v>
      </c>
      <c r="F30" s="9" t="n">
        <v>-0.1149</v>
      </c>
      <c r="G30" s="9" t="n">
        <v>0.6164</v>
      </c>
      <c r="H30" s="8" t="n">
        <v>1</v>
      </c>
    </row>
    <row r="31" customFormat="false" ht="15" hidden="false" customHeight="true" outlineLevel="0" collapsed="false">
      <c r="A31" s="8" t="s">
        <v>101</v>
      </c>
      <c r="B31" s="8" t="s">
        <v>99</v>
      </c>
      <c r="C31" s="8" t="s">
        <v>176</v>
      </c>
      <c r="D31" s="12" t="n">
        <v>1934</v>
      </c>
      <c r="E31" s="9" t="n">
        <v>0.4584</v>
      </c>
      <c r="F31" s="9" t="n">
        <v>-0.0145</v>
      </c>
      <c r="G31" s="9" t="n">
        <v>0.6101</v>
      </c>
      <c r="H31" s="8" t="n">
        <v>0</v>
      </c>
    </row>
    <row r="32" customFormat="false" ht="15" hidden="false" customHeight="true" outlineLevel="0" collapsed="false">
      <c r="A32" s="8" t="s">
        <v>75</v>
      </c>
      <c r="B32" s="8" t="s">
        <v>99</v>
      </c>
      <c r="C32" s="8" t="s">
        <v>176</v>
      </c>
      <c r="D32" s="12" t="n">
        <v>20293</v>
      </c>
      <c r="E32" s="9" t="n">
        <v>0.6784</v>
      </c>
      <c r="F32" s="9" t="n">
        <v>0.0661</v>
      </c>
      <c r="G32" s="9" t="n">
        <v>0.7193</v>
      </c>
      <c r="H32" s="8" t="n">
        <v>1</v>
      </c>
    </row>
    <row r="33" customFormat="false" ht="15" hidden="false" customHeight="true" outlineLevel="0" collapsed="false">
      <c r="A33" s="8" t="s">
        <v>102</v>
      </c>
      <c r="B33" s="8" t="s">
        <v>99</v>
      </c>
      <c r="C33" s="8" t="s">
        <v>176</v>
      </c>
      <c r="D33" s="12" t="n">
        <v>20293</v>
      </c>
      <c r="E33" s="9" t="n">
        <v>0.5355</v>
      </c>
      <c r="F33" s="9" t="n">
        <v>0.0661</v>
      </c>
      <c r="G33" s="9" t="n">
        <v>0.7193</v>
      </c>
      <c r="H33" s="8" t="n">
        <v>0</v>
      </c>
    </row>
    <row r="34" customFormat="false" ht="15" hidden="false" customHeight="true" outlineLevel="0" collapsed="false">
      <c r="A34" s="8" t="s">
        <v>103</v>
      </c>
      <c r="B34" s="8" t="s">
        <v>99</v>
      </c>
      <c r="C34" s="8" t="s">
        <v>176</v>
      </c>
      <c r="D34" s="12" t="n">
        <v>6738</v>
      </c>
      <c r="E34" s="9" t="n">
        <v>0.3815</v>
      </c>
      <c r="F34" s="9" t="n">
        <v>-0.2205</v>
      </c>
      <c r="G34" s="9" t="n">
        <v>0.7549</v>
      </c>
      <c r="H34" s="8" t="n">
        <v>0</v>
      </c>
    </row>
    <row r="35" customFormat="false" ht="15" hidden="false" customHeight="true" outlineLevel="0" collapsed="false">
      <c r="A35" s="8" t="s">
        <v>104</v>
      </c>
      <c r="B35" s="8" t="s">
        <v>99</v>
      </c>
      <c r="C35" s="8" t="s">
        <v>176</v>
      </c>
      <c r="D35" s="12" t="n">
        <v>156</v>
      </c>
      <c r="E35" s="9" t="n">
        <v>0.3627</v>
      </c>
      <c r="F35" s="9" t="n">
        <v>-0.1923</v>
      </c>
      <c r="G35" s="9" t="n">
        <v>0.6503</v>
      </c>
      <c r="H35" s="8" t="n">
        <v>0</v>
      </c>
    </row>
    <row r="36" customFormat="false" ht="15" hidden="false" customHeight="true" outlineLevel="0" collapsed="false">
      <c r="A36" s="8" t="s">
        <v>105</v>
      </c>
      <c r="B36" s="8" t="s">
        <v>99</v>
      </c>
      <c r="C36" s="8" t="s">
        <v>176</v>
      </c>
      <c r="D36" s="12" t="n">
        <v>4176</v>
      </c>
      <c r="E36" s="9" t="n">
        <v>0.4201</v>
      </c>
      <c r="F36" s="9" t="n">
        <v>-0.1305</v>
      </c>
      <c r="G36" s="9" t="n">
        <v>0.7095</v>
      </c>
      <c r="H36" s="8" t="n">
        <v>0</v>
      </c>
    </row>
    <row r="37" customFormat="false" ht="15" hidden="false" customHeight="true" outlineLevel="0" collapsed="false">
      <c r="A37" s="8" t="s">
        <v>106</v>
      </c>
      <c r="B37" s="8" t="s">
        <v>99</v>
      </c>
      <c r="C37" s="8" t="s">
        <v>176</v>
      </c>
      <c r="D37" s="12" t="n">
        <v>713</v>
      </c>
      <c r="E37" s="9" t="n">
        <v>0.3774</v>
      </c>
      <c r="F37" s="9" t="n">
        <v>-0.1767</v>
      </c>
      <c r="G37" s="9" t="n">
        <v>0.6667</v>
      </c>
      <c r="H37" s="8" t="n">
        <v>0</v>
      </c>
    </row>
    <row r="38" customFormat="false" ht="15" hidden="false" customHeight="true" outlineLevel="0" collapsed="false">
      <c r="A38" s="8" t="s">
        <v>107</v>
      </c>
      <c r="B38" s="8" t="s">
        <v>99</v>
      </c>
      <c r="C38" s="8" t="s">
        <v>176</v>
      </c>
      <c r="D38" s="12" t="n">
        <v>17847</v>
      </c>
      <c r="E38" s="9" t="n">
        <v>0.719</v>
      </c>
      <c r="F38" s="9" t="n">
        <v>0.3605</v>
      </c>
      <c r="G38" s="9" t="n">
        <v>0.5845</v>
      </c>
      <c r="H38" s="8" t="n">
        <v>1</v>
      </c>
    </row>
    <row r="39" customFormat="false" ht="15" hidden="false" customHeight="true" outlineLevel="0" collapsed="false">
      <c r="A39" s="8" t="s">
        <v>108</v>
      </c>
      <c r="B39" s="8" t="s">
        <v>99</v>
      </c>
      <c r="C39" s="8" t="s">
        <v>176</v>
      </c>
      <c r="D39" s="12" t="n">
        <v>13327</v>
      </c>
      <c r="E39" s="9" t="n">
        <v>0.5201</v>
      </c>
      <c r="F39" s="9" t="n">
        <v>0.0347</v>
      </c>
      <c r="G39" s="9" t="n">
        <v>0.7354</v>
      </c>
      <c r="H39" s="8" t="n">
        <v>1</v>
      </c>
    </row>
    <row r="40" customFormat="false" ht="15" hidden="false" customHeight="true" outlineLevel="0" collapsed="false">
      <c r="A40" s="8" t="s">
        <v>109</v>
      </c>
      <c r="B40" s="8" t="s">
        <v>99</v>
      </c>
      <c r="C40" s="8" t="s">
        <v>176</v>
      </c>
      <c r="D40" s="12" t="n">
        <v>1917</v>
      </c>
      <c r="E40" s="9" t="n">
        <v>0.6134</v>
      </c>
      <c r="F40" s="9" t="n">
        <v>0.2577</v>
      </c>
      <c r="G40" s="9" t="n">
        <v>0.5579</v>
      </c>
      <c r="H40" s="8" t="n">
        <v>0</v>
      </c>
    </row>
    <row r="41" customFormat="false" ht="15" hidden="false" customHeight="true" outlineLevel="0" collapsed="false">
      <c r="A41" s="8" t="s">
        <v>110</v>
      </c>
      <c r="B41" s="8" t="s">
        <v>99</v>
      </c>
      <c r="C41" s="8" t="s">
        <v>176</v>
      </c>
      <c r="D41" s="12" t="n">
        <v>274</v>
      </c>
      <c r="E41" s="9" t="n">
        <v>0.5421</v>
      </c>
      <c r="F41" s="9" t="n">
        <v>0.0438</v>
      </c>
      <c r="G41" s="9" t="n">
        <v>0.6804</v>
      </c>
      <c r="H41" s="8" t="n">
        <v>0</v>
      </c>
    </row>
    <row r="42" customFormat="false" ht="15" hidden="false" customHeight="true" outlineLevel="0" collapsed="false">
      <c r="A42" s="8" t="s">
        <v>81</v>
      </c>
      <c r="B42" s="8" t="s">
        <v>99</v>
      </c>
      <c r="C42" s="8" t="s">
        <v>176</v>
      </c>
      <c r="D42" s="12" t="n">
        <v>9521</v>
      </c>
      <c r="E42" s="9" t="n">
        <v>0.5384</v>
      </c>
      <c r="F42" s="9" t="n">
        <v>0.0673</v>
      </c>
      <c r="G42" s="9" t="n">
        <v>0.7536</v>
      </c>
      <c r="H42" s="8" t="n">
        <v>0</v>
      </c>
    </row>
    <row r="43" customFormat="false" ht="15" hidden="false" customHeight="true" outlineLevel="0" collapsed="false">
      <c r="A43" s="8" t="s">
        <v>111</v>
      </c>
      <c r="B43" s="8" t="s">
        <v>99</v>
      </c>
      <c r="C43" s="8" t="s">
        <v>176</v>
      </c>
      <c r="D43" s="12" t="n">
        <v>4412</v>
      </c>
      <c r="E43" s="9" t="n">
        <v>0.5222</v>
      </c>
      <c r="F43" s="9" t="n">
        <v>0.0431</v>
      </c>
      <c r="G43" s="9" t="n">
        <v>0.6669</v>
      </c>
      <c r="H43" s="8" t="n">
        <v>1</v>
      </c>
    </row>
    <row r="44" customFormat="false" ht="15" hidden="false" customHeight="true" outlineLevel="0" collapsed="false">
      <c r="A44" s="8" t="s">
        <v>73</v>
      </c>
      <c r="B44" s="8" t="s">
        <v>99</v>
      </c>
      <c r="C44" s="8" t="s">
        <v>176</v>
      </c>
      <c r="D44" s="12" t="n">
        <v>8158</v>
      </c>
      <c r="E44" s="9" t="n">
        <v>0.3439</v>
      </c>
      <c r="F44" s="9" t="n">
        <v>-0.2279</v>
      </c>
      <c r="G44" s="9" t="n">
        <v>0.7172</v>
      </c>
      <c r="H44" s="8" t="n">
        <v>0</v>
      </c>
    </row>
    <row r="45" customFormat="false" ht="15" hidden="false" customHeight="true" outlineLevel="0" collapsed="false">
      <c r="A45" s="8" t="s">
        <v>112</v>
      </c>
      <c r="B45" s="8" t="s">
        <v>99</v>
      </c>
      <c r="C45" s="8" t="s">
        <v>176</v>
      </c>
      <c r="D45" s="12" t="n">
        <v>2305</v>
      </c>
      <c r="E45" s="9" t="n">
        <v>0.3586</v>
      </c>
      <c r="F45" s="9" t="n">
        <v>-0.2573</v>
      </c>
      <c r="G45" s="9" t="n">
        <v>0.7355</v>
      </c>
      <c r="H45" s="8" t="n">
        <v>0</v>
      </c>
    </row>
    <row r="46" customFormat="false" ht="15" hidden="false" customHeight="true" outlineLevel="0" collapsed="false">
      <c r="A46" s="8" t="s">
        <v>113</v>
      </c>
      <c r="B46" s="8" t="s">
        <v>99</v>
      </c>
      <c r="C46" s="8" t="s">
        <v>176</v>
      </c>
      <c r="D46" s="12" t="n">
        <v>4265</v>
      </c>
      <c r="E46" s="9" t="n">
        <v>0.446</v>
      </c>
      <c r="F46" s="9" t="n">
        <v>-0.0084</v>
      </c>
      <c r="G46" s="9" t="n">
        <v>0.6905</v>
      </c>
      <c r="H46" s="8" t="n">
        <v>0</v>
      </c>
    </row>
    <row r="47" customFormat="false" ht="15" hidden="false" customHeight="true" outlineLevel="0" collapsed="false">
      <c r="A47" s="8" t="s">
        <v>114</v>
      </c>
      <c r="B47" s="8" t="s">
        <v>99</v>
      </c>
      <c r="C47" s="8" t="s">
        <v>176</v>
      </c>
      <c r="D47" s="12" t="n">
        <v>8785</v>
      </c>
      <c r="E47" s="9" t="n">
        <v>0.4787</v>
      </c>
      <c r="F47" s="9" t="n">
        <v>-0.0716</v>
      </c>
      <c r="G47" s="9" t="n">
        <v>0.7469</v>
      </c>
      <c r="H47" s="8" t="n">
        <v>0</v>
      </c>
    </row>
    <row r="48" customFormat="false" ht="15" hidden="false" customHeight="true" outlineLevel="0" collapsed="false">
      <c r="A48" s="8" t="s">
        <v>115</v>
      </c>
      <c r="B48" s="8" t="s">
        <v>99</v>
      </c>
      <c r="C48" s="8" t="s">
        <v>176</v>
      </c>
      <c r="D48" s="12" t="n">
        <v>7239</v>
      </c>
      <c r="E48" s="9" t="n">
        <v>0.3398</v>
      </c>
      <c r="F48" s="9" t="n">
        <v>-0.2858</v>
      </c>
      <c r="G48" s="9" t="n">
        <v>0.7432</v>
      </c>
      <c r="H48" s="8" t="n">
        <v>0</v>
      </c>
    </row>
    <row r="49" customFormat="false" ht="15" hidden="false" customHeight="true" outlineLevel="0" collapsed="false">
      <c r="A49" s="8" t="s">
        <v>116</v>
      </c>
      <c r="B49" s="8" t="s">
        <v>99</v>
      </c>
      <c r="C49" s="8" t="s">
        <v>176</v>
      </c>
      <c r="D49" s="12" t="n">
        <v>5450</v>
      </c>
      <c r="E49" s="9" t="n">
        <v>0.4894</v>
      </c>
      <c r="F49" s="9" t="n">
        <v>-0.1053</v>
      </c>
      <c r="G49" s="9" t="n">
        <v>0.7696</v>
      </c>
      <c r="H49" s="8" t="n">
        <v>0</v>
      </c>
    </row>
    <row r="50" customFormat="false" ht="15" hidden="false" customHeight="true" outlineLevel="0" collapsed="false">
      <c r="A50" s="8" t="s">
        <v>117</v>
      </c>
      <c r="B50" s="8" t="s">
        <v>99</v>
      </c>
      <c r="C50" s="8" t="s">
        <v>176</v>
      </c>
      <c r="D50" s="12" t="n">
        <v>2318</v>
      </c>
      <c r="E50" s="9" t="n">
        <v>0.4856</v>
      </c>
      <c r="F50" s="9" t="n">
        <v>0.0324</v>
      </c>
      <c r="G50" s="9" t="n">
        <v>0.6421</v>
      </c>
      <c r="H50" s="8" t="n">
        <v>0</v>
      </c>
    </row>
    <row r="51" customFormat="false" ht="15" hidden="false" customHeight="true" outlineLevel="0" collapsed="false">
      <c r="A51" s="8" t="s">
        <v>99</v>
      </c>
      <c r="B51" s="8" t="s">
        <v>99</v>
      </c>
      <c r="C51" s="8" t="s">
        <v>176</v>
      </c>
      <c r="D51" s="12" t="n">
        <v>7379</v>
      </c>
      <c r="E51" s="9" t="n">
        <v>0.4717</v>
      </c>
      <c r="F51" s="9" t="n">
        <v>0.006</v>
      </c>
      <c r="G51" s="9" t="n">
        <v>0.6379</v>
      </c>
      <c r="H51" s="8" t="n">
        <v>1</v>
      </c>
    </row>
    <row r="52" customFormat="false" ht="15" hidden="false" customHeight="true" outlineLevel="0" collapsed="false">
      <c r="A52" s="8" t="s">
        <v>118</v>
      </c>
      <c r="B52" s="8" t="s">
        <v>99</v>
      </c>
      <c r="C52" s="8" t="s">
        <v>176</v>
      </c>
      <c r="D52" s="12" t="n">
        <v>17762</v>
      </c>
      <c r="E52" s="9" t="n">
        <v>0.5158</v>
      </c>
      <c r="F52" s="9" t="n">
        <v>0.0409</v>
      </c>
      <c r="G52" s="9" t="n">
        <v>0.7214</v>
      </c>
      <c r="H52" s="8" t="n">
        <v>1</v>
      </c>
    </row>
    <row r="53" customFormat="false" ht="15" hidden="false" customHeight="true" outlineLevel="0" collapsed="false">
      <c r="A53" s="8" t="s">
        <v>119</v>
      </c>
      <c r="B53" s="8" t="s">
        <v>99</v>
      </c>
      <c r="C53" s="8" t="s">
        <v>176</v>
      </c>
      <c r="D53" s="12" t="n">
        <v>2432</v>
      </c>
      <c r="E53" s="9" t="n">
        <v>0.3877</v>
      </c>
      <c r="F53" s="9" t="n">
        <v>-0.1735</v>
      </c>
      <c r="G53" s="9" t="n">
        <v>0.6687</v>
      </c>
      <c r="H53" s="8" t="n">
        <v>1</v>
      </c>
    </row>
    <row r="54" customFormat="false" ht="15" hidden="false" customHeight="true" outlineLevel="0" collapsed="false">
      <c r="A54" s="8" t="s">
        <v>120</v>
      </c>
      <c r="B54" s="8" t="s">
        <v>99</v>
      </c>
      <c r="C54" s="8" t="s">
        <v>176</v>
      </c>
      <c r="D54" s="12" t="n">
        <v>4794</v>
      </c>
      <c r="E54" s="9" t="n">
        <v>0.3585</v>
      </c>
      <c r="F54" s="9" t="n">
        <v>-0.2559</v>
      </c>
      <c r="G54" s="9" t="n">
        <v>0.7421</v>
      </c>
      <c r="H54" s="8" t="n">
        <v>1</v>
      </c>
    </row>
    <row r="55" customFormat="false" ht="15" hidden="false" customHeight="true" outlineLevel="0" collapsed="false">
      <c r="A55" s="8" t="s">
        <v>121</v>
      </c>
      <c r="B55" s="8" t="s">
        <v>99</v>
      </c>
      <c r="C55" s="8" t="s">
        <v>176</v>
      </c>
      <c r="D55" s="12" t="n">
        <v>368</v>
      </c>
      <c r="E55" s="9" t="n">
        <v>0.3453</v>
      </c>
      <c r="F55" s="9" t="n">
        <v>-0.269</v>
      </c>
      <c r="G55" s="9" t="n">
        <v>0.6209</v>
      </c>
      <c r="H55" s="8" t="n">
        <v>0</v>
      </c>
    </row>
    <row r="56" customFormat="false" ht="15" hidden="false" customHeight="true" outlineLevel="0" collapsed="false">
      <c r="A56" s="8" t="s">
        <v>122</v>
      </c>
      <c r="B56" s="8" t="s">
        <v>99</v>
      </c>
      <c r="C56" s="8" t="s">
        <v>176</v>
      </c>
      <c r="D56" s="12" t="n">
        <v>1207</v>
      </c>
      <c r="E56" s="9" t="n">
        <v>0.3814</v>
      </c>
      <c r="F56" s="9" t="n">
        <v>-0.1268</v>
      </c>
      <c r="G56" s="9" t="n">
        <v>0.6941</v>
      </c>
      <c r="H56" s="8" t="n">
        <v>1</v>
      </c>
    </row>
    <row r="57" customFormat="false" ht="15" hidden="false" customHeight="true" outlineLevel="0" collapsed="false">
      <c r="A57" s="8" t="s">
        <v>123</v>
      </c>
      <c r="B57" s="8" t="s">
        <v>99</v>
      </c>
      <c r="C57" s="8" t="s">
        <v>176</v>
      </c>
      <c r="D57" s="12" t="n">
        <v>646</v>
      </c>
      <c r="E57" s="9" t="n">
        <v>0.415</v>
      </c>
      <c r="F57" s="9" t="n">
        <v>-0.13</v>
      </c>
      <c r="G57" s="9" t="n">
        <v>0.719</v>
      </c>
      <c r="H57" s="8" t="n">
        <v>1</v>
      </c>
    </row>
    <row r="58" customFormat="false" ht="15" hidden="false" customHeight="true" outlineLevel="0" collapsed="false">
      <c r="A58" s="8" t="s">
        <v>124</v>
      </c>
      <c r="B58" s="8" t="s">
        <v>99</v>
      </c>
      <c r="C58" s="8" t="s">
        <v>176</v>
      </c>
      <c r="D58" s="12" t="n">
        <v>987</v>
      </c>
      <c r="E58" s="9" t="n">
        <v>0.4197</v>
      </c>
      <c r="F58" s="9" t="n">
        <v>-0.0811</v>
      </c>
      <c r="G58" s="9" t="n">
        <v>0.7113</v>
      </c>
      <c r="H58" s="8" t="n">
        <v>0</v>
      </c>
    </row>
    <row r="59" customFormat="false" ht="15" hidden="false" customHeight="true" outlineLevel="0" collapsed="false">
      <c r="A59" s="8" t="s">
        <v>125</v>
      </c>
      <c r="B59" s="8" t="s">
        <v>99</v>
      </c>
      <c r="C59" s="8" t="s">
        <v>176</v>
      </c>
      <c r="D59" s="12" t="n">
        <v>5055</v>
      </c>
      <c r="E59" s="9" t="n">
        <v>0.329</v>
      </c>
      <c r="F59" s="9" t="n">
        <v>-0.3197</v>
      </c>
      <c r="G59" s="9" t="n">
        <v>0.7361</v>
      </c>
      <c r="H59" s="8" t="n">
        <v>1</v>
      </c>
    </row>
    <row r="60" customFormat="false" ht="15" hidden="false" customHeight="true" outlineLevel="0" collapsed="false">
      <c r="A60" s="8" t="s">
        <v>126</v>
      </c>
      <c r="B60" s="8" t="s">
        <v>99</v>
      </c>
      <c r="C60" s="8" t="s">
        <v>176</v>
      </c>
      <c r="D60" s="12" t="n">
        <v>5204</v>
      </c>
      <c r="E60" s="9" t="n">
        <v>0.4814</v>
      </c>
      <c r="F60" s="9" t="n">
        <v>-0.0625</v>
      </c>
      <c r="G60" s="9" t="n">
        <v>0.7233</v>
      </c>
      <c r="H60" s="8" t="n">
        <v>0</v>
      </c>
    </row>
    <row r="61" customFormat="false" ht="15" hidden="false" customHeight="true" outlineLevel="0" collapsed="false">
      <c r="A61" s="8" t="s">
        <v>127</v>
      </c>
      <c r="B61" s="8" t="s">
        <v>99</v>
      </c>
      <c r="C61" s="8" t="s">
        <v>176</v>
      </c>
      <c r="D61" s="12" t="n">
        <v>1427</v>
      </c>
      <c r="E61" s="9" t="n">
        <v>0.3996</v>
      </c>
      <c r="F61" s="9" t="n">
        <v>-0.15</v>
      </c>
      <c r="G61" s="9" t="n">
        <v>0.5925</v>
      </c>
      <c r="H61" s="8" t="n">
        <v>0</v>
      </c>
    </row>
    <row r="62" customFormat="false" ht="15" hidden="false" customHeight="true" outlineLevel="0" collapsed="false">
      <c r="A62" s="8" t="s">
        <v>95</v>
      </c>
      <c r="B62" s="8" t="s">
        <v>99</v>
      </c>
      <c r="C62" s="8" t="s">
        <v>176</v>
      </c>
      <c r="D62" s="12" t="n">
        <v>3854</v>
      </c>
      <c r="E62" s="9" t="n">
        <v>0.3522</v>
      </c>
      <c r="F62" s="9" t="n">
        <v>-0.2639</v>
      </c>
      <c r="G62" s="9" t="n">
        <v>0.7303</v>
      </c>
      <c r="H62" s="8" t="n">
        <v>1</v>
      </c>
    </row>
    <row r="63" customFormat="false" ht="15" hidden="false" customHeight="true" outlineLevel="0" collapsed="false">
      <c r="A63" s="8" t="s">
        <v>128</v>
      </c>
      <c r="B63" s="8" t="s">
        <v>99</v>
      </c>
      <c r="C63" s="8" t="s">
        <v>176</v>
      </c>
      <c r="D63" s="12" t="n">
        <v>862</v>
      </c>
      <c r="E63" s="9" t="n">
        <v>0.4757</v>
      </c>
      <c r="F63" s="9" t="n">
        <v>0.0128</v>
      </c>
      <c r="G63" s="9" t="n">
        <v>0.6375</v>
      </c>
      <c r="H63" s="8" t="n">
        <v>0</v>
      </c>
    </row>
    <row r="64" customFormat="false" ht="15" hidden="false" customHeight="true" outlineLevel="0" collapsed="false">
      <c r="A64" s="8" t="s">
        <v>129</v>
      </c>
      <c r="B64" s="8" t="s">
        <v>99</v>
      </c>
      <c r="C64" s="8" t="s">
        <v>176</v>
      </c>
      <c r="D64" s="12" t="n">
        <v>5381</v>
      </c>
      <c r="E64" s="9" t="n">
        <v>0.4361</v>
      </c>
      <c r="F64" s="9" t="n">
        <v>-0.1208</v>
      </c>
      <c r="G64" s="9" t="n">
        <v>0.7366</v>
      </c>
      <c r="H64" s="8" t="n">
        <v>0</v>
      </c>
    </row>
    <row r="65" customFormat="false" ht="15" hidden="false" customHeight="true" outlineLevel="0" collapsed="false">
      <c r="A65" s="8" t="s">
        <v>130</v>
      </c>
      <c r="B65" s="8" t="s">
        <v>99</v>
      </c>
      <c r="C65" s="8" t="s">
        <v>176</v>
      </c>
      <c r="D65" s="12" t="n">
        <v>5148</v>
      </c>
      <c r="E65" s="9" t="n">
        <v>0.5694</v>
      </c>
      <c r="F65" s="9" t="n">
        <v>0.1841</v>
      </c>
      <c r="G65" s="9" t="n">
        <v>0.6002</v>
      </c>
      <c r="H65" s="8" t="n">
        <v>1</v>
      </c>
    </row>
    <row r="66" customFormat="false" ht="15" hidden="false" customHeight="true" outlineLevel="0" collapsed="false">
      <c r="A66" s="8" t="s">
        <v>131</v>
      </c>
      <c r="B66" s="8" t="s">
        <v>99</v>
      </c>
      <c r="C66" s="8" t="s">
        <v>176</v>
      </c>
      <c r="D66" s="12" t="n">
        <v>2150</v>
      </c>
      <c r="E66" s="9" t="n">
        <v>0.4261</v>
      </c>
      <c r="F66" s="9" t="n">
        <v>-0.1051</v>
      </c>
      <c r="G66" s="9" t="n">
        <v>0.6198</v>
      </c>
      <c r="H66" s="8" t="n">
        <v>0</v>
      </c>
    </row>
    <row r="67" customFormat="false" ht="15" hidden="false" customHeight="true" outlineLevel="0" collapsed="false">
      <c r="A67" s="8" t="s">
        <v>138</v>
      </c>
      <c r="B67" s="8" t="s">
        <v>139</v>
      </c>
      <c r="C67" s="8" t="s">
        <v>177</v>
      </c>
      <c r="D67" s="12" t="n">
        <v>625</v>
      </c>
      <c r="E67" s="9" t="n">
        <v>0.5277</v>
      </c>
      <c r="F67" s="9" t="n">
        <v>0.0544</v>
      </c>
      <c r="G67" s="9" t="n">
        <v>0.6799</v>
      </c>
      <c r="H67" s="8" t="n">
        <v>1</v>
      </c>
    </row>
    <row r="68" customFormat="false" ht="15" hidden="false" customHeight="true" outlineLevel="0" collapsed="false">
      <c r="A68" s="8" t="s">
        <v>140</v>
      </c>
      <c r="B68" s="8" t="s">
        <v>139</v>
      </c>
      <c r="C68" s="8" t="s">
        <v>177</v>
      </c>
      <c r="D68" s="12" t="n">
        <v>621</v>
      </c>
      <c r="E68" s="9" t="n">
        <v>0.3797</v>
      </c>
      <c r="F68" s="9" t="n">
        <v>-0.2367</v>
      </c>
      <c r="G68" s="9" t="n">
        <v>0.6099</v>
      </c>
      <c r="H68" s="8" t="n">
        <v>0</v>
      </c>
    </row>
    <row r="69" customFormat="false" ht="15" hidden="false" customHeight="true" outlineLevel="0" collapsed="false">
      <c r="A69" s="8" t="s">
        <v>141</v>
      </c>
      <c r="B69" s="8" t="s">
        <v>139</v>
      </c>
      <c r="C69" s="8" t="s">
        <v>177</v>
      </c>
      <c r="D69" s="12" t="n">
        <v>565</v>
      </c>
      <c r="E69" s="9" t="n">
        <v>0.3624</v>
      </c>
      <c r="F69" s="9" t="n">
        <v>-0.2708</v>
      </c>
      <c r="G69" s="9" t="n">
        <v>0.6901</v>
      </c>
      <c r="H69" s="8" t="n">
        <v>0</v>
      </c>
    </row>
    <row r="70" customFormat="false" ht="15" hidden="false" customHeight="true" outlineLevel="0" collapsed="false">
      <c r="A70" s="8" t="s">
        <v>142</v>
      </c>
      <c r="B70" s="8" t="s">
        <v>139</v>
      </c>
      <c r="C70" s="8" t="s">
        <v>177</v>
      </c>
      <c r="D70" s="12" t="n">
        <v>2082</v>
      </c>
      <c r="E70" s="9" t="n">
        <v>0.3191</v>
      </c>
      <c r="F70" s="9" t="n">
        <v>-0.3559</v>
      </c>
      <c r="G70" s="9" t="n">
        <v>0.7016</v>
      </c>
      <c r="H70" s="8" t="n">
        <v>0</v>
      </c>
    </row>
    <row r="71" customFormat="false" ht="15" hidden="false" customHeight="true" outlineLevel="0" collapsed="false">
      <c r="A71" s="8" t="s">
        <v>143</v>
      </c>
      <c r="B71" s="8" t="s">
        <v>139</v>
      </c>
      <c r="C71" s="8" t="s">
        <v>177</v>
      </c>
      <c r="D71" s="12" t="n">
        <v>165</v>
      </c>
      <c r="E71" s="9" t="n">
        <v>0.4108</v>
      </c>
      <c r="F71" s="9" t="n">
        <v>-0.1758</v>
      </c>
      <c r="G71" s="9" t="n">
        <v>0.6546</v>
      </c>
      <c r="H71" s="8" t="n">
        <v>0</v>
      </c>
    </row>
    <row r="72" customFormat="false" ht="15" hidden="false" customHeight="true" outlineLevel="0" collapsed="false">
      <c r="A72" s="8" t="s">
        <v>144</v>
      </c>
      <c r="B72" s="8" t="s">
        <v>139</v>
      </c>
      <c r="C72" s="8" t="s">
        <v>177</v>
      </c>
      <c r="D72" s="12" t="n">
        <v>3130</v>
      </c>
      <c r="E72" s="9" t="n">
        <v>0.3265</v>
      </c>
      <c r="F72" s="9" t="n">
        <v>-0.3415</v>
      </c>
      <c r="G72" s="9" t="n">
        <v>0.6982</v>
      </c>
      <c r="H72" s="8" t="n">
        <v>0</v>
      </c>
    </row>
    <row r="73" customFormat="false" ht="15" hidden="false" customHeight="true" outlineLevel="0" collapsed="false">
      <c r="A73" s="8" t="s">
        <v>145</v>
      </c>
      <c r="B73" s="8" t="s">
        <v>139</v>
      </c>
      <c r="C73" s="8" t="s">
        <v>177</v>
      </c>
      <c r="D73" s="12" t="n">
        <v>3287</v>
      </c>
      <c r="E73" s="9" t="n">
        <v>0.4747</v>
      </c>
      <c r="F73" s="9" t="n">
        <v>-0.0499</v>
      </c>
      <c r="G73" s="9" t="n">
        <v>0.703</v>
      </c>
      <c r="H73" s="8" t="n">
        <v>1</v>
      </c>
    </row>
    <row r="74" customFormat="false" ht="15" hidden="false" customHeight="true" outlineLevel="0" collapsed="false">
      <c r="A74" s="8" t="s">
        <v>146</v>
      </c>
      <c r="B74" s="8" t="s">
        <v>139</v>
      </c>
      <c r="C74" s="8" t="s">
        <v>177</v>
      </c>
      <c r="D74" s="12" t="n">
        <v>1450</v>
      </c>
      <c r="E74" s="9" t="n">
        <v>0.3595</v>
      </c>
      <c r="F74" s="9" t="n">
        <v>-0.2766</v>
      </c>
      <c r="G74" s="9" t="n">
        <v>0.6155</v>
      </c>
      <c r="H74" s="8" t="n">
        <v>0</v>
      </c>
    </row>
    <row r="75" customFormat="false" ht="15" hidden="false" customHeight="true" outlineLevel="0" collapsed="false">
      <c r="A75" s="8" t="s">
        <v>147</v>
      </c>
      <c r="B75" s="8" t="s">
        <v>139</v>
      </c>
      <c r="C75" s="8" t="s">
        <v>177</v>
      </c>
      <c r="D75" s="12" t="n">
        <v>2428</v>
      </c>
      <c r="E75" s="9" t="n">
        <v>0.4815</v>
      </c>
      <c r="F75" s="9" t="n">
        <v>-0.0367</v>
      </c>
      <c r="G75" s="9" t="n">
        <v>0.5165</v>
      </c>
      <c r="H75" s="8" t="n">
        <v>1</v>
      </c>
    </row>
    <row r="76" customFormat="false" ht="15" hidden="false" customHeight="true" outlineLevel="0" collapsed="false">
      <c r="A76" s="8" t="s">
        <v>148</v>
      </c>
      <c r="B76" s="8" t="s">
        <v>139</v>
      </c>
      <c r="C76" s="8" t="s">
        <v>177</v>
      </c>
      <c r="D76" s="12" t="n">
        <v>183</v>
      </c>
      <c r="E76" s="9" t="n">
        <v>0.3028</v>
      </c>
      <c r="F76" s="9" t="n">
        <v>-0.388</v>
      </c>
      <c r="G76" s="9" t="n">
        <v>0.6987</v>
      </c>
      <c r="H76" s="8" t="n">
        <v>0</v>
      </c>
    </row>
    <row r="77" customFormat="false" ht="15" hidden="false" customHeight="true" outlineLevel="0" collapsed="false">
      <c r="A77" s="8" t="s">
        <v>149</v>
      </c>
      <c r="B77" s="8" t="s">
        <v>139</v>
      </c>
      <c r="C77" s="8" t="s">
        <v>177</v>
      </c>
      <c r="D77" s="12" t="n">
        <v>344</v>
      </c>
      <c r="E77" s="9" t="n">
        <v>0.2237</v>
      </c>
      <c r="F77" s="9" t="n">
        <v>-0.5436</v>
      </c>
      <c r="G77" s="9" t="n">
        <v>0.7579</v>
      </c>
      <c r="H77" s="8" t="n">
        <v>0</v>
      </c>
    </row>
    <row r="78" customFormat="false" ht="15" hidden="false" customHeight="true" outlineLevel="0" collapsed="false">
      <c r="A78" s="8" t="s">
        <v>150</v>
      </c>
      <c r="B78" s="8" t="s">
        <v>139</v>
      </c>
      <c r="C78" s="8" t="s">
        <v>177</v>
      </c>
      <c r="D78" s="12" t="n">
        <v>3349</v>
      </c>
      <c r="E78" s="9" t="n">
        <v>0.4224</v>
      </c>
      <c r="F78" s="9" t="n">
        <v>-0.1529</v>
      </c>
      <c r="G78" s="9" t="n">
        <v>0.6045</v>
      </c>
      <c r="H78" s="8" t="n">
        <v>1</v>
      </c>
    </row>
    <row r="79" customFormat="false" ht="15" hidden="false" customHeight="true" outlineLevel="0" collapsed="false">
      <c r="A79" s="8" t="s">
        <v>151</v>
      </c>
      <c r="B79" s="8" t="s">
        <v>139</v>
      </c>
      <c r="C79" s="8" t="s">
        <v>177</v>
      </c>
      <c r="D79" s="12" t="n">
        <v>2249</v>
      </c>
      <c r="E79" s="9" t="n">
        <v>0.3416</v>
      </c>
      <c r="F79" s="9" t="n">
        <v>-0.3117</v>
      </c>
      <c r="G79" s="9" t="n">
        <v>0.6656</v>
      </c>
      <c r="H79" s="8" t="n">
        <v>0</v>
      </c>
    </row>
    <row r="80" customFormat="false" ht="15" hidden="false" customHeight="true" outlineLevel="0" collapsed="false">
      <c r="A80" s="8" t="s">
        <v>152</v>
      </c>
      <c r="B80" s="8" t="s">
        <v>139</v>
      </c>
      <c r="C80" s="8" t="s">
        <v>177</v>
      </c>
      <c r="D80" s="12" t="n">
        <v>3057</v>
      </c>
      <c r="E80" s="9" t="n">
        <v>0.3228</v>
      </c>
      <c r="F80" s="9" t="n">
        <v>-0.3487</v>
      </c>
      <c r="G80" s="9" t="n">
        <v>0.6627</v>
      </c>
      <c r="H80" s="8" t="n">
        <v>0</v>
      </c>
    </row>
    <row r="81" customFormat="false" ht="15" hidden="false" customHeight="true" outlineLevel="0" collapsed="false">
      <c r="A81" s="8" t="s">
        <v>153</v>
      </c>
      <c r="B81" s="8" t="s">
        <v>139</v>
      </c>
      <c r="C81" s="8" t="s">
        <v>177</v>
      </c>
      <c r="D81" s="12" t="n">
        <v>2104</v>
      </c>
      <c r="E81" s="9" t="n">
        <v>0.4532</v>
      </c>
      <c r="F81" s="9" t="n">
        <v>-0.0922</v>
      </c>
      <c r="G81" s="9" t="n">
        <v>0.6277</v>
      </c>
      <c r="H81" s="8" t="n">
        <v>1</v>
      </c>
    </row>
    <row r="82" customFormat="false" ht="15" hidden="false" customHeight="true" outlineLevel="0" collapsed="false">
      <c r="A82" s="8" t="s">
        <v>154</v>
      </c>
      <c r="B82" s="8" t="s">
        <v>139</v>
      </c>
      <c r="C82" s="8" t="s">
        <v>177</v>
      </c>
      <c r="D82" s="12" t="n">
        <v>748</v>
      </c>
      <c r="E82" s="9" t="n">
        <v>0.2336</v>
      </c>
      <c r="F82" s="9" t="n">
        <v>-0.5241</v>
      </c>
      <c r="G82" s="9" t="n">
        <v>0.7979</v>
      </c>
      <c r="H82" s="8" t="n">
        <v>0</v>
      </c>
    </row>
    <row r="83" customFormat="false" ht="15" hidden="false" customHeight="true" outlineLevel="0" collapsed="false">
      <c r="A83" s="8" t="s">
        <v>155</v>
      </c>
      <c r="B83" s="8" t="s">
        <v>139</v>
      </c>
      <c r="C83" s="8" t="s">
        <v>177</v>
      </c>
      <c r="D83" s="12" t="n">
        <v>3610</v>
      </c>
      <c r="E83" s="9" t="n">
        <v>0.418</v>
      </c>
      <c r="F83" s="9" t="n">
        <v>-0.1615</v>
      </c>
      <c r="G83" s="9" t="n">
        <v>0.6189</v>
      </c>
      <c r="H83" s="8" t="n">
        <v>1</v>
      </c>
    </row>
    <row r="84" customFormat="false" ht="15" hidden="false" customHeight="true" outlineLevel="0" collapsed="false">
      <c r="A84" s="8" t="s">
        <v>156</v>
      </c>
      <c r="B84" s="8" t="s">
        <v>139</v>
      </c>
      <c r="C84" s="8" t="s">
        <v>177</v>
      </c>
      <c r="D84" s="12" t="n">
        <v>307</v>
      </c>
      <c r="E84" s="9" t="n">
        <v>0.3809</v>
      </c>
      <c r="F84" s="9" t="n">
        <v>-0.2345</v>
      </c>
      <c r="G84" s="9" t="n">
        <v>0.6626</v>
      </c>
      <c r="H84" s="8" t="n">
        <v>0</v>
      </c>
    </row>
    <row r="85" customFormat="false" ht="15" hidden="false" customHeight="true" outlineLevel="0" collapsed="false">
      <c r="A85" s="8" t="s">
        <v>157</v>
      </c>
      <c r="B85" s="8" t="s">
        <v>139</v>
      </c>
      <c r="C85" s="8" t="s">
        <v>177</v>
      </c>
      <c r="D85" s="12" t="n">
        <v>8027</v>
      </c>
      <c r="E85" s="9" t="n">
        <v>0.399</v>
      </c>
      <c r="F85" s="9" t="n">
        <v>-0.1988</v>
      </c>
      <c r="G85" s="9" t="n">
        <v>0.6129</v>
      </c>
      <c r="H85" s="8" t="n">
        <v>1</v>
      </c>
    </row>
    <row r="86" customFormat="false" ht="15" hidden="false" customHeight="true" outlineLevel="0" collapsed="false">
      <c r="A86" s="8" t="s">
        <v>158</v>
      </c>
      <c r="B86" s="8" t="s">
        <v>139</v>
      </c>
      <c r="C86" s="8" t="s">
        <v>177</v>
      </c>
      <c r="D86" s="12" t="n">
        <v>2131</v>
      </c>
      <c r="E86" s="9" t="n">
        <v>0.4917</v>
      </c>
      <c r="F86" s="9" t="n">
        <v>-0.0164</v>
      </c>
      <c r="G86" s="9" t="n">
        <v>0.6611</v>
      </c>
      <c r="H86" s="8" t="n">
        <v>1</v>
      </c>
    </row>
    <row r="87" customFormat="false" ht="15" hidden="false" customHeight="true" outlineLevel="0" collapsed="false">
      <c r="A87" s="8" t="s">
        <v>159</v>
      </c>
      <c r="B87" s="8" t="s">
        <v>139</v>
      </c>
      <c r="C87" s="8" t="s">
        <v>177</v>
      </c>
      <c r="D87" s="12" t="n">
        <v>3453</v>
      </c>
      <c r="E87" s="9" t="n">
        <v>0.3296</v>
      </c>
      <c r="F87" s="9" t="n">
        <v>-0.3354</v>
      </c>
      <c r="G87" s="9" t="n">
        <v>0.6978</v>
      </c>
      <c r="H87" s="8" t="n">
        <v>0</v>
      </c>
    </row>
    <row r="88" customFormat="false" ht="15" hidden="false" customHeight="true" outlineLevel="0" collapsed="false">
      <c r="A88" s="8" t="s">
        <v>160</v>
      </c>
      <c r="B88" s="8" t="s">
        <v>139</v>
      </c>
      <c r="C88" s="8" t="s">
        <v>177</v>
      </c>
      <c r="D88" s="12" t="n">
        <v>1594</v>
      </c>
      <c r="E88" s="9" t="n">
        <v>0.348</v>
      </c>
      <c r="F88" s="9" t="n">
        <v>-0.2992</v>
      </c>
      <c r="G88" s="9" t="n">
        <v>0.6667</v>
      </c>
      <c r="H88" s="8" t="n">
        <v>0</v>
      </c>
    </row>
    <row r="89" customFormat="false" ht="15" hidden="false" customHeight="true" outlineLevel="0" collapsed="false">
      <c r="A89" s="8" t="s">
        <v>161</v>
      </c>
      <c r="B89" s="8" t="s">
        <v>139</v>
      </c>
      <c r="C89" s="8" t="s">
        <v>177</v>
      </c>
      <c r="D89" s="12" t="n">
        <v>243</v>
      </c>
      <c r="E89" s="9" t="n">
        <v>0.4101</v>
      </c>
      <c r="F89" s="9" t="n">
        <v>-0.177</v>
      </c>
      <c r="G89" s="9" t="n">
        <v>0.5323</v>
      </c>
      <c r="H89" s="8" t="n">
        <v>0</v>
      </c>
    </row>
    <row r="91" customFormat="false" ht="15" hidden="false" customHeight="true" outlineLevel="0" collapsed="false">
      <c r="A91" s="7" t="s">
        <v>264</v>
      </c>
    </row>
    <row r="92" customFormat="false" ht="15" hidden="false" customHeight="true" outlineLevel="0" collapsed="false">
      <c r="B92" s="7" t="s">
        <v>265</v>
      </c>
      <c r="C92" s="7" t="s">
        <v>266</v>
      </c>
      <c r="D92" s="7" t="s">
        <v>267</v>
      </c>
      <c r="E92" s="7" t="s">
        <v>268</v>
      </c>
    </row>
    <row r="93" customFormat="false" ht="15" hidden="false" customHeight="true" outlineLevel="0" collapsed="false">
      <c r="A93" s="8" t="s">
        <v>269</v>
      </c>
      <c r="B93" s="9" t="n">
        <f aca="false">SUMPRODUCT(D4:D89,E4:E89)/SUM(D4:D89)</f>
        <v>0.517197990617289</v>
      </c>
      <c r="C93" s="9" t="n">
        <f aca="false">SUMPRODUCT(D4:D89,F4:F89)/SUM(D4:D89)</f>
        <v>0.0201423107608579</v>
      </c>
      <c r="D93" s="9" t="n">
        <f aca="false">SUMPRODUCT(D4:D89,G4:G89)/SUM(D4:D89)</f>
        <v>0.668318485891797</v>
      </c>
      <c r="E93" s="12" t="n">
        <f aca="false">SUM(D4:D89)</f>
        <v>512645</v>
      </c>
    </row>
    <row r="94" customFormat="false" ht="15" hidden="false" customHeight="true" outlineLevel="0" collapsed="false">
      <c r="A94" s="7" t="s">
        <v>270</v>
      </c>
      <c r="B94" s="19" t="n">
        <f aca="false">SUMPRODUCT(D4:D89,E4:E89,H4:H89)/SUMPRODUCT(D4:D89,H4:H89)</f>
        <v>0.523638154659381</v>
      </c>
      <c r="C94" s="19" t="n">
        <f aca="false">SUMPRODUCT(D4:D89,F4:F89,H4:H89)/SUMPRODUCT(D4:D89,H4:H89)</f>
        <v>0.0218574348161787</v>
      </c>
      <c r="D94" s="19" t="n">
        <f aca="false">SUMPRODUCT(D4:D89,G4:G89,H4:H89)/SUMPRODUCT(D4:D89,H4:H89)</f>
        <v>0.668232633485775</v>
      </c>
      <c r="E94" s="13" t="n">
        <f aca="false">SUMPRODUCT(D4:D89,H4:H89)</f>
        <v>168370</v>
      </c>
    </row>
    <row r="95" customFormat="false" ht="15" hidden="false" customHeight="true" outlineLevel="0" collapsed="false">
      <c r="A95" s="8" t="s">
        <v>271</v>
      </c>
      <c r="E95" s="19" t="n">
        <f aca="false">E94/E93</f>
        <v>0.328433906504501</v>
      </c>
    </row>
  </sheetData>
  <mergeCells count="1">
    <mergeCell ref="A1:I1"/>
  </mergeCells>
  <conditionalFormatting sqref="H4:H89">
    <cfRule type="expression" priority="2" aboveAverage="0" equalAverage="0" bottom="0" percent="0" rank="0" text="" dxfId="5">
      <formula>H4=1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7" min="2" style="1" width="24"/>
    <col collapsed="false" customWidth="true" hidden="false" outlineLevel="0" max="8" min="8" style="1" width="40"/>
  </cols>
  <sheetData>
    <row r="1" customFormat="false" ht="17.25" hidden="false" customHeight="true" outlineLevel="0" collapsed="false">
      <c r="B1" s="26" t="s">
        <v>272</v>
      </c>
    </row>
    <row r="3" customFormat="false" ht="15" hidden="false" customHeight="true" outlineLevel="0" collapsed="false">
      <c r="B3" s="27" t="s">
        <v>273</v>
      </c>
    </row>
    <row r="4" customFormat="false" ht="54.75" hidden="false" customHeight="true" outlineLevel="0" collapsed="false">
      <c r="B4" s="28" t="s">
        <v>274</v>
      </c>
      <c r="C4" s="28"/>
      <c r="D4" s="28"/>
      <c r="E4" s="28"/>
      <c r="F4" s="28"/>
      <c r="G4" s="28"/>
      <c r="H4" s="28"/>
    </row>
    <row r="6" customFormat="false" ht="15" hidden="false" customHeight="true" outlineLevel="0" collapsed="false">
      <c r="B6" s="27" t="s">
        <v>275</v>
      </c>
    </row>
    <row r="7" customFormat="false" ht="45" hidden="false" customHeight="true" outlineLevel="0" collapsed="false">
      <c r="B7" s="28" t="s">
        <v>276</v>
      </c>
      <c r="C7" s="28"/>
      <c r="D7" s="28"/>
      <c r="E7" s="28"/>
      <c r="F7" s="28"/>
      <c r="G7" s="28"/>
      <c r="H7" s="28"/>
    </row>
    <row r="9" customFormat="false" ht="15" hidden="false" customHeight="true" outlineLevel="0" collapsed="false">
      <c r="B9" s="27" t="s">
        <v>277</v>
      </c>
    </row>
    <row r="10" customFormat="false" ht="30" hidden="false" customHeight="true" outlineLevel="0" collapsed="false">
      <c r="B10" s="29" t="s">
        <v>278</v>
      </c>
      <c r="C10" s="29"/>
      <c r="D10" s="29"/>
      <c r="E10" s="29"/>
      <c r="F10" s="29"/>
      <c r="G10" s="29"/>
      <c r="H10" s="29"/>
    </row>
    <row r="12" customFormat="false" ht="15" hidden="false" customHeight="true" outlineLevel="0" collapsed="false">
      <c r="B12" s="27" t="s">
        <v>279</v>
      </c>
    </row>
    <row r="13" customFormat="false" ht="15" hidden="false" customHeight="true" outlineLevel="0" collapsed="false">
      <c r="B13" s="30" t="s">
        <v>280</v>
      </c>
      <c r="C13" s="30" t="s">
        <v>281</v>
      </c>
      <c r="D13" s="30" t="s">
        <v>175</v>
      </c>
      <c r="E13" s="30" t="s">
        <v>282</v>
      </c>
      <c r="F13" s="30"/>
      <c r="G13" s="30"/>
      <c r="H13" s="30"/>
    </row>
    <row r="14" customFormat="false" ht="33.75" hidden="false" customHeight="true" outlineLevel="0" collapsed="false">
      <c r="B14" s="31" t="s">
        <v>265</v>
      </c>
      <c r="C14" s="31" t="s">
        <v>283</v>
      </c>
      <c r="D14" s="31" t="s">
        <v>284</v>
      </c>
      <c r="E14" s="32" t="s">
        <v>285</v>
      </c>
      <c r="F14" s="32"/>
      <c r="G14" s="32"/>
      <c r="H14" s="32"/>
    </row>
    <row r="15" customFormat="false" ht="33.75" hidden="false" customHeight="true" outlineLevel="0" collapsed="false">
      <c r="B15" s="31" t="s">
        <v>286</v>
      </c>
      <c r="C15" s="31" t="s">
        <v>287</v>
      </c>
      <c r="D15" s="31" t="s">
        <v>288</v>
      </c>
      <c r="E15" s="32" t="s">
        <v>289</v>
      </c>
      <c r="F15" s="32"/>
      <c r="G15" s="32"/>
      <c r="H15" s="32"/>
    </row>
    <row r="16" customFormat="false" ht="33.75" hidden="false" customHeight="true" outlineLevel="0" collapsed="false">
      <c r="B16" s="31" t="s">
        <v>290</v>
      </c>
      <c r="C16" s="31" t="s">
        <v>291</v>
      </c>
      <c r="D16" s="31" t="s">
        <v>288</v>
      </c>
      <c r="E16" s="32" t="s">
        <v>292</v>
      </c>
      <c r="F16" s="32"/>
      <c r="G16" s="32"/>
      <c r="H16" s="32"/>
    </row>
    <row r="17" customFormat="false" ht="33.75" hidden="false" customHeight="true" outlineLevel="0" collapsed="false">
      <c r="B17" s="31" t="s">
        <v>293</v>
      </c>
      <c r="C17" s="31" t="s">
        <v>287</v>
      </c>
      <c r="D17" s="31" t="s">
        <v>294</v>
      </c>
      <c r="E17" s="32" t="s">
        <v>295</v>
      </c>
      <c r="F17" s="32"/>
      <c r="G17" s="32"/>
      <c r="H17" s="32"/>
    </row>
    <row r="18" customFormat="false" ht="33.75" hidden="false" customHeight="true" outlineLevel="0" collapsed="false">
      <c r="B18" s="31" t="s">
        <v>71</v>
      </c>
      <c r="C18" s="31" t="s">
        <v>296</v>
      </c>
      <c r="D18" s="31" t="s">
        <v>297</v>
      </c>
      <c r="E18" s="32" t="s">
        <v>298</v>
      </c>
      <c r="F18" s="32"/>
      <c r="G18" s="32"/>
      <c r="H18" s="32"/>
    </row>
    <row r="19" customFormat="false" ht="33.75" hidden="false" customHeight="true" outlineLevel="0" collapsed="false">
      <c r="B19" s="31" t="s">
        <v>299</v>
      </c>
      <c r="C19" s="31" t="s">
        <v>287</v>
      </c>
      <c r="D19" s="31" t="s">
        <v>300</v>
      </c>
      <c r="E19" s="32" t="s">
        <v>301</v>
      </c>
      <c r="F19" s="32"/>
      <c r="G19" s="32"/>
      <c r="H19" s="32"/>
    </row>
    <row r="20" customFormat="false" ht="33.75" hidden="false" customHeight="true" outlineLevel="0" collapsed="false">
      <c r="B20" s="31" t="s">
        <v>302</v>
      </c>
      <c r="C20" s="31" t="s">
        <v>303</v>
      </c>
      <c r="D20" s="31" t="s">
        <v>304</v>
      </c>
      <c r="E20" s="32" t="s">
        <v>305</v>
      </c>
      <c r="F20" s="32"/>
      <c r="G20" s="32"/>
      <c r="H20" s="32"/>
    </row>
    <row r="22" customFormat="false" ht="15" hidden="false" customHeight="true" outlineLevel="0" collapsed="false">
      <c r="B22" s="27" t="s">
        <v>306</v>
      </c>
    </row>
    <row r="23" customFormat="false" ht="54.75" hidden="false" customHeight="true" outlineLevel="0" collapsed="false">
      <c r="B23" s="28" t="s">
        <v>307</v>
      </c>
      <c r="C23" s="28"/>
      <c r="D23" s="28"/>
      <c r="E23" s="28"/>
      <c r="F23" s="28"/>
      <c r="G23" s="28"/>
      <c r="H23" s="28"/>
    </row>
  </sheetData>
  <mergeCells count="12">
    <mergeCell ref="B4:H4"/>
    <mergeCell ref="B7:H7"/>
    <mergeCell ref="B10:H10"/>
    <mergeCell ref="E13:H13"/>
    <mergeCell ref="E14:H14"/>
    <mergeCell ref="E15:H15"/>
    <mergeCell ref="E16:H16"/>
    <mergeCell ref="E17:H17"/>
    <mergeCell ref="E18:H18"/>
    <mergeCell ref="E19:H19"/>
    <mergeCell ref="E20:H20"/>
    <mergeCell ref="B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16"/>
    <col collapsed="false" customWidth="true" hidden="false" outlineLevel="0" max="4" min="4" style="1" width="20"/>
    <col collapsed="false" customWidth="true" hidden="false" outlineLevel="0" max="5" min="5" style="1" width="18"/>
  </cols>
  <sheetData>
    <row r="1" customFormat="false" ht="17.25" hidden="false" customHeight="true" outlineLevel="0" collapsed="false">
      <c r="A1" s="33" t="s">
        <v>308</v>
      </c>
      <c r="B1" s="33"/>
      <c r="C1" s="33"/>
      <c r="D1" s="33"/>
      <c r="E1" s="33"/>
    </row>
    <row r="2" customFormat="false" ht="30" hidden="false" customHeight="true" outlineLevel="0" collapsed="false">
      <c r="A2" s="34" t="s">
        <v>309</v>
      </c>
      <c r="B2" s="34"/>
      <c r="C2" s="34"/>
      <c r="D2" s="34"/>
      <c r="E2" s="34"/>
    </row>
    <row r="4" customFormat="false" ht="15" hidden="false" customHeight="true" outlineLevel="0" collapsed="false">
      <c r="A4" s="35" t="s">
        <v>310</v>
      </c>
      <c r="B4" s="35" t="s">
        <v>311</v>
      </c>
      <c r="C4" s="35" t="s">
        <v>218</v>
      </c>
      <c r="D4" s="35" t="s">
        <v>312</v>
      </c>
      <c r="E4" s="35" t="s">
        <v>313</v>
      </c>
    </row>
    <row r="5" customFormat="false" ht="15" hidden="false" customHeight="true" outlineLevel="0" collapsed="false">
      <c r="A5" s="8" t="s">
        <v>314</v>
      </c>
      <c r="B5" s="9" t="n">
        <f aca="false">'Kiley - 2026 Vote Forecast'!B93</f>
        <v>0.493723032345438</v>
      </c>
      <c r="C5" s="8" t="str">
        <f aca="false">'Kiley - 2026 Vote Forecast'!B94</f>
        <v>Republican</v>
      </c>
      <c r="D5" s="8" t="n">
        <v>2.18</v>
      </c>
      <c r="E5" s="8" t="s">
        <v>315</v>
      </c>
    </row>
    <row r="6" customFormat="false" ht="15" hidden="false" customHeight="true" outlineLevel="0" collapsed="false">
      <c r="A6" s="8" t="s">
        <v>316</v>
      </c>
      <c r="B6" s="9" t="n">
        <f aca="false">'2026 Beta-Adjusted Forecast'!B93</f>
        <v>0.487625586595698</v>
      </c>
      <c r="C6" s="8" t="str">
        <f aca="false">'2026 Beta-Adjusted Forecast'!B94</f>
        <v>Republican</v>
      </c>
      <c r="D6" s="8" t="n">
        <v>1.57</v>
      </c>
      <c r="E6" s="8" t="s">
        <v>317</v>
      </c>
    </row>
    <row r="7" customFormat="false" ht="15" hidden="false" customHeight="true" outlineLevel="0" collapsed="false">
      <c r="A7" s="36" t="s">
        <v>318</v>
      </c>
      <c r="B7" s="37" t="n">
        <f aca="false">'2026 Regression Forecast'!B93</f>
        <v>0.511983874523637</v>
      </c>
      <c r="C7" s="36" t="str">
        <f aca="false">'2026 Regression Forecast'!B94</f>
        <v>Democrat</v>
      </c>
      <c r="D7" s="36" t="n">
        <v>1.13</v>
      </c>
      <c r="E7" s="36" t="s">
        <v>319</v>
      </c>
    </row>
    <row r="9" customFormat="false" ht="15" hidden="false" customHeight="true" outlineLevel="0" collapsed="false">
      <c r="A9" s="7" t="s">
        <v>320</v>
      </c>
      <c r="B9" s="19" t="n">
        <f aca="false">MAX(B5:B7)-MIN(B5:B7)</f>
        <v>0.0243582879279393</v>
      </c>
    </row>
    <row r="10" customFormat="false" ht="15" hidden="false" customHeight="true" outlineLevel="0" collapsed="false">
      <c r="A10" s="7" t="s">
        <v>321</v>
      </c>
      <c r="B10" s="38" t="n">
        <f aca="false">B7</f>
        <v>0.511983874523637</v>
      </c>
    </row>
    <row r="11" customFormat="false" ht="15" hidden="false" customHeight="true" outlineLevel="0" collapsed="false">
      <c r="A11" s="7" t="s">
        <v>322</v>
      </c>
      <c r="B11" s="7" t="str">
        <f aca="false">TEXT(B7-D7/100,"0.0%")&amp;" to "&amp;TEXT(B7+D7/100,"0.0%")</f>
        <v>50.1% to 52.3%</v>
      </c>
    </row>
    <row r="13" customFormat="false" ht="69.75" hidden="false" customHeight="true" outlineLevel="0" collapsed="false">
      <c r="A13" s="39" t="s">
        <v>323</v>
      </c>
      <c r="B13" s="39"/>
      <c r="C13" s="39"/>
      <c r="D13" s="39"/>
      <c r="E13" s="39"/>
    </row>
  </sheetData>
  <mergeCells count="3">
    <mergeCell ref="A1:E1"/>
    <mergeCell ref="A2:E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20"/>
    <col collapsed="false" customWidth="true" hidden="false" outlineLevel="0" max="4" min="4" style="1" width="24"/>
  </cols>
  <sheetData>
    <row r="1" customFormat="false" ht="15" hidden="false" customHeight="true" outlineLevel="0" collapsed="false">
      <c r="A1" s="7" t="s">
        <v>60</v>
      </c>
      <c r="B1" s="7" t="s">
        <v>61</v>
      </c>
      <c r="C1" s="7" t="s">
        <v>324</v>
      </c>
      <c r="D1" s="7" t="s">
        <v>325</v>
      </c>
    </row>
    <row r="2" customFormat="false" ht="15" hidden="false" customHeight="true" outlineLevel="0" collapsed="false">
      <c r="A2" s="8" t="s">
        <v>72</v>
      </c>
      <c r="B2" s="8" t="s">
        <v>73</v>
      </c>
      <c r="C2" s="8" t="n">
        <v>-0.0261</v>
      </c>
      <c r="D2" s="8" t="n">
        <v>0.34</v>
      </c>
    </row>
    <row r="3" customFormat="false" ht="15" hidden="false" customHeight="true" outlineLevel="0" collapsed="false">
      <c r="A3" s="8" t="s">
        <v>74</v>
      </c>
      <c r="B3" s="8" t="s">
        <v>73</v>
      </c>
      <c r="C3" s="8" t="n">
        <v>0.3346</v>
      </c>
      <c r="D3" s="8" t="n">
        <v>0.19</v>
      </c>
    </row>
    <row r="4" customFormat="false" ht="15" hidden="false" customHeight="true" outlineLevel="0" collapsed="false">
      <c r="A4" s="8" t="s">
        <v>75</v>
      </c>
      <c r="B4" s="8" t="s">
        <v>73</v>
      </c>
      <c r="C4" s="8" t="n">
        <v>0.2577</v>
      </c>
      <c r="D4" s="8" t="n">
        <v>0.39</v>
      </c>
    </row>
    <row r="5" customFormat="false" ht="15" hidden="false" customHeight="true" outlineLevel="0" collapsed="false">
      <c r="A5" s="8" t="s">
        <v>76</v>
      </c>
      <c r="B5" s="8" t="s">
        <v>73</v>
      </c>
      <c r="C5" s="8" t="n">
        <v>0.0948</v>
      </c>
      <c r="D5" s="8" t="n">
        <v>0.31</v>
      </c>
    </row>
    <row r="6" customFormat="false" ht="15" hidden="false" customHeight="true" outlineLevel="0" collapsed="false">
      <c r="A6" s="8" t="s">
        <v>77</v>
      </c>
      <c r="B6" s="8" t="s">
        <v>73</v>
      </c>
      <c r="C6" s="8" t="n">
        <v>-0.0625</v>
      </c>
      <c r="D6" s="8" t="n">
        <v>0.32</v>
      </c>
    </row>
    <row r="7" customFormat="false" ht="15" hidden="false" customHeight="true" outlineLevel="0" collapsed="false">
      <c r="A7" s="8" t="s">
        <v>78</v>
      </c>
      <c r="B7" s="8" t="s">
        <v>73</v>
      </c>
      <c r="C7" s="8" t="n">
        <v>0.1034</v>
      </c>
      <c r="D7" s="8" t="n">
        <v>0.19</v>
      </c>
    </row>
    <row r="8" customFormat="false" ht="15" hidden="false" customHeight="true" outlineLevel="0" collapsed="false">
      <c r="A8" s="8" t="s">
        <v>79</v>
      </c>
      <c r="B8" s="8" t="s">
        <v>73</v>
      </c>
      <c r="C8" s="8" t="n">
        <v>0.0707</v>
      </c>
      <c r="D8" s="8" t="n">
        <v>0.32</v>
      </c>
    </row>
    <row r="9" customFormat="false" ht="15" hidden="false" customHeight="true" outlineLevel="0" collapsed="false">
      <c r="A9" s="8" t="s">
        <v>80</v>
      </c>
      <c r="B9" s="8" t="s">
        <v>73</v>
      </c>
      <c r="C9" s="8" t="n">
        <v>0.3215</v>
      </c>
      <c r="D9" s="8" t="n">
        <v>0.29</v>
      </c>
    </row>
    <row r="10" customFormat="false" ht="15" hidden="false" customHeight="true" outlineLevel="0" collapsed="false">
      <c r="A10" s="8" t="s">
        <v>81</v>
      </c>
      <c r="B10" s="8" t="s">
        <v>73</v>
      </c>
      <c r="C10" s="8" t="n">
        <v>0.1721</v>
      </c>
      <c r="D10" s="8" t="n">
        <v>0.21</v>
      </c>
    </row>
    <row r="11" customFormat="false" ht="15" hidden="false" customHeight="true" outlineLevel="0" collapsed="false">
      <c r="A11" s="8" t="s">
        <v>82</v>
      </c>
      <c r="B11" s="8" t="s">
        <v>73</v>
      </c>
      <c r="C11" s="8" t="n">
        <v>-0.3427</v>
      </c>
      <c r="D11" s="8" t="n">
        <v>0.27</v>
      </c>
    </row>
    <row r="12" customFormat="false" ht="15" hidden="false" customHeight="true" outlineLevel="0" collapsed="false">
      <c r="A12" s="8" t="s">
        <v>83</v>
      </c>
      <c r="B12" s="8" t="s">
        <v>73</v>
      </c>
      <c r="C12" s="8" t="n">
        <v>-0.03</v>
      </c>
      <c r="D12" s="8" t="n">
        <v>0.53</v>
      </c>
    </row>
    <row r="13" customFormat="false" ht="15" hidden="false" customHeight="true" outlineLevel="0" collapsed="false">
      <c r="A13" s="8" t="s">
        <v>84</v>
      </c>
      <c r="B13" s="8" t="s">
        <v>73</v>
      </c>
      <c r="C13" s="8" t="n">
        <v>-0.2757</v>
      </c>
      <c r="D13" s="8" t="n">
        <v>0.41</v>
      </c>
    </row>
    <row r="14" customFormat="false" ht="15" hidden="false" customHeight="true" outlineLevel="0" collapsed="false">
      <c r="A14" s="8" t="s">
        <v>85</v>
      </c>
      <c r="B14" s="8" t="s">
        <v>73</v>
      </c>
      <c r="C14" s="8" t="n">
        <v>-0.3126</v>
      </c>
      <c r="D14" s="8" t="n">
        <v>0.48</v>
      </c>
    </row>
    <row r="15" customFormat="false" ht="15" hidden="false" customHeight="true" outlineLevel="0" collapsed="false">
      <c r="A15" s="8" t="s">
        <v>86</v>
      </c>
      <c r="B15" s="8" t="s">
        <v>73</v>
      </c>
      <c r="C15" s="8" t="n">
        <v>-0.361</v>
      </c>
      <c r="D15" s="8" t="n">
        <v>0.33</v>
      </c>
    </row>
    <row r="16" customFormat="false" ht="15" hidden="false" customHeight="true" outlineLevel="0" collapsed="false">
      <c r="A16" s="8" t="s">
        <v>87</v>
      </c>
      <c r="B16" s="8" t="s">
        <v>73</v>
      </c>
      <c r="C16" s="8" t="n">
        <v>0.0305</v>
      </c>
      <c r="D16" s="8" t="n">
        <v>0.32</v>
      </c>
    </row>
    <row r="17" customFormat="false" ht="15" hidden="false" customHeight="true" outlineLevel="0" collapsed="false">
      <c r="A17" s="8" t="s">
        <v>88</v>
      </c>
      <c r="B17" s="8" t="s">
        <v>73</v>
      </c>
      <c r="C17" s="8" t="n">
        <v>-0.1689</v>
      </c>
      <c r="D17" s="8" t="n">
        <v>0.41</v>
      </c>
    </row>
    <row r="18" customFormat="false" ht="15" hidden="false" customHeight="true" outlineLevel="0" collapsed="false">
      <c r="A18" s="8" t="s">
        <v>89</v>
      </c>
      <c r="B18" s="8" t="s">
        <v>73</v>
      </c>
      <c r="C18" s="8" t="n">
        <v>0.0176</v>
      </c>
      <c r="D18" s="8" t="n">
        <v>0.38</v>
      </c>
    </row>
    <row r="19" customFormat="false" ht="15" hidden="false" customHeight="true" outlineLevel="0" collapsed="false">
      <c r="A19" s="8" t="s">
        <v>90</v>
      </c>
      <c r="B19" s="8" t="s">
        <v>73</v>
      </c>
      <c r="C19" s="8" t="n">
        <v>-0.088</v>
      </c>
      <c r="D19" s="8" t="n">
        <v>0.13</v>
      </c>
    </row>
    <row r="20" customFormat="false" ht="15" hidden="false" customHeight="true" outlineLevel="0" collapsed="false">
      <c r="A20" s="8" t="s">
        <v>91</v>
      </c>
      <c r="B20" s="8" t="s">
        <v>73</v>
      </c>
      <c r="C20" s="8" t="n">
        <v>0.0556</v>
      </c>
      <c r="D20" s="8" t="n">
        <v>0.46</v>
      </c>
    </row>
    <row r="21" customFormat="false" ht="15" hidden="false" customHeight="true" outlineLevel="0" collapsed="false">
      <c r="A21" s="8" t="s">
        <v>92</v>
      </c>
      <c r="B21" s="8" t="s">
        <v>73</v>
      </c>
      <c r="C21" s="8" t="n">
        <v>0.0197</v>
      </c>
      <c r="D21" s="8" t="n">
        <v>0.56</v>
      </c>
    </row>
    <row r="22" customFormat="false" ht="15" hidden="false" customHeight="true" outlineLevel="0" collapsed="false">
      <c r="A22" s="8" t="s">
        <v>93</v>
      </c>
      <c r="B22" s="8" t="s">
        <v>73</v>
      </c>
      <c r="C22" s="8" t="n">
        <v>-0.1632</v>
      </c>
      <c r="D22" s="8" t="n">
        <v>0.44</v>
      </c>
    </row>
    <row r="23" customFormat="false" ht="15" hidden="false" customHeight="true" outlineLevel="0" collapsed="false">
      <c r="A23" s="8" t="s">
        <v>94</v>
      </c>
      <c r="B23" s="8" t="s">
        <v>73</v>
      </c>
      <c r="C23" s="8" t="n">
        <v>-0.0722</v>
      </c>
      <c r="D23" s="8" t="n">
        <v>0.53</v>
      </c>
    </row>
    <row r="24" customFormat="false" ht="15" hidden="false" customHeight="true" outlineLevel="0" collapsed="false">
      <c r="A24" s="8" t="s">
        <v>95</v>
      </c>
      <c r="B24" s="8" t="s">
        <v>73</v>
      </c>
      <c r="C24" s="8" t="n">
        <v>-0.2942</v>
      </c>
      <c r="D24" s="8" t="n">
        <v>0.24</v>
      </c>
    </row>
    <row r="25" customFormat="false" ht="15" hidden="false" customHeight="true" outlineLevel="0" collapsed="false">
      <c r="A25" s="8" t="s">
        <v>96</v>
      </c>
      <c r="B25" s="8" t="s">
        <v>73</v>
      </c>
      <c r="C25" s="8" t="n">
        <v>-0.3233</v>
      </c>
      <c r="D25" s="8" t="n">
        <v>0.44</v>
      </c>
    </row>
    <row r="26" customFormat="false" ht="15" hidden="false" customHeight="true" outlineLevel="0" collapsed="false">
      <c r="A26" s="8" t="s">
        <v>97</v>
      </c>
      <c r="B26" s="8" t="s">
        <v>73</v>
      </c>
      <c r="C26" s="8" t="n">
        <v>0.1066</v>
      </c>
      <c r="D26" s="8" t="n">
        <v>0.27</v>
      </c>
    </row>
    <row r="27" customFormat="false" ht="15" hidden="false" customHeight="true" outlineLevel="0" collapsed="false">
      <c r="A27" s="8" t="s">
        <v>98</v>
      </c>
      <c r="B27" s="8" t="s">
        <v>99</v>
      </c>
      <c r="C27" s="8" t="n">
        <v>-0.0872</v>
      </c>
      <c r="D27" s="8" t="n">
        <v>0.31</v>
      </c>
    </row>
    <row r="28" customFormat="false" ht="15" hidden="false" customHeight="true" outlineLevel="0" collapsed="false">
      <c r="A28" s="8" t="s">
        <v>100</v>
      </c>
      <c r="B28" s="8" t="s">
        <v>99</v>
      </c>
      <c r="C28" s="8" t="n">
        <v>-0.1149</v>
      </c>
      <c r="D28" s="8" t="n">
        <v>0.23</v>
      </c>
    </row>
    <row r="29" customFormat="false" ht="15" hidden="false" customHeight="true" outlineLevel="0" collapsed="false">
      <c r="A29" s="8" t="s">
        <v>101</v>
      </c>
      <c r="B29" s="8" t="s">
        <v>99</v>
      </c>
      <c r="C29" s="8" t="n">
        <v>-0.0145</v>
      </c>
      <c r="D29" s="8" t="n">
        <v>0.25</v>
      </c>
    </row>
    <row r="30" customFormat="false" ht="15" hidden="false" customHeight="true" outlineLevel="0" collapsed="false">
      <c r="A30" s="8" t="s">
        <v>75</v>
      </c>
      <c r="B30" s="8" t="s">
        <v>99</v>
      </c>
      <c r="C30" s="8" t="n">
        <v>0.0661</v>
      </c>
      <c r="D30" s="8" t="n">
        <v>0.47</v>
      </c>
    </row>
    <row r="31" customFormat="false" ht="15" hidden="false" customHeight="true" outlineLevel="0" collapsed="false">
      <c r="A31" s="8" t="s">
        <v>102</v>
      </c>
      <c r="B31" s="8" t="s">
        <v>99</v>
      </c>
      <c r="C31" s="8" t="n">
        <v>0.0661</v>
      </c>
      <c r="D31" s="8" t="n">
        <v>0.47</v>
      </c>
    </row>
    <row r="32" customFormat="false" ht="15" hidden="false" customHeight="true" outlineLevel="0" collapsed="false">
      <c r="A32" s="8" t="s">
        <v>103</v>
      </c>
      <c r="B32" s="8" t="s">
        <v>99</v>
      </c>
      <c r="C32" s="8" t="n">
        <v>-0.2205</v>
      </c>
      <c r="D32" s="8" t="n">
        <v>0.46</v>
      </c>
    </row>
    <row r="33" customFormat="false" ht="15" hidden="false" customHeight="true" outlineLevel="0" collapsed="false">
      <c r="A33" s="8" t="s">
        <v>104</v>
      </c>
      <c r="B33" s="8" t="s">
        <v>99</v>
      </c>
      <c r="C33" s="8" t="n">
        <v>-0.1923</v>
      </c>
      <c r="D33" s="8" t="n">
        <v>0.22</v>
      </c>
    </row>
    <row r="34" customFormat="false" ht="15" hidden="false" customHeight="true" outlineLevel="0" collapsed="false">
      <c r="A34" s="8" t="s">
        <v>105</v>
      </c>
      <c r="B34" s="8" t="s">
        <v>99</v>
      </c>
      <c r="C34" s="8" t="n">
        <v>-0.1305</v>
      </c>
      <c r="D34" s="8" t="n">
        <v>0.31</v>
      </c>
    </row>
    <row r="35" customFormat="false" ht="15" hidden="false" customHeight="true" outlineLevel="0" collapsed="false">
      <c r="A35" s="8" t="s">
        <v>106</v>
      </c>
      <c r="B35" s="8" t="s">
        <v>99</v>
      </c>
      <c r="C35" s="8" t="n">
        <v>-0.1767</v>
      </c>
      <c r="D35" s="8" t="n">
        <v>0.14</v>
      </c>
    </row>
    <row r="36" customFormat="false" ht="15" hidden="false" customHeight="true" outlineLevel="0" collapsed="false">
      <c r="A36" s="8" t="s">
        <v>107</v>
      </c>
      <c r="B36" s="8" t="s">
        <v>99</v>
      </c>
      <c r="C36" s="8" t="n">
        <v>0.3605</v>
      </c>
      <c r="D36" s="8" t="n">
        <v>0.28</v>
      </c>
    </row>
    <row r="37" customFormat="false" ht="15" hidden="false" customHeight="true" outlineLevel="0" collapsed="false">
      <c r="A37" s="8" t="s">
        <v>108</v>
      </c>
      <c r="B37" s="8" t="s">
        <v>99</v>
      </c>
      <c r="C37" s="8" t="n">
        <v>0.0347</v>
      </c>
      <c r="D37" s="8" t="n">
        <v>0.42</v>
      </c>
    </row>
    <row r="38" customFormat="false" ht="15" hidden="false" customHeight="true" outlineLevel="0" collapsed="false">
      <c r="A38" s="8" t="s">
        <v>109</v>
      </c>
      <c r="B38" s="8" t="s">
        <v>99</v>
      </c>
      <c r="C38" s="8" t="n">
        <v>0.2577</v>
      </c>
      <c r="D38" s="8" t="n">
        <v>0.19</v>
      </c>
    </row>
    <row r="39" customFormat="false" ht="15" hidden="false" customHeight="true" outlineLevel="0" collapsed="false">
      <c r="A39" s="8" t="s">
        <v>110</v>
      </c>
      <c r="B39" s="8" t="s">
        <v>99</v>
      </c>
      <c r="C39" s="8" t="n">
        <v>0.0438</v>
      </c>
      <c r="D39" s="8" t="n">
        <v>0.19</v>
      </c>
    </row>
    <row r="40" customFormat="false" ht="15" hidden="false" customHeight="true" outlineLevel="0" collapsed="false">
      <c r="A40" s="8" t="s">
        <v>81</v>
      </c>
      <c r="B40" s="8" t="s">
        <v>99</v>
      </c>
      <c r="C40" s="8" t="n">
        <v>0.0673</v>
      </c>
      <c r="D40" s="8" t="n">
        <v>0.54</v>
      </c>
    </row>
    <row r="41" customFormat="false" ht="15" hidden="false" customHeight="true" outlineLevel="0" collapsed="false">
      <c r="A41" s="8" t="s">
        <v>111</v>
      </c>
      <c r="B41" s="8" t="s">
        <v>99</v>
      </c>
      <c r="C41" s="8" t="n">
        <v>0.0431</v>
      </c>
      <c r="D41" s="8" t="n">
        <v>0.31</v>
      </c>
    </row>
    <row r="42" customFormat="false" ht="15" hidden="false" customHeight="true" outlineLevel="0" collapsed="false">
      <c r="A42" s="8" t="s">
        <v>73</v>
      </c>
      <c r="B42" s="8" t="s">
        <v>99</v>
      </c>
      <c r="C42" s="8" t="n">
        <v>-0.2279</v>
      </c>
      <c r="D42" s="8" t="n">
        <v>0.21</v>
      </c>
    </row>
    <row r="43" customFormat="false" ht="15" hidden="false" customHeight="true" outlineLevel="0" collapsed="false">
      <c r="A43" s="8" t="s">
        <v>112</v>
      </c>
      <c r="B43" s="8" t="s">
        <v>99</v>
      </c>
      <c r="C43" s="8" t="n">
        <v>-0.2573</v>
      </c>
      <c r="D43" s="8" t="n">
        <v>0.22</v>
      </c>
    </row>
    <row r="44" customFormat="false" ht="15" hidden="false" customHeight="true" outlineLevel="0" collapsed="false">
      <c r="A44" s="8" t="s">
        <v>113</v>
      </c>
      <c r="B44" s="8" t="s">
        <v>99</v>
      </c>
      <c r="C44" s="8" t="n">
        <v>-0.0084</v>
      </c>
      <c r="D44" s="8" t="n">
        <v>0.27</v>
      </c>
    </row>
    <row r="45" customFormat="false" ht="15" hidden="false" customHeight="true" outlineLevel="0" collapsed="false">
      <c r="A45" s="8" t="s">
        <v>114</v>
      </c>
      <c r="B45" s="8" t="s">
        <v>99</v>
      </c>
      <c r="C45" s="8" t="n">
        <v>-0.0716</v>
      </c>
      <c r="D45" s="8" t="n">
        <v>0.48</v>
      </c>
    </row>
    <row r="46" customFormat="false" ht="15" hidden="false" customHeight="true" outlineLevel="0" collapsed="false">
      <c r="A46" s="8" t="s">
        <v>115</v>
      </c>
      <c r="B46" s="8" t="s">
        <v>99</v>
      </c>
      <c r="C46" s="8" t="n">
        <v>-0.2858</v>
      </c>
      <c r="D46" s="8" t="n">
        <v>0.25</v>
      </c>
    </row>
    <row r="47" customFormat="false" ht="15" hidden="false" customHeight="true" outlineLevel="0" collapsed="false">
      <c r="A47" s="8" t="s">
        <v>116</v>
      </c>
      <c r="B47" s="8" t="s">
        <v>99</v>
      </c>
      <c r="C47" s="8" t="n">
        <v>-0.1053</v>
      </c>
      <c r="D47" s="8" t="n">
        <v>0.46</v>
      </c>
    </row>
    <row r="48" customFormat="false" ht="15" hidden="false" customHeight="true" outlineLevel="0" collapsed="false">
      <c r="A48" s="8" t="s">
        <v>117</v>
      </c>
      <c r="B48" s="8" t="s">
        <v>99</v>
      </c>
      <c r="C48" s="8" t="n">
        <v>0.0324</v>
      </c>
      <c r="D48" s="8" t="n">
        <v>0.25</v>
      </c>
    </row>
    <row r="49" customFormat="false" ht="15" hidden="false" customHeight="true" outlineLevel="0" collapsed="false">
      <c r="A49" s="8" t="s">
        <v>99</v>
      </c>
      <c r="B49" s="8" t="s">
        <v>99</v>
      </c>
      <c r="C49" s="8" t="n">
        <v>0.006</v>
      </c>
      <c r="D49" s="8" t="n">
        <v>0.26</v>
      </c>
    </row>
    <row r="50" customFormat="false" ht="15" hidden="false" customHeight="true" outlineLevel="0" collapsed="false">
      <c r="A50" s="8" t="s">
        <v>118</v>
      </c>
      <c r="B50" s="8" t="s">
        <v>99</v>
      </c>
      <c r="C50" s="8" t="n">
        <v>0.0409</v>
      </c>
      <c r="D50" s="8" t="n">
        <v>0.42</v>
      </c>
    </row>
    <row r="51" customFormat="false" ht="15" hidden="false" customHeight="true" outlineLevel="0" collapsed="false">
      <c r="A51" s="8" t="s">
        <v>119</v>
      </c>
      <c r="B51" s="8" t="s">
        <v>99</v>
      </c>
      <c r="C51" s="8" t="n">
        <v>-0.1735</v>
      </c>
      <c r="D51" s="8" t="n">
        <v>0.23</v>
      </c>
    </row>
    <row r="52" customFormat="false" ht="15" hidden="false" customHeight="true" outlineLevel="0" collapsed="false">
      <c r="A52" s="8" t="s">
        <v>120</v>
      </c>
      <c r="B52" s="8" t="s">
        <v>99</v>
      </c>
      <c r="C52" s="8" t="n">
        <v>-0.2559</v>
      </c>
      <c r="D52" s="8" t="n">
        <v>0.23</v>
      </c>
    </row>
    <row r="53" customFormat="false" ht="15" hidden="false" customHeight="true" outlineLevel="0" collapsed="false">
      <c r="A53" s="8" t="s">
        <v>121</v>
      </c>
      <c r="B53" s="8" t="s">
        <v>99</v>
      </c>
      <c r="C53" s="8" t="n">
        <v>-0.269</v>
      </c>
      <c r="D53" s="8" t="n">
        <v>0.19</v>
      </c>
    </row>
    <row r="54" customFormat="false" ht="15" hidden="false" customHeight="true" outlineLevel="0" collapsed="false">
      <c r="A54" s="8" t="s">
        <v>122</v>
      </c>
      <c r="B54" s="8" t="s">
        <v>99</v>
      </c>
      <c r="C54" s="8" t="n">
        <v>-0.1268</v>
      </c>
      <c r="D54" s="8" t="n">
        <v>0.27</v>
      </c>
    </row>
    <row r="55" customFormat="false" ht="15" hidden="false" customHeight="true" outlineLevel="0" collapsed="false">
      <c r="A55" s="8" t="s">
        <v>123</v>
      </c>
      <c r="B55" s="8" t="s">
        <v>99</v>
      </c>
      <c r="C55" s="8" t="n">
        <v>-0.13</v>
      </c>
      <c r="D55" s="8" t="n">
        <v>0.32</v>
      </c>
    </row>
    <row r="56" customFormat="false" ht="15" hidden="false" customHeight="true" outlineLevel="0" collapsed="false">
      <c r="A56" s="8" t="s">
        <v>124</v>
      </c>
      <c r="B56" s="8" t="s">
        <v>99</v>
      </c>
      <c r="C56" s="8" t="n">
        <v>-0.0811</v>
      </c>
      <c r="D56" s="8" t="n">
        <v>0.37</v>
      </c>
    </row>
    <row r="57" customFormat="false" ht="15" hidden="false" customHeight="true" outlineLevel="0" collapsed="false">
      <c r="A57" s="8" t="s">
        <v>125</v>
      </c>
      <c r="B57" s="8" t="s">
        <v>99</v>
      </c>
      <c r="C57" s="8" t="n">
        <v>-0.3197</v>
      </c>
      <c r="D57" s="8" t="n">
        <v>0.27</v>
      </c>
    </row>
    <row r="58" customFormat="false" ht="15" hidden="false" customHeight="true" outlineLevel="0" collapsed="false">
      <c r="A58" s="8" t="s">
        <v>126</v>
      </c>
      <c r="B58" s="8" t="s">
        <v>99</v>
      </c>
      <c r="C58" s="8" t="n">
        <v>-0.0625</v>
      </c>
      <c r="D58" s="8" t="n">
        <v>0.41</v>
      </c>
    </row>
    <row r="59" customFormat="false" ht="15" hidden="false" customHeight="true" outlineLevel="0" collapsed="false">
      <c r="A59" s="8" t="s">
        <v>127</v>
      </c>
      <c r="B59" s="8" t="s">
        <v>99</v>
      </c>
      <c r="C59" s="8" t="n">
        <v>-0.15</v>
      </c>
      <c r="D59" s="8" t="n">
        <v>0.2</v>
      </c>
    </row>
    <row r="60" customFormat="false" ht="15" hidden="false" customHeight="true" outlineLevel="0" collapsed="false">
      <c r="A60" s="8" t="s">
        <v>95</v>
      </c>
      <c r="B60" s="8" t="s">
        <v>99</v>
      </c>
      <c r="C60" s="8" t="n">
        <v>-0.2639</v>
      </c>
      <c r="D60" s="8" t="n">
        <v>0.3</v>
      </c>
    </row>
    <row r="61" customFormat="false" ht="15" hidden="false" customHeight="true" outlineLevel="0" collapsed="false">
      <c r="A61" s="8" t="s">
        <v>128</v>
      </c>
      <c r="B61" s="8" t="s">
        <v>99</v>
      </c>
      <c r="C61" s="8" t="n">
        <v>0.0128</v>
      </c>
      <c r="D61" s="8" t="n">
        <v>0.12</v>
      </c>
    </row>
    <row r="62" customFormat="false" ht="15" hidden="false" customHeight="true" outlineLevel="0" collapsed="false">
      <c r="A62" s="8" t="s">
        <v>129</v>
      </c>
      <c r="B62" s="8" t="s">
        <v>99</v>
      </c>
      <c r="C62" s="8" t="n">
        <v>-0.1208</v>
      </c>
      <c r="D62" s="8" t="n">
        <v>0.39</v>
      </c>
    </row>
    <row r="63" customFormat="false" ht="15" hidden="false" customHeight="true" outlineLevel="0" collapsed="false">
      <c r="A63" s="8" t="s">
        <v>130</v>
      </c>
      <c r="B63" s="8" t="s">
        <v>99</v>
      </c>
      <c r="C63" s="8" t="n">
        <v>0.1841</v>
      </c>
      <c r="D63" s="8" t="n">
        <v>0.23</v>
      </c>
    </row>
    <row r="64" customFormat="false" ht="15" hidden="false" customHeight="true" outlineLevel="0" collapsed="false">
      <c r="A64" s="8" t="s">
        <v>131</v>
      </c>
      <c r="B64" s="8" t="s">
        <v>99</v>
      </c>
      <c r="C64" s="8" t="n">
        <v>-0.1051</v>
      </c>
      <c r="D64" s="8"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20"/>
    <col collapsed="false" customWidth="true" hidden="false" outlineLevel="0" max="4" min="4" style="1" width="18"/>
    <col collapsed="false" customWidth="true" hidden="false" outlineLevel="0" max="7" min="5" style="1" width="16"/>
    <col collapsed="false" customWidth="true" hidden="false" outlineLevel="0" max="8" min="8" style="1" width="14"/>
  </cols>
  <sheetData>
    <row r="1" customFormat="false" ht="15.75" hidden="false" customHeight="true" outlineLevel="0" collapsed="false">
      <c r="A1" s="11" t="s">
        <v>326</v>
      </c>
      <c r="B1" s="11"/>
      <c r="C1" s="11"/>
      <c r="D1" s="11"/>
      <c r="E1" s="11"/>
      <c r="F1" s="11"/>
      <c r="G1" s="11"/>
      <c r="H1" s="11"/>
    </row>
    <row r="2" customFormat="false" ht="45" hidden="false" customHeight="true" outlineLevel="0" collapsed="false">
      <c r="A2" s="10" t="s">
        <v>327</v>
      </c>
      <c r="B2" s="10"/>
      <c r="C2" s="10"/>
      <c r="D2" s="10"/>
      <c r="E2" s="10"/>
      <c r="F2" s="10"/>
      <c r="G2" s="10"/>
      <c r="H2" s="10"/>
    </row>
    <row r="4" customFormat="false" ht="15" hidden="false" customHeight="true" outlineLevel="0" collapsed="false">
      <c r="A4" s="7" t="s">
        <v>60</v>
      </c>
      <c r="B4" s="7" t="s">
        <v>61</v>
      </c>
      <c r="C4" s="7" t="s">
        <v>310</v>
      </c>
      <c r="D4" s="7" t="s">
        <v>328</v>
      </c>
      <c r="E4" s="7" t="s">
        <v>329</v>
      </c>
      <c r="F4" s="7" t="s">
        <v>330</v>
      </c>
      <c r="G4" s="7" t="s">
        <v>331</v>
      </c>
      <c r="H4" s="7" t="s">
        <v>218</v>
      </c>
    </row>
    <row r="5" customFormat="false" ht="15" hidden="false" customHeight="true" outlineLevel="0" collapsed="false">
      <c r="A5" s="8" t="s">
        <v>72</v>
      </c>
      <c r="B5" s="8" t="s">
        <v>73</v>
      </c>
      <c r="C5" s="8" t="s">
        <v>332</v>
      </c>
      <c r="D5" s="12" t="n">
        <f aca="false">MAX(0, 2*'House Vote Data (Actual)'!G4 - 'House Vote Data (Actual)'!G2)</f>
        <v>1130</v>
      </c>
      <c r="E5" s="9" t="n">
        <f aca="false">MIN(1,MAX(0,(16.6275197239661+18.0678191471584*'Model Inputs (Reg + ACS)'!C2+7.62148660507631*'Model Inputs (Reg + ACS)'!D2+(-3.67168671169206)*0+0.65575738970757*('House Vote Data (Actual)'!H5*100))/100))</f>
        <v>0.475775543740953</v>
      </c>
      <c r="F5" s="12" t="n">
        <f aca="false">ROUND(D5*E5,0)</f>
        <v>538</v>
      </c>
      <c r="G5" s="12" t="n">
        <f aca="false">ROUND(D5*(1-E5),0)</f>
        <v>592</v>
      </c>
      <c r="H5" s="8" t="str">
        <f aca="false">IF(E5&gt;0.5,"Democrat","Republican")</f>
        <v>Republican</v>
      </c>
    </row>
    <row r="6" customFormat="false" ht="15" hidden="false" customHeight="true" outlineLevel="0" collapsed="false">
      <c r="A6" s="8" t="s">
        <v>74</v>
      </c>
      <c r="B6" s="8" t="s">
        <v>73</v>
      </c>
      <c r="C6" s="8" t="s">
        <v>332</v>
      </c>
      <c r="D6" s="12" t="n">
        <f aca="false">MAX(0, 2*'House Vote Data (Actual)'!G8 - 'House Vote Data (Actual)'!G6)</f>
        <v>21769</v>
      </c>
      <c r="E6" s="9" t="n">
        <f aca="false">MIN(1,MAX(0,(16.6275197239661+18.0678191471584*'Model Inputs (Reg + ACS)'!C3+7.62148660507631*'Model Inputs (Reg + ACS)'!D3+(-3.67168671169206)*0+0.65575738970757*('House Vote Data (Actual)'!H9*100))/100))</f>
        <v>0.664582486774983</v>
      </c>
      <c r="F6" s="12" t="n">
        <f aca="false">ROUND(D6*E6,0)</f>
        <v>14467</v>
      </c>
      <c r="G6" s="12" t="n">
        <f aca="false">ROUND(D6*(1-E6),0)</f>
        <v>7302</v>
      </c>
      <c r="H6" s="8" t="str">
        <f aca="false">IF(E6&gt;0.5,"Democrat","Republican")</f>
        <v>Democrat</v>
      </c>
    </row>
    <row r="7" customFormat="false" ht="15" hidden="false" customHeight="true" outlineLevel="0" collapsed="false">
      <c r="A7" s="8" t="s">
        <v>75</v>
      </c>
      <c r="B7" s="8" t="s">
        <v>73</v>
      </c>
      <c r="C7" s="8" t="s">
        <v>332</v>
      </c>
      <c r="D7" s="12" t="n">
        <f aca="false">MAX(0, 2*'House Vote Data (Actual)'!G12 - 'House Vote Data (Actual)'!G10)</f>
        <v>8404</v>
      </c>
      <c r="E7" s="9" t="n">
        <f aca="false">MIN(1,MAX(0,(16.6275197239661+18.0678191471584*'Model Inputs (Reg + ACS)'!C4+7.62148660507631*'Model Inputs (Reg + ACS)'!D4+(-3.67168671169206)*0+0.65575738970757*('House Vote Data (Actual)'!H13*100))/100))</f>
        <v>0.657634229880079</v>
      </c>
      <c r="F7" s="12" t="n">
        <f aca="false">ROUND(D7*E7,0)</f>
        <v>5527</v>
      </c>
      <c r="G7" s="12" t="n">
        <f aca="false">ROUND(D7*(1-E7),0)</f>
        <v>2877</v>
      </c>
      <c r="H7" s="8" t="str">
        <f aca="false">IF(E7&gt;0.5,"Democrat","Republican")</f>
        <v>Democrat</v>
      </c>
    </row>
    <row r="8" customFormat="false" ht="15" hidden="false" customHeight="true" outlineLevel="0" collapsed="false">
      <c r="A8" s="8" t="s">
        <v>76</v>
      </c>
      <c r="B8" s="8" t="s">
        <v>73</v>
      </c>
      <c r="C8" s="8" t="s">
        <v>332</v>
      </c>
      <c r="D8" s="12" t="n">
        <f aca="false">MAX(0, 2*'House Vote Data (Actual)'!G16 - 'House Vote Data (Actual)'!G14)</f>
        <v>2160</v>
      </c>
      <c r="E8" s="9" t="n">
        <f aca="false">MIN(1,MAX(0,(16.6275197239661+18.0678191471584*'Model Inputs (Reg + ACS)'!C5+7.62148660507631*'Model Inputs (Reg + ACS)'!D5+(-3.67168671169206)*0+0.65575738970757*('House Vote Data (Actual)'!H17*100))/100))</f>
        <v>0.542323945511679</v>
      </c>
      <c r="F8" s="12" t="n">
        <f aca="false">ROUND(D8*E8,0)</f>
        <v>1171</v>
      </c>
      <c r="G8" s="12" t="n">
        <f aca="false">ROUND(D8*(1-E8),0)</f>
        <v>989</v>
      </c>
      <c r="H8" s="8" t="str">
        <f aca="false">IF(E8&gt;0.5,"Democrat","Republican")</f>
        <v>Democrat</v>
      </c>
    </row>
    <row r="9" customFormat="false" ht="15" hidden="false" customHeight="true" outlineLevel="0" collapsed="false">
      <c r="A9" s="8" t="s">
        <v>77</v>
      </c>
      <c r="B9" s="8" t="s">
        <v>73</v>
      </c>
      <c r="C9" s="8" t="s">
        <v>332</v>
      </c>
      <c r="D9" s="12" t="n">
        <f aca="false">MAX(0, 2*'House Vote Data (Actual)'!G20 - 'House Vote Data (Actual)'!G18)</f>
        <v>1433</v>
      </c>
      <c r="E9" s="9" t="n">
        <f aca="false">MIN(1,MAX(0,(16.6275197239661+18.0678191471584*'Model Inputs (Reg + ACS)'!C6+7.62148660507631*'Model Inputs (Reg + ACS)'!D6+(-3.67168671169206)*0+0.65575738970757*('House Vote Data (Actual)'!H21*100))/100))</f>
        <v>0.49255004787356</v>
      </c>
      <c r="F9" s="12" t="n">
        <f aca="false">ROUND(D9*E9,0)</f>
        <v>706</v>
      </c>
      <c r="G9" s="12" t="n">
        <f aca="false">ROUND(D9*(1-E9),0)</f>
        <v>727</v>
      </c>
      <c r="H9" s="8" t="str">
        <f aca="false">IF(E9&gt;0.5,"Democrat","Republican")</f>
        <v>Republican</v>
      </c>
    </row>
    <row r="10" customFormat="false" ht="15" hidden="false" customHeight="true" outlineLevel="0" collapsed="false">
      <c r="A10" s="8" t="s">
        <v>78</v>
      </c>
      <c r="B10" s="8" t="s">
        <v>73</v>
      </c>
      <c r="C10" s="8" t="s">
        <v>332</v>
      </c>
      <c r="D10" s="12" t="n">
        <f aca="false">MAX(0, 2*'House Vote Data (Actual)'!G24 - 'House Vote Data (Actual)'!G22)</f>
        <v>1365</v>
      </c>
      <c r="E10" s="9" t="n">
        <f aca="false">MIN(1,MAX(0,(16.6275197239661+18.0678191471584*'Model Inputs (Reg + ACS)'!C7+7.62148660507631*'Model Inputs (Reg + ACS)'!D7+(-3.67168671169206)*0+0.65575738970757*('House Vote Data (Actual)'!H25*100))/100))</f>
        <v>0.527499300569942</v>
      </c>
      <c r="F10" s="12" t="n">
        <f aca="false">ROUND(D10*E10,0)</f>
        <v>720</v>
      </c>
      <c r="G10" s="12" t="n">
        <f aca="false">ROUND(D10*(1-E10),0)</f>
        <v>645</v>
      </c>
      <c r="H10" s="8" t="str">
        <f aca="false">IF(E10&gt;0.5,"Democrat","Republican")</f>
        <v>Democrat</v>
      </c>
    </row>
    <row r="11" customFormat="false" ht="15" hidden="false" customHeight="true" outlineLevel="0" collapsed="false">
      <c r="A11" s="8" t="s">
        <v>79</v>
      </c>
      <c r="B11" s="8" t="s">
        <v>73</v>
      </c>
      <c r="C11" s="8" t="s">
        <v>332</v>
      </c>
      <c r="D11" s="12" t="n">
        <f aca="false">MAX(0, 2*'House Vote Data (Actual)'!G28 - 'House Vote Data (Actual)'!G26)</f>
        <v>5598</v>
      </c>
      <c r="E11" s="9" t="n">
        <f aca="false">MIN(1,MAX(0,(16.6275197239661+18.0678191471584*'Model Inputs (Reg + ACS)'!C8+7.62148660507631*'Model Inputs (Reg + ACS)'!D8+(-3.67168671169206)*0+0.65575738970757*('House Vote Data (Actual)'!H29*100))/100))</f>
        <v>0.551610002599746</v>
      </c>
      <c r="F11" s="12" t="n">
        <f aca="false">ROUND(D11*E11,0)</f>
        <v>3088</v>
      </c>
      <c r="G11" s="12" t="n">
        <f aca="false">ROUND(D11*(1-E11),0)</f>
        <v>2510</v>
      </c>
      <c r="H11" s="8" t="str">
        <f aca="false">IF(E11&gt;0.5,"Democrat","Republican")</f>
        <v>Democrat</v>
      </c>
    </row>
    <row r="12" customFormat="false" ht="15" hidden="false" customHeight="true" outlineLevel="0" collapsed="false">
      <c r="A12" s="8" t="s">
        <v>80</v>
      </c>
      <c r="B12" s="8" t="s">
        <v>73</v>
      </c>
      <c r="C12" s="8" t="s">
        <v>332</v>
      </c>
      <c r="D12" s="12" t="n">
        <f aca="false">MAX(0, 2*'House Vote Data (Actual)'!G32 - 'House Vote Data (Actual)'!G30)</f>
        <v>1480</v>
      </c>
      <c r="E12" s="9" t="n">
        <f aca="false">MIN(1,MAX(0,(16.6275197239661+18.0678191471584*'Model Inputs (Reg + ACS)'!C9+7.62148660507631*'Model Inputs (Reg + ACS)'!D9+(-3.67168671169206)*0+0.65575738970757*('House Vote Data (Actual)'!H33*100))/100))</f>
        <v>0.668613048952024</v>
      </c>
      <c r="F12" s="12" t="n">
        <f aca="false">ROUND(D12*E12,0)</f>
        <v>990</v>
      </c>
      <c r="G12" s="12" t="n">
        <f aca="false">ROUND(D12*(1-E12),0)</f>
        <v>490</v>
      </c>
      <c r="H12" s="8" t="str">
        <f aca="false">IF(E12&gt;0.5,"Democrat","Republican")</f>
        <v>Democrat</v>
      </c>
    </row>
    <row r="13" customFormat="false" ht="15" hidden="false" customHeight="true" outlineLevel="0" collapsed="false">
      <c r="A13" s="8" t="s">
        <v>81</v>
      </c>
      <c r="B13" s="8" t="s">
        <v>73</v>
      </c>
      <c r="C13" s="8" t="s">
        <v>332</v>
      </c>
      <c r="D13" s="12" t="n">
        <f aca="false">MAX(0, 2*'House Vote Data (Actual)'!G36 - 'House Vote Data (Actual)'!G34)</f>
        <v>431</v>
      </c>
      <c r="E13" s="9" t="n">
        <f aca="false">MIN(1,MAX(0,(16.6275197239661+18.0678191471584*'Model Inputs (Reg + ACS)'!C10+7.62148660507631*'Model Inputs (Reg + ACS)'!D10+(-3.67168671169206)*0+0.65575738970757*('House Vote Data (Actual)'!H37*100))/100))</f>
        <v>0.563913894394554</v>
      </c>
      <c r="F13" s="12" t="n">
        <f aca="false">ROUND(D13*E13,0)</f>
        <v>243</v>
      </c>
      <c r="G13" s="12" t="n">
        <f aca="false">ROUND(D13*(1-E13),0)</f>
        <v>188</v>
      </c>
      <c r="H13" s="8" t="str">
        <f aca="false">IF(E13&gt;0.5,"Democrat","Republican")</f>
        <v>Democrat</v>
      </c>
    </row>
    <row r="14" customFormat="false" ht="15" hidden="false" customHeight="true" outlineLevel="0" collapsed="false">
      <c r="A14" s="8" t="s">
        <v>82</v>
      </c>
      <c r="B14" s="8" t="s">
        <v>73</v>
      </c>
      <c r="C14" s="8" t="s">
        <v>332</v>
      </c>
      <c r="D14" s="12" t="n">
        <f aca="false">MAX(0, 2*'House Vote Data (Actual)'!G40 - 'House Vote Data (Actual)'!G38)</f>
        <v>1774</v>
      </c>
      <c r="E14" s="9" t="n">
        <f aca="false">MIN(1,MAX(0,(16.6275197239661+18.0678191471584*'Model Inputs (Reg + ACS)'!C11+7.62148660507631*'Model Inputs (Reg + ACS)'!D11+(-3.67168671169206)*0+0.65575738970757*('House Vote Data (Actual)'!H41*100))/100))</f>
        <v>0.329839397277819</v>
      </c>
      <c r="F14" s="12" t="n">
        <f aca="false">ROUND(D14*E14,0)</f>
        <v>585</v>
      </c>
      <c r="G14" s="12" t="n">
        <f aca="false">ROUND(D14*(1-E14),0)</f>
        <v>1189</v>
      </c>
      <c r="H14" s="8" t="str">
        <f aca="false">IF(E14&gt;0.5,"Democrat","Republican")</f>
        <v>Republican</v>
      </c>
    </row>
    <row r="15" customFormat="false" ht="15" hidden="false" customHeight="true" outlineLevel="0" collapsed="false">
      <c r="A15" s="8" t="s">
        <v>83</v>
      </c>
      <c r="B15" s="8" t="s">
        <v>73</v>
      </c>
      <c r="C15" s="8" t="s">
        <v>332</v>
      </c>
      <c r="D15" s="12" t="n">
        <f aca="false">MAX(0, 2*'House Vote Data (Actual)'!G44 - 'House Vote Data (Actual)'!G42)</f>
        <v>17421</v>
      </c>
      <c r="E15" s="9" t="n">
        <f aca="false">MIN(1,MAX(0,(16.6275197239661+18.0678191471584*'Model Inputs (Reg + ACS)'!C12+7.62148660507631*'Model Inputs (Reg + ACS)'!D12+(-3.67168671169206)*0+0.65575738970757*('House Vote Data (Actual)'!H45*100))/100))</f>
        <v>0.526241055045423</v>
      </c>
      <c r="F15" s="12" t="n">
        <f aca="false">ROUND(D15*E15,0)</f>
        <v>9168</v>
      </c>
      <c r="G15" s="12" t="n">
        <f aca="false">ROUND(D15*(1-E15),0)</f>
        <v>8253</v>
      </c>
      <c r="H15" s="8" t="str">
        <f aca="false">IF(E15&gt;0.5,"Democrat","Republican")</f>
        <v>Democrat</v>
      </c>
    </row>
    <row r="16" customFormat="false" ht="15" hidden="false" customHeight="true" outlineLevel="0" collapsed="false">
      <c r="A16" s="8" t="s">
        <v>84</v>
      </c>
      <c r="B16" s="8" t="s">
        <v>73</v>
      </c>
      <c r="C16" s="8" t="s">
        <v>332</v>
      </c>
      <c r="D16" s="12" t="n">
        <f aca="false">MAX(0, 2*'House Vote Data (Actual)'!G48 - 'House Vote Data (Actual)'!G46)</f>
        <v>2422</v>
      </c>
      <c r="E16" s="9" t="n">
        <f aca="false">MIN(1,MAX(0,(16.6275197239661+18.0678191471584*'Model Inputs (Reg + ACS)'!C13+7.62148660507631*'Model Inputs (Reg + ACS)'!D13+(-3.67168671169206)*0+0.65575738970757*('House Vote Data (Actual)'!H49*100))/100))</f>
        <v>0.398943698386428</v>
      </c>
      <c r="F16" s="12" t="n">
        <f aca="false">ROUND(D16*E16,0)</f>
        <v>966</v>
      </c>
      <c r="G16" s="12" t="n">
        <f aca="false">ROUND(D16*(1-E16),0)</f>
        <v>1456</v>
      </c>
      <c r="H16" s="8" t="str">
        <f aca="false">IF(E16&gt;0.5,"Democrat","Republican")</f>
        <v>Republican</v>
      </c>
    </row>
    <row r="17" customFormat="false" ht="15" hidden="false" customHeight="true" outlineLevel="0" collapsed="false">
      <c r="A17" s="8" t="s">
        <v>85</v>
      </c>
      <c r="B17" s="8" t="s">
        <v>73</v>
      </c>
      <c r="C17" s="8" t="s">
        <v>332</v>
      </c>
      <c r="D17" s="12" t="n">
        <f aca="false">MAX(0, 2*'House Vote Data (Actual)'!G52 - 'House Vote Data (Actual)'!G50)</f>
        <v>1305</v>
      </c>
      <c r="E17" s="9" t="n">
        <f aca="false">MIN(1,MAX(0,(16.6275197239661+18.0678191471584*'Model Inputs (Reg + ACS)'!C14+7.62148660507631*'Model Inputs (Reg + ACS)'!D14+(-3.67168671169206)*0+0.65575738970757*('House Vote Data (Actual)'!H53*100))/100))</f>
        <v>0.378652474198171</v>
      </c>
      <c r="F17" s="12" t="n">
        <f aca="false">ROUND(D17*E17,0)</f>
        <v>494</v>
      </c>
      <c r="G17" s="12" t="n">
        <f aca="false">ROUND(D17*(1-E17),0)</f>
        <v>811</v>
      </c>
      <c r="H17" s="8" t="str">
        <f aca="false">IF(E17&gt;0.5,"Democrat","Republican")</f>
        <v>Republican</v>
      </c>
    </row>
    <row r="18" customFormat="false" ht="15" hidden="false" customHeight="true" outlineLevel="0" collapsed="false">
      <c r="A18" s="8" t="s">
        <v>86</v>
      </c>
      <c r="B18" s="8" t="s">
        <v>73</v>
      </c>
      <c r="C18" s="8" t="s">
        <v>332</v>
      </c>
      <c r="D18" s="12" t="n">
        <f aca="false">MAX(0, 2*'House Vote Data (Actual)'!G56 - 'House Vote Data (Actual)'!G54)</f>
        <v>2385</v>
      </c>
      <c r="E18" s="9" t="n">
        <f aca="false">MIN(1,MAX(0,(16.6275197239661+18.0678191471584*'Model Inputs (Reg + ACS)'!C15+7.62148660507631*'Model Inputs (Reg + ACS)'!D15+(-3.67168671169206)*0+0.65575738970757*('House Vote Data (Actual)'!H57*100))/100))</f>
        <v>0.332185674012523</v>
      </c>
      <c r="F18" s="12" t="n">
        <f aca="false">ROUND(D18*E18,0)</f>
        <v>792</v>
      </c>
      <c r="G18" s="12" t="n">
        <f aca="false">ROUND(D18*(1-E18),0)</f>
        <v>1593</v>
      </c>
      <c r="H18" s="8" t="str">
        <f aca="false">IF(E18&gt;0.5,"Democrat","Republican")</f>
        <v>Republican</v>
      </c>
    </row>
    <row r="19" customFormat="false" ht="15" hidden="false" customHeight="true" outlineLevel="0" collapsed="false">
      <c r="A19" s="8" t="s">
        <v>87</v>
      </c>
      <c r="B19" s="8" t="s">
        <v>73</v>
      </c>
      <c r="C19" s="8" t="s">
        <v>332</v>
      </c>
      <c r="D19" s="12" t="n">
        <f aca="false">MAX(0, 2*'House Vote Data (Actual)'!G60 - 'House Vote Data (Actual)'!G58)</f>
        <v>1517</v>
      </c>
      <c r="E19" s="9" t="n">
        <f aca="false">MIN(1,MAX(0,(16.6275197239661+18.0678191471584*'Model Inputs (Reg + ACS)'!C16+7.62148660507631*'Model Inputs (Reg + ACS)'!D16+(-3.67168671169206)*0+0.65575738970757*('House Vote Data (Actual)'!H61*100))/100))</f>
        <v>0.543173689924978</v>
      </c>
      <c r="F19" s="12" t="n">
        <f aca="false">ROUND(D19*E19,0)</f>
        <v>824</v>
      </c>
      <c r="G19" s="12" t="n">
        <f aca="false">ROUND(D19*(1-E19),0)</f>
        <v>693</v>
      </c>
      <c r="H19" s="8" t="str">
        <f aca="false">IF(E19&gt;0.5,"Democrat","Republican")</f>
        <v>Democrat</v>
      </c>
    </row>
    <row r="20" customFormat="false" ht="15" hidden="false" customHeight="true" outlineLevel="0" collapsed="false">
      <c r="A20" s="8" t="s">
        <v>88</v>
      </c>
      <c r="B20" s="8" t="s">
        <v>73</v>
      </c>
      <c r="C20" s="8" t="s">
        <v>332</v>
      </c>
      <c r="D20" s="12" t="n">
        <f aca="false">MAX(0, 2*'House Vote Data (Actual)'!G64 - 'House Vote Data (Actual)'!G62)</f>
        <v>8557</v>
      </c>
      <c r="E20" s="9" t="n">
        <f aca="false">MIN(1,MAX(0,(16.6275197239661+18.0678191471584*'Model Inputs (Reg + ACS)'!C17+7.62148660507631*'Model Inputs (Reg + ACS)'!D17+(-3.67168671169206)*0+0.65575738970757*('House Vote Data (Actual)'!H65*100))/100))</f>
        <v>0.432424499771448</v>
      </c>
      <c r="F20" s="12" t="n">
        <f aca="false">ROUND(D20*E20,0)</f>
        <v>3700</v>
      </c>
      <c r="G20" s="12" t="n">
        <f aca="false">ROUND(D20*(1-E20),0)</f>
        <v>4857</v>
      </c>
      <c r="H20" s="8" t="str">
        <f aca="false">IF(E20&gt;0.5,"Democrat","Republican")</f>
        <v>Republican</v>
      </c>
    </row>
    <row r="21" customFormat="false" ht="15" hidden="false" customHeight="true" outlineLevel="0" collapsed="false">
      <c r="A21" s="8" t="s">
        <v>89</v>
      </c>
      <c r="B21" s="8" t="s">
        <v>73</v>
      </c>
      <c r="C21" s="8" t="s">
        <v>332</v>
      </c>
      <c r="D21" s="12" t="n">
        <f aca="false">MAX(0, 2*'House Vote Data (Actual)'!G68 - 'House Vote Data (Actual)'!G66)</f>
        <v>6768</v>
      </c>
      <c r="E21" s="9" t="n">
        <f aca="false">MIN(1,MAX(0,(16.6275197239661+18.0678191471584*'Model Inputs (Reg + ACS)'!C18+7.62148660507631*'Model Inputs (Reg + ACS)'!D18+(-3.67168671169206)*0+0.65575738970757*('House Vote Data (Actual)'!H69*100))/100))</f>
        <v>0.522497030564971</v>
      </c>
      <c r="F21" s="12" t="n">
        <f aca="false">ROUND(D21*E21,0)</f>
        <v>3536</v>
      </c>
      <c r="G21" s="12" t="n">
        <f aca="false">ROUND(D21*(1-E21),0)</f>
        <v>3232</v>
      </c>
      <c r="H21" s="8" t="str">
        <f aca="false">IF(E21&gt;0.5,"Democrat","Republican")</f>
        <v>Democrat</v>
      </c>
    </row>
    <row r="22" customFormat="false" ht="15" hidden="false" customHeight="true" outlineLevel="0" collapsed="false">
      <c r="A22" s="8" t="s">
        <v>90</v>
      </c>
      <c r="B22" s="8" t="s">
        <v>73</v>
      </c>
      <c r="C22" s="8" t="s">
        <v>332</v>
      </c>
      <c r="D22" s="12" t="n">
        <f aca="false">MAX(0, 2*'House Vote Data (Actual)'!G72 - 'House Vote Data (Actual)'!G70)</f>
        <v>1492</v>
      </c>
      <c r="E22" s="9" t="n">
        <f aca="false">MIN(1,MAX(0,(16.6275197239661+18.0678191471584*'Model Inputs (Reg + ACS)'!C19+7.62148660507631*'Model Inputs (Reg + ACS)'!D19+(-3.67168671169206)*0+0.65575738970757*('House Vote Data (Actual)'!H73*100))/100))</f>
        <v>0.42848688035</v>
      </c>
      <c r="F22" s="12" t="n">
        <f aca="false">ROUND(D22*E22,0)</f>
        <v>639</v>
      </c>
      <c r="G22" s="12" t="n">
        <f aca="false">ROUND(D22*(1-E22),0)</f>
        <v>853</v>
      </c>
      <c r="H22" s="8" t="str">
        <f aca="false">IF(E22&gt;0.5,"Democrat","Republican")</f>
        <v>Republican</v>
      </c>
    </row>
    <row r="23" customFormat="false" ht="15" hidden="false" customHeight="true" outlineLevel="0" collapsed="false">
      <c r="A23" s="8" t="s">
        <v>91</v>
      </c>
      <c r="B23" s="8" t="s">
        <v>73</v>
      </c>
      <c r="C23" s="8" t="s">
        <v>332</v>
      </c>
      <c r="D23" s="12" t="n">
        <f aca="false">MAX(0, 2*'House Vote Data (Actual)'!G76 - 'House Vote Data (Actual)'!G74)</f>
        <v>11129</v>
      </c>
      <c r="E23" s="9" t="n">
        <f aca="false">MIN(1,MAX(0,(16.6275197239661+18.0678191471584*'Model Inputs (Reg + ACS)'!C20+7.62148660507631*'Model Inputs (Reg + ACS)'!D20+(-3.67168671169206)*0+0.65575738970757*('House Vote Data (Actual)'!H77*100))/100))</f>
        <v>0.561959461124848</v>
      </c>
      <c r="F23" s="12" t="n">
        <f aca="false">ROUND(D23*E23,0)</f>
        <v>6254</v>
      </c>
      <c r="G23" s="12" t="n">
        <f aca="false">ROUND(D23*(1-E23),0)</f>
        <v>4875</v>
      </c>
      <c r="H23" s="8" t="str">
        <f aca="false">IF(E23&gt;0.5,"Democrat","Republican")</f>
        <v>Democrat</v>
      </c>
    </row>
    <row r="24" customFormat="false" ht="15" hidden="false" customHeight="true" outlineLevel="0" collapsed="false">
      <c r="A24" s="8" t="s">
        <v>92</v>
      </c>
      <c r="B24" s="8" t="s">
        <v>73</v>
      </c>
      <c r="C24" s="8" t="s">
        <v>332</v>
      </c>
      <c r="D24" s="12" t="n">
        <f aca="false">MAX(0, 2*'House Vote Data (Actual)'!G80 - 'House Vote Data (Actual)'!G78)</f>
        <v>12593</v>
      </c>
      <c r="E24" s="9" t="n">
        <f aca="false">MIN(1,MAX(0,(16.6275197239661+18.0678191471584*'Model Inputs (Reg + ACS)'!C21+7.62148660507631*'Model Inputs (Reg + ACS)'!D21+(-3.67168671169206)*0+0.65575738970757*('House Vote Data (Actual)'!H81*100))/100))</f>
        <v>0.549058957947536</v>
      </c>
      <c r="F24" s="12" t="n">
        <f aca="false">ROUND(D24*E24,0)</f>
        <v>6914</v>
      </c>
      <c r="G24" s="12" t="n">
        <f aca="false">ROUND(D24*(1-E24),0)</f>
        <v>5679</v>
      </c>
      <c r="H24" s="8" t="str">
        <f aca="false">IF(E24&gt;0.5,"Democrat","Republican")</f>
        <v>Democrat</v>
      </c>
    </row>
    <row r="25" customFormat="false" ht="15" hidden="false" customHeight="true" outlineLevel="0" collapsed="false">
      <c r="A25" s="8" t="s">
        <v>93</v>
      </c>
      <c r="B25" s="8" t="s">
        <v>73</v>
      </c>
      <c r="C25" s="8" t="s">
        <v>332</v>
      </c>
      <c r="D25" s="12" t="n">
        <f aca="false">MAX(0, 2*'House Vote Data (Actual)'!G84 - 'House Vote Data (Actual)'!G82)</f>
        <v>5223</v>
      </c>
      <c r="E25" s="9" t="n">
        <f aca="false">MIN(1,MAX(0,(16.6275197239661+18.0678191471584*'Model Inputs (Reg + ACS)'!C22+7.62148660507631*'Model Inputs (Reg + ACS)'!D22+(-3.67168671169206)*0+0.65575738970757*('House Vote Data (Actual)'!H85*100))/100))</f>
        <v>0.453315367064717</v>
      </c>
      <c r="F25" s="12" t="n">
        <f aca="false">ROUND(D25*E25,0)</f>
        <v>2368</v>
      </c>
      <c r="G25" s="12" t="n">
        <f aca="false">ROUND(D25*(1-E25),0)</f>
        <v>2855</v>
      </c>
      <c r="H25" s="8" t="str">
        <f aca="false">IF(E25&gt;0.5,"Democrat","Republican")</f>
        <v>Republican</v>
      </c>
    </row>
    <row r="26" customFormat="false" ht="15" hidden="false" customHeight="true" outlineLevel="0" collapsed="false">
      <c r="A26" s="8" t="s">
        <v>94</v>
      </c>
      <c r="B26" s="8" t="s">
        <v>73</v>
      </c>
      <c r="C26" s="8" t="s">
        <v>332</v>
      </c>
      <c r="D26" s="12" t="n">
        <f aca="false">MAX(0, 2*'House Vote Data (Actual)'!G88 - 'House Vote Data (Actual)'!G86)</f>
        <v>9924</v>
      </c>
      <c r="E26" s="9" t="n">
        <f aca="false">MIN(1,MAX(0,(16.6275197239661+18.0678191471584*'Model Inputs (Reg + ACS)'!C23+7.62148660507631*'Model Inputs (Reg + ACS)'!D23+(-3.67168671169206)*0+0.65575738970757*('House Vote Data (Actual)'!H89*100))/100))</f>
        <v>0.513365841101084</v>
      </c>
      <c r="F26" s="12" t="n">
        <f aca="false">ROUND(D26*E26,0)</f>
        <v>5095</v>
      </c>
      <c r="G26" s="12" t="n">
        <f aca="false">ROUND(D26*(1-E26),0)</f>
        <v>4829</v>
      </c>
      <c r="H26" s="8" t="str">
        <f aca="false">IF(E26&gt;0.5,"Democrat","Republican")</f>
        <v>Democrat</v>
      </c>
    </row>
    <row r="27" customFormat="false" ht="15" hidden="false" customHeight="true" outlineLevel="0" collapsed="false">
      <c r="A27" s="8" t="s">
        <v>95</v>
      </c>
      <c r="B27" s="8" t="s">
        <v>73</v>
      </c>
      <c r="C27" s="8" t="s">
        <v>332</v>
      </c>
      <c r="D27" s="12" t="n">
        <f aca="false">MAX(0, 2*'House Vote Data (Actual)'!G92 - 'House Vote Data (Actual)'!G90)</f>
        <v>3464</v>
      </c>
      <c r="E27" s="9" t="n">
        <f aca="false">MIN(1,MAX(0,(16.6275197239661+18.0678191471584*'Model Inputs (Reg + ACS)'!C24+7.62148660507631*'Model Inputs (Reg + ACS)'!D24+(-3.67168671169206)*0+0.65575738970757*('House Vote Data (Actual)'!H93*100))/100))</f>
        <v>0.342386807963899</v>
      </c>
      <c r="F27" s="12" t="n">
        <f aca="false">ROUND(D27*E27,0)</f>
        <v>1186</v>
      </c>
      <c r="G27" s="12" t="n">
        <f aca="false">ROUND(D27*(1-E27),0)</f>
        <v>2278</v>
      </c>
      <c r="H27" s="8" t="str">
        <f aca="false">IF(E27&gt;0.5,"Democrat","Republican")</f>
        <v>Republican</v>
      </c>
    </row>
    <row r="28" customFormat="false" ht="15" hidden="false" customHeight="true" outlineLevel="0" collapsed="false">
      <c r="A28" s="8" t="s">
        <v>96</v>
      </c>
      <c r="B28" s="8" t="s">
        <v>73</v>
      </c>
      <c r="C28" s="8" t="s">
        <v>332</v>
      </c>
      <c r="D28" s="12" t="n">
        <f aca="false">MAX(0, 2*'House Vote Data (Actual)'!G96 - 'House Vote Data (Actual)'!G94)</f>
        <v>2979</v>
      </c>
      <c r="E28" s="9" t="n">
        <f aca="false">MIN(1,MAX(0,(16.6275197239661+18.0678191471584*'Model Inputs (Reg + ACS)'!C25+7.62148660507631*'Model Inputs (Reg + ACS)'!D25+(-3.67168671169206)*0+0.65575738970757*('House Vote Data (Actual)'!H97*100))/100))</f>
        <v>0.369249328313575</v>
      </c>
      <c r="F28" s="12" t="n">
        <f aca="false">ROUND(D28*E28,0)</f>
        <v>1100</v>
      </c>
      <c r="G28" s="12" t="n">
        <f aca="false">ROUND(D28*(1-E28),0)</f>
        <v>1879</v>
      </c>
      <c r="H28" s="8" t="str">
        <f aca="false">IF(E28&gt;0.5,"Democrat","Republican")</f>
        <v>Republican</v>
      </c>
    </row>
    <row r="29" customFormat="false" ht="15" hidden="false" customHeight="true" outlineLevel="0" collapsed="false">
      <c r="A29" s="8" t="s">
        <v>97</v>
      </c>
      <c r="B29" s="8" t="s">
        <v>73</v>
      </c>
      <c r="C29" s="8" t="s">
        <v>332</v>
      </c>
      <c r="D29" s="12" t="n">
        <f aca="false">MAX(0, 2*'House Vote Data (Actual)'!G100 - 'House Vote Data (Actual)'!G98)</f>
        <v>10928</v>
      </c>
      <c r="E29" s="9" t="n">
        <f aca="false">MIN(1,MAX(0,(16.6275197239661+18.0678191471584*'Model Inputs (Reg + ACS)'!C26+7.62148660507631*'Model Inputs (Reg + ACS)'!D26+(-3.67168671169206)*0+0.65575738970757*('House Vote Data (Actual)'!H101*100))/100))</f>
        <v>0.541882755761385</v>
      </c>
      <c r="F29" s="12" t="n">
        <f aca="false">ROUND(D29*E29,0)</f>
        <v>5922</v>
      </c>
      <c r="G29" s="12" t="n">
        <f aca="false">ROUND(D29*(1-E29),0)</f>
        <v>5006</v>
      </c>
      <c r="H29" s="8" t="str">
        <f aca="false">IF(E29&gt;0.5,"Democrat","Republican")</f>
        <v>Democrat</v>
      </c>
    </row>
    <row r="30" customFormat="false" ht="15" hidden="false" customHeight="true" outlineLevel="0" collapsed="false">
      <c r="A30" s="8" t="s">
        <v>98</v>
      </c>
      <c r="B30" s="8" t="s">
        <v>99</v>
      </c>
      <c r="C30" s="8" t="s">
        <v>332</v>
      </c>
      <c r="D30" s="12" t="n">
        <f aca="false">MAX(0, 2*'House Vote Data (Actual)'!G104 - 'House Vote Data (Actual)'!G102)</f>
        <v>3034</v>
      </c>
      <c r="E30" s="9" t="n">
        <f aca="false">MIN(1,MAX(0,(16.6275197239661+18.0678191471584*'Model Inputs (Reg + ACS)'!C27+7.62148660507631*'Model Inputs (Reg + ACS)'!D27+(-3.67168671169206)*0+0.65575738970757*('House Vote Data (Actual)'!H105*100))/100))</f>
        <v>0.454920092142266</v>
      </c>
      <c r="F30" s="12" t="n">
        <f aca="false">ROUND(D30*E30,0)</f>
        <v>1380</v>
      </c>
      <c r="G30" s="12" t="n">
        <f aca="false">ROUND(D30*(1-E30),0)</f>
        <v>1654</v>
      </c>
      <c r="H30" s="8" t="str">
        <f aca="false">IF(E30&gt;0.5,"Democrat","Republican")</f>
        <v>Republican</v>
      </c>
    </row>
    <row r="31" customFormat="false" ht="15" hidden="false" customHeight="true" outlineLevel="0" collapsed="false">
      <c r="A31" s="8" t="s">
        <v>100</v>
      </c>
      <c r="B31" s="8" t="s">
        <v>99</v>
      </c>
      <c r="C31" s="8" t="s">
        <v>332</v>
      </c>
      <c r="D31" s="12" t="n">
        <f aca="false">MAX(0, 2*'House Vote Data (Actual)'!G108 - 'House Vote Data (Actual)'!G106)</f>
        <v>1791</v>
      </c>
      <c r="E31" s="9" t="n">
        <f aca="false">MIN(1,MAX(0,(16.6275197239661+18.0678191471584*'Model Inputs (Reg + ACS)'!C28+7.62148660507631*'Model Inputs (Reg + ACS)'!D28+(-3.67168671169206)*0+0.65575738970757*('House Vote Data (Actual)'!H109*100))/100))</f>
        <v>0.433759860862142</v>
      </c>
      <c r="F31" s="12" t="n">
        <f aca="false">ROUND(D31*E31,0)</f>
        <v>777</v>
      </c>
      <c r="G31" s="12" t="n">
        <f aca="false">ROUND(D31*(1-E31),0)</f>
        <v>1014</v>
      </c>
      <c r="H31" s="8" t="str">
        <f aca="false">IF(E31&gt;0.5,"Democrat","Republican")</f>
        <v>Republican</v>
      </c>
    </row>
    <row r="32" customFormat="false" ht="15" hidden="false" customHeight="true" outlineLevel="0" collapsed="false">
      <c r="A32" s="8" t="s">
        <v>101</v>
      </c>
      <c r="B32" s="8" t="s">
        <v>99</v>
      </c>
      <c r="C32" s="8" t="s">
        <v>332</v>
      </c>
      <c r="D32" s="12" t="n">
        <f aca="false">MAX(0, 2*'House Vote Data (Actual)'!G112 - 'House Vote Data (Actual)'!G110)</f>
        <v>1099</v>
      </c>
      <c r="E32" s="9" t="n">
        <f aca="false">MIN(1,MAX(0,(16.6275197239661+18.0678191471584*'Model Inputs (Reg + ACS)'!C29+7.62148660507631*'Model Inputs (Reg + ACS)'!D29+(-3.67168671169206)*0+0.65575738970757*('House Vote Data (Actual)'!H113*100))/100))</f>
        <v>0.485553300723098</v>
      </c>
      <c r="F32" s="12" t="n">
        <f aca="false">ROUND(D32*E32,0)</f>
        <v>534</v>
      </c>
      <c r="G32" s="12" t="n">
        <f aca="false">ROUND(D32*(1-E32),0)</f>
        <v>565</v>
      </c>
      <c r="H32" s="8" t="str">
        <f aca="false">IF(E32&gt;0.5,"Democrat","Republican")</f>
        <v>Republican</v>
      </c>
    </row>
    <row r="33" customFormat="false" ht="15" hidden="false" customHeight="true" outlineLevel="0" collapsed="false">
      <c r="A33" s="8" t="s">
        <v>75</v>
      </c>
      <c r="B33" s="8" t="s">
        <v>99</v>
      </c>
      <c r="C33" s="8" t="s">
        <v>332</v>
      </c>
      <c r="D33" s="12" t="n">
        <f aca="false">MAX(0, 2*'House Vote Data (Actual)'!G116 - 'House Vote Data (Actual)'!G114)</f>
        <v>18558</v>
      </c>
      <c r="E33" s="9" t="n">
        <f aca="false">MIN(1,MAX(0,(16.6275197239661+18.0678191471584*'Model Inputs (Reg + ACS)'!C30+7.62148660507631*'Model Inputs (Reg + ACS)'!D30+(-3.67168671169206)*0+0.65575738970757*('House Vote Data (Actual)'!H117*100))/100))</f>
        <v>0.652351520382831</v>
      </c>
      <c r="F33" s="12" t="n">
        <f aca="false">ROUND(D33*E33,0)</f>
        <v>12106</v>
      </c>
      <c r="G33" s="12" t="n">
        <f aca="false">ROUND(D33*(1-E33),0)</f>
        <v>6452</v>
      </c>
      <c r="H33" s="8" t="str">
        <f aca="false">IF(E33&gt;0.5,"Democrat","Republican")</f>
        <v>Democrat</v>
      </c>
    </row>
    <row r="34" customFormat="false" ht="15" hidden="false" customHeight="true" outlineLevel="0" collapsed="false">
      <c r="A34" s="8" t="s">
        <v>102</v>
      </c>
      <c r="B34" s="8" t="s">
        <v>99</v>
      </c>
      <c r="C34" s="8" t="s">
        <v>332</v>
      </c>
      <c r="D34" s="12" t="n">
        <f aca="false">MAX(0, 2*'House Vote Data (Actual)'!G120 - 'House Vote Data (Actual)'!G118)</f>
        <v>13949</v>
      </c>
      <c r="E34" s="9" t="n">
        <f aca="false">MIN(1,MAX(0,(16.6275197239661+18.0678191471584*'Model Inputs (Reg + ACS)'!C31+7.62148660507631*'Model Inputs (Reg + ACS)'!D31+(-3.67168671169206)*0+0.65575738970757*('House Vote Data (Actual)'!H121*100))/100))</f>
        <v>0.565534788513821</v>
      </c>
      <c r="F34" s="12" t="n">
        <f aca="false">ROUND(D34*E34,0)</f>
        <v>7889</v>
      </c>
      <c r="G34" s="12" t="n">
        <f aca="false">ROUND(D34*(1-E34),0)</f>
        <v>6060</v>
      </c>
      <c r="H34" s="8" t="str">
        <f aca="false">IF(E34&gt;0.5,"Democrat","Republican")</f>
        <v>Democrat</v>
      </c>
    </row>
    <row r="35" customFormat="false" ht="15" hidden="false" customHeight="true" outlineLevel="0" collapsed="false">
      <c r="A35" s="8" t="s">
        <v>103</v>
      </c>
      <c r="B35" s="8" t="s">
        <v>99</v>
      </c>
      <c r="C35" s="8" t="s">
        <v>332</v>
      </c>
      <c r="D35" s="12" t="n">
        <f aca="false">MAX(0, 2*'House Vote Data (Actual)'!G124 - 'House Vote Data (Actual)'!G122)</f>
        <v>5164</v>
      </c>
      <c r="E35" s="9" t="n">
        <f aca="false">MIN(1,MAX(0,(16.6275197239661+18.0678191471584*'Model Inputs (Reg + ACS)'!C32+7.62148660507631*'Model Inputs (Reg + ACS)'!D32+(-3.67168671169206)*0+0.65575738970757*('House Vote Data (Actual)'!H125*100))/100))</f>
        <v>0.414219757068012</v>
      </c>
      <c r="F35" s="12" t="n">
        <f aca="false">ROUND(D35*E35,0)</f>
        <v>2139</v>
      </c>
      <c r="G35" s="12" t="n">
        <f aca="false">ROUND(D35*(1-E35),0)</f>
        <v>3025</v>
      </c>
      <c r="H35" s="8" t="str">
        <f aca="false">IF(E35&gt;0.5,"Democrat","Republican")</f>
        <v>Republican</v>
      </c>
    </row>
    <row r="36" customFormat="false" ht="15" hidden="false" customHeight="true" outlineLevel="0" collapsed="false">
      <c r="A36" s="8" t="s">
        <v>104</v>
      </c>
      <c r="B36" s="8" t="s">
        <v>99</v>
      </c>
      <c r="C36" s="8" t="s">
        <v>332</v>
      </c>
      <c r="D36" s="12" t="n">
        <f aca="false">MAX(0, 2*'House Vote Data (Actual)'!G128 - 'House Vote Data (Actual)'!G126)</f>
        <v>103</v>
      </c>
      <c r="E36" s="9" t="n">
        <f aca="false">MIN(1,MAX(0,(16.6275197239661+18.0678191471584*'Model Inputs (Reg + ACS)'!C33+7.62148660507631*'Model Inputs (Reg + ACS)'!D33+(-3.67168671169206)*0+0.65575738970757*('House Vote Data (Actual)'!H129*100))/100))</f>
        <v>0.361552487228102</v>
      </c>
      <c r="F36" s="12" t="n">
        <f aca="false">ROUND(D36*E36,0)</f>
        <v>37</v>
      </c>
      <c r="G36" s="12" t="n">
        <f aca="false">ROUND(D36*(1-E36),0)</f>
        <v>66</v>
      </c>
      <c r="H36" s="8" t="str">
        <f aca="false">IF(E36&gt;0.5,"Democrat","Republican")</f>
        <v>Republican</v>
      </c>
    </row>
    <row r="37" customFormat="false" ht="15" hidden="false" customHeight="true" outlineLevel="0" collapsed="false">
      <c r="A37" s="8" t="s">
        <v>105</v>
      </c>
      <c r="B37" s="8" t="s">
        <v>99</v>
      </c>
      <c r="C37" s="8" t="s">
        <v>332</v>
      </c>
      <c r="D37" s="12" t="n">
        <f aca="false">MAX(0, 2*'House Vote Data (Actual)'!G132 - 'House Vote Data (Actual)'!G130)</f>
        <v>2954</v>
      </c>
      <c r="E37" s="9" t="n">
        <f aca="false">MIN(1,MAX(0,(16.6275197239661+18.0678191471584*'Model Inputs (Reg + ACS)'!C34+7.62148660507631*'Model Inputs (Reg + ACS)'!D34+(-3.67168671169206)*0+0.65575738970757*('House Vote Data (Actual)'!H133*100))/100))</f>
        <v>0.448967497582563</v>
      </c>
      <c r="F37" s="12" t="n">
        <f aca="false">ROUND(D37*E37,0)</f>
        <v>1326</v>
      </c>
      <c r="G37" s="12" t="n">
        <f aca="false">ROUND(D37*(1-E37),0)</f>
        <v>1628</v>
      </c>
      <c r="H37" s="8" t="str">
        <f aca="false">IF(E37&gt;0.5,"Democrat","Republican")</f>
        <v>Republican</v>
      </c>
    </row>
    <row r="38" customFormat="false" ht="15" hidden="false" customHeight="true" outlineLevel="0" collapsed="false">
      <c r="A38" s="8" t="s">
        <v>106</v>
      </c>
      <c r="B38" s="8" t="s">
        <v>99</v>
      </c>
      <c r="C38" s="8" t="s">
        <v>332</v>
      </c>
      <c r="D38" s="12" t="n">
        <f aca="false">MAX(0, 2*'House Vote Data (Actual)'!G136 - 'House Vote Data (Actual)'!G134)</f>
        <v>354</v>
      </c>
      <c r="E38" s="9" t="n">
        <f aca="false">MIN(1,MAX(0,(16.6275197239661+18.0678191471584*'Model Inputs (Reg + ACS)'!C35+7.62148660507631*'Model Inputs (Reg + ACS)'!D35+(-3.67168671169206)*0+0.65575738970757*('House Vote Data (Actual)'!H137*100))/100))</f>
        <v>0.415550532484428</v>
      </c>
      <c r="F38" s="12" t="n">
        <f aca="false">ROUND(D38*E38,0)</f>
        <v>147</v>
      </c>
      <c r="G38" s="12" t="n">
        <f aca="false">ROUND(D38*(1-E38),0)</f>
        <v>207</v>
      </c>
      <c r="H38" s="8" t="str">
        <f aca="false">IF(E38&gt;0.5,"Democrat","Republican")</f>
        <v>Republican</v>
      </c>
    </row>
    <row r="39" customFormat="false" ht="15" hidden="false" customHeight="true" outlineLevel="0" collapsed="false">
      <c r="A39" s="8" t="s">
        <v>107</v>
      </c>
      <c r="B39" s="8" t="s">
        <v>99</v>
      </c>
      <c r="C39" s="8" t="s">
        <v>332</v>
      </c>
      <c r="D39" s="12" t="n">
        <f aca="false">MAX(0, 2*'House Vote Data (Actual)'!G140 - 'House Vote Data (Actual)'!G138)</f>
        <v>7349</v>
      </c>
      <c r="E39" s="9" t="n">
        <f aca="false">MIN(1,MAX(0,(16.6275197239661+18.0678191471584*'Model Inputs (Reg + ACS)'!C36+7.62148660507631*'Model Inputs (Reg + ACS)'!D36+(-3.67168671169206)*0+0.65575738970757*('House Vote Data (Actual)'!H141*100))/100))</f>
        <v>0.709922231672131</v>
      </c>
      <c r="F39" s="12" t="n">
        <f aca="false">ROUND(D39*E39,0)</f>
        <v>5217</v>
      </c>
      <c r="G39" s="12" t="n">
        <f aca="false">ROUND(D39*(1-E39),0)</f>
        <v>2132</v>
      </c>
      <c r="H39" s="8" t="str">
        <f aca="false">IF(E39&gt;0.5,"Democrat","Republican")</f>
        <v>Democrat</v>
      </c>
    </row>
    <row r="40" customFormat="false" ht="15" hidden="false" customHeight="true" outlineLevel="0" collapsed="false">
      <c r="A40" s="8" t="s">
        <v>108</v>
      </c>
      <c r="B40" s="8" t="s">
        <v>99</v>
      </c>
      <c r="C40" s="8" t="s">
        <v>332</v>
      </c>
      <c r="D40" s="12" t="n">
        <f aca="false">MAX(0, 2*'House Vote Data (Actual)'!G144 - 'House Vote Data (Actual)'!G142)</f>
        <v>9145</v>
      </c>
      <c r="E40" s="9" t="n">
        <f aca="false">MIN(1,MAX(0,(16.6275197239661+18.0678191471584*'Model Inputs (Reg + ACS)'!C37+7.62148660507631*'Model Inputs (Reg + ACS)'!D37+(-3.67168671169206)*0+0.65575738970757*('House Vote Data (Actual)'!H145*100))/100))</f>
        <v>0.542884111832475</v>
      </c>
      <c r="F40" s="12" t="n">
        <f aca="false">ROUND(D40*E40,0)</f>
        <v>4965</v>
      </c>
      <c r="G40" s="12" t="n">
        <f aca="false">ROUND(D40*(1-E40),0)</f>
        <v>4180</v>
      </c>
      <c r="H40" s="8" t="str">
        <f aca="false">IF(E40&gt;0.5,"Democrat","Republican")</f>
        <v>Democrat</v>
      </c>
    </row>
    <row r="41" customFormat="false" ht="15" hidden="false" customHeight="true" outlineLevel="0" collapsed="false">
      <c r="A41" s="8" t="s">
        <v>109</v>
      </c>
      <c r="B41" s="8" t="s">
        <v>99</v>
      </c>
      <c r="C41" s="8" t="s">
        <v>332</v>
      </c>
      <c r="D41" s="12" t="n">
        <f aca="false">MAX(0, 2*'House Vote Data (Actual)'!G148 - 'House Vote Data (Actual)'!G146)</f>
        <v>843</v>
      </c>
      <c r="E41" s="9" t="n">
        <f aca="false">MIN(1,MAX(0,(16.6275197239661+18.0678191471584*'Model Inputs (Reg + ACS)'!C38+7.62148660507631*'Model Inputs (Reg + ACS)'!D38+(-3.67168671169206)*0+0.65575738970757*('House Vote Data (Actual)'!H149*100))/100))</f>
        <v>0.618143816982956</v>
      </c>
      <c r="F41" s="12" t="n">
        <f aca="false">ROUND(D41*E41,0)</f>
        <v>521</v>
      </c>
      <c r="G41" s="12" t="n">
        <f aca="false">ROUND(D41*(1-E41),0)</f>
        <v>322</v>
      </c>
      <c r="H41" s="8" t="str">
        <f aca="false">IF(E41&gt;0.5,"Democrat","Republican")</f>
        <v>Democrat</v>
      </c>
    </row>
    <row r="42" customFormat="false" ht="15" hidden="false" customHeight="true" outlineLevel="0" collapsed="false">
      <c r="A42" s="8" t="s">
        <v>110</v>
      </c>
      <c r="B42" s="8" t="s">
        <v>99</v>
      </c>
      <c r="C42" s="8" t="s">
        <v>332</v>
      </c>
      <c r="D42" s="12" t="n">
        <f aca="false">MAX(0, 2*'House Vote Data (Actual)'!G152 - 'House Vote Data (Actual)'!G150)</f>
        <v>167</v>
      </c>
      <c r="E42" s="9" t="n">
        <f aca="false">MIN(1,MAX(0,(16.6275197239661+18.0678191471584*'Model Inputs (Reg + ACS)'!C39+7.62148660507631*'Model Inputs (Reg + ACS)'!D39+(-3.67168671169206)*0+0.65575738970757*('House Vote Data (Actual)'!H153*100))/100))</f>
        <v>0.535648151226854</v>
      </c>
      <c r="F42" s="12" t="n">
        <f aca="false">ROUND(D42*E42,0)</f>
        <v>89</v>
      </c>
      <c r="G42" s="12" t="n">
        <f aca="false">ROUND(D42*(1-E42),0)</f>
        <v>78</v>
      </c>
      <c r="H42" s="8" t="str">
        <f aca="false">IF(E42&gt;0.5,"Democrat","Republican")</f>
        <v>Democrat</v>
      </c>
    </row>
    <row r="43" customFormat="false" ht="15" hidden="false" customHeight="true" outlineLevel="0" collapsed="false">
      <c r="A43" s="8" t="s">
        <v>81</v>
      </c>
      <c r="B43" s="8" t="s">
        <v>99</v>
      </c>
      <c r="C43" s="8" t="s">
        <v>332</v>
      </c>
      <c r="D43" s="12" t="n">
        <f aca="false">MAX(0, 2*'House Vote Data (Actual)'!G156 - 'House Vote Data (Actual)'!G154)</f>
        <v>7007</v>
      </c>
      <c r="E43" s="9" t="n">
        <f aca="false">MIN(1,MAX(0,(16.6275197239661+18.0678191471584*'Model Inputs (Reg + ACS)'!C40+7.62148660507631*'Model Inputs (Reg + ACS)'!D40+(-3.67168671169206)*0+0.65575738970757*('House Vote Data (Actual)'!H157*100))/100))</f>
        <v>0.577164391715226</v>
      </c>
      <c r="F43" s="12" t="n">
        <f aca="false">ROUND(D43*E43,0)</f>
        <v>4044</v>
      </c>
      <c r="G43" s="12" t="n">
        <f aca="false">ROUND(D43*(1-E43),0)</f>
        <v>2963</v>
      </c>
      <c r="H43" s="8" t="str">
        <f aca="false">IF(E43&gt;0.5,"Democrat","Republican")</f>
        <v>Democrat</v>
      </c>
    </row>
    <row r="44" customFormat="false" ht="15" hidden="false" customHeight="true" outlineLevel="0" collapsed="false">
      <c r="A44" s="8" t="s">
        <v>111</v>
      </c>
      <c r="B44" s="8" t="s">
        <v>99</v>
      </c>
      <c r="C44" s="8" t="s">
        <v>332</v>
      </c>
      <c r="D44" s="12" t="n">
        <f aca="false">MAX(0, 2*'House Vote Data (Actual)'!G160 - 'House Vote Data (Actual)'!G158)</f>
        <v>2854</v>
      </c>
      <c r="E44" s="9" t="n">
        <f aca="false">MIN(1,MAX(0,(16.6275197239661+18.0678191471584*'Model Inputs (Reg + ACS)'!C41+7.62148660507631*'Model Inputs (Reg + ACS)'!D41+(-3.67168671169206)*0+0.65575738970757*('House Vote Data (Actual)'!H161*100))/100))</f>
        <v>0.529508811386488</v>
      </c>
      <c r="F44" s="12" t="n">
        <f aca="false">ROUND(D44*E44,0)</f>
        <v>1511</v>
      </c>
      <c r="G44" s="12" t="n">
        <f aca="false">ROUND(D44*(1-E44),0)</f>
        <v>1343</v>
      </c>
      <c r="H44" s="8" t="str">
        <f aca="false">IF(E44&gt;0.5,"Democrat","Republican")</f>
        <v>Democrat</v>
      </c>
    </row>
    <row r="45" customFormat="false" ht="15" hidden="false" customHeight="true" outlineLevel="0" collapsed="false">
      <c r="A45" s="8" t="s">
        <v>73</v>
      </c>
      <c r="B45" s="8" t="s">
        <v>99</v>
      </c>
      <c r="C45" s="8" t="s">
        <v>332</v>
      </c>
      <c r="D45" s="12" t="n">
        <f aca="false">MAX(0, 2*'House Vote Data (Actual)'!G164 - 'House Vote Data (Actual)'!G162)</f>
        <v>5834</v>
      </c>
      <c r="E45" s="9" t="n">
        <f aca="false">MIN(1,MAX(0,(16.6275197239661+18.0678191471584*'Model Inputs (Reg + ACS)'!C42+7.62148660507631*'Model Inputs (Reg + ACS)'!D42+(-3.67168671169206)*0+0.65575738970757*('House Vote Data (Actual)'!H165*100))/100))</f>
        <v>0.36129223488427</v>
      </c>
      <c r="F45" s="12" t="n">
        <f aca="false">ROUND(D45*E45,0)</f>
        <v>2108</v>
      </c>
      <c r="G45" s="12" t="n">
        <f aca="false">ROUND(D45*(1-E45),0)</f>
        <v>3726</v>
      </c>
      <c r="H45" s="8" t="str">
        <f aca="false">IF(E45&gt;0.5,"Democrat","Republican")</f>
        <v>Republican</v>
      </c>
    </row>
    <row r="46" customFormat="false" ht="15" hidden="false" customHeight="true" outlineLevel="0" collapsed="false">
      <c r="A46" s="8" t="s">
        <v>112</v>
      </c>
      <c r="B46" s="8" t="s">
        <v>99</v>
      </c>
      <c r="C46" s="8" t="s">
        <v>332</v>
      </c>
      <c r="D46" s="12" t="n">
        <f aca="false">MAX(0, 2*'House Vote Data (Actual)'!G168 - 'House Vote Data (Actual)'!G166)</f>
        <v>1620</v>
      </c>
      <c r="E46" s="9" t="n">
        <f aca="false">MIN(1,MAX(0,(16.6275197239661+18.0678191471584*'Model Inputs (Reg + ACS)'!C43+7.62148660507631*'Model Inputs (Reg + ACS)'!D43+(-3.67168671169206)*0+0.65575738970757*('House Vote Data (Actual)'!H169*100))/100))</f>
        <v>0.359418769848655</v>
      </c>
      <c r="F46" s="12" t="n">
        <f aca="false">ROUND(D46*E46,0)</f>
        <v>582</v>
      </c>
      <c r="G46" s="12" t="n">
        <f aca="false">ROUND(D46*(1-E46),0)</f>
        <v>1038</v>
      </c>
      <c r="H46" s="8" t="str">
        <f aca="false">IF(E46&gt;0.5,"Democrat","Republican")</f>
        <v>Republican</v>
      </c>
    </row>
    <row r="47" customFormat="false" ht="15" hidden="false" customHeight="true" outlineLevel="0" collapsed="false">
      <c r="A47" s="8" t="s">
        <v>113</v>
      </c>
      <c r="B47" s="8" t="s">
        <v>99</v>
      </c>
      <c r="C47" s="8" t="s">
        <v>332</v>
      </c>
      <c r="D47" s="12" t="n">
        <f aca="false">MAX(0, 2*'House Vote Data (Actual)'!G172 - 'House Vote Data (Actual)'!G170)</f>
        <v>4330</v>
      </c>
      <c r="E47" s="9" t="n">
        <f aca="false">MIN(1,MAX(0,(16.6275197239661+18.0678191471584*'Model Inputs (Reg + ACS)'!C44+7.62148660507631*'Model Inputs (Reg + ACS)'!D44+(-3.67168671169206)*0+0.65575738970757*('House Vote Data (Actual)'!H173*100))/100))</f>
        <v>0.506375021618773</v>
      </c>
      <c r="F47" s="12" t="n">
        <f aca="false">ROUND(D47*E47,0)</f>
        <v>2193</v>
      </c>
      <c r="G47" s="12" t="n">
        <f aca="false">ROUND(D47*(1-E47),0)</f>
        <v>2137</v>
      </c>
      <c r="H47" s="8" t="str">
        <f aca="false">IF(E47&gt;0.5,"Democrat","Republican")</f>
        <v>Democrat</v>
      </c>
    </row>
    <row r="48" customFormat="false" ht="15" hidden="false" customHeight="true" outlineLevel="0" collapsed="false">
      <c r="A48" s="8" t="s">
        <v>114</v>
      </c>
      <c r="B48" s="8" t="s">
        <v>99</v>
      </c>
      <c r="C48" s="8" t="s">
        <v>332</v>
      </c>
      <c r="D48" s="12" t="n">
        <f aca="false">MAX(0, 2*'House Vote Data (Actual)'!G176 - 'House Vote Data (Actual)'!G174)</f>
        <v>6544</v>
      </c>
      <c r="E48" s="9" t="n">
        <f aca="false">MIN(1,MAX(0,(16.6275197239661+18.0678191471584*'Model Inputs (Reg + ACS)'!C45+7.62148660507631*'Model Inputs (Reg + ACS)'!D45+(-3.67168671169206)*0+0.65575738970757*('House Vote Data (Actual)'!H177*100))/100))</f>
        <v>0.502088298287467</v>
      </c>
      <c r="F48" s="12" t="n">
        <f aca="false">ROUND(D48*E48,0)</f>
        <v>3286</v>
      </c>
      <c r="G48" s="12" t="n">
        <f aca="false">ROUND(D48*(1-E48),0)</f>
        <v>3258</v>
      </c>
      <c r="H48" s="8" t="str">
        <f aca="false">IF(E48&gt;0.5,"Democrat","Republican")</f>
        <v>Democrat</v>
      </c>
    </row>
    <row r="49" customFormat="false" ht="15" hidden="false" customHeight="true" outlineLevel="0" collapsed="false">
      <c r="A49" s="8" t="s">
        <v>115</v>
      </c>
      <c r="B49" s="8" t="s">
        <v>99</v>
      </c>
      <c r="C49" s="8" t="s">
        <v>332</v>
      </c>
      <c r="D49" s="12" t="n">
        <f aca="false">MAX(0, 2*'House Vote Data (Actual)'!G180 - 'House Vote Data (Actual)'!G178)</f>
        <v>5459</v>
      </c>
      <c r="E49" s="9" t="n">
        <f aca="false">MIN(1,MAX(0,(16.6275197239661+18.0678191471584*'Model Inputs (Reg + ACS)'!C46+7.62148660507631*'Model Inputs (Reg + ACS)'!D46+(-3.67168671169206)*0+0.65575738970757*('House Vote Data (Actual)'!H181*100))/100))</f>
        <v>0.350654524491126</v>
      </c>
      <c r="F49" s="12" t="n">
        <f aca="false">ROUND(D49*E49,0)</f>
        <v>1914</v>
      </c>
      <c r="G49" s="12" t="n">
        <f aca="false">ROUND(D49*(1-E49),0)</f>
        <v>3545</v>
      </c>
      <c r="H49" s="8" t="str">
        <f aca="false">IF(E49&gt;0.5,"Democrat","Republican")</f>
        <v>Republican</v>
      </c>
    </row>
    <row r="50" customFormat="false" ht="15" hidden="false" customHeight="true" outlineLevel="0" collapsed="false">
      <c r="A50" s="8" t="s">
        <v>116</v>
      </c>
      <c r="B50" s="8" t="s">
        <v>99</v>
      </c>
      <c r="C50" s="8" t="s">
        <v>332</v>
      </c>
      <c r="D50" s="12" t="n">
        <f aca="false">MAX(0, 2*'House Vote Data (Actual)'!G184 - 'House Vote Data (Actual)'!G182)</f>
        <v>2718</v>
      </c>
      <c r="E50" s="9" t="n">
        <f aca="false">MIN(1,MAX(0,(16.6275197239661+18.0678191471584*'Model Inputs (Reg + ACS)'!C47+7.62148660507631*'Model Inputs (Reg + ACS)'!D47+(-3.67168671169206)*0+0.65575738970757*('House Vote Data (Actual)'!H185*100))/100))</f>
        <v>0.477586971540024</v>
      </c>
      <c r="F50" s="12" t="n">
        <f aca="false">ROUND(D50*E50,0)</f>
        <v>1298</v>
      </c>
      <c r="G50" s="12" t="n">
        <f aca="false">ROUND(D50*(1-E50),0)</f>
        <v>1420</v>
      </c>
      <c r="H50" s="8" t="str">
        <f aca="false">IF(E50&gt;0.5,"Democrat","Republican")</f>
        <v>Republican</v>
      </c>
    </row>
    <row r="51" customFormat="false" ht="15" hidden="false" customHeight="true" outlineLevel="0" collapsed="false">
      <c r="A51" s="8" t="s">
        <v>117</v>
      </c>
      <c r="B51" s="8" t="s">
        <v>99</v>
      </c>
      <c r="C51" s="8" t="s">
        <v>332</v>
      </c>
      <c r="D51" s="12" t="n">
        <f aca="false">MAX(0, 2*'House Vote Data (Actual)'!G188 - 'House Vote Data (Actual)'!G186)</f>
        <v>1454</v>
      </c>
      <c r="E51" s="9" t="n">
        <f aca="false">MIN(1,MAX(0,(16.6275197239661+18.0678191471584*'Model Inputs (Reg + ACS)'!C48+7.62148660507631*'Model Inputs (Reg + ACS)'!D48+(-3.67168671169206)*0+0.65575738970757*('House Vote Data (Actual)'!H189*100))/100))</f>
        <v>0.511129032940773</v>
      </c>
      <c r="F51" s="12" t="n">
        <f aca="false">ROUND(D51*E51,0)</f>
        <v>743</v>
      </c>
      <c r="G51" s="12" t="n">
        <f aca="false">ROUND(D51*(1-E51),0)</f>
        <v>711</v>
      </c>
      <c r="H51" s="8" t="str">
        <f aca="false">IF(E51&gt;0.5,"Democrat","Republican")</f>
        <v>Democrat</v>
      </c>
    </row>
    <row r="52" customFormat="false" ht="15" hidden="false" customHeight="true" outlineLevel="0" collapsed="false">
      <c r="A52" s="8" t="s">
        <v>99</v>
      </c>
      <c r="B52" s="8" t="s">
        <v>99</v>
      </c>
      <c r="C52" s="8" t="s">
        <v>332</v>
      </c>
      <c r="D52" s="12" t="n">
        <f aca="false">MAX(0, 2*'House Vote Data (Actual)'!G192 - 'House Vote Data (Actual)'!G190)</f>
        <v>4441</v>
      </c>
      <c r="E52" s="9" t="n">
        <f aca="false">MIN(1,MAX(0,(16.6275197239661+18.0678191471584*'Model Inputs (Reg + ACS)'!C49+7.62148660507631*'Model Inputs (Reg + ACS)'!D49+(-3.67168671169206)*0+0.65575738970757*('House Vote Data (Actual)'!H193*100))/100))</f>
        <v>0.488687598273193</v>
      </c>
      <c r="F52" s="12" t="n">
        <f aca="false">ROUND(D52*E52,0)</f>
        <v>2170</v>
      </c>
      <c r="G52" s="12" t="n">
        <f aca="false">ROUND(D52*(1-E52),0)</f>
        <v>2271</v>
      </c>
      <c r="H52" s="8" t="str">
        <f aca="false">IF(E52&gt;0.5,"Democrat","Republican")</f>
        <v>Republican</v>
      </c>
    </row>
    <row r="53" customFormat="false" ht="15" hidden="false" customHeight="true" outlineLevel="0" collapsed="false">
      <c r="A53" s="8" t="s">
        <v>118</v>
      </c>
      <c r="B53" s="8" t="s">
        <v>99</v>
      </c>
      <c r="C53" s="8" t="s">
        <v>332</v>
      </c>
      <c r="D53" s="12" t="n">
        <f aca="false">MAX(0, 2*'House Vote Data (Actual)'!G196 - 'House Vote Data (Actual)'!G194)</f>
        <v>11530</v>
      </c>
      <c r="E53" s="9" t="n">
        <f aca="false">MIN(1,MAX(0,(16.6275197239661+18.0678191471584*'Model Inputs (Reg + ACS)'!C50+7.62148660507631*'Model Inputs (Reg + ACS)'!D50+(-3.67168671169206)*0+0.65575738970757*('House Vote Data (Actual)'!H197*100))/100))</f>
        <v>0.539245714082964</v>
      </c>
      <c r="F53" s="12" t="n">
        <f aca="false">ROUND(D53*E53,0)</f>
        <v>6218</v>
      </c>
      <c r="G53" s="12" t="n">
        <f aca="false">ROUND(D53*(1-E53),0)</f>
        <v>5312</v>
      </c>
      <c r="H53" s="8" t="str">
        <f aca="false">IF(E53&gt;0.5,"Democrat","Republican")</f>
        <v>Democrat</v>
      </c>
    </row>
    <row r="54" customFormat="false" ht="15" hidden="false" customHeight="true" outlineLevel="0" collapsed="false">
      <c r="A54" s="8" t="s">
        <v>119</v>
      </c>
      <c r="B54" s="8" t="s">
        <v>99</v>
      </c>
      <c r="C54" s="8" t="s">
        <v>332</v>
      </c>
      <c r="D54" s="12" t="n">
        <f aca="false">MAX(0, 2*'House Vote Data (Actual)'!G200 - 'House Vote Data (Actual)'!G198)</f>
        <v>1360</v>
      </c>
      <c r="E54" s="9" t="n">
        <f aca="false">MIN(1,MAX(0,(16.6275197239661+18.0678191471584*'Model Inputs (Reg + ACS)'!C51+7.62148660507631*'Model Inputs (Reg + ACS)'!D51+(-3.67168671169206)*0+0.65575738970757*('House Vote Data (Actual)'!H201*100))/100))</f>
        <v>0.397277685720534</v>
      </c>
      <c r="F54" s="12" t="n">
        <f aca="false">ROUND(D54*E54,0)</f>
        <v>540</v>
      </c>
      <c r="G54" s="12" t="n">
        <f aca="false">ROUND(D54*(1-E54),0)</f>
        <v>820</v>
      </c>
      <c r="H54" s="8" t="str">
        <f aca="false">IF(E54&gt;0.5,"Democrat","Republican")</f>
        <v>Republican</v>
      </c>
    </row>
    <row r="55" customFormat="false" ht="15" hidden="false" customHeight="true" outlineLevel="0" collapsed="false">
      <c r="A55" s="8" t="s">
        <v>120</v>
      </c>
      <c r="B55" s="8" t="s">
        <v>99</v>
      </c>
      <c r="C55" s="8" t="s">
        <v>332</v>
      </c>
      <c r="D55" s="12" t="n">
        <f aca="false">MAX(0, 2*'House Vote Data (Actual)'!G204 - 'House Vote Data (Actual)'!G202)</f>
        <v>3510</v>
      </c>
      <c r="E55" s="9" t="n">
        <f aca="false">MIN(1,MAX(0,(16.6275197239661+18.0678191471584*'Model Inputs (Reg + ACS)'!C52+7.62148660507631*'Model Inputs (Reg + ACS)'!D52+(-3.67168671169206)*0+0.65575738970757*('House Vote Data (Actual)'!H205*100))/100))</f>
        <v>0.365127916645284</v>
      </c>
      <c r="F55" s="12" t="n">
        <f aca="false">ROUND(D55*E55,0)</f>
        <v>1282</v>
      </c>
      <c r="G55" s="12" t="n">
        <f aca="false">ROUND(D55*(1-E55),0)</f>
        <v>2228</v>
      </c>
      <c r="H55" s="8" t="str">
        <f aca="false">IF(E55&gt;0.5,"Democrat","Republican")</f>
        <v>Republican</v>
      </c>
    </row>
    <row r="56" customFormat="false" ht="15" hidden="false" customHeight="true" outlineLevel="0" collapsed="false">
      <c r="A56" s="8" t="s">
        <v>121</v>
      </c>
      <c r="B56" s="8" t="s">
        <v>99</v>
      </c>
      <c r="C56" s="8" t="s">
        <v>332</v>
      </c>
      <c r="D56" s="12" t="n">
        <f aca="false">MAX(0, 2*'House Vote Data (Actual)'!G208 - 'House Vote Data (Actual)'!G206)</f>
        <v>219</v>
      </c>
      <c r="E56" s="9" t="n">
        <f aca="false">MIN(1,MAX(0,(16.6275197239661+18.0678191471584*'Model Inputs (Reg + ACS)'!C53+7.62148660507631*'Model Inputs (Reg + ACS)'!D53+(-3.67168671169206)*0+0.65575738970757*('House Vote Data (Actual)'!H209*100))/100))</f>
        <v>0.365086715129382</v>
      </c>
      <c r="F56" s="12" t="n">
        <f aca="false">ROUND(D56*E56,0)</f>
        <v>80</v>
      </c>
      <c r="G56" s="12" t="n">
        <f aca="false">ROUND(D56*(1-E56),0)</f>
        <v>139</v>
      </c>
      <c r="H56" s="8" t="str">
        <f aca="false">IF(E56&gt;0.5,"Democrat","Republican")</f>
        <v>Republican</v>
      </c>
    </row>
    <row r="57" customFormat="false" ht="15" hidden="false" customHeight="true" outlineLevel="0" collapsed="false">
      <c r="A57" s="8" t="s">
        <v>122</v>
      </c>
      <c r="B57" s="8" t="s">
        <v>99</v>
      </c>
      <c r="C57" s="8" t="s">
        <v>332</v>
      </c>
      <c r="D57" s="12" t="n">
        <f aca="false">MAX(0, 2*'House Vote Data (Actual)'!G212 - 'House Vote Data (Actual)'!G210)</f>
        <v>761</v>
      </c>
      <c r="E57" s="9" t="n">
        <f aca="false">MIN(1,MAX(0,(16.6275197239661+18.0678191471584*'Model Inputs (Reg + ACS)'!C54+7.62148660507631*'Model Inputs (Reg + ACS)'!D54+(-3.67168671169206)*0+0.65575738970757*('House Vote Data (Actual)'!H213*100))/100))</f>
        <v>0.403767152586949</v>
      </c>
      <c r="F57" s="12" t="n">
        <f aca="false">ROUND(D57*E57,0)</f>
        <v>307</v>
      </c>
      <c r="G57" s="12" t="n">
        <f aca="false">ROUND(D57*(1-E57),0)</f>
        <v>454</v>
      </c>
      <c r="H57" s="8" t="str">
        <f aca="false">IF(E57&gt;0.5,"Democrat","Republican")</f>
        <v>Republican</v>
      </c>
    </row>
    <row r="58" customFormat="false" ht="15" hidden="false" customHeight="true" outlineLevel="0" collapsed="false">
      <c r="A58" s="8" t="s">
        <v>123</v>
      </c>
      <c r="B58" s="8" t="s">
        <v>99</v>
      </c>
      <c r="C58" s="8" t="s">
        <v>332</v>
      </c>
      <c r="D58" s="12" t="n">
        <f aca="false">MAX(0, 2*'House Vote Data (Actual)'!G216 - 'House Vote Data (Actual)'!G214)</f>
        <v>447</v>
      </c>
      <c r="E58" s="9" t="n">
        <f aca="false">MIN(1,MAX(0,(16.6275197239661+18.0678191471584*'Model Inputs (Reg + ACS)'!C55+7.62148660507631*'Model Inputs (Reg + ACS)'!D55+(-3.67168671169206)*0+0.65575738970757*('House Vote Data (Actual)'!H217*100))/100))</f>
        <v>0.432511149481882</v>
      </c>
      <c r="F58" s="12" t="n">
        <f aca="false">ROUND(D58*E58,0)</f>
        <v>193</v>
      </c>
      <c r="G58" s="12" t="n">
        <f aca="false">ROUND(D58*(1-E58),0)</f>
        <v>254</v>
      </c>
      <c r="H58" s="8" t="str">
        <f aca="false">IF(E58&gt;0.5,"Democrat","Republican")</f>
        <v>Republican</v>
      </c>
    </row>
    <row r="59" customFormat="false" ht="15" hidden="false" customHeight="true" outlineLevel="0" collapsed="false">
      <c r="A59" s="8" t="s">
        <v>124</v>
      </c>
      <c r="B59" s="8" t="s">
        <v>99</v>
      </c>
      <c r="C59" s="8" t="s">
        <v>332</v>
      </c>
      <c r="D59" s="12" t="n">
        <f aca="false">MAX(0, 2*'House Vote Data (Actual)'!G220 - 'House Vote Data (Actual)'!G218)</f>
        <v>666</v>
      </c>
      <c r="E59" s="9" t="n">
        <f aca="false">MIN(1,MAX(0,(16.6275197239661+18.0678191471584*'Model Inputs (Reg + ACS)'!C56+7.62148660507631*'Model Inputs (Reg + ACS)'!D56+(-3.67168671169206)*0+0.65575738970757*('House Vote Data (Actual)'!H221*100))/100))</f>
        <v>0.454923972640599</v>
      </c>
      <c r="F59" s="12" t="n">
        <f aca="false">ROUND(D59*E59,0)</f>
        <v>303</v>
      </c>
      <c r="G59" s="12" t="n">
        <f aca="false">ROUND(D59*(1-E59),0)</f>
        <v>363</v>
      </c>
      <c r="H59" s="8" t="str">
        <f aca="false">IF(E59&gt;0.5,"Democrat","Republican")</f>
        <v>Republican</v>
      </c>
    </row>
    <row r="60" customFormat="false" ht="15" hidden="false" customHeight="true" outlineLevel="0" collapsed="false">
      <c r="A60" s="8" t="s">
        <v>125</v>
      </c>
      <c r="B60" s="8" t="s">
        <v>99</v>
      </c>
      <c r="C60" s="8" t="s">
        <v>332</v>
      </c>
      <c r="D60" s="12" t="n">
        <f aca="false">MAX(0, 2*'House Vote Data (Actual)'!G224 - 'House Vote Data (Actual)'!G222)</f>
        <v>3533</v>
      </c>
      <c r="E60" s="9" t="n">
        <f aca="false">MIN(1,MAX(0,(16.6275197239661+18.0678191471584*'Model Inputs (Reg + ACS)'!C57+7.62148660507631*'Model Inputs (Reg + ACS)'!D57+(-3.67168671169206)*0+0.65575738970757*('House Vote Data (Actual)'!H225*100))/100))</f>
        <v>0.334863682299013</v>
      </c>
      <c r="F60" s="12" t="n">
        <f aca="false">ROUND(D60*E60,0)</f>
        <v>1183</v>
      </c>
      <c r="G60" s="12" t="n">
        <f aca="false">ROUND(D60*(1-E60),0)</f>
        <v>2350</v>
      </c>
      <c r="H60" s="8" t="str">
        <f aca="false">IF(E60&gt;0.5,"Democrat","Republican")</f>
        <v>Republican</v>
      </c>
    </row>
    <row r="61" customFormat="false" ht="15" hidden="false" customHeight="true" outlineLevel="0" collapsed="false">
      <c r="A61" s="8" t="s">
        <v>126</v>
      </c>
      <c r="B61" s="8" t="s">
        <v>99</v>
      </c>
      <c r="C61" s="8" t="s">
        <v>332</v>
      </c>
      <c r="D61" s="12" t="n">
        <f aca="false">MAX(0, 2*'House Vote Data (Actual)'!G228 - 'House Vote Data (Actual)'!G226)</f>
        <v>3725</v>
      </c>
      <c r="E61" s="9" t="n">
        <f aca="false">MIN(1,MAX(0,(16.6275197239661+18.0678191471584*'Model Inputs (Reg + ACS)'!C58+7.62148660507631*'Model Inputs (Reg + ACS)'!D58+(-3.67168671169206)*0+0.65575738970757*('House Vote Data (Actual)'!H229*100))/100))</f>
        <v>0.499514173022113</v>
      </c>
      <c r="F61" s="12" t="n">
        <f aca="false">ROUND(D61*E61,0)</f>
        <v>1861</v>
      </c>
      <c r="G61" s="12" t="n">
        <f aca="false">ROUND(D61*(1-E61),0)</f>
        <v>1864</v>
      </c>
      <c r="H61" s="8" t="str">
        <f aca="false">IF(E61&gt;0.5,"Democrat","Republican")</f>
        <v>Republican</v>
      </c>
    </row>
    <row r="62" customFormat="false" ht="15" hidden="false" customHeight="true" outlineLevel="0" collapsed="false">
      <c r="A62" s="8" t="s">
        <v>127</v>
      </c>
      <c r="B62" s="8" t="s">
        <v>99</v>
      </c>
      <c r="C62" s="8" t="s">
        <v>332</v>
      </c>
      <c r="D62" s="12" t="n">
        <f aca="false">MAX(0, 2*'House Vote Data (Actual)'!G232 - 'House Vote Data (Actual)'!G230)</f>
        <v>830</v>
      </c>
      <c r="E62" s="9" t="n">
        <f aca="false">MIN(1,MAX(0,(16.6275197239661+18.0678191471584*'Model Inputs (Reg + ACS)'!C59+7.62148660507631*'Model Inputs (Reg + ACS)'!D59+(-3.67168671169206)*0+0.65575738970757*('House Vote Data (Actual)'!H233*100))/100))</f>
        <v>0.408415579641878</v>
      </c>
      <c r="F62" s="12" t="n">
        <f aca="false">ROUND(D62*E62,0)</f>
        <v>339</v>
      </c>
      <c r="G62" s="12" t="n">
        <f aca="false">ROUND(D62*(1-E62),0)</f>
        <v>491</v>
      </c>
      <c r="H62" s="8" t="str">
        <f aca="false">IF(E62&gt;0.5,"Democrat","Republican")</f>
        <v>Republican</v>
      </c>
    </row>
    <row r="63" customFormat="false" ht="15" hidden="false" customHeight="true" outlineLevel="0" collapsed="false">
      <c r="A63" s="8" t="s">
        <v>95</v>
      </c>
      <c r="B63" s="8" t="s">
        <v>99</v>
      </c>
      <c r="C63" s="8" t="s">
        <v>332</v>
      </c>
      <c r="D63" s="12" t="n">
        <f aca="false">MAX(0, 2*'House Vote Data (Actual)'!G236 - 'House Vote Data (Actual)'!G234)</f>
        <v>2832</v>
      </c>
      <c r="E63" s="9" t="n">
        <f aca="false">MIN(1,MAX(0,(16.6275197239661+18.0678191471584*'Model Inputs (Reg + ACS)'!C60+7.62148660507631*'Model Inputs (Reg + ACS)'!D60+(-3.67168671169206)*0+0.65575738970757*('House Vote Data (Actual)'!H237*100))/100))</f>
        <v>0.359625330675037</v>
      </c>
      <c r="F63" s="12" t="n">
        <f aca="false">ROUND(D63*E63,0)</f>
        <v>1018</v>
      </c>
      <c r="G63" s="12" t="n">
        <f aca="false">ROUND(D63*(1-E63),0)</f>
        <v>1814</v>
      </c>
      <c r="H63" s="8" t="str">
        <f aca="false">IF(E63&gt;0.5,"Democrat","Republican")</f>
        <v>Republican</v>
      </c>
    </row>
    <row r="64" customFormat="false" ht="15" hidden="false" customHeight="true" outlineLevel="0" collapsed="false">
      <c r="A64" s="8" t="s">
        <v>128</v>
      </c>
      <c r="B64" s="8" t="s">
        <v>99</v>
      </c>
      <c r="C64" s="8" t="s">
        <v>332</v>
      </c>
      <c r="D64" s="12" t="n">
        <f aca="false">MAX(0, 2*'House Vote Data (Actual)'!G240 - 'House Vote Data (Actual)'!G238)</f>
        <v>458</v>
      </c>
      <c r="E64" s="9" t="n">
        <f aca="false">MIN(1,MAX(0,(16.6275197239661+18.0678191471584*'Model Inputs (Reg + ACS)'!C61+7.62148660507631*'Model Inputs (Reg + ACS)'!D61+(-3.67168671169206)*0+0.65575738970757*('House Vote Data (Actual)'!H241*100))/100))</f>
        <v>0.489523554584824</v>
      </c>
      <c r="F64" s="12" t="n">
        <f aca="false">ROUND(D64*E64,0)</f>
        <v>224</v>
      </c>
      <c r="G64" s="12" t="n">
        <f aca="false">ROUND(D64*(1-E64),0)</f>
        <v>234</v>
      </c>
      <c r="H64" s="8" t="str">
        <f aca="false">IF(E64&gt;0.5,"Democrat","Republican")</f>
        <v>Republican</v>
      </c>
    </row>
    <row r="65" customFormat="false" ht="15" hidden="false" customHeight="true" outlineLevel="0" collapsed="false">
      <c r="A65" s="8" t="s">
        <v>129</v>
      </c>
      <c r="B65" s="8" t="s">
        <v>99</v>
      </c>
      <c r="C65" s="8" t="s">
        <v>332</v>
      </c>
      <c r="D65" s="12" t="n">
        <f aca="false">MAX(0, 2*'House Vote Data (Actual)'!G244 - 'House Vote Data (Actual)'!G242)</f>
        <v>3715</v>
      </c>
      <c r="E65" s="9" t="n">
        <f aca="false">MIN(1,MAX(0,(16.6275197239661+18.0678191471584*'Model Inputs (Reg + ACS)'!C62+7.62148660507631*'Model Inputs (Reg + ACS)'!D62+(-3.67168671169206)*0+0.65575738970757*('House Vote Data (Actual)'!H245*100))/100))</f>
        <v>0.459291689712131</v>
      </c>
      <c r="F65" s="12" t="n">
        <f aca="false">ROUND(D65*E65,0)</f>
        <v>1706</v>
      </c>
      <c r="G65" s="12" t="n">
        <f aca="false">ROUND(D65*(1-E65),0)</f>
        <v>2009</v>
      </c>
      <c r="H65" s="8" t="str">
        <f aca="false">IF(E65&gt;0.5,"Democrat","Republican")</f>
        <v>Republican</v>
      </c>
    </row>
    <row r="66" customFormat="false" ht="15" hidden="false" customHeight="true" outlineLevel="0" collapsed="false">
      <c r="A66" s="8" t="s">
        <v>130</v>
      </c>
      <c r="B66" s="8" t="s">
        <v>99</v>
      </c>
      <c r="C66" s="8" t="s">
        <v>332</v>
      </c>
      <c r="D66" s="12" t="n">
        <f aca="false">MAX(0, 2*'House Vote Data (Actual)'!G248 - 'House Vote Data (Actual)'!G246)</f>
        <v>2465</v>
      </c>
      <c r="E66" s="9" t="n">
        <f aca="false">MIN(1,MAX(0,(16.6275197239661+18.0678191471584*'Model Inputs (Reg + ACS)'!C63+7.62148660507631*'Model Inputs (Reg + ACS)'!D63+(-3.67168671169206)*0+0.65575738970757*('House Vote Data (Actual)'!H249*100))/100))</f>
        <v>0.579213546670559</v>
      </c>
      <c r="F66" s="12" t="n">
        <f aca="false">ROUND(D66*E66,0)</f>
        <v>1428</v>
      </c>
      <c r="G66" s="12" t="n">
        <f aca="false">ROUND(D66*(1-E66),0)</f>
        <v>1037</v>
      </c>
      <c r="H66" s="8" t="str">
        <f aca="false">IF(E66&gt;0.5,"Democrat","Republican")</f>
        <v>Democrat</v>
      </c>
    </row>
    <row r="67" customFormat="false" ht="15" hidden="false" customHeight="true" outlineLevel="0" collapsed="false">
      <c r="A67" s="8" t="s">
        <v>131</v>
      </c>
      <c r="B67" s="8" t="s">
        <v>99</v>
      </c>
      <c r="C67" s="8" t="s">
        <v>332</v>
      </c>
      <c r="D67" s="12" t="n">
        <f aca="false">MAX(0, 2*'House Vote Data (Actual)'!G252 - 'House Vote Data (Actual)'!G250)</f>
        <v>1361</v>
      </c>
      <c r="E67" s="9" t="n">
        <f aca="false">MIN(1,MAX(0,(16.6275197239661+18.0678191471584*'Model Inputs (Reg + ACS)'!C64+7.62148660507631*'Model Inputs (Reg + ACS)'!D64+(-3.67168671169206)*0+0.65575738970757*('House Vote Data (Actual)'!H253*100))/100))</f>
        <v>0.445366605677413</v>
      </c>
      <c r="F67" s="12" t="n">
        <f aca="false">ROUND(D67*E67,0)</f>
        <v>606</v>
      </c>
      <c r="G67" s="12" t="n">
        <f aca="false">ROUND(D67*(1-E67),0)</f>
        <v>755</v>
      </c>
      <c r="H67" s="8" t="str">
        <f aca="false">IF(E67&gt;0.5,"Democrat","Republican")</f>
        <v>Republican</v>
      </c>
    </row>
    <row r="68" customFormat="false" ht="15" hidden="false" customHeight="true" outlineLevel="0" collapsed="false">
      <c r="A68" s="8" t="s">
        <v>138</v>
      </c>
      <c r="B68" s="8" t="s">
        <v>139</v>
      </c>
      <c r="C68" s="8" t="s">
        <v>333</v>
      </c>
      <c r="D68" s="12" t="n">
        <f aca="false">MAX(0, 2*'Carbon 2026 Registration'!D2 - 'Carbon 2026 Registration'!C2)</f>
        <v>382</v>
      </c>
      <c r="E68" s="9" t="n">
        <f aca="false">MIN(1,MAX(0, 0.4899 + 0.489*'Carbon 2026 Registration'!B2))</f>
        <v>0.5165016</v>
      </c>
      <c r="F68" s="12" t="n">
        <f aca="false">ROUND(D68*E68,0)</f>
        <v>197</v>
      </c>
      <c r="G68" s="12" t="n">
        <f aca="false">ROUND(D68*(1-E68),0)</f>
        <v>185</v>
      </c>
      <c r="H68" s="8" t="str">
        <f aca="false">IF(E68&gt;0.5,"Democrat","Republican")</f>
        <v>Democrat</v>
      </c>
    </row>
    <row r="69" customFormat="false" ht="15" hidden="false" customHeight="true" outlineLevel="0" collapsed="false">
      <c r="A69" s="8" t="s">
        <v>140</v>
      </c>
      <c r="B69" s="8" t="s">
        <v>139</v>
      </c>
      <c r="C69" s="8" t="s">
        <v>333</v>
      </c>
      <c r="D69" s="12" t="n">
        <f aca="false">MAX(0, 2*'Carbon 2026 Registration'!D3 - 'Carbon 2026 Registration'!C3)</f>
        <v>339</v>
      </c>
      <c r="E69" s="9" t="n">
        <f aca="false">MIN(1,MAX(0, 0.4899 + 0.489*'Carbon 2026 Registration'!B3))</f>
        <v>0.3741537</v>
      </c>
      <c r="F69" s="12" t="n">
        <f aca="false">ROUND(D69*E69,0)</f>
        <v>127</v>
      </c>
      <c r="G69" s="12" t="n">
        <f aca="false">ROUND(D69*(1-E69),0)</f>
        <v>212</v>
      </c>
      <c r="H69" s="8" t="str">
        <f aca="false">IF(E69&gt;0.5,"Democrat","Republican")</f>
        <v>Republican</v>
      </c>
    </row>
    <row r="70" customFormat="false" ht="15" hidden="false" customHeight="true" outlineLevel="0" collapsed="false">
      <c r="A70" s="8" t="s">
        <v>141</v>
      </c>
      <c r="B70" s="8" t="s">
        <v>139</v>
      </c>
      <c r="C70" s="8" t="s">
        <v>333</v>
      </c>
      <c r="D70" s="12" t="n">
        <f aca="false">MAX(0, 2*'Carbon 2026 Registration'!D4 - 'Carbon 2026 Registration'!C4)</f>
        <v>398</v>
      </c>
      <c r="E70" s="9" t="n">
        <f aca="false">MIN(1,MAX(0, 0.4899 + 0.489*'Carbon 2026 Registration'!B4))</f>
        <v>0.3574788</v>
      </c>
      <c r="F70" s="12" t="n">
        <f aca="false">ROUND(D70*E70,0)</f>
        <v>142</v>
      </c>
      <c r="G70" s="12" t="n">
        <f aca="false">ROUND(D70*(1-E70),0)</f>
        <v>256</v>
      </c>
      <c r="H70" s="8" t="str">
        <f aca="false">IF(E70&gt;0.5,"Democrat","Republican")</f>
        <v>Republican</v>
      </c>
    </row>
    <row r="71" customFormat="false" ht="15" hidden="false" customHeight="true" outlineLevel="0" collapsed="false">
      <c r="A71" s="8" t="s">
        <v>142</v>
      </c>
      <c r="B71" s="8" t="s">
        <v>139</v>
      </c>
      <c r="C71" s="8" t="s">
        <v>333</v>
      </c>
      <c r="D71" s="12" t="n">
        <f aca="false">MAX(0, 2*'Carbon 2026 Registration'!D5 - 'Carbon 2026 Registration'!C5)</f>
        <v>1491</v>
      </c>
      <c r="E71" s="9" t="n">
        <f aca="false">MIN(1,MAX(0, 0.4899 + 0.489*'Carbon 2026 Registration'!B5))</f>
        <v>0.3158649</v>
      </c>
      <c r="F71" s="12" t="n">
        <f aca="false">ROUND(D71*E71,0)</f>
        <v>471</v>
      </c>
      <c r="G71" s="12" t="n">
        <f aca="false">ROUND(D71*(1-E71),0)</f>
        <v>1020</v>
      </c>
      <c r="H71" s="8" t="str">
        <f aca="false">IF(E71&gt;0.5,"Democrat","Republican")</f>
        <v>Republican</v>
      </c>
    </row>
    <row r="72" customFormat="false" ht="15" hidden="false" customHeight="true" outlineLevel="0" collapsed="false">
      <c r="A72" s="8" t="s">
        <v>143</v>
      </c>
      <c r="B72" s="8" t="s">
        <v>139</v>
      </c>
      <c r="C72" s="8" t="s">
        <v>333</v>
      </c>
      <c r="D72" s="12" t="n">
        <f aca="false">MAX(0, 2*'Carbon 2026 Registration'!D6 - 'Carbon 2026 Registration'!C6)</f>
        <v>103</v>
      </c>
      <c r="E72" s="9" t="n">
        <f aca="false">MIN(1,MAX(0, 0.4899 + 0.489*'Carbon 2026 Registration'!B6))</f>
        <v>0.4039338</v>
      </c>
      <c r="F72" s="12" t="n">
        <f aca="false">ROUND(D72*E72,0)</f>
        <v>42</v>
      </c>
      <c r="G72" s="12" t="n">
        <f aca="false">ROUND(D72*(1-E72),0)</f>
        <v>61</v>
      </c>
      <c r="H72" s="8" t="str">
        <f aca="false">IF(E72&gt;0.5,"Democrat","Republican")</f>
        <v>Republican</v>
      </c>
    </row>
    <row r="73" customFormat="false" ht="15" hidden="false" customHeight="true" outlineLevel="0" collapsed="false">
      <c r="A73" s="8" t="s">
        <v>144</v>
      </c>
      <c r="B73" s="8" t="s">
        <v>139</v>
      </c>
      <c r="C73" s="8" t="s">
        <v>333</v>
      </c>
      <c r="D73" s="12" t="n">
        <f aca="false">MAX(0, 2*'Carbon 2026 Registration'!D7 - 'Carbon 2026 Registration'!C7)</f>
        <v>2220</v>
      </c>
      <c r="E73" s="9" t="n">
        <f aca="false">MIN(1,MAX(0, 0.4899 + 0.489*'Carbon 2026 Registration'!B7))</f>
        <v>0.3229065</v>
      </c>
      <c r="F73" s="12" t="n">
        <f aca="false">ROUND(D73*E73,0)</f>
        <v>717</v>
      </c>
      <c r="G73" s="12" t="n">
        <f aca="false">ROUND(D73*(1-E73),0)</f>
        <v>1503</v>
      </c>
      <c r="H73" s="8" t="str">
        <f aca="false">IF(E73&gt;0.5,"Democrat","Republican")</f>
        <v>Republican</v>
      </c>
    </row>
    <row r="74" customFormat="false" ht="15" hidden="false" customHeight="true" outlineLevel="0" collapsed="false">
      <c r="A74" s="8" t="s">
        <v>145</v>
      </c>
      <c r="B74" s="8" t="s">
        <v>139</v>
      </c>
      <c r="C74" s="8" t="s">
        <v>333</v>
      </c>
      <c r="D74" s="12" t="n">
        <f aca="false">MAX(0, 2*'Carbon 2026 Registration'!D8 - 'Carbon 2026 Registration'!C8)</f>
        <v>2335</v>
      </c>
      <c r="E74" s="9" t="n">
        <f aca="false">MIN(1,MAX(0, 0.4899 + 0.489*'Carbon 2026 Registration'!B8))</f>
        <v>0.4654989</v>
      </c>
      <c r="F74" s="12" t="n">
        <f aca="false">ROUND(D74*E74,0)</f>
        <v>1087</v>
      </c>
      <c r="G74" s="12" t="n">
        <f aca="false">ROUND(D74*(1-E74),0)</f>
        <v>1248</v>
      </c>
      <c r="H74" s="8" t="str">
        <f aca="false">IF(E74&gt;0.5,"Democrat","Republican")</f>
        <v>Republican</v>
      </c>
    </row>
    <row r="75" customFormat="false" ht="15" hidden="false" customHeight="true" outlineLevel="0" collapsed="false">
      <c r="A75" s="8" t="s">
        <v>146</v>
      </c>
      <c r="B75" s="8" t="s">
        <v>139</v>
      </c>
      <c r="C75" s="8" t="s">
        <v>333</v>
      </c>
      <c r="D75" s="12" t="n">
        <f aca="false">MAX(0, 2*'Carbon 2026 Registration'!D9 - 'Carbon 2026 Registration'!C9)</f>
        <v>943</v>
      </c>
      <c r="E75" s="9" t="n">
        <f aca="false">MIN(1,MAX(0, 0.4899 + 0.489*'Carbon 2026 Registration'!B9))</f>
        <v>0.3546426</v>
      </c>
      <c r="F75" s="12" t="n">
        <f aca="false">ROUND(D75*E75,0)</f>
        <v>334</v>
      </c>
      <c r="G75" s="12" t="n">
        <f aca="false">ROUND(D75*(1-E75),0)</f>
        <v>609</v>
      </c>
      <c r="H75" s="8" t="str">
        <f aca="false">IF(E75&gt;0.5,"Democrat","Republican")</f>
        <v>Republican</v>
      </c>
    </row>
    <row r="76" customFormat="false" ht="15" hidden="false" customHeight="true" outlineLevel="0" collapsed="false">
      <c r="A76" s="8" t="s">
        <v>147</v>
      </c>
      <c r="B76" s="8" t="s">
        <v>139</v>
      </c>
      <c r="C76" s="8" t="s">
        <v>333</v>
      </c>
      <c r="D76" s="12" t="n">
        <f aca="false">MAX(0, 2*'Carbon 2026 Registration'!D10 - 'Carbon 2026 Registration'!C10)</f>
        <v>1128</v>
      </c>
      <c r="E76" s="9" t="n">
        <f aca="false">MIN(1,MAX(0, 0.4899 + 0.489*'Carbon 2026 Registration'!B10))</f>
        <v>0.4719537</v>
      </c>
      <c r="F76" s="12" t="n">
        <f aca="false">ROUND(D76*E76,0)</f>
        <v>532</v>
      </c>
      <c r="G76" s="12" t="n">
        <f aca="false">ROUND(D76*(1-E76),0)</f>
        <v>596</v>
      </c>
      <c r="H76" s="8" t="str">
        <f aca="false">IF(E76&gt;0.5,"Democrat","Republican")</f>
        <v>Republican</v>
      </c>
    </row>
    <row r="77" customFormat="false" ht="15" hidden="false" customHeight="true" outlineLevel="0" collapsed="false">
      <c r="A77" s="8" t="s">
        <v>148</v>
      </c>
      <c r="B77" s="8" t="s">
        <v>139</v>
      </c>
      <c r="C77" s="8" t="s">
        <v>333</v>
      </c>
      <c r="D77" s="12" t="n">
        <f aca="false">MAX(0, 2*'Carbon 2026 Registration'!D11 - 'Carbon 2026 Registration'!C11)</f>
        <v>137</v>
      </c>
      <c r="E77" s="9" t="n">
        <f aca="false">MIN(1,MAX(0, 0.4899 + 0.489*'Carbon 2026 Registration'!B11))</f>
        <v>0.300168</v>
      </c>
      <c r="F77" s="12" t="n">
        <f aca="false">ROUND(D77*E77,0)</f>
        <v>41</v>
      </c>
      <c r="G77" s="12" t="n">
        <f aca="false">ROUND(D77*(1-E77),0)</f>
        <v>96</v>
      </c>
      <c r="H77" s="8" t="str">
        <f aca="false">IF(E77&gt;0.5,"Democrat","Republican")</f>
        <v>Republican</v>
      </c>
    </row>
    <row r="78" customFormat="false" ht="15" hidden="false" customHeight="true" outlineLevel="0" collapsed="false">
      <c r="A78" s="8" t="s">
        <v>149</v>
      </c>
      <c r="B78" s="8" t="s">
        <v>139</v>
      </c>
      <c r="C78" s="8" t="s">
        <v>333</v>
      </c>
      <c r="D78" s="12" t="n">
        <f aca="false">MAX(0, 2*'Carbon 2026 Registration'!D12 - 'Carbon 2026 Registration'!C12)</f>
        <v>271</v>
      </c>
      <c r="E78" s="9" t="n">
        <f aca="false">MIN(1,MAX(0, 0.4899 + 0.489*'Carbon 2026 Registration'!B12))</f>
        <v>0.2240796</v>
      </c>
      <c r="F78" s="12" t="n">
        <f aca="false">ROUND(D78*E78,0)</f>
        <v>61</v>
      </c>
      <c r="G78" s="12" t="n">
        <f aca="false">ROUND(D78*(1-E78),0)</f>
        <v>210</v>
      </c>
      <c r="H78" s="8" t="str">
        <f aca="false">IF(E78&gt;0.5,"Democrat","Republican")</f>
        <v>Republican</v>
      </c>
    </row>
    <row r="79" customFormat="false" ht="15" hidden="false" customHeight="true" outlineLevel="0" collapsed="false">
      <c r="A79" s="8" t="s">
        <v>150</v>
      </c>
      <c r="B79" s="8" t="s">
        <v>139</v>
      </c>
      <c r="C79" s="8" t="s">
        <v>333</v>
      </c>
      <c r="D79" s="12" t="n">
        <f aca="false">MAX(0, 2*'Carbon 2026 Registration'!D13 - 'Carbon 2026 Registration'!C13)</f>
        <v>1867</v>
      </c>
      <c r="E79" s="9" t="n">
        <f aca="false">MIN(1,MAX(0, 0.4899 + 0.489*'Carbon 2026 Registration'!B13))</f>
        <v>0.4151319</v>
      </c>
      <c r="F79" s="12" t="n">
        <f aca="false">ROUND(D79*E79,0)</f>
        <v>775</v>
      </c>
      <c r="G79" s="12" t="n">
        <f aca="false">ROUND(D79*(1-E79),0)</f>
        <v>1092</v>
      </c>
      <c r="H79" s="8" t="str">
        <f aca="false">IF(E79&gt;0.5,"Democrat","Republican")</f>
        <v>Republican</v>
      </c>
    </row>
    <row r="80" customFormat="false" ht="15" hidden="false" customHeight="true" outlineLevel="0" collapsed="false">
      <c r="A80" s="8" t="s">
        <v>151</v>
      </c>
      <c r="B80" s="8" t="s">
        <v>139</v>
      </c>
      <c r="C80" s="8" t="s">
        <v>333</v>
      </c>
      <c r="D80" s="12" t="n">
        <f aca="false">MAX(0, 2*'Carbon 2026 Registration'!D14 - 'Carbon 2026 Registration'!C14)</f>
        <v>1561</v>
      </c>
      <c r="E80" s="9" t="n">
        <f aca="false">MIN(1,MAX(0, 0.4899 + 0.489*'Carbon 2026 Registration'!B14))</f>
        <v>0.3374787</v>
      </c>
      <c r="F80" s="12" t="n">
        <f aca="false">ROUND(D80*E80,0)</f>
        <v>527</v>
      </c>
      <c r="G80" s="12" t="n">
        <f aca="false">ROUND(D80*(1-E80),0)</f>
        <v>1034</v>
      </c>
      <c r="H80" s="8" t="str">
        <f aca="false">IF(E80&gt;0.5,"Democrat","Republican")</f>
        <v>Republican</v>
      </c>
    </row>
    <row r="81" customFormat="false" ht="15" hidden="false" customHeight="true" outlineLevel="0" collapsed="false">
      <c r="A81" s="8" t="s">
        <v>152</v>
      </c>
      <c r="B81" s="8" t="s">
        <v>139</v>
      </c>
      <c r="C81" s="8" t="s">
        <v>333</v>
      </c>
      <c r="D81" s="12" t="n">
        <f aca="false">MAX(0, 2*'Carbon 2026 Registration'!D15 - 'Carbon 2026 Registration'!C15)</f>
        <v>2044</v>
      </c>
      <c r="E81" s="9" t="n">
        <f aca="false">MIN(1,MAX(0, 0.4899 + 0.489*'Carbon 2026 Registration'!B15))</f>
        <v>0.3193857</v>
      </c>
      <c r="F81" s="12" t="n">
        <f aca="false">ROUND(D81*E81,0)</f>
        <v>653</v>
      </c>
      <c r="G81" s="12" t="n">
        <f aca="false">ROUND(D81*(1-E81),0)</f>
        <v>1391</v>
      </c>
      <c r="H81" s="8" t="str">
        <f aca="false">IF(E81&gt;0.5,"Democrat","Republican")</f>
        <v>Republican</v>
      </c>
    </row>
    <row r="82" customFormat="false" ht="15" hidden="false" customHeight="true" outlineLevel="0" collapsed="false">
      <c r="A82" s="8" t="s">
        <v>153</v>
      </c>
      <c r="B82" s="8" t="s">
        <v>139</v>
      </c>
      <c r="C82" s="8" t="s">
        <v>333</v>
      </c>
      <c r="D82" s="12" t="n">
        <f aca="false">MAX(0, 2*'Carbon 2026 Registration'!D16 - 'Carbon 2026 Registration'!C16)</f>
        <v>1332</v>
      </c>
      <c r="E82" s="9" t="n">
        <f aca="false">MIN(1,MAX(0, 0.4899 + 0.489*'Carbon 2026 Registration'!B16))</f>
        <v>0.4448142</v>
      </c>
      <c r="F82" s="12" t="n">
        <f aca="false">ROUND(D82*E82,0)</f>
        <v>592</v>
      </c>
      <c r="G82" s="12" t="n">
        <f aca="false">ROUND(D82*(1-E82),0)</f>
        <v>740</v>
      </c>
      <c r="H82" s="8" t="str">
        <f aca="false">IF(E82&gt;0.5,"Democrat","Republican")</f>
        <v>Republican</v>
      </c>
    </row>
    <row r="83" customFormat="false" ht="15" hidden="false" customHeight="true" outlineLevel="0" collapsed="false">
      <c r="A83" s="8" t="s">
        <v>154</v>
      </c>
      <c r="B83" s="8" t="s">
        <v>139</v>
      </c>
      <c r="C83" s="8" t="s">
        <v>333</v>
      </c>
      <c r="D83" s="12" t="n">
        <f aca="false">MAX(0, 2*'Carbon 2026 Registration'!D17 - 'Carbon 2026 Registration'!C17)</f>
        <v>590</v>
      </c>
      <c r="E83" s="9" t="n">
        <f aca="false">MIN(1,MAX(0, 0.4899 + 0.489*'Carbon 2026 Registration'!B17))</f>
        <v>0.2336151</v>
      </c>
      <c r="F83" s="12" t="n">
        <f aca="false">ROUND(D83*E83,0)</f>
        <v>138</v>
      </c>
      <c r="G83" s="12" t="n">
        <f aca="false">ROUND(D83*(1-E83),0)</f>
        <v>452</v>
      </c>
      <c r="H83" s="8" t="str">
        <f aca="false">IF(E83&gt;0.5,"Democrat","Republican")</f>
        <v>Republican</v>
      </c>
    </row>
    <row r="84" customFormat="false" ht="15" hidden="false" customHeight="true" outlineLevel="0" collapsed="false">
      <c r="A84" s="8" t="s">
        <v>155</v>
      </c>
      <c r="B84" s="8" t="s">
        <v>139</v>
      </c>
      <c r="C84" s="8" t="s">
        <v>333</v>
      </c>
      <c r="D84" s="12" t="n">
        <f aca="false">MAX(0, 2*'Carbon 2026 Registration'!D18 - 'Carbon 2026 Registration'!C18)</f>
        <v>2152</v>
      </c>
      <c r="E84" s="9" t="n">
        <f aca="false">MIN(1,MAX(0, 0.4899 + 0.489*'Carbon 2026 Registration'!B18))</f>
        <v>0.4109265</v>
      </c>
      <c r="F84" s="12" t="n">
        <f aca="false">ROUND(D84*E84,0)</f>
        <v>884</v>
      </c>
      <c r="G84" s="12" t="n">
        <f aca="false">ROUND(D84*(1-E84),0)</f>
        <v>1268</v>
      </c>
      <c r="H84" s="8" t="str">
        <f aca="false">IF(E84&gt;0.5,"Democrat","Republican")</f>
        <v>Republican</v>
      </c>
    </row>
    <row r="85" customFormat="false" ht="15" hidden="false" customHeight="true" outlineLevel="0" collapsed="false">
      <c r="A85" s="8" t="s">
        <v>156</v>
      </c>
      <c r="B85" s="8" t="s">
        <v>139</v>
      </c>
      <c r="C85" s="8" t="s">
        <v>333</v>
      </c>
      <c r="D85" s="12" t="n">
        <f aca="false">MAX(0, 2*'Carbon 2026 Registration'!D19 - 'Carbon 2026 Registration'!C19)</f>
        <v>218</v>
      </c>
      <c r="E85" s="9" t="n">
        <f aca="false">MIN(1,MAX(0, 0.4899 + 0.489*'Carbon 2026 Registration'!B19))</f>
        <v>0.3752295</v>
      </c>
      <c r="F85" s="12" t="n">
        <f aca="false">ROUND(D85*E85,0)</f>
        <v>82</v>
      </c>
      <c r="G85" s="12" t="n">
        <f aca="false">ROUND(D85*(1-E85),0)</f>
        <v>136</v>
      </c>
      <c r="H85" s="8" t="str">
        <f aca="false">IF(E85&gt;0.5,"Democrat","Republican")</f>
        <v>Republican</v>
      </c>
    </row>
    <row r="86" customFormat="false" ht="15" hidden="false" customHeight="true" outlineLevel="0" collapsed="false">
      <c r="A86" s="8" t="s">
        <v>157</v>
      </c>
      <c r="B86" s="8" t="s">
        <v>139</v>
      </c>
      <c r="C86" s="8" t="s">
        <v>333</v>
      </c>
      <c r="D86" s="12" t="n">
        <f aca="false">MAX(0, 2*'Carbon 2026 Registration'!D20 - 'Carbon 2026 Registration'!C20)</f>
        <v>5156</v>
      </c>
      <c r="E86" s="9" t="n">
        <f aca="false">MIN(1,MAX(0, 0.4899 + 0.489*'Carbon 2026 Registration'!B20))</f>
        <v>0.3926868</v>
      </c>
      <c r="F86" s="12" t="n">
        <f aca="false">ROUND(D86*E86,0)</f>
        <v>2025</v>
      </c>
      <c r="G86" s="12" t="n">
        <f aca="false">ROUND(D86*(1-E86),0)</f>
        <v>3131</v>
      </c>
      <c r="H86" s="8" t="str">
        <f aca="false">IF(E86&gt;0.5,"Democrat","Republican")</f>
        <v>Republican</v>
      </c>
    </row>
    <row r="87" customFormat="false" ht="15" hidden="false" customHeight="true" outlineLevel="0" collapsed="false">
      <c r="A87" s="8" t="s">
        <v>158</v>
      </c>
      <c r="B87" s="8" t="s">
        <v>139</v>
      </c>
      <c r="C87" s="8" t="s">
        <v>333</v>
      </c>
      <c r="D87" s="12" t="n">
        <f aca="false">MAX(0, 2*'Carbon 2026 Registration'!D21 - 'Carbon 2026 Registration'!C21)</f>
        <v>1377</v>
      </c>
      <c r="E87" s="9" t="n">
        <f aca="false">MIN(1,MAX(0, 0.4899 + 0.489*'Carbon 2026 Registration'!B21))</f>
        <v>0.4818804</v>
      </c>
      <c r="F87" s="12" t="n">
        <f aca="false">ROUND(D87*E87,0)</f>
        <v>664</v>
      </c>
      <c r="G87" s="12" t="n">
        <f aca="false">ROUND(D87*(1-E87),0)</f>
        <v>713</v>
      </c>
      <c r="H87" s="8" t="str">
        <f aca="false">IF(E87&gt;0.5,"Democrat","Republican")</f>
        <v>Republican</v>
      </c>
    </row>
    <row r="88" customFormat="false" ht="15" hidden="false" customHeight="true" outlineLevel="0" collapsed="false">
      <c r="A88" s="8" t="s">
        <v>159</v>
      </c>
      <c r="B88" s="8" t="s">
        <v>139</v>
      </c>
      <c r="C88" s="8" t="s">
        <v>333</v>
      </c>
      <c r="D88" s="12" t="n">
        <f aca="false">MAX(0, 2*'Carbon 2026 Registration'!D22 - 'Carbon 2026 Registration'!C22)</f>
        <v>2515</v>
      </c>
      <c r="E88" s="9" t="n">
        <f aca="false">MIN(1,MAX(0, 0.4899 + 0.489*'Carbon 2026 Registration'!B22))</f>
        <v>0.3258894</v>
      </c>
      <c r="F88" s="12" t="n">
        <f aca="false">ROUND(D88*E88,0)</f>
        <v>820</v>
      </c>
      <c r="G88" s="12" t="n">
        <f aca="false">ROUND(D88*(1-E88),0)</f>
        <v>1695</v>
      </c>
      <c r="H88" s="8" t="str">
        <f aca="false">IF(E88&gt;0.5,"Democrat","Republican")</f>
        <v>Republican</v>
      </c>
    </row>
    <row r="89" customFormat="false" ht="15" hidden="false" customHeight="true" outlineLevel="0" collapsed="false">
      <c r="A89" s="8" t="s">
        <v>160</v>
      </c>
      <c r="B89" s="8" t="s">
        <v>139</v>
      </c>
      <c r="C89" s="8" t="s">
        <v>333</v>
      </c>
      <c r="D89" s="12" t="n">
        <f aca="false">MAX(0, 2*'Carbon 2026 Registration'!D23 - 'Carbon 2026 Registration'!C23)</f>
        <v>989</v>
      </c>
      <c r="E89" s="9" t="n">
        <f aca="false">MIN(1,MAX(0, 0.4899 + 0.489*'Carbon 2026 Registration'!B23))</f>
        <v>0.3435912</v>
      </c>
      <c r="F89" s="12" t="n">
        <f aca="false">ROUND(D89*E89,0)</f>
        <v>340</v>
      </c>
      <c r="G89" s="12" t="n">
        <f aca="false">ROUND(D89*(1-E89),0)</f>
        <v>649</v>
      </c>
      <c r="H89" s="8" t="str">
        <f aca="false">IF(E89&gt;0.5,"Democrat","Republican")</f>
        <v>Republican</v>
      </c>
    </row>
    <row r="90" customFormat="false" ht="15" hidden="false" customHeight="true" outlineLevel="0" collapsed="false">
      <c r="A90" s="8" t="s">
        <v>161</v>
      </c>
      <c r="B90" s="8" t="s">
        <v>139</v>
      </c>
      <c r="C90" s="8" t="s">
        <v>333</v>
      </c>
      <c r="D90" s="12" t="n">
        <f aca="false">MAX(0, 2*'Carbon 2026 Registration'!D24 - 'Carbon 2026 Registration'!C24)</f>
        <v>128</v>
      </c>
      <c r="E90" s="9" t="n">
        <f aca="false">MIN(1,MAX(0, 0.4899 + 0.489*'Carbon 2026 Registration'!B24))</f>
        <v>0.403347</v>
      </c>
      <c r="F90" s="12" t="n">
        <f aca="false">ROUND(D90*E90,0)</f>
        <v>52</v>
      </c>
      <c r="G90" s="12" t="n">
        <f aca="false">ROUND(D90*(1-E90),0)</f>
        <v>76</v>
      </c>
      <c r="H90" s="8" t="str">
        <f aca="false">IF(E90&gt;0.5,"Democrat","Republican")</f>
        <v>Republican</v>
      </c>
    </row>
    <row r="92" customFormat="false" ht="15" hidden="false" customHeight="true" outlineLevel="0" collapsed="false">
      <c r="A92" s="7" t="s">
        <v>334</v>
      </c>
      <c r="F92" s="13" t="n">
        <f aca="false">SUM(F5:F90)</f>
        <v>162560</v>
      </c>
      <c r="G92" s="13" t="n">
        <f aca="false">SUM(G5:G90)</f>
        <v>154950</v>
      </c>
    </row>
    <row r="93" customFormat="false" ht="15" hidden="false" customHeight="true" outlineLevel="0" collapsed="false">
      <c r="A93" s="7" t="s">
        <v>221</v>
      </c>
      <c r="B93" s="19" t="n">
        <f aca="false">F92/(F92+G92)</f>
        <v>0.511983874523637</v>
      </c>
    </row>
    <row r="94" customFormat="false" ht="15" hidden="false" customHeight="true" outlineLevel="0" collapsed="false">
      <c r="A94" s="7" t="s">
        <v>222</v>
      </c>
      <c r="B94" s="20" t="str">
        <f aca="false">IF(B93&gt;0.5,"Democrat","Republican")</f>
        <v>Democrat</v>
      </c>
    </row>
    <row r="95" customFormat="false" ht="15" hidden="false" customHeight="true" outlineLevel="0" collapsed="false">
      <c r="A95" s="7" t="s">
        <v>335</v>
      </c>
      <c r="B95" s="7" t="s">
        <v>336</v>
      </c>
    </row>
  </sheetData>
  <autoFilter ref="A4:H9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20"/>
    <col collapsed="false" customWidth="true" hidden="false" outlineLevel="0" max="4" min="4" style="1" width="18"/>
    <col collapsed="false" customWidth="true" hidden="false" outlineLevel="0" max="7" min="5" style="1" width="16"/>
    <col collapsed="false" customWidth="true" hidden="false" outlineLevel="0" max="8" min="8" style="1" width="14"/>
  </cols>
  <sheetData>
    <row r="1" customFormat="false" ht="15.75" hidden="false" customHeight="true" outlineLevel="0" collapsed="false">
      <c r="A1" s="11" t="s">
        <v>337</v>
      </c>
      <c r="B1" s="11"/>
      <c r="C1" s="11"/>
      <c r="D1" s="11"/>
      <c r="E1" s="11"/>
      <c r="F1" s="11"/>
      <c r="G1" s="11"/>
      <c r="H1" s="11"/>
    </row>
    <row r="2" customFormat="false" ht="34.5" hidden="false" customHeight="true" outlineLevel="0" collapsed="false">
      <c r="A2" s="10" t="s">
        <v>338</v>
      </c>
      <c r="B2" s="10"/>
      <c r="C2" s="10"/>
      <c r="D2" s="10"/>
      <c r="E2" s="10"/>
      <c r="F2" s="10"/>
      <c r="G2" s="10"/>
      <c r="H2" s="10"/>
    </row>
    <row r="4" customFormat="false" ht="15" hidden="false" customHeight="true" outlineLevel="0" collapsed="false">
      <c r="A4" s="7" t="s">
        <v>60</v>
      </c>
      <c r="B4" s="7" t="s">
        <v>61</v>
      </c>
      <c r="C4" s="7" t="s">
        <v>310</v>
      </c>
      <c r="D4" s="7" t="s">
        <v>328</v>
      </c>
      <c r="E4" s="7" t="s">
        <v>329</v>
      </c>
      <c r="F4" s="7" t="s">
        <v>330</v>
      </c>
      <c r="G4" s="7" t="s">
        <v>331</v>
      </c>
      <c r="H4" s="7" t="s">
        <v>218</v>
      </c>
    </row>
    <row r="5" customFormat="false" ht="15" hidden="false" customHeight="true" outlineLevel="0" collapsed="false">
      <c r="A5" s="8" t="s">
        <v>72</v>
      </c>
      <c r="B5" s="8" t="s">
        <v>73</v>
      </c>
      <c r="C5" s="8" t="s">
        <v>316</v>
      </c>
      <c r="D5" s="12" t="n">
        <f aca="false">MAX(0, 2*'House Vote Data (Actual)'!G4 - 'House Vote Data (Actual)'!G2)</f>
        <v>1130</v>
      </c>
      <c r="E5" s="9" t="n">
        <f aca="false">MIN(1,MAX(0, 'House Vote Data (Actual)'!H5 + VLOOKUP(A5,'Beta Coefficients'!$A:$D,4,FALSE())*(0.493723032345438-0.502307848203881) ))</f>
        <v>0.425835259204334</v>
      </c>
      <c r="F5" s="12" t="n">
        <f aca="false">ROUND(D5*E5,0)</f>
        <v>481</v>
      </c>
      <c r="G5" s="12" t="n">
        <f aca="false">ROUND(D5*(1-E5),0)</f>
        <v>649</v>
      </c>
      <c r="H5" s="8" t="str">
        <f aca="false">IF(E5&gt;0.5,"Democrat","Republican")</f>
        <v>Republican</v>
      </c>
    </row>
    <row r="6" customFormat="false" ht="15" hidden="false" customHeight="true" outlineLevel="0" collapsed="false">
      <c r="A6" s="8" t="s">
        <v>74</v>
      </c>
      <c r="B6" s="8" t="s">
        <v>73</v>
      </c>
      <c r="C6" s="8" t="s">
        <v>316</v>
      </c>
      <c r="D6" s="12" t="n">
        <f aca="false">MAX(0, 2*'House Vote Data (Actual)'!G8 - 'House Vote Data (Actual)'!G6)</f>
        <v>21769</v>
      </c>
      <c r="E6" s="9" t="n">
        <f aca="false">MIN(1,MAX(0, 'House Vote Data (Actual)'!H9 + VLOOKUP(A6,'Beta Coefficients'!$A:$D,4,FALSE())*(0.493723032345438-0.502307848203881) ))</f>
        <v>0.633783792739405</v>
      </c>
      <c r="F6" s="12" t="n">
        <f aca="false">ROUND(D6*E6,0)</f>
        <v>13797</v>
      </c>
      <c r="G6" s="12" t="n">
        <f aca="false">ROUND(D6*(1-E6),0)</f>
        <v>7972</v>
      </c>
      <c r="H6" s="8" t="str">
        <f aca="false">IF(E6&gt;0.5,"Democrat","Republican")</f>
        <v>Democrat</v>
      </c>
    </row>
    <row r="7" customFormat="false" ht="15" hidden="false" customHeight="true" outlineLevel="0" collapsed="false">
      <c r="A7" s="8" t="s">
        <v>75</v>
      </c>
      <c r="B7" s="8" t="s">
        <v>73</v>
      </c>
      <c r="C7" s="8" t="s">
        <v>316</v>
      </c>
      <c r="D7" s="12" t="n">
        <f aca="false">MAX(0, 2*'House Vote Data (Actual)'!G12 - 'House Vote Data (Actual)'!G10)</f>
        <v>8404</v>
      </c>
      <c r="E7" s="9" t="n">
        <f aca="false">MIN(1,MAX(0, 'House Vote Data (Actual)'!H13 + VLOOKUP(A7,'Beta Coefficients'!$A:$D,4,FALSE())*(0.493723032345438-0.502307848203881) ))</f>
        <v>0.63126608967076</v>
      </c>
      <c r="F7" s="12" t="n">
        <f aca="false">ROUND(D7*E7,0)</f>
        <v>5305</v>
      </c>
      <c r="G7" s="12" t="n">
        <f aca="false">ROUND(D7*(1-E7),0)</f>
        <v>3099</v>
      </c>
      <c r="H7" s="8" t="str">
        <f aca="false">IF(E7&gt;0.5,"Democrat","Republican")</f>
        <v>Democrat</v>
      </c>
    </row>
    <row r="8" customFormat="false" ht="15" hidden="false" customHeight="true" outlineLevel="0" collapsed="false">
      <c r="A8" s="8" t="s">
        <v>76</v>
      </c>
      <c r="B8" s="8" t="s">
        <v>73</v>
      </c>
      <c r="C8" s="8" t="s">
        <v>316</v>
      </c>
      <c r="D8" s="12" t="n">
        <f aca="false">MAX(0, 2*'House Vote Data (Actual)'!G16 - 'House Vote Data (Actual)'!G14)</f>
        <v>2160</v>
      </c>
      <c r="E8" s="9" t="n">
        <f aca="false">MIN(1,MAX(0, 'House Vote Data (Actual)'!H17 + VLOOKUP(A8,'Beta Coefficients'!$A:$D,4,FALSE())*(0.493723032345438-0.502307848203881) ))</f>
        <v>0.501415804172178</v>
      </c>
      <c r="F8" s="12" t="n">
        <f aca="false">ROUND(D8*E8,0)</f>
        <v>1083</v>
      </c>
      <c r="G8" s="12" t="n">
        <f aca="false">ROUND(D8*(1-E8),0)</f>
        <v>1077</v>
      </c>
      <c r="H8" s="8" t="str">
        <f aca="false">IF(E8&gt;0.5,"Democrat","Republican")</f>
        <v>Democrat</v>
      </c>
    </row>
    <row r="9" customFormat="false" ht="15" hidden="false" customHeight="true" outlineLevel="0" collapsed="false">
      <c r="A9" s="8" t="s">
        <v>77</v>
      </c>
      <c r="B9" s="8" t="s">
        <v>73</v>
      </c>
      <c r="C9" s="8" t="s">
        <v>316</v>
      </c>
      <c r="D9" s="12" t="n">
        <f aca="false">MAX(0, 2*'House Vote Data (Actual)'!G20 - 'House Vote Data (Actual)'!G18)</f>
        <v>1433</v>
      </c>
      <c r="E9" s="9" t="n">
        <f aca="false">MIN(1,MAX(0, 'House Vote Data (Actual)'!H21 + VLOOKUP(A9,'Beta Coefficients'!$A:$D,4,FALSE())*(0.493723032345438-0.502307848203881) ))</f>
        <v>0.468352553806284</v>
      </c>
      <c r="F9" s="12" t="n">
        <f aca="false">ROUND(D9*E9,0)</f>
        <v>671</v>
      </c>
      <c r="G9" s="12" t="n">
        <f aca="false">ROUND(D9*(1-E9),0)</f>
        <v>762</v>
      </c>
      <c r="H9" s="8" t="str">
        <f aca="false">IF(E9&gt;0.5,"Democrat","Republican")</f>
        <v>Republican</v>
      </c>
    </row>
    <row r="10" customFormat="false" ht="15" hidden="false" customHeight="true" outlineLevel="0" collapsed="false">
      <c r="A10" s="8" t="s">
        <v>78</v>
      </c>
      <c r="B10" s="8" t="s">
        <v>73</v>
      </c>
      <c r="C10" s="8" t="s">
        <v>316</v>
      </c>
      <c r="D10" s="12" t="n">
        <f aca="false">MAX(0, 2*'House Vote Data (Actual)'!G24 - 'House Vote Data (Actual)'!G22)</f>
        <v>1365</v>
      </c>
      <c r="E10" s="9" t="n">
        <f aca="false">MIN(1,MAX(0, 'House Vote Data (Actual)'!H25 + VLOOKUP(A10,'Beta Coefficients'!$A:$D,4,FALSE())*(0.493723032345438-0.502307848203881) ))</f>
        <v>0.491101004508737</v>
      </c>
      <c r="F10" s="12" t="n">
        <f aca="false">ROUND(D10*E10,0)</f>
        <v>670</v>
      </c>
      <c r="G10" s="12" t="n">
        <f aca="false">ROUND(D10*(1-E10),0)</f>
        <v>695</v>
      </c>
      <c r="H10" s="8" t="str">
        <f aca="false">IF(E10&gt;0.5,"Democrat","Republican")</f>
        <v>Republican</v>
      </c>
    </row>
    <row r="11" customFormat="false" ht="15" hidden="false" customHeight="true" outlineLevel="0" collapsed="false">
      <c r="A11" s="8" t="s">
        <v>79</v>
      </c>
      <c r="B11" s="8" t="s">
        <v>73</v>
      </c>
      <c r="C11" s="8" t="s">
        <v>316</v>
      </c>
      <c r="D11" s="12" t="n">
        <f aca="false">MAX(0, 2*'House Vote Data (Actual)'!G28 - 'House Vote Data (Actual)'!G26)</f>
        <v>5598</v>
      </c>
      <c r="E11" s="9" t="n">
        <f aca="false">MIN(1,MAX(0, 'House Vote Data (Actual)'!H29 + VLOOKUP(A11,'Beta Coefficients'!$A:$D,4,FALSE())*(0.493723032345438-0.502307848203881) ))</f>
        <v>0.529218193536685</v>
      </c>
      <c r="F11" s="12" t="n">
        <f aca="false">ROUND(D11*E11,0)</f>
        <v>2963</v>
      </c>
      <c r="G11" s="12" t="n">
        <f aca="false">ROUND(D11*(1-E11),0)</f>
        <v>2635</v>
      </c>
      <c r="H11" s="8" t="str">
        <f aca="false">IF(E11&gt;0.5,"Democrat","Republican")</f>
        <v>Democrat</v>
      </c>
    </row>
    <row r="12" customFormat="false" ht="15" hidden="false" customHeight="true" outlineLevel="0" collapsed="false">
      <c r="A12" s="8" t="s">
        <v>80</v>
      </c>
      <c r="B12" s="8" t="s">
        <v>73</v>
      </c>
      <c r="C12" s="8" t="s">
        <v>316</v>
      </c>
      <c r="D12" s="12" t="n">
        <f aca="false">MAX(0, 2*'House Vote Data (Actual)'!G32 - 'House Vote Data (Actual)'!G30)</f>
        <v>1480</v>
      </c>
      <c r="E12" s="9" t="n">
        <f aca="false">MIN(1,MAX(0, 'House Vote Data (Actual)'!H33 + VLOOKUP(A12,'Beta Coefficients'!$A:$D,4,FALSE())*(0.493723032345438-0.502307848203881) ))</f>
        <v>0.640253270217065</v>
      </c>
      <c r="F12" s="12" t="n">
        <f aca="false">ROUND(D12*E12,0)</f>
        <v>948</v>
      </c>
      <c r="G12" s="12" t="n">
        <f aca="false">ROUND(D12*(1-E12),0)</f>
        <v>532</v>
      </c>
      <c r="H12" s="8" t="str">
        <f aca="false">IF(E12&gt;0.5,"Democrat","Republican")</f>
        <v>Democrat</v>
      </c>
    </row>
    <row r="13" customFormat="false" ht="15" hidden="false" customHeight="true" outlineLevel="0" collapsed="false">
      <c r="A13" s="8" t="s">
        <v>81</v>
      </c>
      <c r="B13" s="8" t="s">
        <v>73</v>
      </c>
      <c r="C13" s="8" t="s">
        <v>316</v>
      </c>
      <c r="D13" s="12" t="n">
        <f aca="false">MAX(0, 2*'House Vote Data (Actual)'!G36 - 'House Vote Data (Actual)'!G34)</f>
        <v>431</v>
      </c>
      <c r="E13" s="9" t="n">
        <f aca="false">MIN(1,MAX(0, 'House Vote Data (Actual)'!H37 + VLOOKUP(A13,'Beta Coefficients'!$A:$D,4,FALSE())*(0.493723032345438-0.502307848203881) ))</f>
        <v>0.526318658350565</v>
      </c>
      <c r="F13" s="12" t="n">
        <f aca="false">ROUND(D13*E13,0)</f>
        <v>227</v>
      </c>
      <c r="G13" s="12" t="n">
        <f aca="false">ROUND(D13*(1-E13),0)</f>
        <v>204</v>
      </c>
      <c r="H13" s="8" t="str">
        <f aca="false">IF(E13&gt;0.5,"Democrat","Republican")</f>
        <v>Democrat</v>
      </c>
    </row>
    <row r="14" customFormat="false" ht="15" hidden="false" customHeight="true" outlineLevel="0" collapsed="false">
      <c r="A14" s="8" t="s">
        <v>82</v>
      </c>
      <c r="B14" s="8" t="s">
        <v>73</v>
      </c>
      <c r="C14" s="8" t="s">
        <v>316</v>
      </c>
      <c r="D14" s="12" t="n">
        <f aca="false">MAX(0, 2*'House Vote Data (Actual)'!G40 - 'House Vote Data (Actual)'!G38)</f>
        <v>1774</v>
      </c>
      <c r="E14" s="9" t="n">
        <f aca="false">MIN(1,MAX(0, 'House Vote Data (Actual)'!H41 + VLOOKUP(A14,'Beta Coefficients'!$A:$D,4,FALSE())*(0.493723032345438-0.502307848203881) ))</f>
        <v>0.303075977158397</v>
      </c>
      <c r="F14" s="12" t="n">
        <f aca="false">ROUND(D14*E14,0)</f>
        <v>538</v>
      </c>
      <c r="G14" s="12" t="n">
        <f aca="false">ROUND(D14*(1-E14),0)</f>
        <v>1236</v>
      </c>
      <c r="H14" s="8" t="str">
        <f aca="false">IF(E14&gt;0.5,"Democrat","Republican")</f>
        <v>Republican</v>
      </c>
    </row>
    <row r="15" customFormat="false" ht="15" hidden="false" customHeight="true" outlineLevel="0" collapsed="false">
      <c r="A15" s="8" t="s">
        <v>83</v>
      </c>
      <c r="B15" s="8" t="s">
        <v>73</v>
      </c>
      <c r="C15" s="8" t="s">
        <v>316</v>
      </c>
      <c r="D15" s="12" t="n">
        <f aca="false">MAX(0, 2*'House Vote Data (Actual)'!G44 - 'House Vote Data (Actual)'!G42)</f>
        <v>17421</v>
      </c>
      <c r="E15" s="9" t="n">
        <f aca="false">MIN(1,MAX(0, 'House Vote Data (Actual)'!H45 + VLOOKUP(A15,'Beta Coefficients'!$A:$D,4,FALSE())*(0.493723032345438-0.502307848203881) ))</f>
        <v>0.493870018376949</v>
      </c>
      <c r="F15" s="12" t="n">
        <f aca="false">ROUND(D15*E15,0)</f>
        <v>8604</v>
      </c>
      <c r="G15" s="12" t="n">
        <f aca="false">ROUND(D15*(1-E15),0)</f>
        <v>8817</v>
      </c>
      <c r="H15" s="8" t="str">
        <f aca="false">IF(E15&gt;0.5,"Democrat","Republican")</f>
        <v>Republican</v>
      </c>
    </row>
    <row r="16" customFormat="false" ht="15" hidden="false" customHeight="true" outlineLevel="0" collapsed="false">
      <c r="A16" s="8" t="s">
        <v>84</v>
      </c>
      <c r="B16" s="8" t="s">
        <v>73</v>
      </c>
      <c r="C16" s="8" t="s">
        <v>316</v>
      </c>
      <c r="D16" s="12" t="n">
        <f aca="false">MAX(0, 2*'House Vote Data (Actual)'!G48 - 'House Vote Data (Actual)'!G46)</f>
        <v>2422</v>
      </c>
      <c r="E16" s="9" t="n">
        <f aca="false">MIN(1,MAX(0, 'House Vote Data (Actual)'!H49 + VLOOKUP(A16,'Beta Coefficients'!$A:$D,4,FALSE())*(0.493723032345438-0.502307848203881) ))</f>
        <v>0.379662837037198</v>
      </c>
      <c r="F16" s="12" t="n">
        <f aca="false">ROUND(D16*E16,0)</f>
        <v>920</v>
      </c>
      <c r="G16" s="12" t="n">
        <f aca="false">ROUND(D16*(1-E16),0)</f>
        <v>1502</v>
      </c>
      <c r="H16" s="8" t="str">
        <f aca="false">IF(E16&gt;0.5,"Democrat","Republican")</f>
        <v>Republican</v>
      </c>
    </row>
    <row r="17" customFormat="false" ht="15" hidden="false" customHeight="true" outlineLevel="0" collapsed="false">
      <c r="A17" s="8" t="s">
        <v>85</v>
      </c>
      <c r="B17" s="8" t="s">
        <v>73</v>
      </c>
      <c r="C17" s="8" t="s">
        <v>316</v>
      </c>
      <c r="D17" s="12" t="n">
        <f aca="false">MAX(0, 2*'House Vote Data (Actual)'!G52 - 'House Vote Data (Actual)'!G50)</f>
        <v>1305</v>
      </c>
      <c r="E17" s="9" t="n">
        <f aca="false">MIN(1,MAX(0, 'House Vote Data (Actual)'!H53 + VLOOKUP(A17,'Beta Coefficients'!$A:$D,4,FALSE())*(0.493723032345438-0.502307848203881) ))</f>
        <v>0.351862608582179</v>
      </c>
      <c r="F17" s="12" t="n">
        <f aca="false">ROUND(D17*E17,0)</f>
        <v>459</v>
      </c>
      <c r="G17" s="12" t="n">
        <f aca="false">ROUND(D17*(1-E17),0)</f>
        <v>846</v>
      </c>
      <c r="H17" s="8" t="str">
        <f aca="false">IF(E17&gt;0.5,"Democrat","Republican")</f>
        <v>Republican</v>
      </c>
    </row>
    <row r="18" customFormat="false" ht="15" hidden="false" customHeight="true" outlineLevel="0" collapsed="false">
      <c r="A18" s="8" t="s">
        <v>86</v>
      </c>
      <c r="B18" s="8" t="s">
        <v>73</v>
      </c>
      <c r="C18" s="8" t="s">
        <v>316</v>
      </c>
      <c r="D18" s="12" t="n">
        <f aca="false">MAX(0, 2*'House Vote Data (Actual)'!G56 - 'House Vote Data (Actual)'!G54)</f>
        <v>2385</v>
      </c>
      <c r="E18" s="9" t="n">
        <f aca="false">MIN(1,MAX(0, 'House Vote Data (Actual)'!H57 + VLOOKUP(A18,'Beta Coefficients'!$A:$D,4,FALSE())*(0.493723032345438-0.502307848203881) ))</f>
        <v>0.312136530536452</v>
      </c>
      <c r="F18" s="12" t="n">
        <f aca="false">ROUND(D18*E18,0)</f>
        <v>744</v>
      </c>
      <c r="G18" s="12" t="n">
        <f aca="false">ROUND(D18*(1-E18),0)</f>
        <v>1641</v>
      </c>
      <c r="H18" s="8" t="str">
        <f aca="false">IF(E18&gt;0.5,"Democrat","Republican")</f>
        <v>Republican</v>
      </c>
    </row>
    <row r="19" customFormat="false" ht="15" hidden="false" customHeight="true" outlineLevel="0" collapsed="false">
      <c r="A19" s="8" t="s">
        <v>87</v>
      </c>
      <c r="B19" s="8" t="s">
        <v>73</v>
      </c>
      <c r="C19" s="8" t="s">
        <v>316</v>
      </c>
      <c r="D19" s="12" t="n">
        <f aca="false">MAX(0, 2*'House Vote Data (Actual)'!G60 - 'House Vote Data (Actual)'!G58)</f>
        <v>1517</v>
      </c>
      <c r="E19" s="9" t="n">
        <f aca="false">MIN(1,MAX(0, 'House Vote Data (Actual)'!H61 + VLOOKUP(A19,'Beta Coefficients'!$A:$D,4,FALSE())*(0.493723032345438-0.502307848203881) ))</f>
        <v>0.530295449271062</v>
      </c>
      <c r="F19" s="12" t="n">
        <f aca="false">ROUND(D19*E19,0)</f>
        <v>804</v>
      </c>
      <c r="G19" s="12" t="n">
        <f aca="false">ROUND(D19*(1-E19),0)</f>
        <v>713</v>
      </c>
      <c r="H19" s="8" t="str">
        <f aca="false">IF(E19&gt;0.5,"Democrat","Republican")</f>
        <v>Democrat</v>
      </c>
    </row>
    <row r="20" customFormat="false" ht="15" hidden="false" customHeight="true" outlineLevel="0" collapsed="false">
      <c r="A20" s="8" t="s">
        <v>88</v>
      </c>
      <c r="B20" s="8" t="s">
        <v>73</v>
      </c>
      <c r="C20" s="8" t="s">
        <v>316</v>
      </c>
      <c r="D20" s="12" t="n">
        <f aca="false">MAX(0, 2*'House Vote Data (Actual)'!G64 - 'House Vote Data (Actual)'!G62)</f>
        <v>8557</v>
      </c>
      <c r="E20" s="9" t="n">
        <f aca="false">MIN(1,MAX(0, 'House Vote Data (Actual)'!H65 + VLOOKUP(A20,'Beta Coefficients'!$A:$D,4,FALSE())*(0.493723032345438-0.502307848203881) ))</f>
        <v>0.403910670948156</v>
      </c>
      <c r="F20" s="12" t="n">
        <f aca="false">ROUND(D20*E20,0)</f>
        <v>3456</v>
      </c>
      <c r="G20" s="12" t="n">
        <f aca="false">ROUND(D20*(1-E20),0)</f>
        <v>5101</v>
      </c>
      <c r="H20" s="8" t="str">
        <f aca="false">IF(E20&gt;0.5,"Democrat","Republican")</f>
        <v>Republican</v>
      </c>
    </row>
    <row r="21" customFormat="false" ht="15" hidden="false" customHeight="true" outlineLevel="0" collapsed="false">
      <c r="A21" s="8" t="s">
        <v>89</v>
      </c>
      <c r="B21" s="8" t="s">
        <v>73</v>
      </c>
      <c r="C21" s="8" t="s">
        <v>316</v>
      </c>
      <c r="D21" s="12" t="n">
        <f aca="false">MAX(0, 2*'House Vote Data (Actual)'!G68 - 'House Vote Data (Actual)'!G66)</f>
        <v>6768</v>
      </c>
      <c r="E21" s="9" t="n">
        <f aca="false">MIN(1,MAX(0, 'House Vote Data (Actual)'!H69 + VLOOKUP(A21,'Beta Coefficients'!$A:$D,4,FALSE())*(0.493723032345438-0.502307848203881) ))</f>
        <v>0.493928443562866</v>
      </c>
      <c r="F21" s="12" t="n">
        <f aca="false">ROUND(D21*E21,0)</f>
        <v>3343</v>
      </c>
      <c r="G21" s="12" t="n">
        <f aca="false">ROUND(D21*(1-E21),0)</f>
        <v>3425</v>
      </c>
      <c r="H21" s="8" t="str">
        <f aca="false">IF(E21&gt;0.5,"Democrat","Republican")</f>
        <v>Republican</v>
      </c>
    </row>
    <row r="22" customFormat="false" ht="15" hidden="false" customHeight="true" outlineLevel="0" collapsed="false">
      <c r="A22" s="8" t="s">
        <v>90</v>
      </c>
      <c r="B22" s="8" t="s">
        <v>73</v>
      </c>
      <c r="C22" s="8" t="s">
        <v>316</v>
      </c>
      <c r="D22" s="12" t="n">
        <f aca="false">MAX(0, 2*'House Vote Data (Actual)'!G72 - 'House Vote Data (Actual)'!G70)</f>
        <v>1492</v>
      </c>
      <c r="E22" s="9" t="n">
        <f aca="false">MIN(1,MAX(0, 'House Vote Data (Actual)'!H73 + VLOOKUP(A22,'Beta Coefficients'!$A:$D,4,FALSE())*(0.493723032345438-0.502307848203881) ))</f>
        <v>0.398148985871983</v>
      </c>
      <c r="F22" s="12" t="n">
        <f aca="false">ROUND(D22*E22,0)</f>
        <v>594</v>
      </c>
      <c r="G22" s="12" t="n">
        <f aca="false">ROUND(D22*(1-E22),0)</f>
        <v>898</v>
      </c>
      <c r="H22" s="8" t="str">
        <f aca="false">IF(E22&gt;0.5,"Democrat","Republican")</f>
        <v>Republican</v>
      </c>
    </row>
    <row r="23" customFormat="false" ht="15" hidden="false" customHeight="true" outlineLevel="0" collapsed="false">
      <c r="A23" s="8" t="s">
        <v>91</v>
      </c>
      <c r="B23" s="8" t="s">
        <v>73</v>
      </c>
      <c r="C23" s="8" t="s">
        <v>316</v>
      </c>
      <c r="D23" s="12" t="n">
        <f aca="false">MAX(0, 2*'House Vote Data (Actual)'!G76 - 'House Vote Data (Actual)'!G74)</f>
        <v>11129</v>
      </c>
      <c r="E23" s="9" t="n">
        <f aca="false">MIN(1,MAX(0, 'House Vote Data (Actual)'!H77 + VLOOKUP(A23,'Beta Coefficients'!$A:$D,4,FALSE())*(0.493723032345438-0.502307848203881) ))</f>
        <v>0.530123582339969</v>
      </c>
      <c r="F23" s="12" t="n">
        <f aca="false">ROUND(D23*E23,0)</f>
        <v>5900</v>
      </c>
      <c r="G23" s="12" t="n">
        <f aca="false">ROUND(D23*(1-E23),0)</f>
        <v>5229</v>
      </c>
      <c r="H23" s="8" t="str">
        <f aca="false">IF(E23&gt;0.5,"Democrat","Republican")</f>
        <v>Democrat</v>
      </c>
    </row>
    <row r="24" customFormat="false" ht="15" hidden="false" customHeight="true" outlineLevel="0" collapsed="false">
      <c r="A24" s="8" t="s">
        <v>92</v>
      </c>
      <c r="B24" s="8" t="s">
        <v>73</v>
      </c>
      <c r="C24" s="8" t="s">
        <v>316</v>
      </c>
      <c r="D24" s="12" t="n">
        <f aca="false">MAX(0, 2*'House Vote Data (Actual)'!G80 - 'House Vote Data (Actual)'!G78)</f>
        <v>12593</v>
      </c>
      <c r="E24" s="9" t="n">
        <f aca="false">MIN(1,MAX(0, 'House Vote Data (Actual)'!H81 + VLOOKUP(A24,'Beta Coefficients'!$A:$D,4,FALSE())*(0.493723032345438-0.502307848203881) ))</f>
        <v>0.512299187689042</v>
      </c>
      <c r="F24" s="12" t="n">
        <f aca="false">ROUND(D24*E24,0)</f>
        <v>6451</v>
      </c>
      <c r="G24" s="12" t="n">
        <f aca="false">ROUND(D24*(1-E24),0)</f>
        <v>6142</v>
      </c>
      <c r="H24" s="8" t="str">
        <f aca="false">IF(E24&gt;0.5,"Democrat","Republican")</f>
        <v>Democrat</v>
      </c>
    </row>
    <row r="25" customFormat="false" ht="15" hidden="false" customHeight="true" outlineLevel="0" collapsed="false">
      <c r="A25" s="8" t="s">
        <v>93</v>
      </c>
      <c r="B25" s="8" t="s">
        <v>73</v>
      </c>
      <c r="C25" s="8" t="s">
        <v>316</v>
      </c>
      <c r="D25" s="12" t="n">
        <f aca="false">MAX(0, 2*'House Vote Data (Actual)'!G84 - 'House Vote Data (Actual)'!G82)</f>
        <v>5223</v>
      </c>
      <c r="E25" s="9" t="n">
        <f aca="false">MIN(1,MAX(0, 'House Vote Data (Actual)'!H85 + VLOOKUP(A25,'Beta Coefficients'!$A:$D,4,FALSE())*(0.493723032345438-0.502307848203881) ))</f>
        <v>0.427732024953672</v>
      </c>
      <c r="F25" s="12" t="n">
        <f aca="false">ROUND(D25*E25,0)</f>
        <v>2234</v>
      </c>
      <c r="G25" s="12" t="n">
        <f aca="false">ROUND(D25*(1-E25),0)</f>
        <v>2989</v>
      </c>
      <c r="H25" s="8" t="str">
        <f aca="false">IF(E25&gt;0.5,"Democrat","Republican")</f>
        <v>Republican</v>
      </c>
    </row>
    <row r="26" customFormat="false" ht="15" hidden="false" customHeight="true" outlineLevel="0" collapsed="false">
      <c r="A26" s="8" t="s">
        <v>94</v>
      </c>
      <c r="B26" s="8" t="s">
        <v>73</v>
      </c>
      <c r="C26" s="8" t="s">
        <v>316</v>
      </c>
      <c r="D26" s="12" t="n">
        <f aca="false">MAX(0, 2*'House Vote Data (Actual)'!G88 - 'House Vote Data (Actual)'!G86)</f>
        <v>9924</v>
      </c>
      <c r="E26" s="9" t="n">
        <f aca="false">MIN(1,MAX(0, 'House Vote Data (Actual)'!H89 + VLOOKUP(A26,'Beta Coefficients'!$A:$D,4,FALSE())*(0.493723032345438-0.502307848203881) ))</f>
        <v>0.486977802634908</v>
      </c>
      <c r="F26" s="12" t="n">
        <f aca="false">ROUND(D26*E26,0)</f>
        <v>4833</v>
      </c>
      <c r="G26" s="12" t="n">
        <f aca="false">ROUND(D26*(1-E26),0)</f>
        <v>5091</v>
      </c>
      <c r="H26" s="8" t="str">
        <f aca="false">IF(E26&gt;0.5,"Democrat","Republican")</f>
        <v>Republican</v>
      </c>
    </row>
    <row r="27" customFormat="false" ht="15" hidden="false" customHeight="true" outlineLevel="0" collapsed="false">
      <c r="A27" s="8" t="s">
        <v>95</v>
      </c>
      <c r="B27" s="8" t="s">
        <v>73</v>
      </c>
      <c r="C27" s="8" t="s">
        <v>316</v>
      </c>
      <c r="D27" s="12" t="n">
        <f aca="false">MAX(0, 2*'House Vote Data (Actual)'!G92 - 'House Vote Data (Actual)'!G90)</f>
        <v>3464</v>
      </c>
      <c r="E27" s="9" t="n">
        <f aca="false">MIN(1,MAX(0, 'House Vote Data (Actual)'!H93 + VLOOKUP(A27,'Beta Coefficients'!$A:$D,4,FALSE())*(0.493723032345438-0.502307848203881) ))</f>
        <v>0.316127580432546</v>
      </c>
      <c r="F27" s="12" t="n">
        <f aca="false">ROUND(D27*E27,0)</f>
        <v>1095</v>
      </c>
      <c r="G27" s="12" t="n">
        <f aca="false">ROUND(D27*(1-E27),0)</f>
        <v>2369</v>
      </c>
      <c r="H27" s="8" t="str">
        <f aca="false">IF(E27&gt;0.5,"Democrat","Republican")</f>
        <v>Republican</v>
      </c>
    </row>
    <row r="28" customFormat="false" ht="15" hidden="false" customHeight="true" outlineLevel="0" collapsed="false">
      <c r="A28" s="8" t="s">
        <v>96</v>
      </c>
      <c r="B28" s="8" t="s">
        <v>73</v>
      </c>
      <c r="C28" s="8" t="s">
        <v>316</v>
      </c>
      <c r="D28" s="12" t="n">
        <f aca="false">MAX(0, 2*'House Vote Data (Actual)'!G96 - 'House Vote Data (Actual)'!G94)</f>
        <v>2979</v>
      </c>
      <c r="E28" s="9" t="n">
        <f aca="false">MIN(1,MAX(0, 'House Vote Data (Actual)'!H97 + VLOOKUP(A28,'Beta Coefficients'!$A:$D,4,FALSE())*(0.493723032345438-0.502307848203881) ))</f>
        <v>0.346713300449969</v>
      </c>
      <c r="F28" s="12" t="n">
        <f aca="false">ROUND(D28*E28,0)</f>
        <v>1033</v>
      </c>
      <c r="G28" s="12" t="n">
        <f aca="false">ROUND(D28*(1-E28),0)</f>
        <v>1946</v>
      </c>
      <c r="H28" s="8" t="str">
        <f aca="false">IF(E28&gt;0.5,"Democrat","Republican")</f>
        <v>Republican</v>
      </c>
    </row>
    <row r="29" customFormat="false" ht="15" hidden="false" customHeight="true" outlineLevel="0" collapsed="false">
      <c r="A29" s="8" t="s">
        <v>97</v>
      </c>
      <c r="B29" s="8" t="s">
        <v>73</v>
      </c>
      <c r="C29" s="8" t="s">
        <v>316</v>
      </c>
      <c r="D29" s="12" t="n">
        <f aca="false">MAX(0, 2*'House Vote Data (Actual)'!G100 - 'House Vote Data (Actual)'!G98)</f>
        <v>10928</v>
      </c>
      <c r="E29" s="9" t="n">
        <f aca="false">MIN(1,MAX(0, 'House Vote Data (Actual)'!H101 + VLOOKUP(A29,'Beta Coefficients'!$A:$D,4,FALSE())*(0.493723032345438-0.502307848203881) ))</f>
        <v>0.506918606580894</v>
      </c>
      <c r="F29" s="12" t="n">
        <f aca="false">ROUND(D29*E29,0)</f>
        <v>5540</v>
      </c>
      <c r="G29" s="12" t="n">
        <f aca="false">ROUND(D29*(1-E29),0)</f>
        <v>5388</v>
      </c>
      <c r="H29" s="8" t="str">
        <f aca="false">IF(E29&gt;0.5,"Democrat","Republican")</f>
        <v>Democrat</v>
      </c>
    </row>
    <row r="30" customFormat="false" ht="15" hidden="false" customHeight="true" outlineLevel="0" collapsed="false">
      <c r="A30" s="8" t="s">
        <v>98</v>
      </c>
      <c r="B30" s="8" t="s">
        <v>99</v>
      </c>
      <c r="C30" s="8" t="s">
        <v>316</v>
      </c>
      <c r="D30" s="12" t="n">
        <f aca="false">MAX(0, 2*'House Vote Data (Actual)'!G104 - 'House Vote Data (Actual)'!G102)</f>
        <v>3034</v>
      </c>
      <c r="E30" s="9" t="n">
        <f aca="false">MIN(1,MAX(0, 'House Vote Data (Actual)'!H105 + VLOOKUP(A30,'Beta Coefficients'!$A:$D,4,FALSE())*(0.493723032345438-0.502307848203881) ))</f>
        <v>0.430210769971955</v>
      </c>
      <c r="F30" s="12" t="n">
        <f aca="false">ROUND(D30*E30,0)</f>
        <v>1305</v>
      </c>
      <c r="G30" s="12" t="n">
        <f aca="false">ROUND(D30*(1-E30),0)</f>
        <v>1729</v>
      </c>
      <c r="H30" s="8" t="str">
        <f aca="false">IF(E30&gt;0.5,"Democrat","Republican")</f>
        <v>Republican</v>
      </c>
    </row>
    <row r="31" customFormat="false" ht="15" hidden="false" customHeight="true" outlineLevel="0" collapsed="false">
      <c r="A31" s="8" t="s">
        <v>100</v>
      </c>
      <c r="B31" s="8" t="s">
        <v>99</v>
      </c>
      <c r="C31" s="8" t="s">
        <v>316</v>
      </c>
      <c r="D31" s="12" t="n">
        <f aca="false">MAX(0, 2*'House Vote Data (Actual)'!G108 - 'House Vote Data (Actual)'!G106)</f>
        <v>1791</v>
      </c>
      <c r="E31" s="9" t="n">
        <f aca="false">MIN(1,MAX(0, 'House Vote Data (Actual)'!H109 + VLOOKUP(A31,'Beta Coefficients'!$A:$D,4,FALSE())*(0.493723032345438-0.502307848203881) ))</f>
        <v>0.401631883323089</v>
      </c>
      <c r="F31" s="12" t="n">
        <f aca="false">ROUND(D31*E31,0)</f>
        <v>719</v>
      </c>
      <c r="G31" s="12" t="n">
        <f aca="false">ROUND(D31*(1-E31),0)</f>
        <v>1072</v>
      </c>
      <c r="H31" s="8" t="str">
        <f aca="false">IF(E31&gt;0.5,"Democrat","Republican")</f>
        <v>Republican</v>
      </c>
    </row>
    <row r="32" customFormat="false" ht="15" hidden="false" customHeight="true" outlineLevel="0" collapsed="false">
      <c r="A32" s="8" t="s">
        <v>101</v>
      </c>
      <c r="B32" s="8" t="s">
        <v>99</v>
      </c>
      <c r="C32" s="8" t="s">
        <v>316</v>
      </c>
      <c r="D32" s="12" t="n">
        <f aca="false">MAX(0, 2*'House Vote Data (Actual)'!G112 - 'House Vote Data (Actual)'!G110)</f>
        <v>1099</v>
      </c>
      <c r="E32" s="9" t="n">
        <f aca="false">MIN(1,MAX(0, 'House Vote Data (Actual)'!H113 + VLOOKUP(A32,'Beta Coefficients'!$A:$D,4,FALSE())*(0.493723032345438-0.502307848203881) ))</f>
        <v>0.462621917449122</v>
      </c>
      <c r="F32" s="12" t="n">
        <f aca="false">ROUND(D32*E32,0)</f>
        <v>508</v>
      </c>
      <c r="G32" s="12" t="n">
        <f aca="false">ROUND(D32*(1-E32),0)</f>
        <v>591</v>
      </c>
      <c r="H32" s="8" t="str">
        <f aca="false">IF(E32&gt;0.5,"Democrat","Republican")</f>
        <v>Republican</v>
      </c>
    </row>
    <row r="33" customFormat="false" ht="15" hidden="false" customHeight="true" outlineLevel="0" collapsed="false">
      <c r="A33" s="8" t="s">
        <v>75</v>
      </c>
      <c r="B33" s="8" t="s">
        <v>99</v>
      </c>
      <c r="C33" s="8" t="s">
        <v>316</v>
      </c>
      <c r="D33" s="12" t="n">
        <f aca="false">MAX(0, 2*'House Vote Data (Actual)'!G116 - 'House Vote Data (Actual)'!G114)</f>
        <v>18558</v>
      </c>
      <c r="E33" s="9" t="n">
        <f aca="false">MIN(1,MAX(0, 'House Vote Data (Actual)'!H117 + VLOOKUP(A33,'Beta Coefficients'!$A:$D,4,FALSE())*(0.493723032345438-0.502307848203881) ))</f>
        <v>0.66670304100273</v>
      </c>
      <c r="F33" s="12" t="n">
        <f aca="false">ROUND(D33*E33,0)</f>
        <v>12373</v>
      </c>
      <c r="G33" s="12" t="n">
        <f aca="false">ROUND(D33*(1-E33),0)</f>
        <v>6185</v>
      </c>
      <c r="H33" s="8" t="str">
        <f aca="false">IF(E33&gt;0.5,"Democrat","Republican")</f>
        <v>Democrat</v>
      </c>
    </row>
    <row r="34" customFormat="false" ht="15" hidden="false" customHeight="true" outlineLevel="0" collapsed="false">
      <c r="A34" s="8" t="s">
        <v>102</v>
      </c>
      <c r="B34" s="8" t="s">
        <v>99</v>
      </c>
      <c r="C34" s="8" t="s">
        <v>316</v>
      </c>
      <c r="D34" s="12" t="n">
        <f aca="false">MAX(0, 2*'House Vote Data (Actual)'!G120 - 'House Vote Data (Actual)'!G118)</f>
        <v>13949</v>
      </c>
      <c r="E34" s="9" t="n">
        <f aca="false">MIN(1,MAX(0, 'House Vote Data (Actual)'!H121 + VLOOKUP(A34,'Beta Coefficients'!$A:$D,4,FALSE())*(0.493723032345438-0.502307848203881) ))</f>
        <v>0.536869009006425</v>
      </c>
      <c r="F34" s="12" t="n">
        <f aca="false">ROUND(D34*E34,0)</f>
        <v>7489</v>
      </c>
      <c r="G34" s="12" t="n">
        <f aca="false">ROUND(D34*(1-E34),0)</f>
        <v>6460</v>
      </c>
      <c r="H34" s="8" t="str">
        <f aca="false">IF(E34&gt;0.5,"Democrat","Republican")</f>
        <v>Democrat</v>
      </c>
    </row>
    <row r="35" customFormat="false" ht="15" hidden="false" customHeight="true" outlineLevel="0" collapsed="false">
      <c r="A35" s="8" t="s">
        <v>103</v>
      </c>
      <c r="B35" s="8" t="s">
        <v>99</v>
      </c>
      <c r="C35" s="8" t="s">
        <v>316</v>
      </c>
      <c r="D35" s="12" t="n">
        <f aca="false">MAX(0, 2*'House Vote Data (Actual)'!G124 - 'House Vote Data (Actual)'!G122)</f>
        <v>5164</v>
      </c>
      <c r="E35" s="9" t="n">
        <f aca="false">MIN(1,MAX(0, 'House Vote Data (Actual)'!H125 + VLOOKUP(A35,'Beta Coefficients'!$A:$D,4,FALSE())*(0.493723032345438-0.502307848203881) ))</f>
        <v>0.385292799641212</v>
      </c>
      <c r="F35" s="12" t="n">
        <f aca="false">ROUND(D35*E35,0)</f>
        <v>1990</v>
      </c>
      <c r="G35" s="12" t="n">
        <f aca="false">ROUND(D35*(1-E35),0)</f>
        <v>3174</v>
      </c>
      <c r="H35" s="8" t="str">
        <f aca="false">IF(E35&gt;0.5,"Democrat","Republican")</f>
        <v>Republican</v>
      </c>
    </row>
    <row r="36" customFormat="false" ht="15" hidden="false" customHeight="true" outlineLevel="0" collapsed="false">
      <c r="A36" s="8" t="s">
        <v>104</v>
      </c>
      <c r="B36" s="8" t="s">
        <v>99</v>
      </c>
      <c r="C36" s="8" t="s">
        <v>316</v>
      </c>
      <c r="D36" s="12" t="n">
        <f aca="false">MAX(0, 2*'House Vote Data (Actual)'!G128 - 'House Vote Data (Actual)'!G126)</f>
        <v>103</v>
      </c>
      <c r="E36" s="9" t="n">
        <f aca="false">MIN(1,MAX(0, 'House Vote Data (Actual)'!H129 + VLOOKUP(A36,'Beta Coefficients'!$A:$D,4,FALSE())*(0.493723032345438-0.502307848203881) ))</f>
        <v>0.299125836485606</v>
      </c>
      <c r="F36" s="12" t="n">
        <f aca="false">ROUND(D36*E36,0)</f>
        <v>31</v>
      </c>
      <c r="G36" s="12" t="n">
        <f aca="false">ROUND(D36*(1-E36),0)</f>
        <v>72</v>
      </c>
      <c r="H36" s="8" t="str">
        <f aca="false">IF(E36&gt;0.5,"Democrat","Republican")</f>
        <v>Republican</v>
      </c>
    </row>
    <row r="37" customFormat="false" ht="15" hidden="false" customHeight="true" outlineLevel="0" collapsed="false">
      <c r="A37" s="8" t="s">
        <v>105</v>
      </c>
      <c r="B37" s="8" t="s">
        <v>99</v>
      </c>
      <c r="C37" s="8" t="s">
        <v>316</v>
      </c>
      <c r="D37" s="12" t="n">
        <f aca="false">MAX(0, 2*'House Vote Data (Actual)'!G132 - 'House Vote Data (Actual)'!G130)</f>
        <v>2954</v>
      </c>
      <c r="E37" s="9" t="n">
        <f aca="false">MIN(1,MAX(0, 'House Vote Data (Actual)'!H133 + VLOOKUP(A37,'Beta Coefficients'!$A:$D,4,FALSE())*(0.493723032345438-0.502307848203881) ))</f>
        <v>0.434297212503526</v>
      </c>
      <c r="F37" s="12" t="n">
        <f aca="false">ROUND(D37*E37,0)</f>
        <v>1283</v>
      </c>
      <c r="G37" s="12" t="n">
        <f aca="false">ROUND(D37*(1-E37),0)</f>
        <v>1671</v>
      </c>
      <c r="H37" s="8" t="str">
        <f aca="false">IF(E37&gt;0.5,"Democrat","Republican")</f>
        <v>Republican</v>
      </c>
    </row>
    <row r="38" customFormat="false" ht="15" hidden="false" customHeight="true" outlineLevel="0" collapsed="false">
      <c r="A38" s="8" t="s">
        <v>106</v>
      </c>
      <c r="B38" s="8" t="s">
        <v>99</v>
      </c>
      <c r="C38" s="8" t="s">
        <v>316</v>
      </c>
      <c r="D38" s="12" t="n">
        <f aca="false">MAX(0, 2*'House Vote Data (Actual)'!G136 - 'House Vote Data (Actual)'!G134)</f>
        <v>354</v>
      </c>
      <c r="E38" s="9" t="n">
        <f aca="false">MIN(1,MAX(0, 'House Vote Data (Actual)'!H137 + VLOOKUP(A38,'Beta Coefficients'!$A:$D,4,FALSE())*(0.493723032345438-0.502307848203881) ))</f>
        <v>0.41328558772809</v>
      </c>
      <c r="F38" s="12" t="n">
        <f aca="false">ROUND(D38*E38,0)</f>
        <v>146</v>
      </c>
      <c r="G38" s="12" t="n">
        <f aca="false">ROUND(D38*(1-E38),0)</f>
        <v>208</v>
      </c>
      <c r="H38" s="8" t="str">
        <f aca="false">IF(E38&gt;0.5,"Democrat","Republican")</f>
        <v>Republican</v>
      </c>
    </row>
    <row r="39" customFormat="false" ht="15" hidden="false" customHeight="true" outlineLevel="0" collapsed="false">
      <c r="A39" s="8" t="s">
        <v>107</v>
      </c>
      <c r="B39" s="8" t="s">
        <v>99</v>
      </c>
      <c r="C39" s="8" t="s">
        <v>316</v>
      </c>
      <c r="D39" s="12" t="n">
        <f aca="false">MAX(0, 2*'House Vote Data (Actual)'!G140 - 'House Vote Data (Actual)'!G138)</f>
        <v>7349</v>
      </c>
      <c r="E39" s="9" t="n">
        <f aca="false">MIN(1,MAX(0, 'House Vote Data (Actual)'!H141 + VLOOKUP(A39,'Beta Coefficients'!$A:$D,4,FALSE())*(0.493723032345438-0.502307848203881) ))</f>
        <v>0.687030735773775</v>
      </c>
      <c r="F39" s="12" t="n">
        <f aca="false">ROUND(D39*E39,0)</f>
        <v>5049</v>
      </c>
      <c r="G39" s="12" t="n">
        <f aca="false">ROUND(D39*(1-E39),0)</f>
        <v>2300</v>
      </c>
      <c r="H39" s="8" t="str">
        <f aca="false">IF(E39&gt;0.5,"Democrat","Republican")</f>
        <v>Democrat</v>
      </c>
    </row>
    <row r="40" customFormat="false" ht="15" hidden="false" customHeight="true" outlineLevel="0" collapsed="false">
      <c r="A40" s="8" t="s">
        <v>108</v>
      </c>
      <c r="B40" s="8" t="s">
        <v>99</v>
      </c>
      <c r="C40" s="8" t="s">
        <v>316</v>
      </c>
      <c r="D40" s="12" t="n">
        <f aca="false">MAX(0, 2*'House Vote Data (Actual)'!G144 - 'House Vote Data (Actual)'!G142)</f>
        <v>9145</v>
      </c>
      <c r="E40" s="9" t="n">
        <f aca="false">MIN(1,MAX(0, 'House Vote Data (Actual)'!H145 + VLOOKUP(A40,'Beta Coefficients'!$A:$D,4,FALSE())*(0.493723032345438-0.502307848203881) ))</f>
        <v>0.512077670516362</v>
      </c>
      <c r="F40" s="12" t="n">
        <f aca="false">ROUND(D40*E40,0)</f>
        <v>4683</v>
      </c>
      <c r="G40" s="12" t="n">
        <f aca="false">ROUND(D40*(1-E40),0)</f>
        <v>4462</v>
      </c>
      <c r="H40" s="8" t="str">
        <f aca="false">IF(E40&gt;0.5,"Democrat","Republican")</f>
        <v>Democrat</v>
      </c>
    </row>
    <row r="41" customFormat="false" ht="15" hidden="false" customHeight="true" outlineLevel="0" collapsed="false">
      <c r="A41" s="8" t="s">
        <v>109</v>
      </c>
      <c r="B41" s="8" t="s">
        <v>99</v>
      </c>
      <c r="C41" s="8" t="s">
        <v>316</v>
      </c>
      <c r="D41" s="12" t="n">
        <f aca="false">MAX(0, 2*'House Vote Data (Actual)'!G148 - 'House Vote Data (Actual)'!G146)</f>
        <v>843</v>
      </c>
      <c r="E41" s="9" t="n">
        <f aca="false">MIN(1,MAX(0, 'House Vote Data (Actual)'!H149 + VLOOKUP(A41,'Beta Coefficients'!$A:$D,4,FALSE())*(0.493723032345438-0.502307848203881) ))</f>
        <v>0.589085041658581</v>
      </c>
      <c r="F41" s="12" t="n">
        <f aca="false">ROUND(D41*E41,0)</f>
        <v>497</v>
      </c>
      <c r="G41" s="12" t="n">
        <f aca="false">ROUND(D41*(1-E41),0)</f>
        <v>346</v>
      </c>
      <c r="H41" s="8" t="str">
        <f aca="false">IF(E41&gt;0.5,"Democrat","Republican")</f>
        <v>Democrat</v>
      </c>
    </row>
    <row r="42" customFormat="false" ht="15" hidden="false" customHeight="true" outlineLevel="0" collapsed="false">
      <c r="A42" s="8" t="s">
        <v>110</v>
      </c>
      <c r="B42" s="8" t="s">
        <v>99</v>
      </c>
      <c r="C42" s="8" t="s">
        <v>316</v>
      </c>
      <c r="D42" s="12" t="n">
        <f aca="false">MAX(0, 2*'House Vote Data (Actual)'!G152 - 'House Vote Data (Actual)'!G150)</f>
        <v>167</v>
      </c>
      <c r="E42" s="9" t="n">
        <f aca="false">MIN(1,MAX(0, 'House Vote Data (Actual)'!H153 + VLOOKUP(A42,'Beta Coefficients'!$A:$D,4,FALSE())*(0.493723032345438-0.502307848203881) ))</f>
        <v>0.503608527405763</v>
      </c>
      <c r="F42" s="12" t="n">
        <f aca="false">ROUND(D42*E42,0)</f>
        <v>84</v>
      </c>
      <c r="G42" s="12" t="n">
        <f aca="false">ROUND(D42*(1-E42),0)</f>
        <v>83</v>
      </c>
      <c r="H42" s="8" t="str">
        <f aca="false">IF(E42&gt;0.5,"Democrat","Republican")</f>
        <v>Democrat</v>
      </c>
    </row>
    <row r="43" customFormat="false" ht="15" hidden="false" customHeight="true" outlineLevel="0" collapsed="false">
      <c r="A43" s="8" t="s">
        <v>81</v>
      </c>
      <c r="B43" s="8" t="s">
        <v>99</v>
      </c>
      <c r="C43" s="8" t="s">
        <v>316</v>
      </c>
      <c r="D43" s="12" t="n">
        <f aca="false">MAX(0, 2*'House Vote Data (Actual)'!G156 - 'House Vote Data (Actual)'!G154)</f>
        <v>7007</v>
      </c>
      <c r="E43" s="9" t="n">
        <f aca="false">MIN(1,MAX(0, 'House Vote Data (Actual)'!H157 + VLOOKUP(A43,'Beta Coefficients'!$A:$D,4,FALSE())*(0.493723032345438-0.502307848203881) ))</f>
        <v>0.537046201952138</v>
      </c>
      <c r="F43" s="12" t="n">
        <f aca="false">ROUND(D43*E43,0)</f>
        <v>3763</v>
      </c>
      <c r="G43" s="12" t="n">
        <f aca="false">ROUND(D43*(1-E43),0)</f>
        <v>3244</v>
      </c>
      <c r="H43" s="8" t="str">
        <f aca="false">IF(E43&gt;0.5,"Democrat","Republican")</f>
        <v>Democrat</v>
      </c>
    </row>
    <row r="44" customFormat="false" ht="15" hidden="false" customHeight="true" outlineLevel="0" collapsed="false">
      <c r="A44" s="8" t="s">
        <v>111</v>
      </c>
      <c r="B44" s="8" t="s">
        <v>99</v>
      </c>
      <c r="C44" s="8" t="s">
        <v>316</v>
      </c>
      <c r="D44" s="12" t="n">
        <f aca="false">MAX(0, 2*'House Vote Data (Actual)'!G160 - 'House Vote Data (Actual)'!G158)</f>
        <v>2854</v>
      </c>
      <c r="E44" s="9" t="n">
        <f aca="false">MIN(1,MAX(0, 'House Vote Data (Actual)'!H161 + VLOOKUP(A44,'Beta Coefficients'!$A:$D,4,FALSE())*(0.493723032345438-0.502307848203881) ))</f>
        <v>0.496495822010315</v>
      </c>
      <c r="F44" s="12" t="n">
        <f aca="false">ROUND(D44*E44,0)</f>
        <v>1417</v>
      </c>
      <c r="G44" s="12" t="n">
        <f aca="false">ROUND(D44*(1-E44),0)</f>
        <v>1437</v>
      </c>
      <c r="H44" s="8" t="str">
        <f aca="false">IF(E44&gt;0.5,"Democrat","Republican")</f>
        <v>Republican</v>
      </c>
    </row>
    <row r="45" customFormat="false" ht="15" hidden="false" customHeight="true" outlineLevel="0" collapsed="false">
      <c r="A45" s="8" t="s">
        <v>73</v>
      </c>
      <c r="B45" s="8" t="s">
        <v>99</v>
      </c>
      <c r="C45" s="8" t="s">
        <v>316</v>
      </c>
      <c r="D45" s="12" t="n">
        <f aca="false">MAX(0, 2*'House Vote Data (Actual)'!G164 - 'House Vote Data (Actual)'!G162)</f>
        <v>5834</v>
      </c>
      <c r="E45" s="9" t="n">
        <f aca="false">MIN(1,MAX(0, 'House Vote Data (Actual)'!H165 + VLOOKUP(A45,'Beta Coefficients'!$A:$D,4,FALSE())*(0.493723032345438-0.502307848203881) ))</f>
        <v>0.331271342650162</v>
      </c>
      <c r="F45" s="12" t="n">
        <f aca="false">ROUND(D45*E45,0)</f>
        <v>1933</v>
      </c>
      <c r="G45" s="12" t="n">
        <f aca="false">ROUND(D45*(1-E45),0)</f>
        <v>3901</v>
      </c>
      <c r="H45" s="8" t="str">
        <f aca="false">IF(E45&gt;0.5,"Democrat","Republican")</f>
        <v>Republican</v>
      </c>
    </row>
    <row r="46" customFormat="false" ht="15" hidden="false" customHeight="true" outlineLevel="0" collapsed="false">
      <c r="A46" s="8" t="s">
        <v>112</v>
      </c>
      <c r="B46" s="8" t="s">
        <v>99</v>
      </c>
      <c r="C46" s="8" t="s">
        <v>316</v>
      </c>
      <c r="D46" s="12" t="n">
        <f aca="false">MAX(0, 2*'House Vote Data (Actual)'!G168 - 'House Vote Data (Actual)'!G166)</f>
        <v>1620</v>
      </c>
      <c r="E46" s="9" t="n">
        <f aca="false">MIN(1,MAX(0, 'House Vote Data (Actual)'!H169 + VLOOKUP(A46,'Beta Coefficients'!$A:$D,4,FALSE())*(0.493723032345438-0.502307848203881) ))</f>
        <v>0.32333009093594</v>
      </c>
      <c r="F46" s="12" t="n">
        <f aca="false">ROUND(D46*E46,0)</f>
        <v>524</v>
      </c>
      <c r="G46" s="12" t="n">
        <f aca="false">ROUND(D46*(1-E46),0)</f>
        <v>1096</v>
      </c>
      <c r="H46" s="8" t="str">
        <f aca="false">IF(E46&gt;0.5,"Democrat","Republican")</f>
        <v>Republican</v>
      </c>
    </row>
    <row r="47" customFormat="false" ht="15" hidden="false" customHeight="true" outlineLevel="0" collapsed="false">
      <c r="A47" s="8" t="s">
        <v>113</v>
      </c>
      <c r="B47" s="8" t="s">
        <v>99</v>
      </c>
      <c r="C47" s="8" t="s">
        <v>316</v>
      </c>
      <c r="D47" s="12" t="n">
        <f aca="false">MAX(0, 2*'House Vote Data (Actual)'!G172 - 'House Vote Data (Actual)'!G170)</f>
        <v>4330</v>
      </c>
      <c r="E47" s="9" t="n">
        <f aca="false">MIN(1,MAX(0, 'House Vote Data (Actual)'!H173 + VLOOKUP(A47,'Beta Coefficients'!$A:$D,4,FALSE())*(0.493723032345438-0.502307848203881) ))</f>
        <v>0.497106332399987</v>
      </c>
      <c r="F47" s="12" t="n">
        <f aca="false">ROUND(D47*E47,0)</f>
        <v>2152</v>
      </c>
      <c r="G47" s="12" t="n">
        <f aca="false">ROUND(D47*(1-E47),0)</f>
        <v>2178</v>
      </c>
      <c r="H47" s="8" t="str">
        <f aca="false">IF(E47&gt;0.5,"Democrat","Republican")</f>
        <v>Republican</v>
      </c>
    </row>
    <row r="48" customFormat="false" ht="15" hidden="false" customHeight="true" outlineLevel="0" collapsed="false">
      <c r="A48" s="8" t="s">
        <v>114</v>
      </c>
      <c r="B48" s="8" t="s">
        <v>99</v>
      </c>
      <c r="C48" s="8" t="s">
        <v>316</v>
      </c>
      <c r="D48" s="12" t="n">
        <f aca="false">MAX(0, 2*'House Vote Data (Actual)'!G176 - 'House Vote Data (Actual)'!G174)</f>
        <v>6544</v>
      </c>
      <c r="E48" s="9" t="n">
        <f aca="false">MIN(1,MAX(0, 'House Vote Data (Actual)'!H177 + VLOOKUP(A48,'Beta Coefficients'!$A:$D,4,FALSE())*(0.493723032345438-0.502307848203881) ))</f>
        <v>0.474218532851904</v>
      </c>
      <c r="F48" s="12" t="n">
        <f aca="false">ROUND(D48*E48,0)</f>
        <v>3103</v>
      </c>
      <c r="G48" s="12" t="n">
        <f aca="false">ROUND(D48*(1-E48),0)</f>
        <v>3441</v>
      </c>
      <c r="H48" s="8" t="str">
        <f aca="false">IF(E48&gt;0.5,"Democrat","Republican")</f>
        <v>Republican</v>
      </c>
    </row>
    <row r="49" customFormat="false" ht="15" hidden="false" customHeight="true" outlineLevel="0" collapsed="false">
      <c r="A49" s="8" t="s">
        <v>115</v>
      </c>
      <c r="B49" s="8" t="s">
        <v>99</v>
      </c>
      <c r="C49" s="8" t="s">
        <v>316</v>
      </c>
      <c r="D49" s="12" t="n">
        <f aca="false">MAX(0, 2*'House Vote Data (Actual)'!G180 - 'House Vote Data (Actual)'!G178)</f>
        <v>5459</v>
      </c>
      <c r="E49" s="9" t="n">
        <f aca="false">MIN(1,MAX(0, 'House Vote Data (Actual)'!H181 + VLOOKUP(A49,'Beta Coefficients'!$A:$D,4,FALSE())*(0.493723032345438-0.502307848203881) ))</f>
        <v>0.326724605307049</v>
      </c>
      <c r="F49" s="12" t="n">
        <f aca="false">ROUND(D49*E49,0)</f>
        <v>1784</v>
      </c>
      <c r="G49" s="12" t="n">
        <f aca="false">ROUND(D49*(1-E49),0)</f>
        <v>3675</v>
      </c>
      <c r="H49" s="8" t="str">
        <f aca="false">IF(E49&gt;0.5,"Democrat","Republican")</f>
        <v>Republican</v>
      </c>
    </row>
    <row r="50" customFormat="false" ht="15" hidden="false" customHeight="true" outlineLevel="0" collapsed="false">
      <c r="A50" s="8" t="s">
        <v>116</v>
      </c>
      <c r="B50" s="8" t="s">
        <v>99</v>
      </c>
      <c r="C50" s="8" t="s">
        <v>316</v>
      </c>
      <c r="D50" s="12" t="n">
        <f aca="false">MAX(0, 2*'House Vote Data (Actual)'!G184 - 'House Vote Data (Actual)'!G182)</f>
        <v>2718</v>
      </c>
      <c r="E50" s="9" t="n">
        <f aca="false">MIN(1,MAX(0, 'House Vote Data (Actual)'!H185 + VLOOKUP(A50,'Beta Coefficients'!$A:$D,4,FALSE())*(0.493723032345438-0.502307848203881) ))</f>
        <v>0.437296872445466</v>
      </c>
      <c r="F50" s="12" t="n">
        <f aca="false">ROUND(D50*E50,0)</f>
        <v>1189</v>
      </c>
      <c r="G50" s="12" t="n">
        <f aca="false">ROUND(D50*(1-E50),0)</f>
        <v>1529</v>
      </c>
      <c r="H50" s="8" t="str">
        <f aca="false">IF(E50&gt;0.5,"Democrat","Republican")</f>
        <v>Republican</v>
      </c>
    </row>
    <row r="51" customFormat="false" ht="15" hidden="false" customHeight="true" outlineLevel="0" collapsed="false">
      <c r="A51" s="8" t="s">
        <v>117</v>
      </c>
      <c r="B51" s="8" t="s">
        <v>99</v>
      </c>
      <c r="C51" s="8" t="s">
        <v>316</v>
      </c>
      <c r="D51" s="12" t="n">
        <f aca="false">MAX(0, 2*'House Vote Data (Actual)'!G188 - 'House Vote Data (Actual)'!G186)</f>
        <v>1454</v>
      </c>
      <c r="E51" s="9" t="n">
        <f aca="false">MIN(1,MAX(0, 'House Vote Data (Actual)'!H189 + VLOOKUP(A51,'Beta Coefficients'!$A:$D,4,FALSE())*(0.493723032345438-0.502307848203881) ))</f>
        <v>0.485246974686942</v>
      </c>
      <c r="F51" s="12" t="n">
        <f aca="false">ROUND(D51*E51,0)</f>
        <v>706</v>
      </c>
      <c r="G51" s="12" t="n">
        <f aca="false">ROUND(D51*(1-E51),0)</f>
        <v>748</v>
      </c>
      <c r="H51" s="8" t="str">
        <f aca="false">IF(E51&gt;0.5,"Democrat","Republican")</f>
        <v>Republican</v>
      </c>
    </row>
    <row r="52" customFormat="false" ht="15" hidden="false" customHeight="true" outlineLevel="0" collapsed="false">
      <c r="A52" s="8" t="s">
        <v>99</v>
      </c>
      <c r="B52" s="8" t="s">
        <v>99</v>
      </c>
      <c r="C52" s="8" t="s">
        <v>316</v>
      </c>
      <c r="D52" s="12" t="n">
        <f aca="false">MAX(0, 2*'House Vote Data (Actual)'!G192 - 'House Vote Data (Actual)'!G190)</f>
        <v>4441</v>
      </c>
      <c r="E52" s="9" t="n">
        <f aca="false">MIN(1,MAX(0, 'House Vote Data (Actual)'!H193 + VLOOKUP(A52,'Beta Coefficients'!$A:$D,4,FALSE())*(0.493723032345438-0.502307848203881) ))</f>
        <v>0.451701726230059</v>
      </c>
      <c r="F52" s="12" t="n">
        <f aca="false">ROUND(D52*E52,0)</f>
        <v>2006</v>
      </c>
      <c r="G52" s="12" t="n">
        <f aca="false">ROUND(D52*(1-E52),0)</f>
        <v>2435</v>
      </c>
      <c r="H52" s="8" t="str">
        <f aca="false">IF(E52&gt;0.5,"Democrat","Republican")</f>
        <v>Republican</v>
      </c>
    </row>
    <row r="53" customFormat="false" ht="15" hidden="false" customHeight="true" outlineLevel="0" collapsed="false">
      <c r="A53" s="8" t="s">
        <v>118</v>
      </c>
      <c r="B53" s="8" t="s">
        <v>99</v>
      </c>
      <c r="C53" s="8" t="s">
        <v>316</v>
      </c>
      <c r="D53" s="12" t="n">
        <f aca="false">MAX(0, 2*'House Vote Data (Actual)'!G196 - 'House Vote Data (Actual)'!G194)</f>
        <v>11530</v>
      </c>
      <c r="E53" s="9" t="n">
        <f aca="false">MIN(1,MAX(0, 'House Vote Data (Actual)'!H197 + VLOOKUP(A53,'Beta Coefficients'!$A:$D,4,FALSE())*(0.493723032345438-0.502307848203881) ))</f>
        <v>0.503048056274676</v>
      </c>
      <c r="F53" s="12" t="n">
        <f aca="false">ROUND(D53*E53,0)</f>
        <v>5800</v>
      </c>
      <c r="G53" s="12" t="n">
        <f aca="false">ROUND(D53*(1-E53),0)</f>
        <v>5730</v>
      </c>
      <c r="H53" s="8" t="str">
        <f aca="false">IF(E53&gt;0.5,"Democrat","Republican")</f>
        <v>Democrat</v>
      </c>
    </row>
    <row r="54" customFormat="false" ht="15" hidden="false" customHeight="true" outlineLevel="0" collapsed="false">
      <c r="A54" s="8" t="s">
        <v>119</v>
      </c>
      <c r="B54" s="8" t="s">
        <v>99</v>
      </c>
      <c r="C54" s="8" t="s">
        <v>316</v>
      </c>
      <c r="D54" s="12" t="n">
        <f aca="false">MAX(0, 2*'House Vote Data (Actual)'!G200 - 'House Vote Data (Actual)'!G198)</f>
        <v>1360</v>
      </c>
      <c r="E54" s="9" t="n">
        <f aca="false">MIN(1,MAX(0, 'House Vote Data (Actual)'!H201 + VLOOKUP(A54,'Beta Coefficients'!$A:$D,4,FALSE())*(0.493723032345438-0.502307848203881) ))</f>
        <v>0.368321270775277</v>
      </c>
      <c r="F54" s="12" t="n">
        <f aca="false">ROUND(D54*E54,0)</f>
        <v>501</v>
      </c>
      <c r="G54" s="12" t="n">
        <f aca="false">ROUND(D54*(1-E54),0)</f>
        <v>859</v>
      </c>
      <c r="H54" s="8" t="str">
        <f aca="false">IF(E54&gt;0.5,"Democrat","Republican")</f>
        <v>Republican</v>
      </c>
    </row>
    <row r="55" customFormat="false" ht="15" hidden="false" customHeight="true" outlineLevel="0" collapsed="false">
      <c r="A55" s="8" t="s">
        <v>120</v>
      </c>
      <c r="B55" s="8" t="s">
        <v>99</v>
      </c>
      <c r="C55" s="8" t="s">
        <v>316</v>
      </c>
      <c r="D55" s="12" t="n">
        <f aca="false">MAX(0, 2*'House Vote Data (Actual)'!G204 - 'House Vote Data (Actual)'!G202)</f>
        <v>3510</v>
      </c>
      <c r="E55" s="9" t="n">
        <f aca="false">MIN(1,MAX(0, 'House Vote Data (Actual)'!H205 + VLOOKUP(A55,'Beta Coefficients'!$A:$D,4,FALSE())*(0.493723032345438-0.502307848203881) ))</f>
        <v>0.338488347138572</v>
      </c>
      <c r="F55" s="12" t="n">
        <f aca="false">ROUND(D55*E55,0)</f>
        <v>1188</v>
      </c>
      <c r="G55" s="12" t="n">
        <f aca="false">ROUND(D55*(1-E55),0)</f>
        <v>2322</v>
      </c>
      <c r="H55" s="8" t="str">
        <f aca="false">IF(E55&gt;0.5,"Democrat","Republican")</f>
        <v>Republican</v>
      </c>
    </row>
    <row r="56" customFormat="false" ht="15" hidden="false" customHeight="true" outlineLevel="0" collapsed="false">
      <c r="A56" s="8" t="s">
        <v>121</v>
      </c>
      <c r="B56" s="8" t="s">
        <v>99</v>
      </c>
      <c r="C56" s="8" t="s">
        <v>316</v>
      </c>
      <c r="D56" s="12" t="n">
        <f aca="false">MAX(0, 2*'House Vote Data (Actual)'!G208 - 'House Vote Data (Actual)'!G206)</f>
        <v>219</v>
      </c>
      <c r="E56" s="9" t="n">
        <f aca="false">MIN(1,MAX(0, 'House Vote Data (Actual)'!H209 + VLOOKUP(A56,'Beta Coefficients'!$A:$D,4,FALSE())*(0.493723032345438-0.502307848203881) ))</f>
        <v>0.349385797023484</v>
      </c>
      <c r="F56" s="12" t="n">
        <f aca="false">ROUND(D56*E56,0)</f>
        <v>77</v>
      </c>
      <c r="G56" s="12" t="n">
        <f aca="false">ROUND(D56*(1-E56),0)</f>
        <v>142</v>
      </c>
      <c r="H56" s="8" t="str">
        <f aca="false">IF(E56&gt;0.5,"Democrat","Republican")</f>
        <v>Republican</v>
      </c>
    </row>
    <row r="57" customFormat="false" ht="15" hidden="false" customHeight="true" outlineLevel="0" collapsed="false">
      <c r="A57" s="8" t="s">
        <v>122</v>
      </c>
      <c r="B57" s="8" t="s">
        <v>99</v>
      </c>
      <c r="C57" s="8" t="s">
        <v>316</v>
      </c>
      <c r="D57" s="12" t="n">
        <f aca="false">MAX(0, 2*'House Vote Data (Actual)'!G212 - 'House Vote Data (Actual)'!G210)</f>
        <v>761</v>
      </c>
      <c r="E57" s="9" t="n">
        <f aca="false">MIN(1,MAX(0, 'House Vote Data (Actual)'!H213 + VLOOKUP(A57,'Beta Coefficients'!$A:$D,4,FALSE())*(0.493723032345438-0.502307848203881) ))</f>
        <v>0.354767497533002</v>
      </c>
      <c r="F57" s="12" t="n">
        <f aca="false">ROUND(D57*E57,0)</f>
        <v>270</v>
      </c>
      <c r="G57" s="12" t="n">
        <f aca="false">ROUND(D57*(1-E57),0)</f>
        <v>491</v>
      </c>
      <c r="H57" s="8" t="str">
        <f aca="false">IF(E57&gt;0.5,"Democrat","Republican")</f>
        <v>Republican</v>
      </c>
    </row>
    <row r="58" customFormat="false" ht="15" hidden="false" customHeight="true" outlineLevel="0" collapsed="false">
      <c r="A58" s="8" t="s">
        <v>123</v>
      </c>
      <c r="B58" s="8" t="s">
        <v>99</v>
      </c>
      <c r="C58" s="8" t="s">
        <v>316</v>
      </c>
      <c r="D58" s="12" t="n">
        <f aca="false">MAX(0, 2*'House Vote Data (Actual)'!G216 - 'House Vote Data (Actual)'!G214)</f>
        <v>447</v>
      </c>
      <c r="E58" s="9" t="n">
        <f aca="false">MIN(1,MAX(0, 'House Vote Data (Actual)'!H217 + VLOOKUP(A58,'Beta Coefficients'!$A:$D,4,FALSE())*(0.493723032345438-0.502307848203881) ))</f>
        <v>0.397774826525696</v>
      </c>
      <c r="F58" s="12" t="n">
        <f aca="false">ROUND(D58*E58,0)</f>
        <v>178</v>
      </c>
      <c r="G58" s="12" t="n">
        <f aca="false">ROUND(D58*(1-E58),0)</f>
        <v>269</v>
      </c>
      <c r="H58" s="8" t="str">
        <f aca="false">IF(E58&gt;0.5,"Democrat","Republican")</f>
        <v>Republican</v>
      </c>
    </row>
    <row r="59" customFormat="false" ht="15" hidden="false" customHeight="true" outlineLevel="0" collapsed="false">
      <c r="A59" s="8" t="s">
        <v>124</v>
      </c>
      <c r="B59" s="8" t="s">
        <v>99</v>
      </c>
      <c r="C59" s="8" t="s">
        <v>316</v>
      </c>
      <c r="D59" s="12" t="n">
        <f aca="false">MAX(0, 2*'House Vote Data (Actual)'!G220 - 'House Vote Data (Actual)'!G218)</f>
        <v>666</v>
      </c>
      <c r="E59" s="9" t="n">
        <f aca="false">MIN(1,MAX(0, 'House Vote Data (Actual)'!H221 + VLOOKUP(A59,'Beta Coefficients'!$A:$D,4,FALSE())*(0.493723032345438-0.502307848203881) ))</f>
        <v>0.417182119824747</v>
      </c>
      <c r="F59" s="12" t="n">
        <f aca="false">ROUND(D59*E59,0)</f>
        <v>278</v>
      </c>
      <c r="G59" s="12" t="n">
        <f aca="false">ROUND(D59*(1-E59),0)</f>
        <v>388</v>
      </c>
      <c r="H59" s="8" t="str">
        <f aca="false">IF(E59&gt;0.5,"Democrat","Republican")</f>
        <v>Republican</v>
      </c>
    </row>
    <row r="60" customFormat="false" ht="15" hidden="false" customHeight="true" outlineLevel="0" collapsed="false">
      <c r="A60" s="8" t="s">
        <v>125</v>
      </c>
      <c r="B60" s="8" t="s">
        <v>99</v>
      </c>
      <c r="C60" s="8" t="s">
        <v>316</v>
      </c>
      <c r="D60" s="12" t="n">
        <f aca="false">MAX(0, 2*'House Vote Data (Actual)'!G224 - 'House Vote Data (Actual)'!G222)</f>
        <v>3533</v>
      </c>
      <c r="E60" s="9" t="n">
        <f aca="false">MIN(1,MAX(0, 'House Vote Data (Actual)'!H225 + VLOOKUP(A60,'Beta Coefficients'!$A:$D,4,FALSE())*(0.493723032345438-0.502307848203881) ))</f>
        <v>0.303822715033788</v>
      </c>
      <c r="F60" s="12" t="n">
        <f aca="false">ROUND(D60*E60,0)</f>
        <v>1073</v>
      </c>
      <c r="G60" s="12" t="n">
        <f aca="false">ROUND(D60*(1-E60),0)</f>
        <v>2460</v>
      </c>
      <c r="H60" s="8" t="str">
        <f aca="false">IF(E60&gt;0.5,"Democrat","Republican")</f>
        <v>Republican</v>
      </c>
    </row>
    <row r="61" customFormat="false" ht="15" hidden="false" customHeight="true" outlineLevel="0" collapsed="false">
      <c r="A61" s="8" t="s">
        <v>126</v>
      </c>
      <c r="B61" s="8" t="s">
        <v>99</v>
      </c>
      <c r="C61" s="8" t="s">
        <v>316</v>
      </c>
      <c r="D61" s="12" t="n">
        <f aca="false">MAX(0, 2*'House Vote Data (Actual)'!G228 - 'House Vote Data (Actual)'!G226)</f>
        <v>3725</v>
      </c>
      <c r="E61" s="9" t="n">
        <f aca="false">MIN(1,MAX(0, 'House Vote Data (Actual)'!H229 + VLOOKUP(A61,'Beta Coefficients'!$A:$D,4,FALSE())*(0.493723032345438-0.502307848203881) ))</f>
        <v>0.474215958503176</v>
      </c>
      <c r="F61" s="12" t="n">
        <f aca="false">ROUND(D61*E61,0)</f>
        <v>1766</v>
      </c>
      <c r="G61" s="12" t="n">
        <f aca="false">ROUND(D61*(1-E61),0)</f>
        <v>1959</v>
      </c>
      <c r="H61" s="8" t="str">
        <f aca="false">IF(E61&gt;0.5,"Democrat","Republican")</f>
        <v>Republican</v>
      </c>
    </row>
    <row r="62" customFormat="false" ht="15" hidden="false" customHeight="true" outlineLevel="0" collapsed="false">
      <c r="A62" s="8" t="s">
        <v>127</v>
      </c>
      <c r="B62" s="8" t="s">
        <v>99</v>
      </c>
      <c r="C62" s="8" t="s">
        <v>316</v>
      </c>
      <c r="D62" s="12" t="n">
        <f aca="false">MAX(0, 2*'House Vote Data (Actual)'!G232 - 'House Vote Data (Actual)'!G230)</f>
        <v>830</v>
      </c>
      <c r="E62" s="9" t="n">
        <f aca="false">MIN(1,MAX(0, 'House Vote Data (Actual)'!H233 + VLOOKUP(A62,'Beta Coefficients'!$A:$D,4,FALSE())*(0.493723032345438-0.502307848203881) ))</f>
        <v>0.382273805388047</v>
      </c>
      <c r="F62" s="12" t="n">
        <f aca="false">ROUND(D62*E62,0)</f>
        <v>317</v>
      </c>
      <c r="G62" s="12" t="n">
        <f aca="false">ROUND(D62*(1-E62),0)</f>
        <v>513</v>
      </c>
      <c r="H62" s="8" t="str">
        <f aca="false">IF(E62&gt;0.5,"Democrat","Republican")</f>
        <v>Republican</v>
      </c>
    </row>
    <row r="63" customFormat="false" ht="15" hidden="false" customHeight="true" outlineLevel="0" collapsed="false">
      <c r="A63" s="8" t="s">
        <v>95</v>
      </c>
      <c r="B63" s="8" t="s">
        <v>99</v>
      </c>
      <c r="C63" s="8" t="s">
        <v>316</v>
      </c>
      <c r="D63" s="12" t="n">
        <f aca="false">MAX(0, 2*'House Vote Data (Actual)'!G236 - 'House Vote Data (Actual)'!G234)</f>
        <v>2832</v>
      </c>
      <c r="E63" s="9" t="n">
        <f aca="false">MIN(1,MAX(0, 'House Vote Data (Actual)'!H237 + VLOOKUP(A63,'Beta Coefficients'!$A:$D,4,FALSE())*(0.493723032345438-0.502307848203881) ))</f>
        <v>0.32709365059717</v>
      </c>
      <c r="F63" s="12" t="n">
        <f aca="false">ROUND(D63*E63,0)</f>
        <v>926</v>
      </c>
      <c r="G63" s="12" t="n">
        <f aca="false">ROUND(D63*(1-E63),0)</f>
        <v>1906</v>
      </c>
      <c r="H63" s="8" t="str">
        <f aca="false">IF(E63&gt;0.5,"Democrat","Republican")</f>
        <v>Republican</v>
      </c>
    </row>
    <row r="64" customFormat="false" ht="15" hidden="false" customHeight="true" outlineLevel="0" collapsed="false">
      <c r="A64" s="8" t="s">
        <v>128</v>
      </c>
      <c r="B64" s="8" t="s">
        <v>99</v>
      </c>
      <c r="C64" s="8" t="s">
        <v>316</v>
      </c>
      <c r="D64" s="12" t="n">
        <f aca="false">MAX(0, 2*'House Vote Data (Actual)'!G240 - 'House Vote Data (Actual)'!G238)</f>
        <v>458</v>
      </c>
      <c r="E64" s="9" t="n">
        <f aca="false">MIN(1,MAX(0, 'House Vote Data (Actual)'!H241 + VLOOKUP(A64,'Beta Coefficients'!$A:$D,4,FALSE())*(0.493723032345438-0.502307848203881) ))</f>
        <v>0.461555587484483</v>
      </c>
      <c r="F64" s="12" t="n">
        <f aca="false">ROUND(D64*E64,0)</f>
        <v>211</v>
      </c>
      <c r="G64" s="12" t="n">
        <f aca="false">ROUND(D64*(1-E64),0)</f>
        <v>247</v>
      </c>
      <c r="H64" s="8" t="str">
        <f aca="false">IF(E64&gt;0.5,"Democrat","Republican")</f>
        <v>Republican</v>
      </c>
    </row>
    <row r="65" customFormat="false" ht="15" hidden="false" customHeight="true" outlineLevel="0" collapsed="false">
      <c r="A65" s="8" t="s">
        <v>129</v>
      </c>
      <c r="B65" s="8" t="s">
        <v>99</v>
      </c>
      <c r="C65" s="8" t="s">
        <v>316</v>
      </c>
      <c r="D65" s="12" t="n">
        <f aca="false">MAX(0, 2*'House Vote Data (Actual)'!G244 - 'House Vote Data (Actual)'!G242)</f>
        <v>3715</v>
      </c>
      <c r="E65" s="9" t="n">
        <f aca="false">MIN(1,MAX(0, 'House Vote Data (Actual)'!H245 + VLOOKUP(A65,'Beta Coefficients'!$A:$D,4,FALSE())*(0.493723032345438-0.502307848203881) ))</f>
        <v>0.43147922204779</v>
      </c>
      <c r="F65" s="12" t="n">
        <f aca="false">ROUND(D65*E65,0)</f>
        <v>1603</v>
      </c>
      <c r="G65" s="12" t="n">
        <f aca="false">ROUND(D65*(1-E65),0)</f>
        <v>2112</v>
      </c>
      <c r="H65" s="8" t="str">
        <f aca="false">IF(E65&gt;0.5,"Democrat","Republican")</f>
        <v>Republican</v>
      </c>
    </row>
    <row r="66" customFormat="false" ht="15" hidden="false" customHeight="true" outlineLevel="0" collapsed="false">
      <c r="A66" s="8" t="s">
        <v>130</v>
      </c>
      <c r="B66" s="8" t="s">
        <v>99</v>
      </c>
      <c r="C66" s="8" t="s">
        <v>316</v>
      </c>
      <c r="D66" s="12" t="n">
        <f aca="false">MAX(0, 2*'House Vote Data (Actual)'!G248 - 'House Vote Data (Actual)'!G246)</f>
        <v>2465</v>
      </c>
      <c r="E66" s="9" t="n">
        <f aca="false">MIN(1,MAX(0, 'House Vote Data (Actual)'!H249 + VLOOKUP(A66,'Beta Coefficients'!$A:$D,4,FALSE())*(0.493723032345438-0.502307848203881) ))</f>
        <v>0.543196732318314</v>
      </c>
      <c r="F66" s="12" t="n">
        <f aca="false">ROUND(D66*E66,0)</f>
        <v>1339</v>
      </c>
      <c r="G66" s="12" t="n">
        <f aca="false">ROUND(D66*(1-E66),0)</f>
        <v>1126</v>
      </c>
      <c r="H66" s="8" t="str">
        <f aca="false">IF(E66&gt;0.5,"Democrat","Republican")</f>
        <v>Democrat</v>
      </c>
    </row>
    <row r="67" customFormat="false" ht="15" hidden="false" customHeight="true" outlineLevel="0" collapsed="false">
      <c r="A67" s="8" t="s">
        <v>131</v>
      </c>
      <c r="B67" s="8" t="s">
        <v>99</v>
      </c>
      <c r="C67" s="8" t="s">
        <v>316</v>
      </c>
      <c r="D67" s="12" t="n">
        <f aca="false">MAX(0, 2*'House Vote Data (Actual)'!G252 - 'House Vote Data (Actual)'!G250)</f>
        <v>1361</v>
      </c>
      <c r="E67" s="9" t="n">
        <f aca="false">MIN(1,MAX(0, 'House Vote Data (Actual)'!H253 + VLOOKUP(A67,'Beta Coefficients'!$A:$D,4,FALSE())*(0.493723032345438-0.502307848203881) ))</f>
        <v>0.418396296947766</v>
      </c>
      <c r="F67" s="12" t="n">
        <f aca="false">ROUND(D67*E67,0)</f>
        <v>569</v>
      </c>
      <c r="G67" s="12" t="n">
        <f aca="false">ROUND(D67*(1-E67),0)</f>
        <v>792</v>
      </c>
      <c r="H67" s="8" t="str">
        <f aca="false">IF(E67&gt;0.5,"Democrat","Republican")</f>
        <v>Republican</v>
      </c>
    </row>
    <row r="68" customFormat="false" ht="15" hidden="false" customHeight="true" outlineLevel="0" collapsed="false">
      <c r="A68" s="8" t="s">
        <v>138</v>
      </c>
      <c r="B68" s="8" t="s">
        <v>139</v>
      </c>
      <c r="C68" s="8" t="s">
        <v>333</v>
      </c>
      <c r="D68" s="12" t="n">
        <f aca="false">MAX(0, 2*'Carbon 2026 Registration'!D2 - 'Carbon 2026 Registration'!C2)</f>
        <v>382</v>
      </c>
      <c r="E68" s="9" t="n">
        <f aca="false">MIN(1,MAX(0, 0.4899 + 0.489*'Carbon 2026 Registration'!B2))</f>
        <v>0.5165016</v>
      </c>
      <c r="F68" s="12" t="n">
        <f aca="false">ROUND(D68*E68,0)</f>
        <v>197</v>
      </c>
      <c r="G68" s="12" t="n">
        <f aca="false">ROUND(D68*(1-E68),0)</f>
        <v>185</v>
      </c>
      <c r="H68" s="8" t="str">
        <f aca="false">IF(E68&gt;0.5,"Democrat","Republican")</f>
        <v>Democrat</v>
      </c>
    </row>
    <row r="69" customFormat="false" ht="15" hidden="false" customHeight="true" outlineLevel="0" collapsed="false">
      <c r="A69" s="8" t="s">
        <v>140</v>
      </c>
      <c r="B69" s="8" t="s">
        <v>139</v>
      </c>
      <c r="C69" s="8" t="s">
        <v>333</v>
      </c>
      <c r="D69" s="12" t="n">
        <f aca="false">MAX(0, 2*'Carbon 2026 Registration'!D3 - 'Carbon 2026 Registration'!C3)</f>
        <v>339</v>
      </c>
      <c r="E69" s="9" t="n">
        <f aca="false">MIN(1,MAX(0, 0.4899 + 0.489*'Carbon 2026 Registration'!B3))</f>
        <v>0.3741537</v>
      </c>
      <c r="F69" s="12" t="n">
        <f aca="false">ROUND(D69*E69,0)</f>
        <v>127</v>
      </c>
      <c r="G69" s="12" t="n">
        <f aca="false">ROUND(D69*(1-E69),0)</f>
        <v>212</v>
      </c>
      <c r="H69" s="8" t="str">
        <f aca="false">IF(E69&gt;0.5,"Democrat","Republican")</f>
        <v>Republican</v>
      </c>
    </row>
    <row r="70" customFormat="false" ht="15" hidden="false" customHeight="true" outlineLevel="0" collapsed="false">
      <c r="A70" s="8" t="s">
        <v>141</v>
      </c>
      <c r="B70" s="8" t="s">
        <v>139</v>
      </c>
      <c r="C70" s="8" t="s">
        <v>333</v>
      </c>
      <c r="D70" s="12" t="n">
        <f aca="false">MAX(0, 2*'Carbon 2026 Registration'!D4 - 'Carbon 2026 Registration'!C4)</f>
        <v>398</v>
      </c>
      <c r="E70" s="9" t="n">
        <f aca="false">MIN(1,MAX(0, 0.4899 + 0.489*'Carbon 2026 Registration'!B4))</f>
        <v>0.3574788</v>
      </c>
      <c r="F70" s="12" t="n">
        <f aca="false">ROUND(D70*E70,0)</f>
        <v>142</v>
      </c>
      <c r="G70" s="12" t="n">
        <f aca="false">ROUND(D70*(1-E70),0)</f>
        <v>256</v>
      </c>
      <c r="H70" s="8" t="str">
        <f aca="false">IF(E70&gt;0.5,"Democrat","Republican")</f>
        <v>Republican</v>
      </c>
    </row>
    <row r="71" customFormat="false" ht="15" hidden="false" customHeight="true" outlineLevel="0" collapsed="false">
      <c r="A71" s="8" t="s">
        <v>142</v>
      </c>
      <c r="B71" s="8" t="s">
        <v>139</v>
      </c>
      <c r="C71" s="8" t="s">
        <v>333</v>
      </c>
      <c r="D71" s="12" t="n">
        <f aca="false">MAX(0, 2*'Carbon 2026 Registration'!D5 - 'Carbon 2026 Registration'!C5)</f>
        <v>1491</v>
      </c>
      <c r="E71" s="9" t="n">
        <f aca="false">MIN(1,MAX(0, 0.4899 + 0.489*'Carbon 2026 Registration'!B5))</f>
        <v>0.3158649</v>
      </c>
      <c r="F71" s="12" t="n">
        <f aca="false">ROUND(D71*E71,0)</f>
        <v>471</v>
      </c>
      <c r="G71" s="12" t="n">
        <f aca="false">ROUND(D71*(1-E71),0)</f>
        <v>1020</v>
      </c>
      <c r="H71" s="8" t="str">
        <f aca="false">IF(E71&gt;0.5,"Democrat","Republican")</f>
        <v>Republican</v>
      </c>
    </row>
    <row r="72" customFormat="false" ht="15" hidden="false" customHeight="true" outlineLevel="0" collapsed="false">
      <c r="A72" s="8" t="s">
        <v>143</v>
      </c>
      <c r="B72" s="8" t="s">
        <v>139</v>
      </c>
      <c r="C72" s="8" t="s">
        <v>333</v>
      </c>
      <c r="D72" s="12" t="n">
        <f aca="false">MAX(0, 2*'Carbon 2026 Registration'!D6 - 'Carbon 2026 Registration'!C6)</f>
        <v>103</v>
      </c>
      <c r="E72" s="9" t="n">
        <f aca="false">MIN(1,MAX(0, 0.4899 + 0.489*'Carbon 2026 Registration'!B6))</f>
        <v>0.4039338</v>
      </c>
      <c r="F72" s="12" t="n">
        <f aca="false">ROUND(D72*E72,0)</f>
        <v>42</v>
      </c>
      <c r="G72" s="12" t="n">
        <f aca="false">ROUND(D72*(1-E72),0)</f>
        <v>61</v>
      </c>
      <c r="H72" s="8" t="str">
        <f aca="false">IF(E72&gt;0.5,"Democrat","Republican")</f>
        <v>Republican</v>
      </c>
    </row>
    <row r="73" customFormat="false" ht="15" hidden="false" customHeight="true" outlineLevel="0" collapsed="false">
      <c r="A73" s="8" t="s">
        <v>144</v>
      </c>
      <c r="B73" s="8" t="s">
        <v>139</v>
      </c>
      <c r="C73" s="8" t="s">
        <v>333</v>
      </c>
      <c r="D73" s="12" t="n">
        <f aca="false">MAX(0, 2*'Carbon 2026 Registration'!D7 - 'Carbon 2026 Registration'!C7)</f>
        <v>2220</v>
      </c>
      <c r="E73" s="9" t="n">
        <f aca="false">MIN(1,MAX(0, 0.4899 + 0.489*'Carbon 2026 Registration'!B7))</f>
        <v>0.3229065</v>
      </c>
      <c r="F73" s="12" t="n">
        <f aca="false">ROUND(D73*E73,0)</f>
        <v>717</v>
      </c>
      <c r="G73" s="12" t="n">
        <f aca="false">ROUND(D73*(1-E73),0)</f>
        <v>1503</v>
      </c>
      <c r="H73" s="8" t="str">
        <f aca="false">IF(E73&gt;0.5,"Democrat","Republican")</f>
        <v>Republican</v>
      </c>
    </row>
    <row r="74" customFormat="false" ht="15" hidden="false" customHeight="true" outlineLevel="0" collapsed="false">
      <c r="A74" s="8" t="s">
        <v>145</v>
      </c>
      <c r="B74" s="8" t="s">
        <v>139</v>
      </c>
      <c r="C74" s="8" t="s">
        <v>333</v>
      </c>
      <c r="D74" s="12" t="n">
        <f aca="false">MAX(0, 2*'Carbon 2026 Registration'!D8 - 'Carbon 2026 Registration'!C8)</f>
        <v>2335</v>
      </c>
      <c r="E74" s="9" t="n">
        <f aca="false">MIN(1,MAX(0, 0.4899 + 0.489*'Carbon 2026 Registration'!B8))</f>
        <v>0.4654989</v>
      </c>
      <c r="F74" s="12" t="n">
        <f aca="false">ROUND(D74*E74,0)</f>
        <v>1087</v>
      </c>
      <c r="G74" s="12" t="n">
        <f aca="false">ROUND(D74*(1-E74),0)</f>
        <v>1248</v>
      </c>
      <c r="H74" s="8" t="str">
        <f aca="false">IF(E74&gt;0.5,"Democrat","Republican")</f>
        <v>Republican</v>
      </c>
    </row>
    <row r="75" customFormat="false" ht="15" hidden="false" customHeight="true" outlineLevel="0" collapsed="false">
      <c r="A75" s="8" t="s">
        <v>146</v>
      </c>
      <c r="B75" s="8" t="s">
        <v>139</v>
      </c>
      <c r="C75" s="8" t="s">
        <v>333</v>
      </c>
      <c r="D75" s="12" t="n">
        <f aca="false">MAX(0, 2*'Carbon 2026 Registration'!D9 - 'Carbon 2026 Registration'!C9)</f>
        <v>943</v>
      </c>
      <c r="E75" s="9" t="n">
        <f aca="false">MIN(1,MAX(0, 0.4899 + 0.489*'Carbon 2026 Registration'!B9))</f>
        <v>0.3546426</v>
      </c>
      <c r="F75" s="12" t="n">
        <f aca="false">ROUND(D75*E75,0)</f>
        <v>334</v>
      </c>
      <c r="G75" s="12" t="n">
        <f aca="false">ROUND(D75*(1-E75),0)</f>
        <v>609</v>
      </c>
      <c r="H75" s="8" t="str">
        <f aca="false">IF(E75&gt;0.5,"Democrat","Republican")</f>
        <v>Republican</v>
      </c>
    </row>
    <row r="76" customFormat="false" ht="15" hidden="false" customHeight="true" outlineLevel="0" collapsed="false">
      <c r="A76" s="8" t="s">
        <v>147</v>
      </c>
      <c r="B76" s="8" t="s">
        <v>139</v>
      </c>
      <c r="C76" s="8" t="s">
        <v>333</v>
      </c>
      <c r="D76" s="12" t="n">
        <f aca="false">MAX(0, 2*'Carbon 2026 Registration'!D10 - 'Carbon 2026 Registration'!C10)</f>
        <v>1128</v>
      </c>
      <c r="E76" s="9" t="n">
        <f aca="false">MIN(1,MAX(0, 0.4899 + 0.489*'Carbon 2026 Registration'!B10))</f>
        <v>0.4719537</v>
      </c>
      <c r="F76" s="12" t="n">
        <f aca="false">ROUND(D76*E76,0)</f>
        <v>532</v>
      </c>
      <c r="G76" s="12" t="n">
        <f aca="false">ROUND(D76*(1-E76),0)</f>
        <v>596</v>
      </c>
      <c r="H76" s="8" t="str">
        <f aca="false">IF(E76&gt;0.5,"Democrat","Republican")</f>
        <v>Republican</v>
      </c>
    </row>
    <row r="77" customFormat="false" ht="15" hidden="false" customHeight="true" outlineLevel="0" collapsed="false">
      <c r="A77" s="8" t="s">
        <v>148</v>
      </c>
      <c r="B77" s="8" t="s">
        <v>139</v>
      </c>
      <c r="C77" s="8" t="s">
        <v>333</v>
      </c>
      <c r="D77" s="12" t="n">
        <f aca="false">MAX(0, 2*'Carbon 2026 Registration'!D11 - 'Carbon 2026 Registration'!C11)</f>
        <v>137</v>
      </c>
      <c r="E77" s="9" t="n">
        <f aca="false">MIN(1,MAX(0, 0.4899 + 0.489*'Carbon 2026 Registration'!B11))</f>
        <v>0.300168</v>
      </c>
      <c r="F77" s="12" t="n">
        <f aca="false">ROUND(D77*E77,0)</f>
        <v>41</v>
      </c>
      <c r="G77" s="12" t="n">
        <f aca="false">ROUND(D77*(1-E77),0)</f>
        <v>96</v>
      </c>
      <c r="H77" s="8" t="str">
        <f aca="false">IF(E77&gt;0.5,"Democrat","Republican")</f>
        <v>Republican</v>
      </c>
    </row>
    <row r="78" customFormat="false" ht="15" hidden="false" customHeight="true" outlineLevel="0" collapsed="false">
      <c r="A78" s="8" t="s">
        <v>149</v>
      </c>
      <c r="B78" s="8" t="s">
        <v>139</v>
      </c>
      <c r="C78" s="8" t="s">
        <v>333</v>
      </c>
      <c r="D78" s="12" t="n">
        <f aca="false">MAX(0, 2*'Carbon 2026 Registration'!D12 - 'Carbon 2026 Registration'!C12)</f>
        <v>271</v>
      </c>
      <c r="E78" s="9" t="n">
        <f aca="false">MIN(1,MAX(0, 0.4899 + 0.489*'Carbon 2026 Registration'!B12))</f>
        <v>0.2240796</v>
      </c>
      <c r="F78" s="12" t="n">
        <f aca="false">ROUND(D78*E78,0)</f>
        <v>61</v>
      </c>
      <c r="G78" s="12" t="n">
        <f aca="false">ROUND(D78*(1-E78),0)</f>
        <v>210</v>
      </c>
      <c r="H78" s="8" t="str">
        <f aca="false">IF(E78&gt;0.5,"Democrat","Republican")</f>
        <v>Republican</v>
      </c>
    </row>
    <row r="79" customFormat="false" ht="15" hidden="false" customHeight="true" outlineLevel="0" collapsed="false">
      <c r="A79" s="8" t="s">
        <v>150</v>
      </c>
      <c r="B79" s="8" t="s">
        <v>139</v>
      </c>
      <c r="C79" s="8" t="s">
        <v>333</v>
      </c>
      <c r="D79" s="12" t="n">
        <f aca="false">MAX(0, 2*'Carbon 2026 Registration'!D13 - 'Carbon 2026 Registration'!C13)</f>
        <v>1867</v>
      </c>
      <c r="E79" s="9" t="n">
        <f aca="false">MIN(1,MAX(0, 0.4899 + 0.489*'Carbon 2026 Registration'!B13))</f>
        <v>0.4151319</v>
      </c>
      <c r="F79" s="12" t="n">
        <f aca="false">ROUND(D79*E79,0)</f>
        <v>775</v>
      </c>
      <c r="G79" s="12" t="n">
        <f aca="false">ROUND(D79*(1-E79),0)</f>
        <v>1092</v>
      </c>
      <c r="H79" s="8" t="str">
        <f aca="false">IF(E79&gt;0.5,"Democrat","Republican")</f>
        <v>Republican</v>
      </c>
    </row>
    <row r="80" customFormat="false" ht="15" hidden="false" customHeight="true" outlineLevel="0" collapsed="false">
      <c r="A80" s="8" t="s">
        <v>151</v>
      </c>
      <c r="B80" s="8" t="s">
        <v>139</v>
      </c>
      <c r="C80" s="8" t="s">
        <v>333</v>
      </c>
      <c r="D80" s="12" t="n">
        <f aca="false">MAX(0, 2*'Carbon 2026 Registration'!D14 - 'Carbon 2026 Registration'!C14)</f>
        <v>1561</v>
      </c>
      <c r="E80" s="9" t="n">
        <f aca="false">MIN(1,MAX(0, 0.4899 + 0.489*'Carbon 2026 Registration'!B14))</f>
        <v>0.3374787</v>
      </c>
      <c r="F80" s="12" t="n">
        <f aca="false">ROUND(D80*E80,0)</f>
        <v>527</v>
      </c>
      <c r="G80" s="12" t="n">
        <f aca="false">ROUND(D80*(1-E80),0)</f>
        <v>1034</v>
      </c>
      <c r="H80" s="8" t="str">
        <f aca="false">IF(E80&gt;0.5,"Democrat","Republican")</f>
        <v>Republican</v>
      </c>
    </row>
    <row r="81" customFormat="false" ht="15" hidden="false" customHeight="true" outlineLevel="0" collapsed="false">
      <c r="A81" s="8" t="s">
        <v>152</v>
      </c>
      <c r="B81" s="8" t="s">
        <v>139</v>
      </c>
      <c r="C81" s="8" t="s">
        <v>333</v>
      </c>
      <c r="D81" s="12" t="n">
        <f aca="false">MAX(0, 2*'Carbon 2026 Registration'!D15 - 'Carbon 2026 Registration'!C15)</f>
        <v>2044</v>
      </c>
      <c r="E81" s="9" t="n">
        <f aca="false">MIN(1,MAX(0, 0.4899 + 0.489*'Carbon 2026 Registration'!B15))</f>
        <v>0.3193857</v>
      </c>
      <c r="F81" s="12" t="n">
        <f aca="false">ROUND(D81*E81,0)</f>
        <v>653</v>
      </c>
      <c r="G81" s="12" t="n">
        <f aca="false">ROUND(D81*(1-E81),0)</f>
        <v>1391</v>
      </c>
      <c r="H81" s="8" t="str">
        <f aca="false">IF(E81&gt;0.5,"Democrat","Republican")</f>
        <v>Republican</v>
      </c>
    </row>
    <row r="82" customFormat="false" ht="15" hidden="false" customHeight="true" outlineLevel="0" collapsed="false">
      <c r="A82" s="8" t="s">
        <v>153</v>
      </c>
      <c r="B82" s="8" t="s">
        <v>139</v>
      </c>
      <c r="C82" s="8" t="s">
        <v>333</v>
      </c>
      <c r="D82" s="12" t="n">
        <f aca="false">MAX(0, 2*'Carbon 2026 Registration'!D16 - 'Carbon 2026 Registration'!C16)</f>
        <v>1332</v>
      </c>
      <c r="E82" s="9" t="n">
        <f aca="false">MIN(1,MAX(0, 0.4899 + 0.489*'Carbon 2026 Registration'!B16))</f>
        <v>0.4448142</v>
      </c>
      <c r="F82" s="12" t="n">
        <f aca="false">ROUND(D82*E82,0)</f>
        <v>592</v>
      </c>
      <c r="G82" s="12" t="n">
        <f aca="false">ROUND(D82*(1-E82),0)</f>
        <v>740</v>
      </c>
      <c r="H82" s="8" t="str">
        <f aca="false">IF(E82&gt;0.5,"Democrat","Republican")</f>
        <v>Republican</v>
      </c>
    </row>
    <row r="83" customFormat="false" ht="15" hidden="false" customHeight="true" outlineLevel="0" collapsed="false">
      <c r="A83" s="8" t="s">
        <v>154</v>
      </c>
      <c r="B83" s="8" t="s">
        <v>139</v>
      </c>
      <c r="C83" s="8" t="s">
        <v>333</v>
      </c>
      <c r="D83" s="12" t="n">
        <f aca="false">MAX(0, 2*'Carbon 2026 Registration'!D17 - 'Carbon 2026 Registration'!C17)</f>
        <v>590</v>
      </c>
      <c r="E83" s="9" t="n">
        <f aca="false">MIN(1,MAX(0, 0.4899 + 0.489*'Carbon 2026 Registration'!B17))</f>
        <v>0.2336151</v>
      </c>
      <c r="F83" s="12" t="n">
        <f aca="false">ROUND(D83*E83,0)</f>
        <v>138</v>
      </c>
      <c r="G83" s="12" t="n">
        <f aca="false">ROUND(D83*(1-E83),0)</f>
        <v>452</v>
      </c>
      <c r="H83" s="8" t="str">
        <f aca="false">IF(E83&gt;0.5,"Democrat","Republican")</f>
        <v>Republican</v>
      </c>
    </row>
    <row r="84" customFormat="false" ht="15" hidden="false" customHeight="true" outlineLevel="0" collapsed="false">
      <c r="A84" s="8" t="s">
        <v>155</v>
      </c>
      <c r="B84" s="8" t="s">
        <v>139</v>
      </c>
      <c r="C84" s="8" t="s">
        <v>333</v>
      </c>
      <c r="D84" s="12" t="n">
        <f aca="false">MAX(0, 2*'Carbon 2026 Registration'!D18 - 'Carbon 2026 Registration'!C18)</f>
        <v>2152</v>
      </c>
      <c r="E84" s="9" t="n">
        <f aca="false">MIN(1,MAX(0, 0.4899 + 0.489*'Carbon 2026 Registration'!B18))</f>
        <v>0.4109265</v>
      </c>
      <c r="F84" s="12" t="n">
        <f aca="false">ROUND(D84*E84,0)</f>
        <v>884</v>
      </c>
      <c r="G84" s="12" t="n">
        <f aca="false">ROUND(D84*(1-E84),0)</f>
        <v>1268</v>
      </c>
      <c r="H84" s="8" t="str">
        <f aca="false">IF(E84&gt;0.5,"Democrat","Republican")</f>
        <v>Republican</v>
      </c>
    </row>
    <row r="85" customFormat="false" ht="15" hidden="false" customHeight="true" outlineLevel="0" collapsed="false">
      <c r="A85" s="8" t="s">
        <v>156</v>
      </c>
      <c r="B85" s="8" t="s">
        <v>139</v>
      </c>
      <c r="C85" s="8" t="s">
        <v>333</v>
      </c>
      <c r="D85" s="12" t="n">
        <f aca="false">MAX(0, 2*'Carbon 2026 Registration'!D19 - 'Carbon 2026 Registration'!C19)</f>
        <v>218</v>
      </c>
      <c r="E85" s="9" t="n">
        <f aca="false">MIN(1,MAX(0, 0.4899 + 0.489*'Carbon 2026 Registration'!B19))</f>
        <v>0.3752295</v>
      </c>
      <c r="F85" s="12" t="n">
        <f aca="false">ROUND(D85*E85,0)</f>
        <v>82</v>
      </c>
      <c r="G85" s="12" t="n">
        <f aca="false">ROUND(D85*(1-E85),0)</f>
        <v>136</v>
      </c>
      <c r="H85" s="8" t="str">
        <f aca="false">IF(E85&gt;0.5,"Democrat","Republican")</f>
        <v>Republican</v>
      </c>
    </row>
    <row r="86" customFormat="false" ht="15" hidden="false" customHeight="true" outlineLevel="0" collapsed="false">
      <c r="A86" s="8" t="s">
        <v>157</v>
      </c>
      <c r="B86" s="8" t="s">
        <v>139</v>
      </c>
      <c r="C86" s="8" t="s">
        <v>333</v>
      </c>
      <c r="D86" s="12" t="n">
        <f aca="false">MAX(0, 2*'Carbon 2026 Registration'!D20 - 'Carbon 2026 Registration'!C20)</f>
        <v>5156</v>
      </c>
      <c r="E86" s="9" t="n">
        <f aca="false">MIN(1,MAX(0, 0.4899 + 0.489*'Carbon 2026 Registration'!B20))</f>
        <v>0.3926868</v>
      </c>
      <c r="F86" s="12" t="n">
        <f aca="false">ROUND(D86*E86,0)</f>
        <v>2025</v>
      </c>
      <c r="G86" s="12" t="n">
        <f aca="false">ROUND(D86*(1-E86),0)</f>
        <v>3131</v>
      </c>
      <c r="H86" s="8" t="str">
        <f aca="false">IF(E86&gt;0.5,"Democrat","Republican")</f>
        <v>Republican</v>
      </c>
    </row>
    <row r="87" customFormat="false" ht="15" hidden="false" customHeight="true" outlineLevel="0" collapsed="false">
      <c r="A87" s="8" t="s">
        <v>158</v>
      </c>
      <c r="B87" s="8" t="s">
        <v>139</v>
      </c>
      <c r="C87" s="8" t="s">
        <v>333</v>
      </c>
      <c r="D87" s="12" t="n">
        <f aca="false">MAX(0, 2*'Carbon 2026 Registration'!D21 - 'Carbon 2026 Registration'!C21)</f>
        <v>1377</v>
      </c>
      <c r="E87" s="9" t="n">
        <f aca="false">MIN(1,MAX(0, 0.4899 + 0.489*'Carbon 2026 Registration'!B21))</f>
        <v>0.4818804</v>
      </c>
      <c r="F87" s="12" t="n">
        <f aca="false">ROUND(D87*E87,0)</f>
        <v>664</v>
      </c>
      <c r="G87" s="12" t="n">
        <f aca="false">ROUND(D87*(1-E87),0)</f>
        <v>713</v>
      </c>
      <c r="H87" s="8" t="str">
        <f aca="false">IF(E87&gt;0.5,"Democrat","Republican")</f>
        <v>Republican</v>
      </c>
    </row>
    <row r="88" customFormat="false" ht="15" hidden="false" customHeight="true" outlineLevel="0" collapsed="false">
      <c r="A88" s="8" t="s">
        <v>159</v>
      </c>
      <c r="B88" s="8" t="s">
        <v>139</v>
      </c>
      <c r="C88" s="8" t="s">
        <v>333</v>
      </c>
      <c r="D88" s="12" t="n">
        <f aca="false">MAX(0, 2*'Carbon 2026 Registration'!D22 - 'Carbon 2026 Registration'!C22)</f>
        <v>2515</v>
      </c>
      <c r="E88" s="9" t="n">
        <f aca="false">MIN(1,MAX(0, 0.4899 + 0.489*'Carbon 2026 Registration'!B22))</f>
        <v>0.3258894</v>
      </c>
      <c r="F88" s="12" t="n">
        <f aca="false">ROUND(D88*E88,0)</f>
        <v>820</v>
      </c>
      <c r="G88" s="12" t="n">
        <f aca="false">ROUND(D88*(1-E88),0)</f>
        <v>1695</v>
      </c>
      <c r="H88" s="8" t="str">
        <f aca="false">IF(E88&gt;0.5,"Democrat","Republican")</f>
        <v>Republican</v>
      </c>
    </row>
    <row r="89" customFormat="false" ht="15" hidden="false" customHeight="true" outlineLevel="0" collapsed="false">
      <c r="A89" s="8" t="s">
        <v>160</v>
      </c>
      <c r="B89" s="8" t="s">
        <v>139</v>
      </c>
      <c r="C89" s="8" t="s">
        <v>333</v>
      </c>
      <c r="D89" s="12" t="n">
        <f aca="false">MAX(0, 2*'Carbon 2026 Registration'!D23 - 'Carbon 2026 Registration'!C23)</f>
        <v>989</v>
      </c>
      <c r="E89" s="9" t="n">
        <f aca="false">MIN(1,MAX(0, 0.4899 + 0.489*'Carbon 2026 Registration'!B23))</f>
        <v>0.3435912</v>
      </c>
      <c r="F89" s="12" t="n">
        <f aca="false">ROUND(D89*E89,0)</f>
        <v>340</v>
      </c>
      <c r="G89" s="12" t="n">
        <f aca="false">ROUND(D89*(1-E89),0)</f>
        <v>649</v>
      </c>
      <c r="H89" s="8" t="str">
        <f aca="false">IF(E89&gt;0.5,"Democrat","Republican")</f>
        <v>Republican</v>
      </c>
    </row>
    <row r="90" customFormat="false" ht="15" hidden="false" customHeight="true" outlineLevel="0" collapsed="false">
      <c r="A90" s="8" t="s">
        <v>161</v>
      </c>
      <c r="B90" s="8" t="s">
        <v>139</v>
      </c>
      <c r="C90" s="8" t="s">
        <v>333</v>
      </c>
      <c r="D90" s="12" t="n">
        <f aca="false">MAX(0, 2*'Carbon 2026 Registration'!D24 - 'Carbon 2026 Registration'!C24)</f>
        <v>128</v>
      </c>
      <c r="E90" s="9" t="n">
        <f aca="false">MIN(1,MAX(0, 0.4899 + 0.489*'Carbon 2026 Registration'!B24))</f>
        <v>0.403347</v>
      </c>
      <c r="F90" s="12" t="n">
        <f aca="false">ROUND(D90*E90,0)</f>
        <v>52</v>
      </c>
      <c r="G90" s="12" t="n">
        <f aca="false">ROUND(D90*(1-E90),0)</f>
        <v>76</v>
      </c>
      <c r="H90" s="8" t="str">
        <f aca="false">IF(E90&gt;0.5,"Democrat","Republican")</f>
        <v>Republican</v>
      </c>
    </row>
    <row r="92" customFormat="false" ht="15" hidden="false" customHeight="true" outlineLevel="0" collapsed="false">
      <c r="A92" s="7" t="s">
        <v>339</v>
      </c>
      <c r="F92" s="13" t="n">
        <f aca="false">SUM(F5:F90)</f>
        <v>154826</v>
      </c>
      <c r="G92" s="13" t="n">
        <f aca="false">SUM(G5:G90)</f>
        <v>162684</v>
      </c>
    </row>
    <row r="93" customFormat="false" ht="15" hidden="false" customHeight="true" outlineLevel="0" collapsed="false">
      <c r="A93" s="7" t="s">
        <v>221</v>
      </c>
      <c r="B93" s="19" t="n">
        <f aca="false">F92/(F92+G92)</f>
        <v>0.487625586595698</v>
      </c>
    </row>
    <row r="94" customFormat="false" ht="15" hidden="false" customHeight="true" outlineLevel="0" collapsed="false">
      <c r="A94" s="7" t="s">
        <v>222</v>
      </c>
      <c r="B94" s="20" t="str">
        <f aca="false">IF(B93&gt;0.5,"Democrat","Republican")</f>
        <v>Republican</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2026-09-10T20:14:57Z</dcterms:created>
  <dc:creator>openpyxl</dc:creator>
  <dc:description/>
  <dc:language>en-US</dc:language>
  <cp:lastModifiedBy/>
  <dcterms:modified xsi:type="dcterms:W3CDTF">2026-09-14T21:26:37Z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